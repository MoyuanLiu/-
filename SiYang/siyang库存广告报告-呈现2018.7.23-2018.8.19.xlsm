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'库存（子SKU）'!$C$6:$C$1081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<sst xmlns="http://schemas.openxmlformats.org/spreadsheetml/2006/main" count="2452">
  <si>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</si>
  <si>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</si>
  <si>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</si>
  <si>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</si>
  <si>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</si>
  <si>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</si>
  <si>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</si>
  <si>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</si>
  <si>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</si>
  <si>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</si>
  <si>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</si>
  <si>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</si>
  <si>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</si>
  <si>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</si>
  <si>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</si>
  <si>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</si>
  <si>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</si>
  <si>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</si>
  <si>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</si>
  <si>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</si>
  <si>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</si>
  <si>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</si>
  <si>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</si>
  <si>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</si>
  <si>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</si>
  <si>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</si>
  <si>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</si>
  <si>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</si>
  <si>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</si>
  <si>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</si>
  <si>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</si>
  <si>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</si>
  <si>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</si>
  <si>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</si>
  <si>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</si>
  <si>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</si>
  <si>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</si>
  <si>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</si>
  <si>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</si>
  <si>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</si>
  <si>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</si>
  <si>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</si>
  <si>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</si>
  <si>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</si>
  <si>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</si>
  <si>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</si>
  <si>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</si>
  <si>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</si>
  <si>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</si>
  <si>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</si>
  <si>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</si>
  <si>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</si>
  <si>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</si>
  <si>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</si>
  <si>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</si>
  <si>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</si>
  <si>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</si>
  <si>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</si>
  <si>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</si>
  <si>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</si>
  <si>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</si>
  <si>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</si>
  <si>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</si>
  <si>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</si>
  <si>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</si>
  <si>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</si>
  <si>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</si>
  <si>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</si>
  <si>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</si>
  <si>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</si>
  <si>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无销量广告费为36.66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</si>
  <si>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</si>
  <si>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</si>
  <si>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</si>
  <si>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</si>
  <si>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</si>
  <si>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</si>
  <si>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</si>
  <si>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</si>
  <si>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</si>
  <si>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</si>
  <si>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</si>
  <si>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</si>
  <si>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</si>
  <si>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</si>
  <si>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</si>
  <si>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</si>
  <si>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</si>
  <si>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</si>
  <si>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</si>
  <si>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</si>
  <si>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</si>
  <si>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</si>
  <si>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</si>
  <si>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</si>
  <si>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</si>
  <si>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</si>
  <si>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</si>
  <si>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</si>
  <si>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</si>
  <si>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</si>
  <si>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</si>
  <si>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</si>
  <si>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</si>
  <si>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</si>
  <si>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</si>
  <si>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</si>
  <si>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</si>
  <si>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</si>
  <si>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AWFSNANKU-2292B0-31</t>
  </si>
  <si>
    <t>B0727S2N9C</t>
  </si>
  <si>
    <t>AWFSNANKU-2292</t>
  </si>
  <si>
    <t>AWFSNANKU-2292JLS-31</t>
  </si>
  <si>
    <t>B0722LH1R1</t>
  </si>
  <si>
    <t>无销量广告费为0.46</t>
  </si>
  <si>
    <t>无销量广告费为4.34</t>
  </si>
  <si>
    <t>AWFSNANKU-HBWYB5822BS-34</t>
  </si>
  <si>
    <t>B071DTPN9C</t>
  </si>
  <si>
    <t>AWFSNANKU-HBWYB5822</t>
  </si>
  <si>
    <t>AWFSNANKU-HBWYB5822BS-36</t>
  </si>
  <si>
    <t>B07193G3ZX</t>
  </si>
  <si>
    <t>BBSA140*180CM</t>
  </si>
  <si>
    <t>B0756CHGKN</t>
  </si>
  <si>
    <t>BBSA</t>
  </si>
  <si>
    <t>BBSA140*240CM</t>
  </si>
  <si>
    <t>B0756F238Y</t>
  </si>
  <si>
    <t>BDB-001-B0</t>
  </si>
  <si>
    <t>B07DQS5YP2</t>
  </si>
  <si>
    <t>BDB-001</t>
  </si>
  <si>
    <t>BDB-001-G0</t>
  </si>
  <si>
    <t>B07DQLVNSH</t>
  </si>
  <si>
    <t>BDB-001-K0</t>
  </si>
  <si>
    <t>B07DQL77MR</t>
  </si>
  <si>
    <t>BDB-001-R0</t>
  </si>
  <si>
    <t>B07DQMJRJG</t>
  </si>
  <si>
    <t>BDB-001-Y0</t>
  </si>
  <si>
    <t>B07DQPGWNM</t>
  </si>
  <si>
    <t>BDB-001-ZL</t>
  </si>
  <si>
    <t>B07DQT2DCN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</si>
  <si>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</si>
  <si>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</si>
  <si>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</si>
  <si>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</si>
  <si>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</si>
  <si>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</si>
  <si>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</si>
  <si>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</si>
  <si>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</si>
  <si>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</si>
  <si>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</si>
  <si>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</si>
  <si>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</si>
  <si>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</si>
  <si>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</si>
  <si>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</si>
  <si>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</si>
  <si>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</si>
  <si>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</si>
  <si>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</si>
  <si>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</si>
  <si>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</si>
  <si>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</si>
  <si>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</si>
  <si>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</si>
  <si>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</si>
  <si>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</si>
  <si>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</si>
  <si>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</si>
  <si>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</si>
  <si>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</si>
  <si>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</si>
  <si>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</si>
  <si>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</si>
  <si>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</si>
  <si>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</si>
  <si>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</si>
  <si>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</si>
  <si>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</si>
  <si>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</si>
  <si>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</si>
  <si>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</si>
  <si>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</si>
  <si>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</si>
  <si>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</si>
  <si>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</si>
  <si>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</si>
  <si>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</si>
  <si>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</si>
  <si>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</si>
  <si>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</si>
  <si>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</si>
  <si>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</si>
  <si>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</si>
  <si>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</si>
  <si>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</si>
  <si>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</si>
  <si>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</si>
  <si>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</si>
  <si>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</si>
  <si>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</si>
  <si>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</si>
  <si>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</si>
  <si>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</si>
  <si>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</si>
  <si>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</si>
  <si>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</si>
  <si>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</si>
  <si>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</si>
  <si>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无销量广告费为0.45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</si>
  <si>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</si>
  <si>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</si>
  <si>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</si>
  <si>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</si>
  <si>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</si>
  <si>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</si>
  <si>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</si>
  <si>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</si>
  <si>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</si>
  <si>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</si>
  <si>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</si>
  <si>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</si>
  <si>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</si>
  <si>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</si>
  <si>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</si>
  <si>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</si>
  <si>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</si>
  <si>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</si>
  <si>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</si>
  <si>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</si>
  <si>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</si>
  <si>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</si>
  <si>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</si>
  <si>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</si>
  <si>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</si>
  <si>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</si>
  <si>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</si>
  <si>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</si>
  <si>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</si>
  <si>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</si>
  <si>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</si>
  <si>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</si>
  <si>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</si>
  <si>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</si>
  <si>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</si>
  <si>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</si>
  <si>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</si>
  <si>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</si>
  <si>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</si>
  <si>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</si>
  <si>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</si>
  <si>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</si>
  <si>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</si>
  <si>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</si>
  <si>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</si>
  <si>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</si>
  <si>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</si>
  <si>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</si>
  <si>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</si>
  <si>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</si>
  <si>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</si>
  <si>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</si>
  <si>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</si>
  <si>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</si>
  <si>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</si>
  <si>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</si>
  <si>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</si>
  <si>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</si>
  <si>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</si>
  <si>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</si>
  <si>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</si>
  <si>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</si>
  <si>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</si>
  <si>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</si>
  <si>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</si>
  <si>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</si>
  <si>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</si>
  <si>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</si>
  <si>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</si>
  <si>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</si>
  <si>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</si>
  <si>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</si>
  <si>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无销量广告费为34.07</t>
  </si>
  <si>
    <t>无销量广告费为15.09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</si>
  <si>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</si>
  <si>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</si>
  <si>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</si>
  <si>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</si>
  <si>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</si>
  <si>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</si>
  <si>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</si>
  <si>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</si>
  <si>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</si>
  <si>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</si>
  <si>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</si>
  <si>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</si>
  <si>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</si>
  <si>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</si>
  <si>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</si>
  <si>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</si>
  <si>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</si>
  <si>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</si>
  <si>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</si>
  <si>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</si>
  <si>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</si>
  <si>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</si>
  <si>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</si>
  <si>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无销量广告费为5.44</t>
  </si>
  <si>
    <t>无销量广告费为0.72</t>
  </si>
  <si>
    <t>无销量广告费为0.78</t>
  </si>
  <si>
    <t>DLJJZHUOBU-DSGZGZ100x100CM</t>
  </si>
  <si>
    <t>B071RLCCDQ</t>
  </si>
  <si>
    <t>DLJJZHUOBU-DSGZGZ</t>
  </si>
  <si>
    <t>DLJJZHUOBU-DSGZGZ140x140CM</t>
  </si>
  <si>
    <t>B0713QQ11B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</si>
  <si>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</si>
  <si>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</si>
  <si>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</si>
  <si>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</si>
  <si>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</si>
  <si>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</si>
  <si>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</si>
  <si>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</si>
  <si>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ETYI-IUBLUE-S</t>
  </si>
  <si>
    <t>B07GFLX4QW</t>
  </si>
  <si>
    <t>ETYI-IUBLUE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</si>
  <si>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</si>
  <si>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</si>
  <si>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</si>
  <si>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</si>
  <si>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</si>
  <si>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</si>
  <si>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</si>
  <si>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</si>
  <si>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</si>
  <si>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</si>
  <si>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</si>
  <si>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</si>
  <si>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</si>
  <si>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</si>
  <si>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</si>
  <si>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</si>
  <si>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</si>
  <si>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</si>
  <si>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</si>
  <si>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</si>
  <si>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</si>
  <si>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ETYIMC-L-3</t>
  </si>
  <si>
    <t>B07FZY7P2X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</si>
  <si>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</si>
  <si>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</si>
  <si>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</si>
  <si>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</si>
  <si>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</si>
  <si>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</si>
  <si>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</si>
  <si>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</si>
  <si>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</si>
  <si>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</si>
  <si>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</si>
  <si>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无销量广告费为24.25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</si>
  <si>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</si>
  <si>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</si>
  <si>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</si>
  <si>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</si>
  <si>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</si>
  <si>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</si>
  <si>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</si>
  <si>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</si>
  <si>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</si>
  <si>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</si>
  <si>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</si>
  <si>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</si>
  <si>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</si>
  <si>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</si>
  <si>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</si>
  <si>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</si>
  <si>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</si>
  <si>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</si>
  <si>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</si>
  <si>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ETYY-IUBHO-L</t>
  </si>
  <si>
    <t>B07GFGD4Q1</t>
  </si>
  <si>
    <t>ETYY-IUBHO</t>
  </si>
  <si>
    <t>ETYY-IUBHO-M</t>
  </si>
  <si>
    <t>B07GFJS9CS</t>
  </si>
  <si>
    <t>ETYY-IUBHO-S</t>
  </si>
  <si>
    <t>B07GFG7DZG</t>
  </si>
  <si>
    <t>ETYY-IUBLUE-L</t>
  </si>
  <si>
    <t>B07GFDGKMN</t>
  </si>
  <si>
    <t>ETYY-IUBLUE</t>
  </si>
  <si>
    <t>ETYY-IUBLUE-M</t>
  </si>
  <si>
    <t>B07GFBY99R</t>
  </si>
  <si>
    <t>ETYY-IUCHONGQI-BOM</t>
  </si>
  <si>
    <t>B07GFKVX1C</t>
  </si>
  <si>
    <t>ETYY-IUCHONGQI</t>
  </si>
  <si>
    <t>ETYY-IUCHONGQI-BOXL</t>
  </si>
  <si>
    <t>B07GFG7DZD</t>
  </si>
  <si>
    <t>ETYY-IUCHONGQI-P2XL</t>
  </si>
  <si>
    <t>B07GFDGYCG</t>
  </si>
  <si>
    <t>ETYY-IUCHONGQI-R5L</t>
  </si>
  <si>
    <t>B07GFDVYXL</t>
  </si>
  <si>
    <t>ETYY-IUCHONGQI-R5S</t>
  </si>
  <si>
    <t>B07GFHJ332</t>
  </si>
  <si>
    <t>ETYY-IUCHONGQI-R5XL</t>
  </si>
  <si>
    <t>B07GFGQ926</t>
  </si>
  <si>
    <t>ETYY-IUFS-L</t>
  </si>
  <si>
    <t>B07GFH9VZH</t>
  </si>
  <si>
    <t>ETYY-IUFS</t>
  </si>
  <si>
    <t>ETYY-IUFS-M</t>
  </si>
  <si>
    <t>B07GFHW69H</t>
  </si>
  <si>
    <t>ETYY-IUFS-XL</t>
  </si>
  <si>
    <t>B07GFFKZBM</t>
  </si>
  <si>
    <t>ETYY-IUKONGLONG-BOL</t>
  </si>
  <si>
    <t>B07GFJS9CV</t>
  </si>
  <si>
    <t>ETYY-IUKONGLONG</t>
  </si>
  <si>
    <t>ETYY-IUKONGLONG-BOXL</t>
  </si>
  <si>
    <t>B07GFHV1C2</t>
  </si>
  <si>
    <t>ETYY-IUKONGLONG-XXL</t>
  </si>
  <si>
    <t>B07GFH72DZ</t>
  </si>
  <si>
    <t>ETYY-IUKONGLONG-YOM</t>
  </si>
  <si>
    <t>B07GFBCNRL</t>
  </si>
  <si>
    <t>ETYY-IUKONGLONGLV-M</t>
  </si>
  <si>
    <t>B07GFH6M6Z</t>
  </si>
  <si>
    <t>ETYY-IUKONGLONGLV</t>
  </si>
  <si>
    <t>ETYY-IUKONGLONGLV-XL</t>
  </si>
  <si>
    <t>B07GFHMMBM</t>
  </si>
  <si>
    <t>ETYY-IUKONGLONGYO-XL</t>
  </si>
  <si>
    <t>B07GFKDFCH</t>
  </si>
  <si>
    <t>ETYY-IUKONGLONGYO</t>
  </si>
  <si>
    <t>ETYY-IULV-L</t>
  </si>
  <si>
    <t>B07GFJTDXG</t>
  </si>
  <si>
    <t>ETYY-IULV</t>
  </si>
  <si>
    <t>ETYY-IULV-M</t>
  </si>
  <si>
    <t>B07GFJ46RT</t>
  </si>
  <si>
    <t>ETYY-IULV-XL</t>
  </si>
  <si>
    <t>B07GFKW65J</t>
  </si>
  <si>
    <t>ETYY-IUPP-XL</t>
  </si>
  <si>
    <t>B07GFJKG16</t>
  </si>
  <si>
    <t>ETYY-IUPP</t>
  </si>
  <si>
    <t>ETYY-IUYELLOW-L</t>
  </si>
  <si>
    <t>B07GFJW13G</t>
  </si>
  <si>
    <t>ETYY-IUYELLOW</t>
  </si>
  <si>
    <t>ETYY-IUYELLOW-M</t>
  </si>
  <si>
    <t>B07GFJF2XR</t>
  </si>
  <si>
    <t>ETYY-IUZS-L</t>
  </si>
  <si>
    <t>B07GF9M6L3</t>
  </si>
  <si>
    <t>ETYY-IUZS</t>
  </si>
  <si>
    <t>FMHSGJH67*20CM</t>
  </si>
  <si>
    <t>B073R8G5PX</t>
  </si>
  <si>
    <t>FMHSGJH</t>
  </si>
  <si>
    <t>无销量广告费为0.08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</si>
  <si>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</si>
  <si>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</si>
  <si>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</si>
  <si>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</si>
  <si>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</si>
  <si>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</si>
  <si>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</si>
  <si>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</si>
  <si>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</si>
  <si>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</si>
  <si>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</si>
  <si>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</si>
  <si>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</si>
  <si>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</si>
  <si>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</si>
  <si>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</si>
  <si>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</si>
  <si>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</si>
  <si>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</si>
  <si>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FSFZB001W0RO160CM</t>
  </si>
  <si>
    <t>B01F5LPX32</t>
  </si>
  <si>
    <t>FSFZB001W0RO180CM</t>
  </si>
  <si>
    <t>B01F5LPYAO</t>
  </si>
  <si>
    <t>无销量广告费为1.75</t>
  </si>
  <si>
    <t>无销量广告费为1.35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</si>
  <si>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</si>
  <si>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</si>
  <si>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</si>
  <si>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</si>
  <si>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</si>
  <si>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</si>
  <si>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</si>
  <si>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</si>
  <si>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</si>
  <si>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</si>
  <si>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</si>
  <si>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无销量广告费为1.24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</si>
  <si>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</si>
  <si>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</si>
  <si>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</si>
  <si>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</si>
  <si>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</si>
  <si>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</si>
  <si>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</si>
  <si>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</si>
  <si>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</si>
  <si>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</si>
  <si>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无销量广告费为0.41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</si>
  <si>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</si>
  <si>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</si>
  <si>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</si>
  <si>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</si>
  <si>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</si>
  <si>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</si>
  <si>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</si>
  <si>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</si>
  <si>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</si>
  <si>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</si>
  <si>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</si>
  <si>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</si>
  <si>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</si>
  <si>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</si>
  <si>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</si>
  <si>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</si>
  <si>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</si>
  <si>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</si>
  <si>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</si>
  <si>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</si>
  <si>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</si>
  <si>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</si>
  <si>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</si>
  <si>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</si>
  <si>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</si>
  <si>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</si>
  <si>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</si>
  <si>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</si>
  <si>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</si>
  <si>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</si>
  <si>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</si>
  <si>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</si>
  <si>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</si>
  <si>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</si>
  <si>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</si>
  <si>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</si>
  <si>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</si>
  <si>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</si>
  <si>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</si>
  <si>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</si>
  <si>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</si>
  <si>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</si>
  <si>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</si>
  <si>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</si>
  <si>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</si>
  <si>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</si>
  <si>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</si>
  <si>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</si>
  <si>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</si>
  <si>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</si>
  <si>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</si>
  <si>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</si>
  <si>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</si>
  <si>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</si>
  <si>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</si>
  <si>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</si>
  <si>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</si>
  <si>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</si>
  <si>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GMZYL-06-BG-40</t>
  </si>
  <si>
    <t>B075RCQD9P</t>
  </si>
  <si>
    <t>GMZYL-06</t>
  </si>
  <si>
    <t>GMZYL-06-BY-40</t>
  </si>
  <si>
    <t>B075R56C85</t>
  </si>
  <si>
    <t>GMZYL-06-WZ-40</t>
  </si>
  <si>
    <t>B078J1MVB6</t>
  </si>
  <si>
    <t>GMZYL-FLQ06-BF-40</t>
  </si>
  <si>
    <t>B076P8S1LC</t>
  </si>
  <si>
    <t>GMZYL-FLQ06</t>
  </si>
  <si>
    <t>GMZYL-FLQ06-BG-40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</si>
  <si>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</si>
  <si>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</si>
  <si>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</si>
  <si>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</si>
  <si>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</si>
  <si>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</si>
  <si>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</si>
  <si>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</si>
  <si>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</si>
  <si>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</si>
  <si>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</si>
  <si>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</si>
  <si>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</si>
  <si>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</si>
  <si>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</si>
  <si>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</si>
  <si>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</si>
  <si>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</si>
  <si>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</si>
  <si>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</si>
  <si>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</si>
  <si>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</si>
  <si>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</si>
  <si>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</si>
  <si>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</si>
  <si>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</si>
  <si>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</si>
  <si>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</si>
  <si>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</si>
  <si>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</si>
  <si>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</si>
  <si>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</si>
  <si>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</si>
  <si>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</si>
  <si>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</si>
  <si>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</si>
  <si>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</si>
  <si>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</si>
  <si>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</si>
  <si>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无销量广告费为0.27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</si>
  <si>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</si>
  <si>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</si>
  <si>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</si>
  <si>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</si>
  <si>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</si>
  <si>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</si>
  <si>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</si>
  <si>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</si>
  <si>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</si>
  <si>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</si>
  <si>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</si>
  <si>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</si>
  <si>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</si>
  <si>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</si>
  <si>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</si>
  <si>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</si>
  <si>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</si>
  <si>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</si>
  <si>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</si>
  <si>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</si>
  <si>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</si>
  <si>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</si>
  <si>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</si>
  <si>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</si>
  <si>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</si>
  <si>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</si>
  <si>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</si>
  <si>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</si>
  <si>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</si>
  <si>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</si>
  <si>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</si>
  <si>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</si>
  <si>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</si>
  <si>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</si>
  <si>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</si>
  <si>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</si>
  <si>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</si>
  <si>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</si>
  <si>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</si>
  <si>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</si>
  <si>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</si>
  <si>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</si>
  <si>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</si>
  <si>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</si>
  <si>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</si>
  <si>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</si>
  <si>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</si>
  <si>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</si>
  <si>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</si>
  <si>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</si>
  <si>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</si>
  <si>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</si>
  <si>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</si>
  <si>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</si>
  <si>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</si>
  <si>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</si>
  <si>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</si>
  <si>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</si>
  <si>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</si>
  <si>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</si>
  <si>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</si>
  <si>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</si>
  <si>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</si>
  <si>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</si>
  <si>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</si>
  <si>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</si>
  <si>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</si>
  <si>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</si>
  <si>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</si>
  <si>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</si>
  <si>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</si>
  <si>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</si>
  <si>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</si>
  <si>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</si>
  <si>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</si>
  <si>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</si>
  <si>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</si>
  <si>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</si>
  <si>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</si>
  <si>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</si>
  <si>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</si>
  <si>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</si>
  <si>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</si>
  <si>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无销量广告费为2.2</t>
  </si>
  <si>
    <t>无销量广告费为1.18</t>
  </si>
  <si>
    <t>JCHOME-AXLEIS100*140CM</t>
  </si>
  <si>
    <t>B076GYW2LH</t>
  </si>
  <si>
    <t>JCHOME-AX</t>
  </si>
  <si>
    <t>JCHOME-AXW140*180CM</t>
  </si>
  <si>
    <t>B076GWWM8X</t>
  </si>
  <si>
    <t>JCHOME-AXW140*200CM</t>
  </si>
  <si>
    <t>B076GZ17CW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</si>
  <si>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</si>
  <si>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</si>
  <si>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</si>
  <si>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</si>
  <si>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</si>
  <si>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</si>
  <si>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</si>
  <si>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</si>
  <si>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</si>
  <si>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</si>
  <si>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</si>
  <si>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</si>
  <si>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</si>
  <si>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</si>
  <si>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</si>
  <si>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</si>
  <si>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</si>
  <si>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</si>
  <si>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</si>
  <si>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</si>
  <si>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</si>
  <si>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</si>
  <si>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</si>
  <si>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</si>
  <si>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</si>
  <si>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</si>
  <si>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</si>
  <si>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</si>
  <si>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</si>
  <si>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</si>
  <si>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</si>
  <si>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</si>
  <si>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</si>
  <si>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</si>
  <si>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</si>
  <si>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</si>
  <si>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</si>
  <si>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</si>
  <si>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</si>
  <si>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</si>
  <si>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</si>
  <si>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</si>
  <si>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</si>
  <si>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</si>
  <si>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</si>
  <si>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</si>
  <si>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</si>
  <si>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</si>
  <si>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</si>
  <si>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</si>
  <si>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</si>
  <si>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</si>
  <si>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</si>
  <si>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</si>
  <si>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</si>
  <si>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</si>
  <si>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</si>
  <si>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</si>
  <si>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</si>
  <si>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</si>
  <si>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</si>
  <si>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</si>
  <si>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LQXFTY132*132CM</t>
  </si>
  <si>
    <t>B01FS78GPU</t>
  </si>
  <si>
    <t>LQXFTY</t>
  </si>
  <si>
    <t>LQXFTY135*175CM</t>
  </si>
  <si>
    <t>B01FS78I3A</t>
  </si>
  <si>
    <t>LUXGW-PBOWL-2</t>
  </si>
  <si>
    <t>B078H79DCY</t>
  </si>
  <si>
    <t>LUXGW-PBOWL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</si>
  <si>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</si>
  <si>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</si>
  <si>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</si>
  <si>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</si>
  <si>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</si>
  <si>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</si>
  <si>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</si>
  <si>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</si>
  <si>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</si>
  <si>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</si>
  <si>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</si>
  <si>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</si>
  <si>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</si>
  <si>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</si>
  <si>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</si>
  <si>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</si>
  <si>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</si>
  <si>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</si>
  <si>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</si>
  <si>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</si>
  <si>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</si>
  <si>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</si>
  <si>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</si>
  <si>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</si>
  <si>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</si>
  <si>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</si>
  <si>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</si>
  <si>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</si>
  <si>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</si>
  <si>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</si>
  <si>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</si>
  <si>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</si>
  <si>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</si>
  <si>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</si>
  <si>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</si>
  <si>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</si>
  <si>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</si>
  <si>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</si>
  <si>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</si>
  <si>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</si>
  <si>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</si>
  <si>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</si>
  <si>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</si>
  <si>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</si>
  <si>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</si>
  <si>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</si>
  <si>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</si>
  <si>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</si>
  <si>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</si>
  <si>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</si>
  <si>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MTX-IULHY-DBW8022-PK-25</t>
  </si>
  <si>
    <t>B07G9V4ZJK</t>
  </si>
  <si>
    <t>MTX-IULHY-DBW8022</t>
  </si>
  <si>
    <t>MTX-IULHY-DBW8022-PK-26</t>
  </si>
  <si>
    <t>B07G9ZK3XN</t>
  </si>
  <si>
    <t>MTX-IULHY-DBW8022-PK-27</t>
  </si>
  <si>
    <t>B07G9XZQXC</t>
  </si>
  <si>
    <t>MTX-IULHY-DBW8022-PP-25</t>
  </si>
  <si>
    <t>B07G9WMKBY</t>
  </si>
  <si>
    <t>MTX-IULHY-DBW8022-PP-26</t>
  </si>
  <si>
    <t>B07G9Y9Y7L</t>
  </si>
  <si>
    <t>MTX-IULHY-DBW8022-PP-27</t>
  </si>
  <si>
    <t>B07G9WYB4G</t>
  </si>
  <si>
    <t>MTX-IULHY-DBW8022-WT-25</t>
  </si>
  <si>
    <t>B07G9ZW5H9</t>
  </si>
  <si>
    <t>MTX-IULHY-DBW8022-WT-26</t>
  </si>
  <si>
    <t>B07G9W44K4</t>
  </si>
  <si>
    <t>MTX-IULHY-DBW8022-WT-27</t>
  </si>
  <si>
    <t>B07G9VD23M</t>
  </si>
  <si>
    <t>MTX-IULHY-DBWS90-GR-25</t>
  </si>
  <si>
    <t>B07GBY4S4L</t>
  </si>
  <si>
    <t>MTX-IULHY-DBWS90</t>
  </si>
  <si>
    <t>MTX-IULHY-DBWS90-GR-26</t>
  </si>
  <si>
    <t>B07GBXQQLJ</t>
  </si>
  <si>
    <t>MTX-IULHY-DBWS90-GR-27</t>
  </si>
  <si>
    <t>B07GBX646L</t>
  </si>
  <si>
    <t>MTX-IULHY-DBWS90-KK-25</t>
  </si>
  <si>
    <t>B07GBW5LWW</t>
  </si>
  <si>
    <t>MTX-IULHY-DBWS90-KK-26</t>
  </si>
  <si>
    <t>B07GBXQQLG</t>
  </si>
  <si>
    <t>MTX-IULHY-DBWS90-KK-27</t>
  </si>
  <si>
    <t>B07GBXLQPJ</t>
  </si>
  <si>
    <t>MTX-IULHY-DBWS90-PK-25</t>
  </si>
  <si>
    <t>B07GBYNXTC</t>
  </si>
  <si>
    <t>MTX-IULHY-DBWS90-PK-26</t>
  </si>
  <si>
    <t>B07GBZRPF7</t>
  </si>
  <si>
    <t>MTX-IULHY-DBWS90-PK-27</t>
  </si>
  <si>
    <t>B07GBWH74H</t>
  </si>
  <si>
    <t>MTX-IULHY-GBW8022-PK-25</t>
  </si>
  <si>
    <t>B07G9XL6SP</t>
  </si>
  <si>
    <t>MTX-IULHY-GBW8022</t>
  </si>
  <si>
    <t>MTX-IULHY-GBW8022-PK-26</t>
  </si>
  <si>
    <t>B07G9W4LQN</t>
  </si>
  <si>
    <t>MTX-IULHY-GBW8022-PK-27</t>
  </si>
  <si>
    <t>B07GB1R3TF</t>
  </si>
  <si>
    <t>MTX-IULHY-GBW8022-PP-25</t>
  </si>
  <si>
    <t>B07G9ZD75W</t>
  </si>
  <si>
    <t>MTX-IULHY-GBW8022-PP-26</t>
  </si>
  <si>
    <t>B07G9X3JTF</t>
  </si>
  <si>
    <t>MTX-IULHY-GBW8022-PP-27</t>
  </si>
  <si>
    <t>B07G9Y47X4</t>
  </si>
  <si>
    <t>MTX-IULHY-GBW8022-WT-25</t>
  </si>
  <si>
    <t>B07G9Y3SCC</t>
  </si>
  <si>
    <t>MTX-IULHY-GBW8022-WT-26</t>
  </si>
  <si>
    <t>B07G9WV1C8</t>
  </si>
  <si>
    <t>MTX-IULHY-GBW8022-WT-27</t>
  </si>
  <si>
    <t>B07G9WZFV2</t>
  </si>
  <si>
    <t>MTX-IULHY-GBWS90-GR-25</t>
  </si>
  <si>
    <t>B07GBWGQWJ</t>
  </si>
  <si>
    <t>MTX-IULHY-GBWS90</t>
  </si>
  <si>
    <t>MTX-IULHY-GBWS90-GR-26</t>
  </si>
  <si>
    <t>B07GBY8DGQ</t>
  </si>
  <si>
    <t>MTX-IULHY-GBWS90-GR-27</t>
  </si>
  <si>
    <t>B07GBWJ1W3</t>
  </si>
  <si>
    <t>MTX-IULHY-GBWS90-KK-25</t>
  </si>
  <si>
    <t>B07GBYFHBM</t>
  </si>
  <si>
    <t>MTX-IULHY-GBWS90-KK-26</t>
  </si>
  <si>
    <t>B07GBXSG3W</t>
  </si>
  <si>
    <t>MTX-IULHY-GBWS90-KK-27</t>
  </si>
  <si>
    <t>B07GBXR5T5</t>
  </si>
  <si>
    <t>MTX-IULHY-GBWS90-PK-25</t>
  </si>
  <si>
    <t>B07GBXTLGS</t>
  </si>
  <si>
    <t>MTX-IULHY-GBWS90-PK-26</t>
  </si>
  <si>
    <t>B07GBWKMHL</t>
  </si>
  <si>
    <t>MTX-IULHY-GBWS90-PK-27</t>
  </si>
  <si>
    <t>B07GBXRX9P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</si>
  <si>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</si>
  <si>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</si>
  <si>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</si>
  <si>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</si>
  <si>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</si>
  <si>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</si>
  <si>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</si>
  <si>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MTX-IULHY-M1759-GR-27</t>
  </si>
  <si>
    <t>B07FPDVC3D</t>
  </si>
  <si>
    <t>MTX-IULHY-M1759-GR-28</t>
  </si>
  <si>
    <t>B07FPBTZTD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</si>
  <si>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</si>
  <si>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</si>
  <si>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</si>
  <si>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</si>
  <si>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</si>
  <si>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</si>
  <si>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</si>
  <si>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</si>
  <si>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</si>
  <si>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</si>
  <si>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</si>
  <si>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</si>
  <si>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</si>
  <si>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</si>
  <si>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</si>
  <si>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</si>
  <si>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</si>
  <si>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</si>
  <si>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</si>
  <si>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</si>
  <si>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</si>
  <si>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</si>
  <si>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</si>
  <si>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</si>
  <si>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</si>
  <si>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</si>
  <si>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</si>
  <si>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</si>
  <si>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无销量广告费为1.42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</si>
  <si>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</si>
  <si>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</si>
  <si>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</si>
  <si>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</si>
  <si>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</si>
  <si>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</si>
  <si>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</si>
  <si>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</si>
  <si>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</si>
  <si>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</si>
  <si>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无销量广告费为0.25</t>
  </si>
  <si>
    <t>无销量广告费为0.89</t>
  </si>
  <si>
    <t>无销量广告费为1.57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</si>
  <si>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</si>
  <si>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</si>
  <si>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</si>
  <si>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</si>
  <si>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</si>
  <si>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</si>
  <si>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</si>
  <si>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</si>
  <si>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</si>
  <si>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</si>
  <si>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</si>
  <si>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</si>
  <si>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</si>
  <si>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</si>
  <si>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</si>
  <si>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</si>
  <si>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</si>
  <si>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</si>
  <si>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</si>
  <si>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</si>
  <si>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</si>
  <si>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</si>
  <si>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</si>
  <si>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</si>
  <si>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</si>
  <si>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</si>
  <si>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</si>
  <si>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</si>
  <si>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</si>
  <si>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</si>
  <si>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</si>
  <si>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</si>
  <si>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</si>
  <si>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</si>
  <si>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</si>
  <si>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</si>
  <si>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</si>
  <si>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</si>
  <si>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</si>
  <si>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</si>
  <si>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MTX-IULHY-W8001-DPK-25</t>
  </si>
  <si>
    <t>B07GBWJRS6</t>
  </si>
  <si>
    <t>MTX-IULHY-W8001</t>
  </si>
  <si>
    <t>MTX-IULHY-W8001-DPK-26</t>
  </si>
  <si>
    <t>B07GBV6FY7</t>
  </si>
  <si>
    <t>MTX-IULHY-W8001-DPK-27</t>
  </si>
  <si>
    <t>B07GBVBBP9</t>
  </si>
  <si>
    <t>MTX-IULHY-W8001-LB-25</t>
  </si>
  <si>
    <t>B07GBVL2BP</t>
  </si>
  <si>
    <t>MTX-IULHY-W8001-LB-26</t>
  </si>
  <si>
    <t>B07GBT5XRP</t>
  </si>
  <si>
    <t>MTX-IULHY-W8001-LB-27</t>
  </si>
  <si>
    <t>B07GBV4K3T</t>
  </si>
  <si>
    <t>MTX-IULHY-W8001-LPK-25</t>
  </si>
  <si>
    <t>B07GBVXJHB</t>
  </si>
  <si>
    <t>MTX-IULHY-W8001-LPK-26</t>
  </si>
  <si>
    <t>B07GBVMLL6</t>
  </si>
  <si>
    <t>MTX-IULHY-W8001-LPK-27</t>
  </si>
  <si>
    <t>B07GBV4VTT</t>
  </si>
  <si>
    <t>MTX-IULHY-W8003-BK-25</t>
  </si>
  <si>
    <t>B07GBVXZX9</t>
  </si>
  <si>
    <t>MTX-IULHY-W8003</t>
  </si>
  <si>
    <t>MTX-IULHY-W8003-BK-26</t>
  </si>
  <si>
    <t>B07GBYQWJ4</t>
  </si>
  <si>
    <t>MTX-IULHY-W8003-BK-27</t>
  </si>
  <si>
    <t>B07GBVR5PP</t>
  </si>
  <si>
    <t>MTX-IULHY-W8003-PK-25</t>
  </si>
  <si>
    <t>B07GBWHHLZ</t>
  </si>
  <si>
    <t>MTX-IULHY-W8003-PK-26</t>
  </si>
  <si>
    <t>B07GBWJH61</t>
  </si>
  <si>
    <t>MTX-IULHY-W8003-PK-27</t>
  </si>
  <si>
    <t>B07GBW2V4L</t>
  </si>
  <si>
    <t>MTX-IULHY-W8003-RD-25</t>
  </si>
  <si>
    <t>B07GBW5XQY</t>
  </si>
  <si>
    <t>MTX-IULHY-W8003-RD-26</t>
  </si>
  <si>
    <t>B07GBX8GG1</t>
  </si>
  <si>
    <t>MTX-IULHY-W8003-RD-27</t>
  </si>
  <si>
    <t>B07GBWP9QB</t>
  </si>
  <si>
    <t>MTX-IULHY-WA86-GR-37</t>
  </si>
  <si>
    <t>B07G9V7VZY</t>
  </si>
  <si>
    <t>MTX-IULHY-WA86</t>
  </si>
  <si>
    <t>MTX-IULHY-WA86-GR-39</t>
  </si>
  <si>
    <t>B07G9X61BC</t>
  </si>
  <si>
    <t>MTX-IULHY-WA86-KK-37</t>
  </si>
  <si>
    <t>B07G9W98NW</t>
  </si>
  <si>
    <t>MTX-IULHY-WA86-KK-39</t>
  </si>
  <si>
    <t>B07G9VB6L1</t>
  </si>
  <si>
    <t>MTX-IULHY-WA86-PK-37</t>
  </si>
  <si>
    <t>B07G9WY1Q7</t>
  </si>
  <si>
    <t>MTX-IULHY-WA86-PK-39</t>
  </si>
  <si>
    <t>B07G9XJYF8</t>
  </si>
  <si>
    <t>MTX-IULHY-WA89-GR-37</t>
  </si>
  <si>
    <t>B07G9YDQYV</t>
  </si>
  <si>
    <t>MTX-IULHY-WA89</t>
  </si>
  <si>
    <t>MTX-IULHY-WA89-GR-39</t>
  </si>
  <si>
    <t>B07G9V2WJ5</t>
  </si>
  <si>
    <t>MTX-IULHY-WA89-KK-37</t>
  </si>
  <si>
    <t>B07G9TS12W</t>
  </si>
  <si>
    <t>MTX-IULHY-WA89-KK-39</t>
  </si>
  <si>
    <t>B07G9WV44W</t>
  </si>
  <si>
    <t>MTX-IULHY-WA89-PK-37</t>
  </si>
  <si>
    <t>B07G9W2CKD</t>
  </si>
  <si>
    <t>MTX-IULHY-WA89-PK-39</t>
  </si>
  <si>
    <t>B07G9TTV9Q</t>
  </si>
  <si>
    <t>MTX-IULHY-WT836-GN-25</t>
  </si>
  <si>
    <t>B07G9WLG2X</t>
  </si>
  <si>
    <t>MTX-IULHY-WT836</t>
  </si>
  <si>
    <t>MTX-IULHY-WT836-GN-26</t>
  </si>
  <si>
    <t>B07G9X4T2V</t>
  </si>
  <si>
    <t>MTX-IULHY-WT836-GN-27</t>
  </si>
  <si>
    <t>B07G9W47RL</t>
  </si>
  <si>
    <t>MTX-IULHY-WT836-PK-25</t>
  </si>
  <si>
    <t>B07G9X1J2T</t>
  </si>
  <si>
    <t>MTX-IULHY-WT836-PK-26</t>
  </si>
  <si>
    <t>B07G9VVNM7</t>
  </si>
  <si>
    <t>MTX-IULHY-WT836-PK-27</t>
  </si>
  <si>
    <t>B07G9WY686</t>
  </si>
  <si>
    <t>MTX-IULHY-WT836-PP-25</t>
  </si>
  <si>
    <t>B07G9XGJP8</t>
  </si>
  <si>
    <t>MTX-IULHY-WT836-PP-26</t>
  </si>
  <si>
    <t>B07G9ZRV4P</t>
  </si>
  <si>
    <t>MTX-IULHY-WT836-PP-27</t>
  </si>
  <si>
    <t>B07G9Y2DNT</t>
  </si>
  <si>
    <t>MZYSLHY140*140CM</t>
  </si>
  <si>
    <t>B01BHQWA0S</t>
  </si>
  <si>
    <t>MZYSLHY</t>
  </si>
  <si>
    <t>MZYSMMSX140*140CM</t>
  </si>
  <si>
    <t>B01BHQWRLU</t>
  </si>
  <si>
    <t>MZYSM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</si>
  <si>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</si>
  <si>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</si>
  <si>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</si>
  <si>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</si>
  <si>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</si>
  <si>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</si>
  <si>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</si>
  <si>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</si>
  <si>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</si>
  <si>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</si>
  <si>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</si>
  <si>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</si>
  <si>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</si>
  <si>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</si>
  <si>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</si>
  <si>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</si>
  <si>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</si>
  <si>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</si>
  <si>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</si>
  <si>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</si>
  <si>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</si>
  <si>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</si>
  <si>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</si>
  <si>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</si>
  <si>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</si>
  <si>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</si>
  <si>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</si>
  <si>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</si>
  <si>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</si>
  <si>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</si>
  <si>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</si>
  <si>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</si>
  <si>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</si>
  <si>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</si>
  <si>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</si>
  <si>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</si>
  <si>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</si>
  <si>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</si>
  <si>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</si>
  <si>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</si>
  <si>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</si>
  <si>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</si>
  <si>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</si>
  <si>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</si>
  <si>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</si>
  <si>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</si>
  <si>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</si>
  <si>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</si>
  <si>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</si>
  <si>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</si>
  <si>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</si>
  <si>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</si>
  <si>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</si>
  <si>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</si>
  <si>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</si>
  <si>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</si>
  <si>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</si>
  <si>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</si>
  <si>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</si>
  <si>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</si>
  <si>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</si>
  <si>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</si>
  <si>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</si>
  <si>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</si>
  <si>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</si>
  <si>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</si>
  <si>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</si>
  <si>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</si>
  <si>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</si>
  <si>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</si>
  <si>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</si>
  <si>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</si>
  <si>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</si>
  <si>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</si>
  <si>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</si>
  <si>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</si>
  <si>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</si>
  <si>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</si>
  <si>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</si>
  <si>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</si>
  <si>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</si>
  <si>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</si>
  <si>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</si>
  <si>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</si>
  <si>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</si>
  <si>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</si>
  <si>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</si>
  <si>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</si>
  <si>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</si>
  <si>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</si>
  <si>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</si>
  <si>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</si>
  <si>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</si>
  <si>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</si>
  <si>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</si>
  <si>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</si>
  <si>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</si>
  <si>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</si>
  <si>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</si>
  <si>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</si>
  <si>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</si>
  <si>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</si>
  <si>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P6XB6X-03Y0L</t>
  </si>
  <si>
    <t>B01CFH91NW</t>
  </si>
  <si>
    <t>P6XB6X</t>
  </si>
  <si>
    <t>PUJIANGBAIMAMRG-COFFEE</t>
  </si>
  <si>
    <t>B01N5K55XV</t>
  </si>
  <si>
    <t>PUJIANGBAIMAMRG</t>
  </si>
  <si>
    <t>无销量广告费为1.08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</si>
  <si>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</si>
  <si>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</si>
  <si>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</si>
  <si>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</si>
  <si>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</si>
  <si>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</si>
  <si>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</si>
  <si>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</si>
  <si>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</si>
  <si>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</si>
  <si>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</si>
  <si>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</si>
  <si>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</si>
  <si>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</si>
  <si>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</si>
  <si>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</si>
  <si>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</si>
  <si>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</si>
  <si>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</si>
  <si>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</si>
  <si>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</si>
  <si>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</si>
  <si>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</si>
  <si>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</si>
  <si>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</si>
  <si>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</si>
  <si>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</si>
  <si>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</si>
  <si>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</si>
  <si>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</si>
  <si>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</si>
  <si>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</si>
  <si>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</si>
  <si>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</si>
  <si>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</si>
  <si>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</si>
  <si>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</si>
  <si>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</si>
  <si>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</si>
  <si>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SJJJZHUOBUKTWB0140x140cm</t>
  </si>
  <si>
    <t>B06Y5TB89Q</t>
  </si>
  <si>
    <t>SJJJZHUOBUKTWB0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</si>
  <si>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</si>
  <si>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</si>
  <si>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</si>
  <si>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</si>
  <si>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</si>
  <si>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</si>
  <si>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</si>
  <si>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</si>
  <si>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</si>
  <si>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</si>
  <si>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</si>
  <si>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</si>
  <si>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</si>
  <si>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</si>
  <si>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</si>
  <si>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</si>
  <si>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</si>
  <si>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</si>
  <si>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</si>
  <si>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</si>
  <si>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</si>
  <si>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</si>
  <si>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</si>
  <si>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</si>
  <si>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</si>
  <si>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</si>
  <si>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</si>
  <si>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</si>
  <si>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</si>
  <si>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</si>
  <si>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</si>
  <si>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</si>
  <si>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</si>
  <si>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</si>
  <si>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</si>
  <si>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</si>
  <si>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</si>
  <si>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</si>
  <si>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</si>
  <si>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</si>
  <si>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SQ-XLEJ-496F</t>
  </si>
  <si>
    <t>B01NGTHW1H</t>
  </si>
  <si>
    <t>SQ-XLEJ-496</t>
  </si>
  <si>
    <t>SSJGREYJHSJH140*180CM</t>
  </si>
  <si>
    <t>B071GNPSGD</t>
  </si>
  <si>
    <t>SSJGREYJHSJH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</si>
  <si>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</si>
  <si>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</si>
  <si>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</si>
  <si>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</si>
  <si>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</si>
  <si>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</si>
  <si>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</si>
  <si>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</si>
  <si>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</si>
  <si>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</si>
  <si>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</si>
  <si>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</si>
  <si>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</si>
  <si>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</si>
  <si>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</si>
  <si>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</si>
  <si>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</si>
  <si>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</si>
  <si>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</si>
  <si>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</si>
  <si>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</si>
  <si>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</si>
  <si>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</si>
  <si>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</si>
  <si>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</si>
  <si>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</si>
  <si>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</si>
  <si>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</si>
  <si>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</si>
  <si>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</si>
  <si>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</si>
  <si>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</si>
  <si>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</si>
  <si>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</si>
  <si>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</si>
  <si>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</si>
  <si>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</si>
  <si>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</si>
  <si>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</si>
  <si>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</si>
  <si>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</si>
  <si>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</si>
  <si>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</si>
  <si>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</si>
  <si>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</si>
  <si>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</si>
  <si>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</si>
  <si>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</si>
  <si>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</si>
  <si>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</si>
  <si>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</si>
  <si>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</si>
  <si>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</si>
  <si>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</si>
  <si>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</si>
  <si>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</si>
  <si>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</si>
  <si>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</si>
  <si>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</si>
  <si>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</si>
  <si>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</si>
  <si>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无销量广告费为0.28</t>
  </si>
  <si>
    <t>SXHLYITAO1-LH-001WI40x60CM</t>
  </si>
  <si>
    <t>B077FLHKK7</t>
  </si>
  <si>
    <t>SXHLYITAO2-LH-001SKFS40x60CM</t>
  </si>
  <si>
    <t>B072HHBCK2</t>
  </si>
  <si>
    <t>SXHLYITAO3-LH-001QLS40x60CM</t>
  </si>
  <si>
    <t>B0722JM9C8</t>
  </si>
  <si>
    <t>无销量广告费为0.15</t>
  </si>
  <si>
    <t>SXHLYITAO4-LH-001DHS40x60CM</t>
  </si>
  <si>
    <t>B071NGGPFS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</si>
  <si>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</si>
  <si>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</si>
  <si>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</si>
  <si>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</si>
  <si>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</si>
  <si>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</si>
  <si>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SZ-IUYL002</t>
  </si>
  <si>
    <t>B079GQ8FRF</t>
  </si>
  <si>
    <t>TBYGREEN</t>
  </si>
  <si>
    <t>B075XFFYG6</t>
  </si>
  <si>
    <t>TBYPRBMRG</t>
  </si>
  <si>
    <t>TBYPJBLACK</t>
  </si>
  <si>
    <t>B075WTPCQ5</t>
  </si>
  <si>
    <t>TBYPJBOGO</t>
  </si>
  <si>
    <t>B075J7NJV2</t>
  </si>
  <si>
    <t>TBYPRBFOUR-M</t>
  </si>
  <si>
    <t>B01NBIQ076</t>
  </si>
  <si>
    <t>TBYPRBONE-M</t>
  </si>
  <si>
    <t>B01N0OX2DR</t>
  </si>
  <si>
    <t>TBYPRBTHREE-M</t>
  </si>
  <si>
    <t>B01NGTXV1B</t>
  </si>
  <si>
    <t>TBYPRBTWO-M</t>
  </si>
  <si>
    <t>B01MXWAV9T</t>
  </si>
  <si>
    <t>TBYSTARBLUE</t>
  </si>
  <si>
    <t>B075ZTGQCC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</si>
  <si>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</si>
  <si>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</si>
  <si>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</si>
  <si>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</si>
  <si>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</si>
  <si>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</si>
  <si>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</si>
  <si>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</si>
  <si>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</si>
  <si>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</si>
  <si>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</si>
  <si>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无销量广告费为1.55</t>
  </si>
  <si>
    <t>TM-IULCY-300-LB</t>
  </si>
  <si>
    <t>B07FF3JGFS</t>
  </si>
  <si>
    <t>TM-IULCY-300-LG</t>
  </si>
  <si>
    <t>B07FDVY7MN</t>
  </si>
  <si>
    <t>无销量广告费为0.29</t>
  </si>
  <si>
    <t>无销量广告费为0.23</t>
  </si>
  <si>
    <t>TTDNKJ-01SLM</t>
  </si>
  <si>
    <t>B01CFH9OP2</t>
  </si>
  <si>
    <t>TTDNKJ</t>
  </si>
  <si>
    <t>TXYY-1B0JM</t>
  </si>
  <si>
    <t>B01B5TXQRI</t>
  </si>
  <si>
    <t>TXYY-1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</si>
  <si>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</si>
  <si>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</si>
  <si>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</si>
  <si>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</si>
  <si>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</si>
  <si>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</si>
  <si>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</si>
  <si>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</si>
  <si>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</si>
  <si>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</si>
  <si>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</si>
  <si>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</si>
  <si>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</si>
  <si>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</si>
  <si>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</si>
  <si>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</si>
  <si>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</si>
  <si>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</si>
  <si>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</si>
  <si>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</si>
  <si>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</si>
  <si>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</si>
  <si>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</si>
  <si>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</si>
  <si>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</si>
  <si>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</si>
  <si>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</si>
  <si>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</si>
  <si>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</si>
  <si>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</si>
  <si>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</si>
  <si>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</si>
  <si>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</si>
  <si>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</si>
  <si>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</si>
  <si>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WB-002-B0</t>
  </si>
  <si>
    <t>B07DVLSHLK</t>
  </si>
  <si>
    <t>WB-002</t>
  </si>
  <si>
    <t>WB-002-E0</t>
  </si>
  <si>
    <t>B07DVHDT1N</t>
  </si>
  <si>
    <t>WB-002-G0</t>
  </si>
  <si>
    <t>B07DVGSHDP</t>
  </si>
  <si>
    <t>WB-002-R0</t>
  </si>
  <si>
    <t>B07DVK765T</t>
  </si>
  <si>
    <t>WB-LUHM002-B0</t>
  </si>
  <si>
    <t>WB-LUHM002</t>
  </si>
  <si>
    <t>WB-LUHM002-E0</t>
  </si>
  <si>
    <t>WB-LUHM002-G0</t>
  </si>
  <si>
    <t>WB-LUHM002-R0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</si>
  <si>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</si>
  <si>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</si>
  <si>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</si>
  <si>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</si>
  <si>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</si>
  <si>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</si>
  <si>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</si>
  <si>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</si>
  <si>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</si>
  <si>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</si>
  <si>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</si>
  <si>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</si>
  <si>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</si>
  <si>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</si>
  <si>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</si>
  <si>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</si>
  <si>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</si>
  <si>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</si>
  <si>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</si>
  <si>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</si>
  <si>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</si>
  <si>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</si>
  <si>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</si>
  <si>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</si>
  <si>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</si>
  <si>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</si>
  <si>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</si>
  <si>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</si>
  <si>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</si>
  <si>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</si>
  <si>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</si>
  <si>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</si>
  <si>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</si>
  <si>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</si>
  <si>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</si>
  <si>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</si>
  <si>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</si>
  <si>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</si>
  <si>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</si>
  <si>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</si>
  <si>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</si>
  <si>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</si>
  <si>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</si>
  <si>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</si>
  <si>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</si>
  <si>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</si>
  <si>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</si>
  <si>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</si>
  <si>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</si>
  <si>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</si>
  <si>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</si>
  <si>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</si>
  <si>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</si>
  <si>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</si>
  <si>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</si>
  <si>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</si>
  <si>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</si>
  <si>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</si>
  <si>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</si>
  <si>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</si>
  <si>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</si>
  <si>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</si>
  <si>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</si>
  <si>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</si>
  <si>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</si>
  <si>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</si>
  <si>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</si>
  <si>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</si>
  <si>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</si>
  <si>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</si>
  <si>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</si>
  <si>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</si>
  <si>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</si>
  <si>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</si>
  <si>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</si>
  <si>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</si>
  <si>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</si>
  <si>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</si>
  <si>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</si>
  <si>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</si>
  <si>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</si>
  <si>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</si>
  <si>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</si>
  <si>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</si>
  <si>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</si>
  <si>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</si>
  <si>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</si>
  <si>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</si>
  <si>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</si>
  <si>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</si>
  <si>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</si>
  <si>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</si>
  <si>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</si>
  <si>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</si>
  <si>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</si>
  <si>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</si>
  <si>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</si>
  <si>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</si>
  <si>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</si>
  <si>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</si>
  <si>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</si>
  <si>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</si>
  <si>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</si>
  <si>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</si>
  <si>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</si>
  <si>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</si>
  <si>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</si>
  <si>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</si>
  <si>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</si>
  <si>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</si>
  <si>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</si>
  <si>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</si>
  <si>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</si>
  <si>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</si>
  <si>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</si>
  <si>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</si>
  <si>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</si>
  <si>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</si>
  <si>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</si>
  <si>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</si>
  <si>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</si>
  <si>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</si>
  <si>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</si>
  <si>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</si>
  <si>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</si>
  <si>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</si>
  <si>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</si>
  <si>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</si>
  <si>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</si>
  <si>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</si>
  <si>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</si>
  <si>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</si>
  <si>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</si>
  <si>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</si>
  <si>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</si>
  <si>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</si>
  <si>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</si>
  <si>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</si>
  <si>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</si>
  <si>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</si>
  <si>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</si>
  <si>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</si>
  <si>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</si>
  <si>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</si>
  <si>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</si>
  <si>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</si>
  <si>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</si>
  <si>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</si>
  <si>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</si>
  <si>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</si>
  <si>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</si>
  <si>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</si>
  <si>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</si>
  <si>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</si>
  <si>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</si>
  <si>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</si>
  <si>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无销量广告费为75.38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</si>
  <si>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</si>
  <si>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</si>
  <si>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</si>
  <si>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</si>
  <si>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</si>
  <si>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</si>
  <si>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</si>
  <si>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</si>
  <si>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</si>
  <si>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</si>
  <si>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</si>
  <si>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</si>
  <si>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</si>
  <si>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</si>
  <si>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</si>
  <si>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</si>
  <si>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</si>
  <si>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</si>
  <si>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</si>
  <si>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</si>
  <si>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</si>
  <si>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无销量广告费为0.57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</si>
  <si>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</si>
  <si>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</si>
  <si>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</si>
  <si>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</si>
  <si>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</si>
  <si>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</si>
  <si>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</si>
  <si>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</si>
  <si>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</si>
  <si>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</si>
  <si>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</si>
  <si>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</si>
  <si>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</si>
  <si>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</si>
  <si>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</si>
  <si>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</si>
  <si>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</si>
  <si>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</si>
  <si>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</si>
  <si>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</si>
  <si>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</si>
  <si>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</si>
  <si>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</si>
  <si>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</si>
  <si>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</si>
  <si>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</si>
  <si>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</si>
  <si>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</si>
  <si>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</si>
  <si>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</si>
  <si>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</si>
  <si>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</si>
  <si>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</si>
  <si>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</si>
  <si>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</si>
  <si>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</si>
  <si>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</si>
  <si>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</si>
  <si>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</si>
  <si>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</si>
  <si>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</si>
  <si>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</si>
  <si>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</si>
  <si>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</si>
  <si>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</si>
  <si>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</si>
  <si>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</si>
  <si>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</si>
  <si>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YI-IUYLTBY-N5</t>
  </si>
  <si>
    <t>B079JBWM3Q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</si>
  <si>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</si>
  <si>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</si>
  <si>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</si>
  <si>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</si>
  <si>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</si>
  <si>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</si>
  <si>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</si>
  <si>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</si>
  <si>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</si>
  <si>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</si>
  <si>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</si>
  <si>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</si>
  <si>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</si>
  <si>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</si>
  <si>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</si>
  <si>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</si>
  <si>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</si>
  <si>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</si>
  <si>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</si>
  <si>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</si>
  <si>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</si>
  <si>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</si>
  <si>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</si>
  <si>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</si>
  <si>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</si>
  <si>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</si>
  <si>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</si>
  <si>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</si>
  <si>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</si>
  <si>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</si>
  <si>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</si>
  <si>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</si>
  <si>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</si>
  <si>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</si>
  <si>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</si>
  <si>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</si>
  <si>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无销量广告费为1.16</t>
  </si>
  <si>
    <t>无销量广告费为0.96</t>
  </si>
  <si>
    <t>无销量广告费为0.02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</si>
  <si>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</si>
  <si>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</si>
  <si>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</si>
  <si>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</si>
  <si>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</si>
  <si>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</si>
  <si>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</si>
  <si>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</si>
  <si>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</si>
  <si>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</si>
  <si>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</si>
  <si>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</si>
  <si>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</si>
  <si>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</si>
  <si>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</si>
  <si>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</si>
  <si>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</si>
  <si>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</si>
  <si>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</si>
  <si>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</si>
  <si>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</si>
  <si>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</si>
  <si>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</si>
  <si>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</si>
  <si>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</si>
  <si>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</si>
  <si>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</si>
  <si>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</si>
  <si>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</si>
  <si>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</si>
  <si>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</si>
  <si>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</si>
  <si>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</si>
  <si>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</si>
  <si>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</si>
  <si>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</si>
  <si>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</si>
  <si>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</si>
  <si>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</si>
  <si>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</si>
  <si>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</si>
  <si>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</si>
  <si>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</si>
  <si>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</si>
  <si>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</si>
  <si>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</si>
  <si>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</si>
  <si>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</si>
  <si>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</si>
  <si>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</si>
  <si>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</si>
  <si>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</si>
  <si>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</si>
  <si>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</si>
  <si>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</si>
  <si>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</si>
  <si>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</si>
  <si>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</si>
  <si>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</si>
  <si>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</si>
  <si>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</si>
  <si>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</si>
  <si>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</si>
  <si>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</si>
  <si>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</si>
  <si>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</si>
  <si>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</si>
  <si>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</si>
  <si>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</si>
  <si>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</si>
  <si>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</si>
  <si>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</si>
  <si>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</si>
  <si>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</si>
  <si>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</si>
  <si>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</si>
  <si>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</si>
  <si>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</si>
  <si>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</si>
  <si>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</si>
  <si>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</si>
  <si>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</si>
  <si>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</si>
  <si>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</si>
  <si>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</si>
  <si>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</si>
  <si>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</si>
  <si>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</si>
  <si>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</si>
  <si>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</si>
  <si>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</si>
  <si>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</si>
  <si>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</si>
  <si>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</si>
  <si>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</si>
  <si>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</si>
  <si>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</si>
  <si>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</si>
  <si>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</si>
  <si>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</si>
  <si>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</si>
  <si>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无销量广告费为0.81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</si>
  <si>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</si>
  <si>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</si>
  <si>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</si>
  <si>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</si>
  <si>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</si>
  <si>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</si>
  <si>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</si>
  <si>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</si>
  <si>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无销量广告费为8.34</t>
  </si>
  <si>
    <t>YMQYQXDHW0140*220CM</t>
  </si>
  <si>
    <t>B01C8QJ9AU</t>
  </si>
  <si>
    <t>YMQYQXDHW0140*250CM</t>
  </si>
  <si>
    <t>B01C8QJADG</t>
  </si>
  <si>
    <t>无销量广告费为0.19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</si>
  <si>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</si>
  <si>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</si>
  <si>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</si>
  <si>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</si>
  <si>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</si>
  <si>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</si>
  <si>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</si>
  <si>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</si>
  <si>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</si>
  <si>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</si>
  <si>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</si>
  <si>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</si>
  <si>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</si>
  <si>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</si>
  <si>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</si>
  <si>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</si>
  <si>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</si>
  <si>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</si>
  <si>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</si>
  <si>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</si>
  <si>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</si>
  <si>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</si>
  <si>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</si>
  <si>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</si>
  <si>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</si>
  <si>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</si>
  <si>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</si>
  <si>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</si>
  <si>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</si>
  <si>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</si>
  <si>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</si>
  <si>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</si>
  <si>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</si>
  <si>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</si>
  <si>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</si>
  <si>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</si>
  <si>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</si>
  <si>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</si>
  <si>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</si>
  <si>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</si>
  <si>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</si>
  <si>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</si>
  <si>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</si>
  <si>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</si>
  <si>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</si>
  <si>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</si>
  <si>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</si>
  <si>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</si>
  <si>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</si>
  <si>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</si>
  <si>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</si>
  <si>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</si>
  <si>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</si>
  <si>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</si>
  <si>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</si>
  <si>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</si>
  <si>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</si>
  <si>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</si>
  <si>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</si>
  <si>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</si>
  <si>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</si>
  <si>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</si>
  <si>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</si>
  <si>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</si>
  <si>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</si>
  <si>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</si>
  <si>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</si>
  <si>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</si>
  <si>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</si>
  <si>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</si>
  <si>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</si>
  <si>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</si>
  <si>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</si>
  <si>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</si>
  <si>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</si>
  <si>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</si>
  <si>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</si>
  <si>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</si>
  <si>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</si>
  <si>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</si>
  <si>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</si>
  <si>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</si>
  <si>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</si>
  <si>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</si>
  <si>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</si>
  <si>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</si>
  <si>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</si>
  <si>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</si>
  <si>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无销量广告费为0.36</t>
  </si>
  <si>
    <t>无销量广告费为1</t>
  </si>
  <si>
    <t>无销量广告费为3.86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</si>
  <si>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</si>
  <si>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</si>
  <si>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</si>
  <si>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</si>
  <si>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</si>
  <si>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</si>
  <si>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</si>
  <si>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</si>
  <si>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</si>
  <si>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</si>
  <si>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</si>
  <si>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</si>
  <si>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</si>
  <si>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</si>
  <si>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</si>
  <si>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</si>
  <si>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</si>
  <si>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</si>
  <si>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YT-IUGOLDEN-40*60CM</t>
  </si>
  <si>
    <t>B07GN2DKSF</t>
  </si>
  <si>
    <t>YT-IUGOLDEN</t>
  </si>
  <si>
    <t>YT-IUPURPLE-40*60CM</t>
  </si>
  <si>
    <t>B07GN5DV47</t>
  </si>
  <si>
    <t>YT-IUPURPLE</t>
  </si>
  <si>
    <t>YX-IUCY-102-WO-L</t>
  </si>
  <si>
    <t>B07D5DQHJ9</t>
  </si>
  <si>
    <t>YX-IUCY</t>
  </si>
  <si>
    <t>YX-IUCY-518-BO-2XL</t>
  </si>
  <si>
    <t>B07D74JFT2</t>
  </si>
  <si>
    <t>YX-IUCY-518-BO-L</t>
  </si>
  <si>
    <t>B07D74SLC5</t>
  </si>
  <si>
    <t>YX-IUCY-518-BO-XL</t>
  </si>
  <si>
    <t>B07D74TWXY</t>
  </si>
  <si>
    <t>YX-IUCY-518-N5-2XL</t>
  </si>
  <si>
    <t>B07D7445L3</t>
  </si>
  <si>
    <t>YX-IUCY-518-N5-L</t>
  </si>
  <si>
    <t>B07D741QQ7</t>
  </si>
  <si>
    <t>YX-IUCY-518-N5-XL</t>
  </si>
  <si>
    <t>B07D74DCPD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</si>
  <si>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</si>
  <si>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</si>
  <si>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</si>
  <si>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</si>
  <si>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</si>
  <si>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</si>
  <si>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</si>
  <si>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</si>
  <si>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</si>
  <si>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</si>
  <si>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</si>
  <si>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</si>
  <si>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</si>
  <si>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</si>
  <si>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</si>
  <si>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</si>
  <si>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</si>
  <si>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</si>
  <si>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YY-IC100-BEDGR</t>
  </si>
  <si>
    <t>B07DV5JV44</t>
  </si>
  <si>
    <t>YY-IC100</t>
  </si>
  <si>
    <t>YY-IC100-BEGO</t>
  </si>
  <si>
    <t>B07DV3LV6M</t>
  </si>
  <si>
    <t>YY-IC100-BEKO</t>
  </si>
  <si>
    <t>B07DV9BMHF</t>
  </si>
  <si>
    <t>YY-IC100-BELGR</t>
  </si>
  <si>
    <t>B07DV73JMF</t>
  </si>
  <si>
    <t>YY-IC100-BER2</t>
  </si>
  <si>
    <t>B07DTZB3NP</t>
  </si>
  <si>
    <t>YY-IC100-BEZL</t>
  </si>
  <si>
    <t>B07DV1KGJ4</t>
  </si>
  <si>
    <t>YY-IC150-B7</t>
  </si>
  <si>
    <t>B07DVBR4HX</t>
  </si>
  <si>
    <t>YY-IC150</t>
  </si>
  <si>
    <t>YY-IC150-KO</t>
  </si>
  <si>
    <t>B07DVGRHZ6</t>
  </si>
  <si>
    <t>YY-IC150-P1</t>
  </si>
  <si>
    <t>B07DVBDXSH</t>
  </si>
  <si>
    <t>YY-ICK29-BEYO</t>
  </si>
  <si>
    <t>YY-ICK29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</si>
  <si>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</si>
  <si>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</si>
  <si>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</si>
  <si>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</si>
  <si>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</si>
  <si>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</si>
  <si>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</si>
  <si>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</si>
  <si>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</si>
  <si>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</si>
  <si>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</si>
  <si>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</si>
  <si>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</si>
  <si>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</si>
  <si>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</si>
  <si>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</si>
  <si>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</si>
  <si>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</si>
  <si>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</si>
  <si>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</si>
  <si>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</si>
  <si>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</si>
  <si>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</si>
  <si>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</si>
  <si>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</si>
  <si>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</si>
  <si>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</si>
  <si>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</si>
  <si>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</si>
  <si>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</si>
  <si>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</si>
  <si>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无销量广告费为1.4</t>
  </si>
  <si>
    <t>YY-IULCY-HZYD200-LGSTAR-L</t>
  </si>
  <si>
    <t>B07DVF2N43</t>
  </si>
  <si>
    <t>YY-IULCY-HZYD200</t>
  </si>
  <si>
    <t>YY-IULCY-HZYD200-LGSTAR-M</t>
  </si>
  <si>
    <t>B07FGD8C6J</t>
  </si>
  <si>
    <t>无销量广告费为1.2</t>
  </si>
  <si>
    <t>无销量广告费为1.14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</si>
  <si>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</si>
  <si>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</si>
  <si>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</si>
  <si>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</si>
  <si>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</si>
  <si>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</si>
  <si>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</si>
  <si>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</si>
  <si>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</si>
  <si>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</si>
  <si>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</si>
  <si>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</si>
  <si>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</si>
  <si>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</si>
  <si>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</si>
  <si>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</si>
  <si>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</si>
  <si>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</si>
  <si>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</si>
  <si>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</si>
  <si>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</si>
  <si>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</si>
  <si>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</si>
  <si>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</si>
  <si>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</si>
  <si>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</si>
  <si>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</si>
  <si>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</si>
  <si>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</si>
  <si>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</si>
  <si>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</si>
  <si>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</si>
  <si>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</si>
  <si>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</si>
  <si>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</si>
  <si>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</si>
  <si>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</si>
  <si>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</si>
  <si>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</si>
  <si>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</si>
  <si>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</si>
  <si>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</si>
  <si>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</si>
  <si>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</si>
  <si>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</si>
  <si>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</si>
  <si>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</si>
  <si>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</si>
  <si>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</si>
  <si>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</si>
  <si>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</si>
  <si>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</si>
  <si>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</si>
  <si>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</si>
  <si>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</si>
  <si>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</si>
  <si>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</si>
  <si>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</si>
  <si>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</si>
  <si>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</si>
  <si>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</si>
  <si>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</si>
  <si>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</si>
  <si>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</si>
  <si>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</si>
  <si>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</si>
  <si>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无销量广告费为0.63</t>
  </si>
  <si>
    <t>无销量广告费为1.39</t>
  </si>
  <si>
    <t>无销量广告费为1.36</t>
  </si>
  <si>
    <t>YY-IULCY-KS372-GN-L</t>
  </si>
  <si>
    <t>B07CYZ1TYG</t>
  </si>
  <si>
    <t>无销量广告费为1.07</t>
  </si>
  <si>
    <t>无销量广告费为0.37</t>
  </si>
  <si>
    <t>无销量广告费为0.17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</si>
  <si>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</si>
  <si>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</si>
  <si>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</si>
  <si>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</si>
  <si>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</si>
  <si>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</si>
  <si>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</si>
  <si>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</si>
  <si>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</si>
  <si>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</si>
  <si>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</si>
  <si>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</si>
  <si>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</si>
  <si>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</si>
  <si>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</si>
  <si>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</si>
  <si>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</si>
  <si>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</si>
  <si>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</si>
  <si>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</si>
  <si>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</si>
  <si>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</si>
  <si>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</si>
  <si>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</si>
  <si>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</si>
  <si>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</si>
  <si>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</si>
  <si>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</si>
  <si>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无销量广告费为35.81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</si>
  <si>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</si>
  <si>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</si>
  <si>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</si>
  <si>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</si>
  <si>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</si>
  <si>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</si>
  <si>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</si>
  <si>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</si>
  <si>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</si>
  <si>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无销量广告费为0.48</t>
  </si>
  <si>
    <t>YY-IULCY-KS377-HEAD-L</t>
  </si>
  <si>
    <t>B07CYXD7TM</t>
  </si>
  <si>
    <t>YY-IULCY-KS377-HEAD-M</t>
  </si>
  <si>
    <t>B07CYVFKH9</t>
  </si>
  <si>
    <t>无销量广告费为89.62</t>
  </si>
  <si>
    <t>YY-IULCY-KS377-PLANT-L</t>
  </si>
  <si>
    <t>B07CYP8DFK</t>
  </si>
  <si>
    <t>无销量广告费为0.52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</si>
  <si>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</si>
  <si>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</si>
  <si>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</si>
  <si>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</si>
  <si>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</si>
  <si>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</si>
  <si>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</si>
  <si>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</si>
  <si>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</si>
  <si>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</si>
  <si>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</si>
  <si>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</si>
  <si>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</si>
  <si>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YY-IULCY-XW100-COLORFUL</t>
  </si>
  <si>
    <t>B07G9W28KV</t>
  </si>
  <si>
    <t>YY-IULCY-XW100</t>
  </si>
  <si>
    <t>YY-IULCY-XW100-DOG</t>
  </si>
  <si>
    <t>B07G9T8HS2</t>
  </si>
  <si>
    <t>YY-IULCY-XW100-LIGHT</t>
  </si>
  <si>
    <t>B07G9VZ3NG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</si>
  <si>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</si>
  <si>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</si>
  <si>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</si>
  <si>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</si>
  <si>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</si>
  <si>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</si>
  <si>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</si>
  <si>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</si>
  <si>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</si>
  <si>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</si>
  <si>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</si>
  <si>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YY-IULCY-XZM200-BK</t>
  </si>
  <si>
    <t>B07G3S2G2D</t>
  </si>
  <si>
    <t>YY-IULCY-XZM200</t>
  </si>
  <si>
    <t>YY-IULCY-XZM200-BL</t>
  </si>
  <si>
    <t>B07G3QLD7R</t>
  </si>
  <si>
    <t>YY-IULCY-XZM200-GN</t>
  </si>
  <si>
    <t>B07G3SRXP2</t>
  </si>
  <si>
    <t>YY-IULCY-XZM200-KK</t>
  </si>
  <si>
    <t>B07G3XSNGG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</si>
  <si>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</si>
  <si>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</si>
  <si>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</si>
  <si>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</si>
  <si>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</si>
  <si>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</si>
  <si>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</si>
  <si>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</si>
  <si>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</si>
  <si>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</si>
  <si>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</si>
  <si>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</si>
  <si>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</si>
  <si>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</si>
  <si>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</si>
  <si>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</si>
  <si>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</si>
  <si>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</si>
  <si>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</si>
  <si>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</si>
  <si>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</si>
  <si>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</si>
  <si>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</si>
  <si>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</si>
  <si>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</si>
  <si>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</si>
  <si>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</si>
  <si>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</si>
  <si>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</si>
  <si>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</si>
  <si>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</si>
  <si>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</si>
  <si>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</si>
  <si>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</si>
  <si>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</si>
  <si>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</si>
  <si>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</si>
  <si>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</si>
  <si>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</si>
  <si>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</si>
  <si>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</si>
  <si>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</si>
  <si>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无销量广告费为0.82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</si>
  <si>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</si>
  <si>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</si>
  <si>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</si>
  <si>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</si>
  <si>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</si>
  <si>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</si>
  <si>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</si>
  <si>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</si>
  <si>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</si>
  <si>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</si>
  <si>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无销量广告费为1.5</t>
  </si>
  <si>
    <t>YY5100XB0L</t>
  </si>
  <si>
    <t>B01AXMO99M</t>
  </si>
  <si>
    <t>无销量广告费为69.9</t>
  </si>
  <si>
    <t>无销量广告费为12.72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</si>
  <si>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</si>
  <si>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</si>
  <si>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</si>
  <si>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</si>
  <si>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</si>
  <si>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</si>
  <si>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</si>
  <si>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</si>
  <si>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</si>
  <si>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</si>
  <si>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</si>
  <si>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</si>
  <si>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</si>
  <si>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</si>
  <si>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</si>
  <si>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</si>
  <si>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无销量广告费为0.26</t>
  </si>
  <si>
    <t>无销量广告费为1.04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</si>
  <si>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</si>
  <si>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</si>
  <si>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</si>
  <si>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</si>
  <si>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</si>
  <si>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</si>
  <si>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</si>
  <si>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</si>
  <si>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</si>
  <si>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</si>
  <si>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</si>
  <si>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</si>
  <si>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</si>
  <si>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</si>
  <si>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</si>
  <si>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</si>
  <si>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</si>
  <si>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</si>
  <si>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</si>
  <si>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</si>
  <si>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</si>
  <si>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</si>
  <si>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</si>
  <si>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</si>
  <si>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</si>
  <si>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</si>
  <si>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</si>
  <si>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</si>
  <si>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</si>
  <si>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</si>
  <si>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</si>
  <si>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无销量广告费为5.29</t>
  </si>
  <si>
    <t>无销量广告费为1.92</t>
  </si>
  <si>
    <t>无销量广告费为1.77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</si>
  <si>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</si>
  <si>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</si>
  <si>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</si>
  <si>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</si>
  <si>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</si>
  <si>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</si>
  <si>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</si>
  <si>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</si>
  <si>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</si>
  <si>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</si>
  <si>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</si>
  <si>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</si>
  <si>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</si>
  <si>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</si>
  <si>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</si>
  <si>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</si>
  <si>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ZB-IULCY-YMQY100-GR100*140</t>
  </si>
  <si>
    <t>B07F7G63C5</t>
  </si>
  <si>
    <t>ZB-IULCY-YMQY100-GR140*140</t>
  </si>
  <si>
    <t>B07F71KQX8</t>
  </si>
  <si>
    <t>无销量广告费为46.59</t>
  </si>
  <si>
    <t>ZB-IULCY-YMQY100-GR140*180</t>
  </si>
  <si>
    <t>B07F72G9Q1</t>
  </si>
  <si>
    <t>ZB-IULETTER-140*180CM</t>
  </si>
  <si>
    <t>B07GN5RY9K</t>
  </si>
  <si>
    <t>ZB-IULETTER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</si>
  <si>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</si>
  <si>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</si>
  <si>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</si>
  <si>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</si>
  <si>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</si>
  <si>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</si>
  <si>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</si>
  <si>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</si>
  <si>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</si>
  <si>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ZDD-07-MC-28</t>
  </si>
  <si>
    <t>ZDD-07</t>
  </si>
  <si>
    <t>ZDD-08-BO-28</t>
  </si>
  <si>
    <t>ZDD-08</t>
  </si>
  <si>
    <t>ZDD-08-GR-28</t>
  </si>
  <si>
    <t>ZDD-08-PO-28</t>
  </si>
  <si>
    <t>ZDD-08-RO-28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</si>
  <si>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</si>
  <si>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</si>
  <si>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</si>
  <si>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</si>
  <si>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</si>
  <si>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</si>
  <si>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</si>
  <si>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</si>
  <si>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</si>
  <si>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</si>
  <si>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</si>
  <si>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</si>
  <si>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</si>
  <si>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</si>
  <si>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</si>
  <si>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</si>
  <si>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</si>
  <si>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</si>
  <si>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</si>
  <si>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</si>
  <si>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无销量广告费为28.74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</si>
  <si>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</si>
  <si>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</si>
  <si>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</si>
  <si>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</si>
  <si>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</si>
  <si>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</si>
  <si>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</si>
  <si>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</si>
  <si>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</si>
  <si>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</si>
  <si>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</si>
  <si>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</si>
  <si>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</si>
  <si>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</si>
  <si>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</si>
  <si>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</si>
  <si>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</si>
  <si>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</si>
  <si>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</si>
  <si>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</si>
  <si>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</si>
  <si>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</si>
  <si>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</si>
  <si>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</si>
  <si>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</si>
  <si>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</si>
  <si>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</si>
  <si>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</si>
  <si>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</si>
  <si>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</si>
  <si>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</si>
  <si>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</si>
  <si>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</si>
  <si>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</si>
  <si>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</si>
  <si>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</si>
  <si>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</si>
  <si>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无销量广告费为0.64</t>
  </si>
  <si>
    <t>无销量广告费为0.11</t>
  </si>
  <si>
    <t>无销量广告费为1.89</t>
  </si>
  <si>
    <t>ZXXBHO-S</t>
  </si>
  <si>
    <t>B074W6RWL6</t>
  </si>
  <si>
    <t>ZXXBHO-XL</t>
  </si>
  <si>
    <t>B074W5TPJ2</t>
  </si>
  <si>
    <t>无销量广告费为0.79</t>
  </si>
  <si>
    <t>无销量广告费为1.17</t>
  </si>
  <si>
    <t>ZXXBLV-L</t>
  </si>
  <si>
    <t>B074W2S5BX</t>
  </si>
  <si>
    <t>ZXXBLV-M</t>
  </si>
  <si>
    <t>B074W1JXQW</t>
  </si>
  <si>
    <t>ZXXBLV-S</t>
  </si>
  <si>
    <t>B074W79F2H</t>
  </si>
  <si>
    <t>无销量广告费为0.92</t>
  </si>
  <si>
    <t>无销量广告费为0.42</t>
  </si>
  <si>
    <t>无销量广告费为0.14</t>
  </si>
  <si>
    <t>无销量广告费为2.59</t>
  </si>
  <si>
    <t>ZXXBLV-XL</t>
  </si>
  <si>
    <t>B074W3PDMT</t>
  </si>
  <si>
    <t>ZXXCBO-S</t>
  </si>
  <si>
    <t>B074W49DXQ</t>
  </si>
  <si>
    <t>ZXXC</t>
  </si>
  <si>
    <t>ZXXCLV-M</t>
  </si>
  <si>
    <t>B074W6T3S1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</si>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</sst>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2" fillId="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7" fillId="4" borderId="2" applyNumberFormat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21" fillId="18" borderId="7" applyNumberForma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</cellStyleXfs>
  <cellXfs count="38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B075WTPCQ5</v>
          </cell>
          <cell r="B2">
            <v>3445</v>
          </cell>
          <cell r="C2">
            <v>3358</v>
          </cell>
          <cell r="D2">
            <v>2544</v>
          </cell>
          <cell r="E2">
            <v>2494</v>
          </cell>
        </row>
        <row r="3">
          <cell r="A3" t="str">
            <v>B07DFFK33K</v>
          </cell>
          <cell r="B3">
            <v>797</v>
          </cell>
          <cell r="C3">
            <v>720</v>
          </cell>
          <cell r="D3">
            <v>440</v>
          </cell>
          <cell r="E3">
            <v>435</v>
          </cell>
        </row>
        <row r="4">
          <cell r="A4" t="str">
            <v>B01N0OX2DR</v>
          </cell>
          <cell r="B4">
            <v>6051</v>
          </cell>
          <cell r="C4">
            <v>3988</v>
          </cell>
          <cell r="D4">
            <v>3111</v>
          </cell>
          <cell r="E4">
            <v>3061</v>
          </cell>
        </row>
        <row r="5">
          <cell r="A5" t="str">
            <v>B075J94VLL</v>
          </cell>
          <cell r="B5">
            <v>807</v>
          </cell>
          <cell r="C5">
            <v>863</v>
          </cell>
          <cell r="D5">
            <v>747</v>
          </cell>
          <cell r="E5">
            <v>976</v>
          </cell>
        </row>
        <row r="6">
          <cell r="A6" t="str">
            <v>B01C8QJY0K</v>
          </cell>
          <cell r="B6">
            <v>144</v>
          </cell>
          <cell r="C6">
            <v>112</v>
          </cell>
          <cell r="D6">
            <v>45</v>
          </cell>
          <cell r="E6">
            <v>54</v>
          </cell>
        </row>
        <row r="7">
          <cell r="A7" t="str">
            <v>B01JTZC25C</v>
          </cell>
          <cell r="B7">
            <v>22</v>
          </cell>
          <cell r="C7">
            <v>23</v>
          </cell>
          <cell r="D7">
            <v>20</v>
          </cell>
          <cell r="E7">
            <v>16</v>
          </cell>
        </row>
        <row r="8">
          <cell r="A8" t="str">
            <v>B01NGTXV1B</v>
          </cell>
          <cell r="B8">
            <v>735</v>
          </cell>
          <cell r="C8">
            <v>631</v>
          </cell>
          <cell r="D8">
            <v>468</v>
          </cell>
          <cell r="E8">
            <v>627</v>
          </cell>
        </row>
        <row r="9">
          <cell r="A9" t="str">
            <v>B06XXBVWRG</v>
          </cell>
          <cell r="B9">
            <v>165</v>
          </cell>
          <cell r="C9">
            <v>101</v>
          </cell>
          <cell r="D9">
            <v>127</v>
          </cell>
          <cell r="E9">
            <v>125</v>
          </cell>
        </row>
        <row r="10">
          <cell r="A10" t="str">
            <v>B071V5YMVC</v>
          </cell>
          <cell r="B10">
            <v>477</v>
          </cell>
          <cell r="C10">
            <v>444</v>
          </cell>
          <cell r="D10">
            <v>224</v>
          </cell>
          <cell r="E10">
            <v>356</v>
          </cell>
        </row>
        <row r="11">
          <cell r="A11" t="str">
            <v>B075XFFYG6</v>
          </cell>
          <cell r="B11">
            <v>968</v>
          </cell>
          <cell r="C11">
            <v>952</v>
          </cell>
          <cell r="D11">
            <v>799</v>
          </cell>
          <cell r="E11">
            <v>636</v>
          </cell>
        </row>
        <row r="12">
          <cell r="A12" t="str">
            <v>B075XK4TVD</v>
          </cell>
          <cell r="B12">
            <v>485</v>
          </cell>
          <cell r="C12">
            <v>480</v>
          </cell>
          <cell r="D12">
            <v>409</v>
          </cell>
          <cell r="E12">
            <v>554</v>
          </cell>
        </row>
        <row r="13">
          <cell r="A13" t="str">
            <v>B075ZSTCLF</v>
          </cell>
          <cell r="B13">
            <v>718</v>
          </cell>
          <cell r="C13">
            <v>592</v>
          </cell>
          <cell r="D13">
            <v>461</v>
          </cell>
          <cell r="E13">
            <v>540</v>
          </cell>
        </row>
        <row r="14">
          <cell r="A14" t="str">
            <v>B07CYTR6YS</v>
          </cell>
          <cell r="B14">
            <v>31</v>
          </cell>
          <cell r="C14">
            <v>30</v>
          </cell>
          <cell r="D14">
            <v>19</v>
          </cell>
          <cell r="E14">
            <v>36</v>
          </cell>
        </row>
        <row r="15">
          <cell r="A15" t="str">
            <v>B07DVNV5FW</v>
          </cell>
          <cell r="B15">
            <v>46</v>
          </cell>
          <cell r="C15">
            <v>20</v>
          </cell>
          <cell r="D15">
            <v>7</v>
          </cell>
          <cell r="E15">
            <v>16</v>
          </cell>
        </row>
        <row r="16">
          <cell r="A16" t="str">
            <v>B019V6P53K</v>
          </cell>
          <cell r="B16">
            <v>16</v>
          </cell>
          <cell r="C16">
            <v>19</v>
          </cell>
          <cell r="D16">
            <v>9</v>
          </cell>
          <cell r="E16">
            <v>17</v>
          </cell>
        </row>
        <row r="17">
          <cell r="A17" t="str">
            <v>B01AXMO99M</v>
          </cell>
          <cell r="B17">
            <v>284</v>
          </cell>
          <cell r="C17">
            <v>245</v>
          </cell>
          <cell r="D17">
            <v>80</v>
          </cell>
          <cell r="E17">
            <v>56</v>
          </cell>
        </row>
        <row r="18">
          <cell r="A18" t="str">
            <v>B01AXMOPYQ</v>
          </cell>
          <cell r="B18">
            <v>266</v>
          </cell>
          <cell r="C18">
            <v>206</v>
          </cell>
          <cell r="D18">
            <v>104</v>
          </cell>
          <cell r="E18">
            <v>83</v>
          </cell>
        </row>
        <row r="19">
          <cell r="A19" t="str">
            <v>B01AXMOX9I</v>
          </cell>
          <cell r="B19">
            <v>230</v>
          </cell>
          <cell r="C19">
            <v>213</v>
          </cell>
          <cell r="D19">
            <v>158</v>
          </cell>
          <cell r="E19">
            <v>156</v>
          </cell>
        </row>
        <row r="20">
          <cell r="A20" t="str">
            <v>B01AXMOYLU</v>
          </cell>
          <cell r="B20">
            <v>879</v>
          </cell>
          <cell r="C20">
            <v>688</v>
          </cell>
          <cell r="D20">
            <v>522</v>
          </cell>
          <cell r="E20">
            <v>384</v>
          </cell>
        </row>
        <row r="21">
          <cell r="A21" t="str">
            <v>B01AXMP04U</v>
          </cell>
          <cell r="B21">
            <v>479</v>
          </cell>
          <cell r="C21">
            <v>376</v>
          </cell>
          <cell r="D21">
            <v>221</v>
          </cell>
          <cell r="E21">
            <v>215</v>
          </cell>
        </row>
        <row r="22">
          <cell r="A22" t="str">
            <v>B01AXMP1NA</v>
          </cell>
          <cell r="B22">
            <v>204</v>
          </cell>
          <cell r="C22">
            <v>102</v>
          </cell>
          <cell r="D22">
            <v>179</v>
          </cell>
          <cell r="E22">
            <v>175</v>
          </cell>
        </row>
        <row r="23">
          <cell r="A23" t="str">
            <v>B01AXMPKZE</v>
          </cell>
          <cell r="B23">
            <v>5</v>
          </cell>
          <cell r="C23">
            <v>9</v>
          </cell>
          <cell r="D23">
            <v>6</v>
          </cell>
          <cell r="E23">
            <v>9</v>
          </cell>
        </row>
        <row r="24">
          <cell r="A24" t="str">
            <v>B01AXMPPJU</v>
          </cell>
          <cell r="B24">
            <v>8</v>
          </cell>
          <cell r="C24">
            <v>11</v>
          </cell>
          <cell r="D24">
            <v>4</v>
          </cell>
          <cell r="E24">
            <v>7</v>
          </cell>
        </row>
        <row r="25">
          <cell r="A25" t="str">
            <v>B01AXMPVDU</v>
          </cell>
          <cell r="B25">
            <v>6</v>
          </cell>
          <cell r="C25">
            <v>10</v>
          </cell>
          <cell r="D25">
            <v>8</v>
          </cell>
          <cell r="E25">
            <v>9</v>
          </cell>
        </row>
        <row r="26">
          <cell r="A26" t="str">
            <v>B01AXMPWJ8</v>
          </cell>
          <cell r="B26">
            <v>4</v>
          </cell>
          <cell r="C26">
            <v>14</v>
          </cell>
          <cell r="D26">
            <v>3</v>
          </cell>
          <cell r="E26">
            <v>3</v>
          </cell>
        </row>
        <row r="27">
          <cell r="A27" t="str">
            <v>B01AXMPXWO</v>
          </cell>
          <cell r="B27">
            <v>15</v>
          </cell>
          <cell r="C27">
            <v>15</v>
          </cell>
          <cell r="D27">
            <v>2</v>
          </cell>
          <cell r="E27">
            <v>9</v>
          </cell>
        </row>
        <row r="28">
          <cell r="A28" t="str">
            <v>B01AXMQ23I</v>
          </cell>
          <cell r="B28">
            <v>20</v>
          </cell>
          <cell r="C28">
            <v>17</v>
          </cell>
          <cell r="D28">
            <v>15</v>
          </cell>
          <cell r="E28">
            <v>7</v>
          </cell>
        </row>
        <row r="29">
          <cell r="A29" t="str">
            <v>B01AXMQ3YQ</v>
          </cell>
          <cell r="B29">
            <v>4</v>
          </cell>
          <cell r="C29">
            <v>9</v>
          </cell>
          <cell r="D29">
            <v>5</v>
          </cell>
          <cell r="E29">
            <v>6</v>
          </cell>
        </row>
        <row r="30">
          <cell r="A30" t="str">
            <v>B01BHQVKJA</v>
          </cell>
          <cell r="B30">
            <v>6</v>
          </cell>
          <cell r="C30">
            <v>4</v>
          </cell>
          <cell r="D30">
            <v>1</v>
          </cell>
          <cell r="E30">
            <v>3</v>
          </cell>
        </row>
        <row r="31">
          <cell r="A31" t="str">
            <v>B01BHQVLCQ</v>
          </cell>
          <cell r="B31">
            <v>22</v>
          </cell>
          <cell r="C31">
            <v>24</v>
          </cell>
          <cell r="D31">
            <v>16</v>
          </cell>
          <cell r="E31">
            <v>12</v>
          </cell>
        </row>
        <row r="32">
          <cell r="A32" t="str">
            <v>B01BHQVM1Q</v>
          </cell>
          <cell r="B32">
            <v>2</v>
          </cell>
          <cell r="C32">
            <v>4</v>
          </cell>
          <cell r="D32">
            <v>3</v>
          </cell>
          <cell r="E32">
            <v>3</v>
          </cell>
        </row>
        <row r="33">
          <cell r="A33" t="str">
            <v>B01BHQVMT8</v>
          </cell>
          <cell r="B33">
            <v>3</v>
          </cell>
          <cell r="C33">
            <v>5</v>
          </cell>
          <cell r="D33">
            <v>6</v>
          </cell>
          <cell r="E33">
            <v>6</v>
          </cell>
        </row>
        <row r="34">
          <cell r="A34" t="str">
            <v>B01BHQVNQU</v>
          </cell>
          <cell r="B34">
            <v>4</v>
          </cell>
          <cell r="C34">
            <v>7</v>
          </cell>
          <cell r="D34">
            <v>5</v>
          </cell>
          <cell r="E34">
            <v>4</v>
          </cell>
        </row>
        <row r="35">
          <cell r="A35" t="str">
            <v>B01BHQVOOQ</v>
          </cell>
          <cell r="B35">
            <v>2</v>
          </cell>
          <cell r="C35">
            <v>7</v>
          </cell>
          <cell r="D35">
            <v>7</v>
          </cell>
          <cell r="E35">
            <v>3</v>
          </cell>
        </row>
        <row r="36">
          <cell r="A36" t="str">
            <v>B01BHQVOS2</v>
          </cell>
          <cell r="B36">
            <v>20</v>
          </cell>
          <cell r="C36">
            <v>12</v>
          </cell>
          <cell r="D36">
            <v>14</v>
          </cell>
          <cell r="E36">
            <v>13</v>
          </cell>
        </row>
        <row r="37">
          <cell r="A37" t="str">
            <v>B01BHQVPS6</v>
          </cell>
          <cell r="B37">
            <v>124</v>
          </cell>
          <cell r="C37">
            <v>98</v>
          </cell>
          <cell r="D37">
            <v>35</v>
          </cell>
          <cell r="E37">
            <v>60</v>
          </cell>
        </row>
        <row r="38">
          <cell r="A38" t="str">
            <v>B01BHQVSLK</v>
          </cell>
          <cell r="B38">
            <v>26</v>
          </cell>
          <cell r="C38">
            <v>31</v>
          </cell>
          <cell r="D38">
            <v>16</v>
          </cell>
          <cell r="E38">
            <v>13</v>
          </cell>
        </row>
        <row r="39">
          <cell r="A39" t="str">
            <v>B01BHQWEQS</v>
          </cell>
          <cell r="B39">
            <v>7</v>
          </cell>
          <cell r="C39">
            <v>10</v>
          </cell>
          <cell r="D39">
            <v>4</v>
          </cell>
          <cell r="E39">
            <v>12</v>
          </cell>
        </row>
        <row r="40">
          <cell r="A40" t="str">
            <v>B01C8QGSYU</v>
          </cell>
          <cell r="B40">
            <v>72</v>
          </cell>
          <cell r="C40">
            <v>77</v>
          </cell>
          <cell r="D40">
            <v>41</v>
          </cell>
          <cell r="E40">
            <v>52</v>
          </cell>
        </row>
        <row r="41">
          <cell r="A41" t="str">
            <v>B01C8QGUDY</v>
          </cell>
          <cell r="B41">
            <v>31</v>
          </cell>
          <cell r="C41">
            <v>22</v>
          </cell>
          <cell r="D41">
            <v>7</v>
          </cell>
          <cell r="E41">
            <v>9</v>
          </cell>
        </row>
        <row r="42">
          <cell r="A42" t="str">
            <v>B01C8QGVS8</v>
          </cell>
          <cell r="B42">
            <v>54</v>
          </cell>
          <cell r="C42">
            <v>53</v>
          </cell>
          <cell r="D42">
            <v>21</v>
          </cell>
          <cell r="E42">
            <v>22</v>
          </cell>
        </row>
        <row r="43">
          <cell r="A43" t="str">
            <v>B01C8QGX6I</v>
          </cell>
          <cell r="B43">
            <v>54</v>
          </cell>
          <cell r="C43">
            <v>36</v>
          </cell>
          <cell r="D43">
            <v>21</v>
          </cell>
          <cell r="E43">
            <v>38</v>
          </cell>
        </row>
        <row r="44">
          <cell r="A44" t="str">
            <v>B01C8QGY08</v>
          </cell>
          <cell r="B44">
            <v>5</v>
          </cell>
          <cell r="C44">
            <v>10</v>
          </cell>
          <cell r="D44">
            <v>3</v>
          </cell>
          <cell r="E44">
            <v>4</v>
          </cell>
        </row>
        <row r="45">
          <cell r="A45" t="str">
            <v>B01C8QGZKC</v>
          </cell>
          <cell r="B45">
            <v>22</v>
          </cell>
          <cell r="C45">
            <v>24</v>
          </cell>
          <cell r="D45">
            <v>17</v>
          </cell>
          <cell r="E45">
            <v>17</v>
          </cell>
        </row>
        <row r="46">
          <cell r="A46" t="str">
            <v>B01C8QH11E</v>
          </cell>
          <cell r="B46">
            <v>11</v>
          </cell>
          <cell r="C46">
            <v>8</v>
          </cell>
          <cell r="D46">
            <v>5</v>
          </cell>
          <cell r="E46">
            <v>7</v>
          </cell>
        </row>
        <row r="47">
          <cell r="A47" t="str">
            <v>B01C8QH28Q</v>
          </cell>
          <cell r="B47">
            <v>13</v>
          </cell>
          <cell r="C47">
            <v>12</v>
          </cell>
          <cell r="D47">
            <v>8</v>
          </cell>
          <cell r="E47">
            <v>3</v>
          </cell>
        </row>
        <row r="48">
          <cell r="A48" t="str">
            <v>B01C8QH38A</v>
          </cell>
          <cell r="B48">
            <v>15</v>
          </cell>
          <cell r="C48">
            <v>8</v>
          </cell>
          <cell r="D48">
            <v>7</v>
          </cell>
          <cell r="E48">
            <v>7</v>
          </cell>
        </row>
        <row r="49">
          <cell r="A49" t="str">
            <v>B01C8QH6YG</v>
          </cell>
          <cell r="B49">
            <v>0</v>
          </cell>
          <cell r="C49">
            <v>6</v>
          </cell>
          <cell r="D49">
            <v>1</v>
          </cell>
          <cell r="E49">
            <v>2</v>
          </cell>
        </row>
        <row r="50">
          <cell r="A50" t="str">
            <v>B01C8QHANI</v>
          </cell>
          <cell r="B50">
            <v>2</v>
          </cell>
          <cell r="C50">
            <v>3</v>
          </cell>
          <cell r="D50">
            <v>0</v>
          </cell>
          <cell r="E50">
            <v>5</v>
          </cell>
        </row>
        <row r="51">
          <cell r="A51" t="str">
            <v>B01C8QHC36</v>
          </cell>
          <cell r="B51">
            <v>1</v>
          </cell>
          <cell r="C51">
            <v>4</v>
          </cell>
          <cell r="D51">
            <v>1</v>
          </cell>
          <cell r="E51">
            <v>3</v>
          </cell>
        </row>
        <row r="52">
          <cell r="A52" t="str">
            <v>B01C8QHWKO</v>
          </cell>
          <cell r="B52">
            <v>16</v>
          </cell>
          <cell r="C52">
            <v>44</v>
          </cell>
          <cell r="D52">
            <v>22</v>
          </cell>
          <cell r="E52">
            <v>29</v>
          </cell>
        </row>
        <row r="53">
          <cell r="A53" t="str">
            <v>B01C8QI1HC</v>
          </cell>
          <cell r="B53">
            <v>8</v>
          </cell>
          <cell r="C53">
            <v>5</v>
          </cell>
          <cell r="D53">
            <v>2</v>
          </cell>
          <cell r="E53">
            <v>3</v>
          </cell>
        </row>
        <row r="54">
          <cell r="A54" t="str">
            <v>B01C8QI73A</v>
          </cell>
          <cell r="B54">
            <v>72</v>
          </cell>
          <cell r="C54">
            <v>43</v>
          </cell>
          <cell r="D54">
            <v>50</v>
          </cell>
          <cell r="E54">
            <v>44</v>
          </cell>
        </row>
        <row r="55">
          <cell r="A55" t="str">
            <v>B01C8QI7U8</v>
          </cell>
          <cell r="B55">
            <v>71</v>
          </cell>
          <cell r="C55">
            <v>49</v>
          </cell>
          <cell r="D55">
            <v>28</v>
          </cell>
          <cell r="E55">
            <v>20</v>
          </cell>
        </row>
        <row r="56">
          <cell r="A56" t="str">
            <v>B01C8QI90Q</v>
          </cell>
          <cell r="B56">
            <v>0</v>
          </cell>
          <cell r="C56">
            <v>0</v>
          </cell>
          <cell r="D56">
            <v>0</v>
          </cell>
          <cell r="E56">
            <v>14</v>
          </cell>
        </row>
        <row r="57">
          <cell r="A57" t="str">
            <v>B01C8QI9QK</v>
          </cell>
          <cell r="B57">
            <v>17</v>
          </cell>
          <cell r="C57">
            <v>5</v>
          </cell>
          <cell r="D57">
            <v>7</v>
          </cell>
          <cell r="E57">
            <v>5</v>
          </cell>
        </row>
        <row r="58">
          <cell r="A58" t="str">
            <v>B01C8QIA0U</v>
          </cell>
          <cell r="B58">
            <v>37</v>
          </cell>
          <cell r="C58">
            <v>14</v>
          </cell>
          <cell r="D58">
            <v>11</v>
          </cell>
          <cell r="E58">
            <v>7</v>
          </cell>
        </row>
        <row r="59">
          <cell r="A59" t="str">
            <v>B01C8QIC08</v>
          </cell>
          <cell r="B59">
            <v>10</v>
          </cell>
          <cell r="C59">
            <v>20</v>
          </cell>
          <cell r="D59">
            <v>8</v>
          </cell>
          <cell r="E59">
            <v>10</v>
          </cell>
        </row>
        <row r="60">
          <cell r="A60" t="str">
            <v>B01C8QID6G</v>
          </cell>
          <cell r="B60">
            <v>28</v>
          </cell>
          <cell r="C60">
            <v>17</v>
          </cell>
          <cell r="D60">
            <v>5</v>
          </cell>
          <cell r="E60">
            <v>11</v>
          </cell>
        </row>
        <row r="61">
          <cell r="A61" t="str">
            <v>B01C8QIE38</v>
          </cell>
          <cell r="B61">
            <v>4</v>
          </cell>
          <cell r="C61">
            <v>6</v>
          </cell>
          <cell r="D61">
            <v>9</v>
          </cell>
          <cell r="E61">
            <v>6</v>
          </cell>
        </row>
        <row r="62">
          <cell r="A62" t="str">
            <v>B01C8QIE88</v>
          </cell>
          <cell r="B62">
            <v>9</v>
          </cell>
          <cell r="C62">
            <v>18</v>
          </cell>
          <cell r="D62">
            <v>4</v>
          </cell>
          <cell r="E62">
            <v>11</v>
          </cell>
        </row>
        <row r="63">
          <cell r="A63" t="str">
            <v>B01C8QIF4Q</v>
          </cell>
          <cell r="B63">
            <v>16</v>
          </cell>
          <cell r="C63">
            <v>17</v>
          </cell>
          <cell r="D63">
            <v>17</v>
          </cell>
          <cell r="E63">
            <v>11</v>
          </cell>
        </row>
        <row r="64">
          <cell r="A64" t="str">
            <v>B01C8QIRLW</v>
          </cell>
          <cell r="B64">
            <v>17</v>
          </cell>
          <cell r="C64">
            <v>10</v>
          </cell>
          <cell r="D64">
            <v>5</v>
          </cell>
          <cell r="E64">
            <v>4</v>
          </cell>
        </row>
        <row r="65">
          <cell r="A65" t="str">
            <v>B01C8QIX4S</v>
          </cell>
          <cell r="B65">
            <v>4</v>
          </cell>
          <cell r="C65">
            <v>6</v>
          </cell>
          <cell r="D65">
            <v>2</v>
          </cell>
          <cell r="E65">
            <v>1</v>
          </cell>
        </row>
        <row r="66">
          <cell r="A66" t="str">
            <v>B01C8QIY6K</v>
          </cell>
          <cell r="B66">
            <v>0</v>
          </cell>
          <cell r="C66">
            <v>3</v>
          </cell>
          <cell r="D66">
            <v>3</v>
          </cell>
          <cell r="E66">
            <v>2</v>
          </cell>
        </row>
        <row r="67">
          <cell r="A67" t="str">
            <v>B01C8QJ1XU</v>
          </cell>
          <cell r="B67">
            <v>354</v>
          </cell>
          <cell r="C67">
            <v>220</v>
          </cell>
          <cell r="D67">
            <v>111</v>
          </cell>
          <cell r="E67">
            <v>92</v>
          </cell>
        </row>
        <row r="68">
          <cell r="A68" t="str">
            <v>B01C8QJ32O</v>
          </cell>
          <cell r="B68">
            <v>79</v>
          </cell>
          <cell r="C68">
            <v>65</v>
          </cell>
          <cell r="D68">
            <v>32</v>
          </cell>
          <cell r="E68">
            <v>38</v>
          </cell>
        </row>
        <row r="69">
          <cell r="A69" t="str">
            <v>B01C8QJ4SC</v>
          </cell>
          <cell r="B69">
            <v>77</v>
          </cell>
          <cell r="C69">
            <v>31</v>
          </cell>
          <cell r="D69">
            <v>30</v>
          </cell>
          <cell r="E69">
            <v>32</v>
          </cell>
        </row>
        <row r="70">
          <cell r="A70" t="str">
            <v>B01C8QJ734</v>
          </cell>
          <cell r="B70">
            <v>159</v>
          </cell>
          <cell r="C70">
            <v>111</v>
          </cell>
          <cell r="D70">
            <v>41</v>
          </cell>
          <cell r="E70">
            <v>47</v>
          </cell>
        </row>
        <row r="71">
          <cell r="A71" t="str">
            <v>B01C8QJ89C</v>
          </cell>
          <cell r="B71">
            <v>65</v>
          </cell>
          <cell r="C71">
            <v>92</v>
          </cell>
          <cell r="D71">
            <v>47</v>
          </cell>
          <cell r="E71">
            <v>42</v>
          </cell>
        </row>
        <row r="72">
          <cell r="A72" t="str">
            <v>B01C8QJ9AU</v>
          </cell>
          <cell r="B72">
            <v>50</v>
          </cell>
          <cell r="C72">
            <v>32</v>
          </cell>
          <cell r="D72">
            <v>26</v>
          </cell>
          <cell r="E72">
            <v>18</v>
          </cell>
        </row>
        <row r="73">
          <cell r="A73" t="str">
            <v>B01C8QJADG</v>
          </cell>
          <cell r="B73">
            <v>78</v>
          </cell>
          <cell r="C73">
            <v>65</v>
          </cell>
          <cell r="D73">
            <v>37</v>
          </cell>
          <cell r="E73">
            <v>30</v>
          </cell>
        </row>
        <row r="74">
          <cell r="A74" t="str">
            <v>B01C8QJNVA</v>
          </cell>
          <cell r="B74">
            <v>56</v>
          </cell>
          <cell r="C74">
            <v>45</v>
          </cell>
          <cell r="D74">
            <v>28</v>
          </cell>
          <cell r="E74">
            <v>27</v>
          </cell>
        </row>
        <row r="75">
          <cell r="A75" t="str">
            <v>B01C8QJP7W</v>
          </cell>
          <cell r="B75">
            <v>27</v>
          </cell>
          <cell r="C75">
            <v>25</v>
          </cell>
          <cell r="D75">
            <v>16</v>
          </cell>
          <cell r="E75">
            <v>16</v>
          </cell>
        </row>
        <row r="76">
          <cell r="A76" t="str">
            <v>B01C8QJQGM</v>
          </cell>
          <cell r="B76">
            <v>21</v>
          </cell>
          <cell r="C76">
            <v>12</v>
          </cell>
          <cell r="D76">
            <v>10</v>
          </cell>
          <cell r="E76">
            <v>15</v>
          </cell>
        </row>
        <row r="77">
          <cell r="A77" t="str">
            <v>B01C8QJRM0</v>
          </cell>
          <cell r="B77">
            <v>37</v>
          </cell>
          <cell r="C77">
            <v>13</v>
          </cell>
          <cell r="D77">
            <v>9</v>
          </cell>
          <cell r="E77">
            <v>16</v>
          </cell>
        </row>
        <row r="78">
          <cell r="A78" t="str">
            <v>B01C8QJSTM</v>
          </cell>
          <cell r="B78">
            <v>22</v>
          </cell>
          <cell r="C78">
            <v>16</v>
          </cell>
          <cell r="D78">
            <v>6</v>
          </cell>
          <cell r="E78">
            <v>10</v>
          </cell>
        </row>
        <row r="79">
          <cell r="A79" t="str">
            <v>B01C8QJU2C</v>
          </cell>
          <cell r="B79">
            <v>27</v>
          </cell>
          <cell r="C79">
            <v>20</v>
          </cell>
          <cell r="D79">
            <v>10</v>
          </cell>
          <cell r="E79">
            <v>12</v>
          </cell>
        </row>
        <row r="80">
          <cell r="A80" t="str">
            <v>B01C8QJV4Y</v>
          </cell>
          <cell r="B80">
            <v>3</v>
          </cell>
          <cell r="C80">
            <v>15</v>
          </cell>
          <cell r="D80">
            <v>7</v>
          </cell>
          <cell r="E80">
            <v>15</v>
          </cell>
        </row>
        <row r="81">
          <cell r="A81" t="str">
            <v>B01C8QJWB6</v>
          </cell>
          <cell r="B81">
            <v>11</v>
          </cell>
          <cell r="C81">
            <v>12</v>
          </cell>
          <cell r="D81">
            <v>9</v>
          </cell>
          <cell r="E81">
            <v>12</v>
          </cell>
        </row>
        <row r="82">
          <cell r="A82" t="str">
            <v>B01C8QJZ3Q</v>
          </cell>
          <cell r="B82">
            <v>72</v>
          </cell>
          <cell r="C82">
            <v>64</v>
          </cell>
          <cell r="D82">
            <v>42</v>
          </cell>
          <cell r="E82">
            <v>42</v>
          </cell>
        </row>
        <row r="83">
          <cell r="A83" t="str">
            <v>B01C8QK07Q</v>
          </cell>
          <cell r="B83">
            <v>74</v>
          </cell>
          <cell r="C83">
            <v>53</v>
          </cell>
          <cell r="D83">
            <v>41</v>
          </cell>
          <cell r="E83">
            <v>31</v>
          </cell>
        </row>
        <row r="84">
          <cell r="A84" t="str">
            <v>B01C8QK1DY</v>
          </cell>
          <cell r="B84">
            <v>61</v>
          </cell>
          <cell r="C84">
            <v>30</v>
          </cell>
          <cell r="D84">
            <v>24</v>
          </cell>
          <cell r="E84">
            <v>36</v>
          </cell>
        </row>
        <row r="85">
          <cell r="A85" t="str">
            <v>B01C8QK38M</v>
          </cell>
          <cell r="B85">
            <v>23</v>
          </cell>
          <cell r="C85">
            <v>26</v>
          </cell>
          <cell r="D85">
            <v>20</v>
          </cell>
          <cell r="E85">
            <v>16</v>
          </cell>
        </row>
        <row r="86">
          <cell r="A86" t="str">
            <v>B01C8QK4B8</v>
          </cell>
          <cell r="B86">
            <v>33</v>
          </cell>
          <cell r="C86">
            <v>18</v>
          </cell>
          <cell r="D86">
            <v>13</v>
          </cell>
          <cell r="E86">
            <v>11</v>
          </cell>
        </row>
        <row r="87">
          <cell r="A87" t="str">
            <v>B01C8QK5OO</v>
          </cell>
          <cell r="B87">
            <v>11</v>
          </cell>
          <cell r="C87">
            <v>19</v>
          </cell>
          <cell r="D87">
            <v>14</v>
          </cell>
          <cell r="E87">
            <v>14</v>
          </cell>
        </row>
        <row r="88">
          <cell r="A88" t="str">
            <v>B01C8QK6YI</v>
          </cell>
          <cell r="B88">
            <v>16</v>
          </cell>
          <cell r="C88">
            <v>12</v>
          </cell>
          <cell r="D88">
            <v>13</v>
          </cell>
          <cell r="E88">
            <v>13</v>
          </cell>
        </row>
        <row r="89">
          <cell r="A89" t="str">
            <v>B01C8QKBHK</v>
          </cell>
          <cell r="B89">
            <v>0</v>
          </cell>
          <cell r="C89">
            <v>0</v>
          </cell>
          <cell r="D89">
            <v>2</v>
          </cell>
          <cell r="E89">
            <v>2</v>
          </cell>
        </row>
        <row r="90">
          <cell r="A90" t="str">
            <v>B01C8QKE2M</v>
          </cell>
          <cell r="B90">
            <v>7</v>
          </cell>
          <cell r="C90">
            <v>10</v>
          </cell>
          <cell r="D90">
            <v>3</v>
          </cell>
          <cell r="E90">
            <v>3</v>
          </cell>
        </row>
        <row r="91">
          <cell r="A91" t="str">
            <v>B01C8QKGNY</v>
          </cell>
          <cell r="B91">
            <v>3</v>
          </cell>
          <cell r="C91">
            <v>4</v>
          </cell>
          <cell r="D91">
            <v>2</v>
          </cell>
          <cell r="E91">
            <v>4</v>
          </cell>
        </row>
        <row r="92">
          <cell r="A92" t="str">
            <v>B01C8QKK44</v>
          </cell>
          <cell r="B92">
            <v>0</v>
          </cell>
          <cell r="C92">
            <v>6</v>
          </cell>
          <cell r="D92">
            <v>2</v>
          </cell>
          <cell r="E92">
            <v>3</v>
          </cell>
        </row>
        <row r="93">
          <cell r="A93" t="str">
            <v>B01C8QL660</v>
          </cell>
          <cell r="B93">
            <v>5</v>
          </cell>
          <cell r="C93">
            <v>9</v>
          </cell>
          <cell r="D93">
            <v>4</v>
          </cell>
          <cell r="E93">
            <v>7</v>
          </cell>
        </row>
        <row r="94">
          <cell r="A94" t="str">
            <v>B01C8QL8B8</v>
          </cell>
          <cell r="B94">
            <v>0</v>
          </cell>
          <cell r="C94">
            <v>11</v>
          </cell>
          <cell r="D94">
            <v>3</v>
          </cell>
          <cell r="E94">
            <v>4</v>
          </cell>
        </row>
        <row r="95">
          <cell r="A95" t="str">
            <v>B01C8QLALQ</v>
          </cell>
          <cell r="B95">
            <v>0</v>
          </cell>
          <cell r="C95">
            <v>5</v>
          </cell>
          <cell r="D95">
            <v>1</v>
          </cell>
          <cell r="E95">
            <v>2</v>
          </cell>
        </row>
        <row r="96">
          <cell r="A96" t="str">
            <v>B01C8RELTS</v>
          </cell>
          <cell r="B96">
            <v>4</v>
          </cell>
          <cell r="C96">
            <v>8</v>
          </cell>
          <cell r="D96">
            <v>4</v>
          </cell>
          <cell r="E96">
            <v>7</v>
          </cell>
        </row>
        <row r="97">
          <cell r="A97" t="str">
            <v>B01C8REPAI</v>
          </cell>
          <cell r="B97">
            <v>0</v>
          </cell>
          <cell r="C97">
            <v>3</v>
          </cell>
          <cell r="D97">
            <v>14</v>
          </cell>
          <cell r="E97">
            <v>2</v>
          </cell>
        </row>
        <row r="98">
          <cell r="A98" t="str">
            <v>B01CFH87G4</v>
          </cell>
          <cell r="B98">
            <v>104</v>
          </cell>
          <cell r="C98">
            <v>69</v>
          </cell>
          <cell r="D98">
            <v>38</v>
          </cell>
          <cell r="E98">
            <v>29</v>
          </cell>
        </row>
        <row r="99">
          <cell r="A99" t="str">
            <v>B01CFH8836</v>
          </cell>
          <cell r="B99">
            <v>30</v>
          </cell>
          <cell r="C99">
            <v>97</v>
          </cell>
          <cell r="D99">
            <v>83</v>
          </cell>
          <cell r="E99">
            <v>281</v>
          </cell>
        </row>
        <row r="100">
          <cell r="A100" t="str">
            <v>B01CFH8ALQ</v>
          </cell>
          <cell r="B100">
            <v>68</v>
          </cell>
          <cell r="C100">
            <v>171</v>
          </cell>
          <cell r="D100">
            <v>53</v>
          </cell>
          <cell r="E100">
            <v>72</v>
          </cell>
        </row>
        <row r="101">
          <cell r="A101" t="str">
            <v>B01CNJQ7TS</v>
          </cell>
          <cell r="B101">
            <v>0</v>
          </cell>
          <cell r="C101">
            <v>7</v>
          </cell>
          <cell r="D101">
            <v>2</v>
          </cell>
          <cell r="E101">
            <v>2</v>
          </cell>
        </row>
        <row r="102">
          <cell r="A102" t="str">
            <v>B01DZVJKEM</v>
          </cell>
          <cell r="B102">
            <v>4</v>
          </cell>
          <cell r="C102">
            <v>4</v>
          </cell>
          <cell r="D102">
            <v>2</v>
          </cell>
          <cell r="E102">
            <v>3</v>
          </cell>
        </row>
        <row r="103">
          <cell r="A103" t="str">
            <v>B01EG11EN0</v>
          </cell>
          <cell r="B103">
            <v>2</v>
          </cell>
          <cell r="C103">
            <v>7</v>
          </cell>
          <cell r="D103">
            <v>7</v>
          </cell>
          <cell r="E103">
            <v>2</v>
          </cell>
        </row>
        <row r="104">
          <cell r="A104" t="str">
            <v>B01F5LOVPI</v>
          </cell>
          <cell r="B104">
            <v>2</v>
          </cell>
          <cell r="C104">
            <v>1</v>
          </cell>
          <cell r="D104">
            <v>3</v>
          </cell>
          <cell r="E104">
            <v>2</v>
          </cell>
        </row>
        <row r="105">
          <cell r="A105" t="str">
            <v>B01F5LOXBU</v>
          </cell>
          <cell r="B105">
            <v>0</v>
          </cell>
          <cell r="C105">
            <v>2</v>
          </cell>
          <cell r="D105">
            <v>2</v>
          </cell>
          <cell r="E105">
            <v>5</v>
          </cell>
        </row>
        <row r="106">
          <cell r="A106" t="str">
            <v>B01F5LOYG4</v>
          </cell>
          <cell r="B106">
            <v>3</v>
          </cell>
          <cell r="C106">
            <v>2</v>
          </cell>
          <cell r="D106">
            <v>3</v>
          </cell>
          <cell r="E106">
            <v>2</v>
          </cell>
        </row>
        <row r="107">
          <cell r="A107" t="str">
            <v>B01F5LPRMY</v>
          </cell>
          <cell r="B107">
            <v>2</v>
          </cell>
          <cell r="C107">
            <v>2</v>
          </cell>
          <cell r="D107">
            <v>1</v>
          </cell>
          <cell r="E107">
            <v>3</v>
          </cell>
        </row>
        <row r="108">
          <cell r="A108" t="str">
            <v>B01F5LPTAO</v>
          </cell>
          <cell r="B108">
            <v>2</v>
          </cell>
          <cell r="C108">
            <v>5</v>
          </cell>
          <cell r="D108">
            <v>2</v>
          </cell>
          <cell r="E108">
            <v>5</v>
          </cell>
        </row>
        <row r="109">
          <cell r="A109" t="str">
            <v>B01F5LPV52</v>
          </cell>
          <cell r="B109">
            <v>2</v>
          </cell>
          <cell r="C109">
            <v>3</v>
          </cell>
          <cell r="D109">
            <v>2</v>
          </cell>
          <cell r="E109">
            <v>3</v>
          </cell>
        </row>
        <row r="110">
          <cell r="A110" t="str">
            <v>B01F5LPWZQ</v>
          </cell>
          <cell r="B110">
            <v>4</v>
          </cell>
          <cell r="C110">
            <v>3</v>
          </cell>
          <cell r="D110">
            <v>1</v>
          </cell>
          <cell r="E110">
            <v>2</v>
          </cell>
        </row>
        <row r="111">
          <cell r="A111" t="str">
            <v>B01F5LPX32</v>
          </cell>
          <cell r="B111">
            <v>1</v>
          </cell>
          <cell r="C111">
            <v>5</v>
          </cell>
          <cell r="D111">
            <v>1</v>
          </cell>
          <cell r="E111">
            <v>5</v>
          </cell>
        </row>
        <row r="112">
          <cell r="A112" t="str">
            <v>B01F5LPYAO</v>
          </cell>
          <cell r="B112">
            <v>14</v>
          </cell>
          <cell r="C112">
            <v>8</v>
          </cell>
          <cell r="D112">
            <v>5</v>
          </cell>
          <cell r="E112">
            <v>4</v>
          </cell>
        </row>
        <row r="113">
          <cell r="A113" t="str">
            <v>B01F5LPZG2</v>
          </cell>
          <cell r="B113">
            <v>2</v>
          </cell>
          <cell r="C113">
            <v>3</v>
          </cell>
          <cell r="D113">
            <v>3</v>
          </cell>
          <cell r="E113">
            <v>4</v>
          </cell>
        </row>
        <row r="114">
          <cell r="A114" t="str">
            <v>B01F5LQ57U</v>
          </cell>
          <cell r="B114">
            <v>3</v>
          </cell>
          <cell r="C114">
            <v>4</v>
          </cell>
          <cell r="D114">
            <v>2</v>
          </cell>
          <cell r="E114">
            <v>3</v>
          </cell>
        </row>
        <row r="115">
          <cell r="A115" t="str">
            <v>B01F5LQBSI</v>
          </cell>
          <cell r="B115">
            <v>11</v>
          </cell>
          <cell r="C115">
            <v>6</v>
          </cell>
          <cell r="D115">
            <v>3</v>
          </cell>
          <cell r="E115">
            <v>5</v>
          </cell>
        </row>
        <row r="116">
          <cell r="A116" t="str">
            <v>B01F5LQH4Q</v>
          </cell>
          <cell r="B116">
            <v>5</v>
          </cell>
          <cell r="C116">
            <v>7</v>
          </cell>
          <cell r="D116">
            <v>5</v>
          </cell>
          <cell r="E116">
            <v>3</v>
          </cell>
        </row>
        <row r="117">
          <cell r="A117" t="str">
            <v>B01F5LQI72</v>
          </cell>
          <cell r="B117">
            <v>10</v>
          </cell>
          <cell r="C117">
            <v>3</v>
          </cell>
          <cell r="D117">
            <v>8</v>
          </cell>
          <cell r="E117">
            <v>2</v>
          </cell>
        </row>
        <row r="118">
          <cell r="A118" t="str">
            <v>B01F5LQJMG</v>
          </cell>
          <cell r="B118">
            <v>3</v>
          </cell>
          <cell r="C118">
            <v>2</v>
          </cell>
          <cell r="D118">
            <v>3</v>
          </cell>
          <cell r="E118">
            <v>2</v>
          </cell>
        </row>
        <row r="119">
          <cell r="A119" t="str">
            <v>B01F5LQLA6</v>
          </cell>
          <cell r="B119">
            <v>8</v>
          </cell>
          <cell r="C119">
            <v>3</v>
          </cell>
          <cell r="D119">
            <v>4</v>
          </cell>
          <cell r="E119">
            <v>4</v>
          </cell>
        </row>
        <row r="120">
          <cell r="A120" t="str">
            <v>B01F5LQLW4</v>
          </cell>
          <cell r="B120">
            <v>6</v>
          </cell>
          <cell r="C120">
            <v>10</v>
          </cell>
          <cell r="D120">
            <v>7</v>
          </cell>
          <cell r="E120">
            <v>6</v>
          </cell>
        </row>
        <row r="121">
          <cell r="A121" t="str">
            <v>B01F5LQQX8</v>
          </cell>
          <cell r="B121">
            <v>9</v>
          </cell>
          <cell r="C121">
            <v>21</v>
          </cell>
          <cell r="D121">
            <v>10</v>
          </cell>
          <cell r="E121">
            <v>10</v>
          </cell>
        </row>
        <row r="122">
          <cell r="A122" t="str">
            <v>B01F5LQV9W</v>
          </cell>
          <cell r="B122">
            <v>2</v>
          </cell>
          <cell r="C122">
            <v>2</v>
          </cell>
          <cell r="D122">
            <v>6</v>
          </cell>
          <cell r="E122">
            <v>1</v>
          </cell>
        </row>
        <row r="123">
          <cell r="A123" t="str">
            <v>B01F5LRA0G</v>
          </cell>
          <cell r="B123">
            <v>1</v>
          </cell>
          <cell r="C123">
            <v>5</v>
          </cell>
          <cell r="D123">
            <v>3</v>
          </cell>
          <cell r="E123">
            <v>2</v>
          </cell>
        </row>
        <row r="124">
          <cell r="A124" t="str">
            <v>B01F5LSHAI</v>
          </cell>
          <cell r="B124">
            <v>1</v>
          </cell>
          <cell r="C124">
            <v>3</v>
          </cell>
          <cell r="D124">
            <v>2</v>
          </cell>
          <cell r="E124">
            <v>1</v>
          </cell>
        </row>
        <row r="125">
          <cell r="A125" t="str">
            <v>B01F5LSIVQ</v>
          </cell>
          <cell r="B125">
            <v>2</v>
          </cell>
          <cell r="C125">
            <v>3</v>
          </cell>
          <cell r="D125">
            <v>2</v>
          </cell>
          <cell r="E125">
            <v>1</v>
          </cell>
        </row>
        <row r="126">
          <cell r="A126" t="str">
            <v>B01F5LSKQ4</v>
          </cell>
          <cell r="B126">
            <v>4</v>
          </cell>
          <cell r="C126">
            <v>4</v>
          </cell>
          <cell r="D126">
            <v>3</v>
          </cell>
          <cell r="E126">
            <v>1</v>
          </cell>
        </row>
        <row r="127">
          <cell r="A127" t="str">
            <v>B01F5LSPOG</v>
          </cell>
          <cell r="B127">
            <v>1</v>
          </cell>
          <cell r="C127">
            <v>4</v>
          </cell>
          <cell r="D127">
            <v>2</v>
          </cell>
          <cell r="E127">
            <v>1</v>
          </cell>
        </row>
        <row r="128">
          <cell r="A128" t="str">
            <v>B01FHNOCA8</v>
          </cell>
          <cell r="B128">
            <v>40</v>
          </cell>
          <cell r="C128">
            <v>22</v>
          </cell>
          <cell r="D128">
            <v>20</v>
          </cell>
          <cell r="E128">
            <v>18</v>
          </cell>
        </row>
        <row r="129">
          <cell r="A129" t="str">
            <v>B01FS78ER0</v>
          </cell>
          <cell r="B129">
            <v>1</v>
          </cell>
          <cell r="C129">
            <v>4</v>
          </cell>
          <cell r="D129">
            <v>2</v>
          </cell>
          <cell r="E129">
            <v>3</v>
          </cell>
        </row>
        <row r="130">
          <cell r="A130" t="str">
            <v>B01FS78GPU</v>
          </cell>
          <cell r="B130">
            <v>0</v>
          </cell>
          <cell r="C130">
            <v>4</v>
          </cell>
          <cell r="D130">
            <v>3</v>
          </cell>
          <cell r="E130">
            <v>1</v>
          </cell>
        </row>
        <row r="131">
          <cell r="A131" t="str">
            <v>B01FS78I3A</v>
          </cell>
          <cell r="B131">
            <v>0</v>
          </cell>
          <cell r="C131">
            <v>5</v>
          </cell>
          <cell r="D131">
            <v>3</v>
          </cell>
          <cell r="E131">
            <v>4</v>
          </cell>
        </row>
        <row r="132">
          <cell r="A132" t="str">
            <v>B01FS78IA8</v>
          </cell>
          <cell r="B132">
            <v>48</v>
          </cell>
          <cell r="C132">
            <v>49</v>
          </cell>
          <cell r="D132">
            <v>28</v>
          </cell>
          <cell r="E132">
            <v>21</v>
          </cell>
        </row>
        <row r="133">
          <cell r="A133" t="str">
            <v>B01FS78RKY</v>
          </cell>
          <cell r="B133">
            <v>5</v>
          </cell>
          <cell r="C133">
            <v>2</v>
          </cell>
          <cell r="D133">
            <v>4</v>
          </cell>
          <cell r="E133">
            <v>3</v>
          </cell>
        </row>
        <row r="134">
          <cell r="A134" t="str">
            <v>B01H1X94SC</v>
          </cell>
          <cell r="B134">
            <v>48</v>
          </cell>
          <cell r="C134">
            <v>38</v>
          </cell>
          <cell r="D134">
            <v>24</v>
          </cell>
          <cell r="E134">
            <v>24</v>
          </cell>
        </row>
        <row r="135">
          <cell r="A135" t="str">
            <v>B01H1X9GOY</v>
          </cell>
          <cell r="B135">
            <v>54</v>
          </cell>
          <cell r="C135">
            <v>39</v>
          </cell>
          <cell r="D135">
            <v>30</v>
          </cell>
          <cell r="E135">
            <v>34</v>
          </cell>
        </row>
        <row r="136">
          <cell r="A136" t="str">
            <v>B01H1X9H2K</v>
          </cell>
          <cell r="B136">
            <v>125</v>
          </cell>
          <cell r="C136">
            <v>91</v>
          </cell>
          <cell r="D136">
            <v>75</v>
          </cell>
          <cell r="E136">
            <v>63</v>
          </cell>
        </row>
        <row r="137">
          <cell r="A137" t="str">
            <v>B01H1X9IS8</v>
          </cell>
          <cell r="B137">
            <v>37</v>
          </cell>
          <cell r="C137">
            <v>30</v>
          </cell>
          <cell r="D137">
            <v>76</v>
          </cell>
          <cell r="E137">
            <v>21</v>
          </cell>
        </row>
        <row r="138">
          <cell r="A138" t="str">
            <v>B01H1X9J3W</v>
          </cell>
          <cell r="B138">
            <v>160</v>
          </cell>
          <cell r="C138">
            <v>148</v>
          </cell>
          <cell r="D138">
            <v>64</v>
          </cell>
          <cell r="E138">
            <v>89</v>
          </cell>
        </row>
        <row r="139">
          <cell r="A139" t="str">
            <v>B01H1X9LNA</v>
          </cell>
          <cell r="B139">
            <v>50</v>
          </cell>
          <cell r="C139">
            <v>26</v>
          </cell>
          <cell r="D139">
            <v>24</v>
          </cell>
          <cell r="E139">
            <v>22</v>
          </cell>
        </row>
        <row r="140">
          <cell r="A140" t="str">
            <v>B01H1X9LZS</v>
          </cell>
          <cell r="B140">
            <v>107</v>
          </cell>
          <cell r="C140">
            <v>116</v>
          </cell>
          <cell r="D140">
            <v>92</v>
          </cell>
          <cell r="E140">
            <v>67</v>
          </cell>
        </row>
        <row r="141">
          <cell r="A141" t="str">
            <v>B01H1X9MJI</v>
          </cell>
          <cell r="B141">
            <v>67</v>
          </cell>
          <cell r="C141">
            <v>64</v>
          </cell>
          <cell r="D141">
            <v>35</v>
          </cell>
          <cell r="E141">
            <v>46</v>
          </cell>
        </row>
        <row r="142">
          <cell r="A142" t="str">
            <v>B01H1X9MTS</v>
          </cell>
          <cell r="B142">
            <v>81</v>
          </cell>
          <cell r="C142">
            <v>63</v>
          </cell>
          <cell r="D142">
            <v>49</v>
          </cell>
          <cell r="E142">
            <v>44</v>
          </cell>
        </row>
        <row r="143">
          <cell r="A143" t="str">
            <v>B01H1X9NS8</v>
          </cell>
          <cell r="B143">
            <v>102</v>
          </cell>
          <cell r="C143">
            <v>84</v>
          </cell>
          <cell r="D143">
            <v>62</v>
          </cell>
          <cell r="E143">
            <v>56</v>
          </cell>
        </row>
        <row r="144">
          <cell r="A144" t="str">
            <v>B01H1X9QAI</v>
          </cell>
          <cell r="B144">
            <v>227</v>
          </cell>
          <cell r="C144">
            <v>184</v>
          </cell>
          <cell r="D144">
            <v>142</v>
          </cell>
          <cell r="E144">
            <v>139</v>
          </cell>
        </row>
        <row r="145">
          <cell r="A145" t="str">
            <v>B01H1X9QL2</v>
          </cell>
          <cell r="B145">
            <v>522</v>
          </cell>
          <cell r="C145">
            <v>589</v>
          </cell>
          <cell r="D145">
            <v>351</v>
          </cell>
          <cell r="E145">
            <v>372</v>
          </cell>
        </row>
        <row r="146">
          <cell r="A146" t="str">
            <v>B01HD5WM8C</v>
          </cell>
          <cell r="B146">
            <v>17</v>
          </cell>
          <cell r="C146">
            <v>13</v>
          </cell>
          <cell r="D146">
            <v>16</v>
          </cell>
          <cell r="E146">
            <v>6</v>
          </cell>
        </row>
        <row r="147">
          <cell r="A147" t="str">
            <v>B01HI25JNK</v>
          </cell>
          <cell r="B147">
            <v>15</v>
          </cell>
          <cell r="C147">
            <v>9</v>
          </cell>
          <cell r="D147">
            <v>16</v>
          </cell>
          <cell r="E147">
            <v>10</v>
          </cell>
        </row>
        <row r="148">
          <cell r="A148" t="str">
            <v>B01J9WXAOW</v>
          </cell>
          <cell r="B148">
            <v>77</v>
          </cell>
          <cell r="C148">
            <v>77</v>
          </cell>
          <cell r="D148">
            <v>48</v>
          </cell>
          <cell r="E148">
            <v>40</v>
          </cell>
        </row>
        <row r="149">
          <cell r="A149" t="str">
            <v>B01JIQOP7K</v>
          </cell>
          <cell r="B149">
            <v>4</v>
          </cell>
          <cell r="C149">
            <v>3</v>
          </cell>
          <cell r="D149">
            <v>2</v>
          </cell>
          <cell r="E149">
            <v>3</v>
          </cell>
        </row>
        <row r="150">
          <cell r="A150" t="str">
            <v>B01JIQOZ6G</v>
          </cell>
          <cell r="B150">
            <v>6</v>
          </cell>
          <cell r="C150">
            <v>3</v>
          </cell>
          <cell r="D150">
            <v>2</v>
          </cell>
          <cell r="E150">
            <v>5</v>
          </cell>
        </row>
        <row r="151">
          <cell r="A151" t="str">
            <v>B01JIVDZ4O</v>
          </cell>
          <cell r="B151">
            <v>4</v>
          </cell>
          <cell r="C151">
            <v>5</v>
          </cell>
          <cell r="D151">
            <v>2</v>
          </cell>
          <cell r="E151">
            <v>4</v>
          </cell>
        </row>
        <row r="152">
          <cell r="A152" t="str">
            <v>B01JIWOFRY</v>
          </cell>
          <cell r="B152">
            <v>6</v>
          </cell>
          <cell r="C152">
            <v>6</v>
          </cell>
          <cell r="D152">
            <v>1</v>
          </cell>
          <cell r="E152">
            <v>6</v>
          </cell>
        </row>
        <row r="153">
          <cell r="A153" t="str">
            <v>B01JIXIBZU</v>
          </cell>
          <cell r="B153">
            <v>14</v>
          </cell>
          <cell r="C153">
            <v>8</v>
          </cell>
          <cell r="D153">
            <v>4</v>
          </cell>
          <cell r="E153">
            <v>7</v>
          </cell>
        </row>
        <row r="154">
          <cell r="A154" t="str">
            <v>B01JIXJ6JU</v>
          </cell>
          <cell r="B154">
            <v>4</v>
          </cell>
          <cell r="C154">
            <v>2</v>
          </cell>
          <cell r="D154">
            <v>1</v>
          </cell>
          <cell r="E154">
            <v>2</v>
          </cell>
        </row>
        <row r="155">
          <cell r="A155" t="str">
            <v>B01JIXJ7AS</v>
          </cell>
          <cell r="B155">
            <v>4</v>
          </cell>
          <cell r="C155">
            <v>9</v>
          </cell>
          <cell r="D155">
            <v>1</v>
          </cell>
          <cell r="E155">
            <v>6</v>
          </cell>
        </row>
        <row r="156">
          <cell r="A156" t="str">
            <v>B01JIXJGGI</v>
          </cell>
          <cell r="B156">
            <v>6</v>
          </cell>
          <cell r="C156">
            <v>7</v>
          </cell>
          <cell r="D156">
            <v>1</v>
          </cell>
          <cell r="E156">
            <v>5</v>
          </cell>
        </row>
        <row r="157">
          <cell r="A157" t="str">
            <v>B01JIXJQ3Q</v>
          </cell>
          <cell r="B157">
            <v>1</v>
          </cell>
          <cell r="C157">
            <v>8</v>
          </cell>
          <cell r="D157">
            <v>7</v>
          </cell>
          <cell r="E157">
            <v>4</v>
          </cell>
        </row>
        <row r="158">
          <cell r="A158" t="str">
            <v>B01JIXJQZY</v>
          </cell>
          <cell r="B158">
            <v>15</v>
          </cell>
          <cell r="C158">
            <v>12</v>
          </cell>
          <cell r="D158">
            <v>5</v>
          </cell>
          <cell r="E158">
            <v>6</v>
          </cell>
        </row>
        <row r="159">
          <cell r="A159" t="str">
            <v>B01JIXJRRQ</v>
          </cell>
          <cell r="B159">
            <v>24</v>
          </cell>
          <cell r="C159">
            <v>15</v>
          </cell>
          <cell r="D159">
            <v>6</v>
          </cell>
          <cell r="E159">
            <v>8</v>
          </cell>
        </row>
        <row r="160">
          <cell r="A160" t="str">
            <v>B01JLWM1S6</v>
          </cell>
          <cell r="B160">
            <v>5</v>
          </cell>
          <cell r="C160">
            <v>5</v>
          </cell>
          <cell r="D160">
            <v>1</v>
          </cell>
          <cell r="E160">
            <v>3</v>
          </cell>
        </row>
        <row r="161">
          <cell r="A161" t="str">
            <v>B01JTZJNMM</v>
          </cell>
          <cell r="B161">
            <v>14</v>
          </cell>
          <cell r="C161">
            <v>16</v>
          </cell>
          <cell r="D161">
            <v>5</v>
          </cell>
          <cell r="E161">
            <v>6</v>
          </cell>
        </row>
        <row r="162">
          <cell r="A162" t="str">
            <v>B01M3R3CVA</v>
          </cell>
          <cell r="B162">
            <v>13</v>
          </cell>
          <cell r="C162">
            <v>15</v>
          </cell>
          <cell r="D162">
            <v>23</v>
          </cell>
          <cell r="E162">
            <v>15</v>
          </cell>
        </row>
        <row r="163">
          <cell r="A163" t="str">
            <v>B01MQVZTK6</v>
          </cell>
          <cell r="B163">
            <v>2</v>
          </cell>
          <cell r="C163">
            <v>0</v>
          </cell>
          <cell r="D163">
            <v>2</v>
          </cell>
          <cell r="E163">
            <v>5</v>
          </cell>
        </row>
        <row r="164">
          <cell r="A164" t="str">
            <v>B01MU0MJXX</v>
          </cell>
          <cell r="B164">
            <v>10</v>
          </cell>
          <cell r="C164">
            <v>57</v>
          </cell>
          <cell r="D164">
            <v>30</v>
          </cell>
          <cell r="E164">
            <v>22</v>
          </cell>
        </row>
        <row r="165">
          <cell r="A165" t="str">
            <v>B01MU5D7SA</v>
          </cell>
          <cell r="B165">
            <v>1</v>
          </cell>
          <cell r="C165">
            <v>5</v>
          </cell>
          <cell r="D165">
            <v>3</v>
          </cell>
          <cell r="E165">
            <v>5</v>
          </cell>
        </row>
        <row r="166">
          <cell r="A166" t="str">
            <v>B01MXWAV9T</v>
          </cell>
          <cell r="B166">
            <v>562</v>
          </cell>
          <cell r="C166">
            <v>666</v>
          </cell>
          <cell r="D166">
            <v>506</v>
          </cell>
          <cell r="E166">
            <v>619</v>
          </cell>
        </row>
        <row r="167">
          <cell r="A167" t="str">
            <v>B01MY2YKZD</v>
          </cell>
          <cell r="B167">
            <v>5</v>
          </cell>
          <cell r="C167">
            <v>3</v>
          </cell>
          <cell r="D167">
            <v>2</v>
          </cell>
          <cell r="E167">
            <v>2</v>
          </cell>
        </row>
        <row r="168">
          <cell r="A168" t="str">
            <v>B01MY2YM1G</v>
          </cell>
          <cell r="B168">
            <v>10</v>
          </cell>
          <cell r="C168">
            <v>4</v>
          </cell>
          <cell r="D168">
            <v>1</v>
          </cell>
          <cell r="E168">
            <v>4</v>
          </cell>
        </row>
        <row r="169">
          <cell r="A169" t="str">
            <v>B01MZ4IUXK</v>
          </cell>
          <cell r="B169">
            <v>3</v>
          </cell>
          <cell r="C169">
            <v>5</v>
          </cell>
          <cell r="D169">
            <v>1</v>
          </cell>
          <cell r="E169">
            <v>4</v>
          </cell>
        </row>
        <row r="170">
          <cell r="A170" t="str">
            <v>B01N11KD8V</v>
          </cell>
          <cell r="B170">
            <v>6</v>
          </cell>
          <cell r="C170">
            <v>2</v>
          </cell>
          <cell r="D170">
            <v>2</v>
          </cell>
          <cell r="E170">
            <v>5</v>
          </cell>
        </row>
        <row r="171">
          <cell r="A171" t="str">
            <v>B01N1QHOWE</v>
          </cell>
          <cell r="B171">
            <v>3</v>
          </cell>
          <cell r="C171">
            <v>4</v>
          </cell>
          <cell r="D171">
            <v>0</v>
          </cell>
          <cell r="E171">
            <v>2</v>
          </cell>
        </row>
        <row r="172">
          <cell r="A172" t="str">
            <v>B01N1TCE79</v>
          </cell>
          <cell r="B172">
            <v>1</v>
          </cell>
          <cell r="C172">
            <v>4</v>
          </cell>
          <cell r="D172">
            <v>1</v>
          </cell>
          <cell r="E172">
            <v>2</v>
          </cell>
        </row>
        <row r="173">
          <cell r="A173" t="str">
            <v>B01N5F80GD</v>
          </cell>
          <cell r="B173">
            <v>8</v>
          </cell>
          <cell r="C173">
            <v>11</v>
          </cell>
          <cell r="D173">
            <v>7</v>
          </cell>
          <cell r="E173">
            <v>8</v>
          </cell>
        </row>
        <row r="174">
          <cell r="A174" t="str">
            <v>B01N5K55XV</v>
          </cell>
          <cell r="B174">
            <v>1</v>
          </cell>
          <cell r="C174">
            <v>6</v>
          </cell>
          <cell r="D174">
            <v>2</v>
          </cell>
          <cell r="E174">
            <v>1</v>
          </cell>
        </row>
        <row r="175">
          <cell r="A175" t="str">
            <v>B01N5K66OY</v>
          </cell>
          <cell r="B175">
            <v>2</v>
          </cell>
          <cell r="C175">
            <v>3</v>
          </cell>
          <cell r="D175">
            <v>1</v>
          </cell>
          <cell r="E175">
            <v>2</v>
          </cell>
        </row>
        <row r="176">
          <cell r="A176" t="str">
            <v>B01N5K685I</v>
          </cell>
          <cell r="B176">
            <v>0</v>
          </cell>
          <cell r="C176">
            <v>0</v>
          </cell>
          <cell r="D176">
            <v>4</v>
          </cell>
          <cell r="E176">
            <v>6</v>
          </cell>
        </row>
        <row r="177">
          <cell r="A177" t="str">
            <v>B01N6EZKR8</v>
          </cell>
          <cell r="B177">
            <v>3</v>
          </cell>
          <cell r="C177">
            <v>7</v>
          </cell>
          <cell r="D177">
            <v>4</v>
          </cell>
          <cell r="E177">
            <v>2</v>
          </cell>
        </row>
        <row r="178">
          <cell r="A178" t="str">
            <v>B01N6LLBPH</v>
          </cell>
          <cell r="B178">
            <v>8</v>
          </cell>
          <cell r="C178">
            <v>9</v>
          </cell>
          <cell r="D178">
            <v>14</v>
          </cell>
          <cell r="E178">
            <v>12</v>
          </cell>
        </row>
        <row r="179">
          <cell r="A179" t="str">
            <v>B01N6LLCID</v>
          </cell>
          <cell r="B179">
            <v>9</v>
          </cell>
          <cell r="C179">
            <v>5</v>
          </cell>
          <cell r="D179">
            <v>4</v>
          </cell>
          <cell r="E179">
            <v>3</v>
          </cell>
        </row>
        <row r="180">
          <cell r="A180" t="str">
            <v>B01N7A9Z1L</v>
          </cell>
          <cell r="B180">
            <v>6</v>
          </cell>
          <cell r="C180">
            <v>4</v>
          </cell>
          <cell r="D180">
            <v>3</v>
          </cell>
          <cell r="E180">
            <v>4</v>
          </cell>
        </row>
        <row r="181">
          <cell r="A181" t="str">
            <v>B01N7ENPJR</v>
          </cell>
          <cell r="B181">
            <v>47</v>
          </cell>
          <cell r="C181">
            <v>19</v>
          </cell>
          <cell r="D181">
            <v>2</v>
          </cell>
          <cell r="E181">
            <v>12</v>
          </cell>
        </row>
        <row r="182">
          <cell r="A182" t="str">
            <v>B01NBIQ076</v>
          </cell>
          <cell r="B182">
            <v>1094</v>
          </cell>
          <cell r="C182">
            <v>857</v>
          </cell>
          <cell r="D182">
            <v>657</v>
          </cell>
          <cell r="E182">
            <v>379</v>
          </cell>
        </row>
        <row r="183">
          <cell r="A183" t="str">
            <v>B01NBPDI0J</v>
          </cell>
          <cell r="B183">
            <v>37</v>
          </cell>
          <cell r="C183">
            <v>16</v>
          </cell>
          <cell r="D183">
            <v>16</v>
          </cell>
          <cell r="E183">
            <v>10</v>
          </cell>
        </row>
        <row r="184">
          <cell r="A184" t="str">
            <v>B01NCQUN57</v>
          </cell>
          <cell r="B184">
            <v>0</v>
          </cell>
          <cell r="C184">
            <v>15</v>
          </cell>
          <cell r="D184">
            <v>7</v>
          </cell>
          <cell r="E184">
            <v>7</v>
          </cell>
        </row>
        <row r="185">
          <cell r="A185" t="str">
            <v>B01NH0QNOS</v>
          </cell>
          <cell r="B185">
            <v>3</v>
          </cell>
          <cell r="C185">
            <v>16</v>
          </cell>
          <cell r="D185">
            <v>6</v>
          </cell>
          <cell r="E185">
            <v>5</v>
          </cell>
        </row>
        <row r="186">
          <cell r="A186" t="str">
            <v>B06VVVKQGY</v>
          </cell>
          <cell r="B186">
            <v>0</v>
          </cell>
          <cell r="C186">
            <v>0</v>
          </cell>
          <cell r="D186">
            <v>0</v>
          </cell>
          <cell r="E186">
            <v>1</v>
          </cell>
        </row>
        <row r="187">
          <cell r="A187" t="str">
            <v>B06XBXSLXK</v>
          </cell>
          <cell r="B187">
            <v>0</v>
          </cell>
          <cell r="C187">
            <v>0</v>
          </cell>
          <cell r="D187">
            <v>0</v>
          </cell>
          <cell r="E187">
            <v>5</v>
          </cell>
        </row>
        <row r="188">
          <cell r="A188" t="str">
            <v>B06XGC4JMJ</v>
          </cell>
          <cell r="B188">
            <v>4</v>
          </cell>
          <cell r="C188">
            <v>5</v>
          </cell>
          <cell r="D188">
            <v>4</v>
          </cell>
          <cell r="E188">
            <v>2</v>
          </cell>
        </row>
        <row r="189">
          <cell r="A189" t="str">
            <v>B06XWZGBSS</v>
          </cell>
          <cell r="B189">
            <v>30</v>
          </cell>
          <cell r="C189">
            <v>60</v>
          </cell>
          <cell r="D189">
            <v>30</v>
          </cell>
          <cell r="E189">
            <v>38</v>
          </cell>
        </row>
        <row r="190">
          <cell r="A190" t="str">
            <v>B06XX63P51</v>
          </cell>
          <cell r="B190">
            <v>27</v>
          </cell>
          <cell r="C190">
            <v>35</v>
          </cell>
          <cell r="D190">
            <v>27</v>
          </cell>
          <cell r="E190">
            <v>28</v>
          </cell>
        </row>
        <row r="191">
          <cell r="A191" t="str">
            <v>B06XX6W66W</v>
          </cell>
          <cell r="B191">
            <v>46</v>
          </cell>
          <cell r="C191">
            <v>63</v>
          </cell>
          <cell r="D191">
            <v>67</v>
          </cell>
          <cell r="E191">
            <v>60</v>
          </cell>
        </row>
        <row r="192">
          <cell r="A192" t="str">
            <v>B06XXGBRDS</v>
          </cell>
          <cell r="B192">
            <v>183</v>
          </cell>
          <cell r="C192">
            <v>145</v>
          </cell>
          <cell r="D192">
            <v>54</v>
          </cell>
          <cell r="E192">
            <v>154</v>
          </cell>
        </row>
        <row r="193">
          <cell r="A193" t="str">
            <v>B06XYCCH1V</v>
          </cell>
          <cell r="B193">
            <v>0</v>
          </cell>
          <cell r="C193">
            <v>0</v>
          </cell>
          <cell r="D193">
            <v>42</v>
          </cell>
          <cell r="E193">
            <v>13</v>
          </cell>
        </row>
        <row r="194">
          <cell r="A194" t="str">
            <v>B06Y1Z87TL</v>
          </cell>
          <cell r="B194">
            <v>28</v>
          </cell>
          <cell r="C194">
            <v>35</v>
          </cell>
          <cell r="D194">
            <v>55</v>
          </cell>
          <cell r="E194">
            <v>35</v>
          </cell>
        </row>
        <row r="195">
          <cell r="A195" t="str">
            <v>B06Y2FCQ18</v>
          </cell>
          <cell r="B195">
            <v>32</v>
          </cell>
          <cell r="C195">
            <v>46</v>
          </cell>
          <cell r="D195">
            <v>23</v>
          </cell>
          <cell r="E195">
            <v>31</v>
          </cell>
        </row>
        <row r="196">
          <cell r="A196" t="str">
            <v>B06Y3VWWSZ</v>
          </cell>
          <cell r="B196">
            <v>5</v>
          </cell>
          <cell r="C196">
            <v>5</v>
          </cell>
          <cell r="D196">
            <v>3</v>
          </cell>
          <cell r="E196">
            <v>4</v>
          </cell>
        </row>
        <row r="197">
          <cell r="A197" t="str">
            <v>B06Y3WW4P7</v>
          </cell>
          <cell r="B197">
            <v>0</v>
          </cell>
          <cell r="C197">
            <v>4</v>
          </cell>
          <cell r="D197">
            <v>1</v>
          </cell>
          <cell r="E197">
            <v>2</v>
          </cell>
        </row>
        <row r="198">
          <cell r="A198" t="str">
            <v>B06Y47NXM7</v>
          </cell>
          <cell r="B198">
            <v>0</v>
          </cell>
          <cell r="C198">
            <v>7</v>
          </cell>
          <cell r="D198">
            <v>2</v>
          </cell>
          <cell r="E198">
            <v>5</v>
          </cell>
        </row>
        <row r="199">
          <cell r="A199" t="str">
            <v>B06Y47R11C</v>
          </cell>
          <cell r="B199">
            <v>0</v>
          </cell>
          <cell r="C199">
            <v>17</v>
          </cell>
          <cell r="D199">
            <v>4</v>
          </cell>
          <cell r="E199">
            <v>1</v>
          </cell>
        </row>
        <row r="200">
          <cell r="A200" t="str">
            <v>B06Y5DBBRQ</v>
          </cell>
          <cell r="B200">
            <v>5</v>
          </cell>
          <cell r="C200">
            <v>5</v>
          </cell>
          <cell r="D200">
            <v>2</v>
          </cell>
          <cell r="E200">
            <v>2</v>
          </cell>
        </row>
        <row r="201">
          <cell r="A201" t="str">
            <v>B06Y5DS5M8</v>
          </cell>
          <cell r="B201">
            <v>4</v>
          </cell>
          <cell r="C201">
            <v>3</v>
          </cell>
          <cell r="D201">
            <v>0</v>
          </cell>
          <cell r="E201">
            <v>1</v>
          </cell>
        </row>
        <row r="202">
          <cell r="A202" t="str">
            <v>B06Y5QY9XG</v>
          </cell>
          <cell r="B202">
            <v>13</v>
          </cell>
          <cell r="C202">
            <v>8</v>
          </cell>
          <cell r="D202">
            <v>2</v>
          </cell>
          <cell r="E202">
            <v>2</v>
          </cell>
        </row>
        <row r="203">
          <cell r="A203" t="str">
            <v>B06Y5WTT68</v>
          </cell>
          <cell r="B203">
            <v>0</v>
          </cell>
          <cell r="C203">
            <v>15</v>
          </cell>
          <cell r="D203">
            <v>4</v>
          </cell>
          <cell r="E203">
            <v>20</v>
          </cell>
        </row>
        <row r="204">
          <cell r="A204" t="str">
            <v>B0713QQ11B</v>
          </cell>
          <cell r="B204">
            <v>17</v>
          </cell>
          <cell r="C204">
            <v>39</v>
          </cell>
          <cell r="D204">
            <v>15</v>
          </cell>
          <cell r="E204">
            <v>22</v>
          </cell>
        </row>
        <row r="205">
          <cell r="A205" t="str">
            <v>B07148FBL8</v>
          </cell>
          <cell r="B205">
            <v>608</v>
          </cell>
          <cell r="C205">
            <v>304</v>
          </cell>
          <cell r="D205">
            <v>265</v>
          </cell>
          <cell r="E205">
            <v>300</v>
          </cell>
        </row>
        <row r="206">
          <cell r="A206" t="str">
            <v>B0718W42Y4</v>
          </cell>
          <cell r="B206">
            <v>20</v>
          </cell>
          <cell r="C206">
            <v>14</v>
          </cell>
          <cell r="D206">
            <v>6</v>
          </cell>
          <cell r="E206">
            <v>9</v>
          </cell>
        </row>
        <row r="207">
          <cell r="A207" t="str">
            <v>B0718WW48R</v>
          </cell>
          <cell r="B207">
            <v>113</v>
          </cell>
          <cell r="C207">
            <v>86</v>
          </cell>
          <cell r="D207">
            <v>47</v>
          </cell>
          <cell r="E207">
            <v>69</v>
          </cell>
        </row>
        <row r="208">
          <cell r="A208" t="str">
            <v>B0718Y1XP3</v>
          </cell>
          <cell r="B208">
            <v>8</v>
          </cell>
          <cell r="C208">
            <v>25</v>
          </cell>
          <cell r="D208">
            <v>10</v>
          </cell>
          <cell r="E208">
            <v>17</v>
          </cell>
        </row>
        <row r="209">
          <cell r="A209" t="str">
            <v>B0719C6QGW</v>
          </cell>
          <cell r="B209">
            <v>10</v>
          </cell>
          <cell r="C209">
            <v>10</v>
          </cell>
          <cell r="D209">
            <v>3</v>
          </cell>
          <cell r="E209">
            <v>4</v>
          </cell>
        </row>
        <row r="210">
          <cell r="A210" t="str">
            <v>B071CMK396</v>
          </cell>
          <cell r="B210">
            <v>3</v>
          </cell>
          <cell r="C210">
            <v>20</v>
          </cell>
          <cell r="D210">
            <v>9</v>
          </cell>
          <cell r="E210">
            <v>7</v>
          </cell>
        </row>
        <row r="211">
          <cell r="A211" t="str">
            <v>B071DMDF82</v>
          </cell>
          <cell r="B211">
            <v>1</v>
          </cell>
          <cell r="C211">
            <v>7</v>
          </cell>
          <cell r="D211">
            <v>3</v>
          </cell>
          <cell r="E211">
            <v>3</v>
          </cell>
        </row>
        <row r="212">
          <cell r="A212" t="str">
            <v>B071KBYH7N</v>
          </cell>
          <cell r="B212">
            <v>39</v>
          </cell>
          <cell r="C212">
            <v>19</v>
          </cell>
          <cell r="D212">
            <v>13</v>
          </cell>
          <cell r="E212">
            <v>9</v>
          </cell>
        </row>
        <row r="213">
          <cell r="A213" t="str">
            <v>B071NDLM15</v>
          </cell>
          <cell r="B213">
            <v>11</v>
          </cell>
          <cell r="C213">
            <v>18</v>
          </cell>
          <cell r="D213">
            <v>3</v>
          </cell>
          <cell r="E213">
            <v>6</v>
          </cell>
        </row>
        <row r="214">
          <cell r="A214" t="str">
            <v>B071NGGPFS</v>
          </cell>
          <cell r="B214">
            <v>0</v>
          </cell>
          <cell r="C214">
            <v>17</v>
          </cell>
          <cell r="D214">
            <v>10</v>
          </cell>
          <cell r="E214">
            <v>14</v>
          </cell>
        </row>
        <row r="215">
          <cell r="A215" t="str">
            <v>B071RKG97D</v>
          </cell>
          <cell r="B215">
            <v>17</v>
          </cell>
          <cell r="C215">
            <v>11</v>
          </cell>
          <cell r="D215">
            <v>2</v>
          </cell>
          <cell r="E215">
            <v>4</v>
          </cell>
        </row>
        <row r="216">
          <cell r="A216" t="str">
            <v>B071S1W6MX</v>
          </cell>
          <cell r="B216">
            <v>4</v>
          </cell>
          <cell r="C216">
            <v>4</v>
          </cell>
          <cell r="D216">
            <v>1</v>
          </cell>
          <cell r="E216">
            <v>4</v>
          </cell>
        </row>
        <row r="217">
          <cell r="A217" t="str">
            <v>B071VMQGXB</v>
          </cell>
          <cell r="B217">
            <v>2</v>
          </cell>
          <cell r="C217">
            <v>3</v>
          </cell>
          <cell r="D217">
            <v>1</v>
          </cell>
          <cell r="E217">
            <v>5</v>
          </cell>
        </row>
        <row r="218">
          <cell r="A218" t="str">
            <v>B071VW5TN7</v>
          </cell>
          <cell r="B218">
            <v>2</v>
          </cell>
          <cell r="C218">
            <v>7</v>
          </cell>
          <cell r="D218">
            <v>2</v>
          </cell>
          <cell r="E218">
            <v>4</v>
          </cell>
        </row>
        <row r="219">
          <cell r="A219" t="str">
            <v>B071YNH8GF</v>
          </cell>
          <cell r="B219">
            <v>25</v>
          </cell>
          <cell r="C219">
            <v>17</v>
          </cell>
          <cell r="D219">
            <v>14</v>
          </cell>
          <cell r="E219">
            <v>21</v>
          </cell>
        </row>
        <row r="220">
          <cell r="A220" t="str">
            <v>B071YNHCL8</v>
          </cell>
          <cell r="B220">
            <v>10</v>
          </cell>
          <cell r="C220">
            <v>6</v>
          </cell>
          <cell r="D220">
            <v>8</v>
          </cell>
          <cell r="E220">
            <v>11</v>
          </cell>
        </row>
        <row r="221">
          <cell r="A221" t="str">
            <v>B0722JM9C8</v>
          </cell>
          <cell r="B221">
            <v>10</v>
          </cell>
          <cell r="C221">
            <v>13</v>
          </cell>
          <cell r="D221">
            <v>8</v>
          </cell>
          <cell r="E221">
            <v>3</v>
          </cell>
        </row>
        <row r="222">
          <cell r="A222" t="str">
            <v>B0722LH1R1</v>
          </cell>
          <cell r="B222">
            <v>3</v>
          </cell>
          <cell r="C222">
            <v>16</v>
          </cell>
          <cell r="D222">
            <v>3</v>
          </cell>
          <cell r="E222">
            <v>5</v>
          </cell>
        </row>
        <row r="223">
          <cell r="A223" t="str">
            <v>B07234VYL2</v>
          </cell>
          <cell r="B223">
            <v>19</v>
          </cell>
          <cell r="C223">
            <v>20</v>
          </cell>
          <cell r="D223">
            <v>11</v>
          </cell>
          <cell r="E223">
            <v>6</v>
          </cell>
        </row>
        <row r="224">
          <cell r="A224" t="str">
            <v>B0727P48K4</v>
          </cell>
          <cell r="B224">
            <v>58</v>
          </cell>
          <cell r="C224">
            <v>67</v>
          </cell>
          <cell r="D224">
            <v>41</v>
          </cell>
          <cell r="E224">
            <v>39</v>
          </cell>
        </row>
        <row r="225">
          <cell r="A225" t="str">
            <v>B0727S2N9C</v>
          </cell>
          <cell r="B225">
            <v>21</v>
          </cell>
          <cell r="C225">
            <v>15</v>
          </cell>
          <cell r="D225">
            <v>16</v>
          </cell>
          <cell r="E225">
            <v>3</v>
          </cell>
        </row>
        <row r="226">
          <cell r="A226" t="str">
            <v>B072DWNB73</v>
          </cell>
          <cell r="B226">
            <v>1</v>
          </cell>
          <cell r="C226">
            <v>11</v>
          </cell>
          <cell r="D226">
            <v>11</v>
          </cell>
          <cell r="E226">
            <v>18</v>
          </cell>
        </row>
        <row r="227">
          <cell r="A227" t="str">
            <v>B072HHBCK2</v>
          </cell>
          <cell r="B227">
            <v>19</v>
          </cell>
          <cell r="C227">
            <v>18</v>
          </cell>
          <cell r="D227">
            <v>7</v>
          </cell>
          <cell r="E227">
            <v>17</v>
          </cell>
        </row>
        <row r="228">
          <cell r="A228" t="str">
            <v>B072L19WL7</v>
          </cell>
          <cell r="B228">
            <v>7</v>
          </cell>
          <cell r="C228">
            <v>7</v>
          </cell>
          <cell r="D228">
            <v>1</v>
          </cell>
          <cell r="E228">
            <v>2</v>
          </cell>
        </row>
        <row r="229">
          <cell r="A229" t="str">
            <v>B072L1B5LR</v>
          </cell>
          <cell r="B229">
            <v>1</v>
          </cell>
          <cell r="C229">
            <v>5</v>
          </cell>
          <cell r="D229">
            <v>1</v>
          </cell>
          <cell r="E229">
            <v>1</v>
          </cell>
        </row>
        <row r="230">
          <cell r="A230" t="str">
            <v>B072L36CJW</v>
          </cell>
          <cell r="B230">
            <v>13</v>
          </cell>
          <cell r="C230">
            <v>6</v>
          </cell>
          <cell r="D230">
            <v>4</v>
          </cell>
          <cell r="E230">
            <v>11</v>
          </cell>
        </row>
        <row r="231">
          <cell r="A231" t="str">
            <v>B072XFQHM5</v>
          </cell>
          <cell r="B231">
            <v>25</v>
          </cell>
          <cell r="C231">
            <v>15</v>
          </cell>
          <cell r="D231">
            <v>12</v>
          </cell>
          <cell r="E231">
            <v>7</v>
          </cell>
        </row>
        <row r="232">
          <cell r="A232" t="str">
            <v>B072XFTL1N</v>
          </cell>
          <cell r="B232">
            <v>122</v>
          </cell>
          <cell r="C232">
            <v>81</v>
          </cell>
          <cell r="D232">
            <v>64</v>
          </cell>
          <cell r="E232">
            <v>48</v>
          </cell>
        </row>
        <row r="233">
          <cell r="A233" t="str">
            <v>B073QP2NR8</v>
          </cell>
          <cell r="B233">
            <v>28</v>
          </cell>
          <cell r="C233">
            <v>32</v>
          </cell>
          <cell r="D233">
            <v>12</v>
          </cell>
          <cell r="E233">
            <v>18</v>
          </cell>
        </row>
        <row r="234">
          <cell r="A234" t="str">
            <v>B073QP5GLR</v>
          </cell>
          <cell r="B234">
            <v>24</v>
          </cell>
          <cell r="C234">
            <v>27</v>
          </cell>
          <cell r="D234">
            <v>14</v>
          </cell>
          <cell r="E234">
            <v>13</v>
          </cell>
        </row>
        <row r="235">
          <cell r="A235" t="str">
            <v>B073QP8N2J</v>
          </cell>
          <cell r="B235">
            <v>44</v>
          </cell>
          <cell r="C235">
            <v>47</v>
          </cell>
          <cell r="D235">
            <v>28</v>
          </cell>
          <cell r="E235">
            <v>55</v>
          </cell>
        </row>
        <row r="236">
          <cell r="A236" t="str">
            <v>B073QPBC2V</v>
          </cell>
          <cell r="B236">
            <v>36</v>
          </cell>
          <cell r="C236">
            <v>18</v>
          </cell>
          <cell r="D236">
            <v>16</v>
          </cell>
          <cell r="E236">
            <v>13</v>
          </cell>
        </row>
        <row r="237">
          <cell r="A237" t="str">
            <v>B073QPMMCK</v>
          </cell>
          <cell r="B237">
            <v>31</v>
          </cell>
          <cell r="C237">
            <v>33</v>
          </cell>
          <cell r="D237">
            <v>19</v>
          </cell>
          <cell r="E237">
            <v>23</v>
          </cell>
        </row>
        <row r="238">
          <cell r="A238" t="str">
            <v>B073QPRGCH</v>
          </cell>
          <cell r="B238">
            <v>30</v>
          </cell>
          <cell r="C238">
            <v>26</v>
          </cell>
          <cell r="D238">
            <v>17</v>
          </cell>
          <cell r="E238">
            <v>23</v>
          </cell>
        </row>
        <row r="239">
          <cell r="A239" t="str">
            <v>B073R8G5PX</v>
          </cell>
          <cell r="B239">
            <v>6</v>
          </cell>
          <cell r="C239">
            <v>0</v>
          </cell>
          <cell r="D239">
            <v>11</v>
          </cell>
          <cell r="E239">
            <v>15</v>
          </cell>
        </row>
        <row r="240">
          <cell r="A240" t="str">
            <v>B0745B7VHV</v>
          </cell>
          <cell r="B240">
            <v>14</v>
          </cell>
          <cell r="C240">
            <v>19</v>
          </cell>
          <cell r="D240">
            <v>4</v>
          </cell>
          <cell r="E240">
            <v>2</v>
          </cell>
        </row>
        <row r="241">
          <cell r="A241" t="str">
            <v>B0745BHBNH</v>
          </cell>
          <cell r="B241">
            <v>13</v>
          </cell>
          <cell r="C241">
            <v>11</v>
          </cell>
          <cell r="D241">
            <v>1</v>
          </cell>
          <cell r="E241">
            <v>7</v>
          </cell>
        </row>
        <row r="242">
          <cell r="A242" t="str">
            <v>B0745BHDGZ</v>
          </cell>
          <cell r="B242">
            <v>10</v>
          </cell>
          <cell r="C242">
            <v>8</v>
          </cell>
          <cell r="D242">
            <v>5</v>
          </cell>
          <cell r="E242">
            <v>5</v>
          </cell>
        </row>
        <row r="243">
          <cell r="A243" t="str">
            <v>B0745BVQ73</v>
          </cell>
          <cell r="B243">
            <v>7</v>
          </cell>
          <cell r="C243">
            <v>19</v>
          </cell>
          <cell r="D243">
            <v>5</v>
          </cell>
          <cell r="E243">
            <v>10</v>
          </cell>
        </row>
        <row r="244">
          <cell r="A244" t="str">
            <v>B0745BVSDV</v>
          </cell>
          <cell r="B244">
            <v>1</v>
          </cell>
          <cell r="C244">
            <v>15</v>
          </cell>
          <cell r="D244">
            <v>4</v>
          </cell>
          <cell r="E244">
            <v>5</v>
          </cell>
        </row>
        <row r="245">
          <cell r="A245" t="str">
            <v>B0745BY58P</v>
          </cell>
          <cell r="B245">
            <v>25</v>
          </cell>
          <cell r="C245">
            <v>20</v>
          </cell>
          <cell r="D245">
            <v>10</v>
          </cell>
          <cell r="E245">
            <v>6</v>
          </cell>
        </row>
        <row r="246">
          <cell r="A246" t="str">
            <v>B0745BZ2BM</v>
          </cell>
          <cell r="B246">
            <v>7</v>
          </cell>
          <cell r="C246">
            <v>8</v>
          </cell>
          <cell r="D246">
            <v>4</v>
          </cell>
          <cell r="E246">
            <v>6</v>
          </cell>
        </row>
        <row r="247">
          <cell r="A247" t="str">
            <v>B0745C4VZQ</v>
          </cell>
          <cell r="B247">
            <v>1</v>
          </cell>
          <cell r="C247">
            <v>9</v>
          </cell>
          <cell r="D247">
            <v>5</v>
          </cell>
          <cell r="E247">
            <v>3</v>
          </cell>
        </row>
        <row r="248">
          <cell r="A248" t="str">
            <v>B0745CCWQ1</v>
          </cell>
          <cell r="B248">
            <v>9</v>
          </cell>
          <cell r="C248">
            <v>10</v>
          </cell>
          <cell r="D248">
            <v>6</v>
          </cell>
          <cell r="E248">
            <v>3</v>
          </cell>
        </row>
        <row r="249">
          <cell r="A249" t="str">
            <v>B0746HTPDT</v>
          </cell>
          <cell r="B249">
            <v>51</v>
          </cell>
          <cell r="C249">
            <v>25</v>
          </cell>
          <cell r="D249">
            <v>18</v>
          </cell>
          <cell r="E249">
            <v>16</v>
          </cell>
        </row>
        <row r="250">
          <cell r="A250" t="str">
            <v>B0746HWXW9</v>
          </cell>
          <cell r="B250">
            <v>9</v>
          </cell>
          <cell r="C250">
            <v>5</v>
          </cell>
          <cell r="D250">
            <v>5</v>
          </cell>
          <cell r="E250">
            <v>9</v>
          </cell>
        </row>
        <row r="251">
          <cell r="A251" t="str">
            <v>B0746J3Z2M</v>
          </cell>
          <cell r="B251">
            <v>8</v>
          </cell>
          <cell r="C251">
            <v>8</v>
          </cell>
          <cell r="D251">
            <v>4</v>
          </cell>
          <cell r="E251">
            <v>5</v>
          </cell>
        </row>
        <row r="252">
          <cell r="A252" t="str">
            <v>B0746J9RTZ</v>
          </cell>
          <cell r="B252">
            <v>18</v>
          </cell>
          <cell r="C252">
            <v>12</v>
          </cell>
          <cell r="D252">
            <v>9</v>
          </cell>
          <cell r="E252">
            <v>10</v>
          </cell>
        </row>
        <row r="253">
          <cell r="A253" t="str">
            <v>B0746JC58W</v>
          </cell>
          <cell r="B253">
            <v>11</v>
          </cell>
          <cell r="C253">
            <v>18</v>
          </cell>
          <cell r="D253">
            <v>11</v>
          </cell>
          <cell r="E253">
            <v>9</v>
          </cell>
        </row>
        <row r="254">
          <cell r="A254" t="str">
            <v>B0746JDTRV</v>
          </cell>
          <cell r="B254">
            <v>3</v>
          </cell>
          <cell r="C254">
            <v>11</v>
          </cell>
          <cell r="D254">
            <v>7</v>
          </cell>
          <cell r="E254">
            <v>6</v>
          </cell>
        </row>
        <row r="255">
          <cell r="A255" t="str">
            <v>B0746JHCMC</v>
          </cell>
          <cell r="B255">
            <v>7</v>
          </cell>
          <cell r="C255">
            <v>5</v>
          </cell>
          <cell r="D255">
            <v>6</v>
          </cell>
          <cell r="E255">
            <v>6</v>
          </cell>
        </row>
        <row r="256">
          <cell r="A256" t="str">
            <v>B0746JJJK4</v>
          </cell>
          <cell r="B256">
            <v>22</v>
          </cell>
          <cell r="C256">
            <v>10</v>
          </cell>
          <cell r="D256">
            <v>5</v>
          </cell>
          <cell r="E256">
            <v>6</v>
          </cell>
        </row>
        <row r="257">
          <cell r="A257" t="str">
            <v>B0746JKPG1</v>
          </cell>
          <cell r="B257">
            <v>15</v>
          </cell>
          <cell r="C257">
            <v>11</v>
          </cell>
          <cell r="D257">
            <v>13</v>
          </cell>
          <cell r="E257">
            <v>5</v>
          </cell>
        </row>
        <row r="258">
          <cell r="A258" t="str">
            <v>B0746JNMF8</v>
          </cell>
          <cell r="B258">
            <v>23</v>
          </cell>
          <cell r="C258">
            <v>8</v>
          </cell>
          <cell r="D258">
            <v>13</v>
          </cell>
          <cell r="E258">
            <v>11</v>
          </cell>
        </row>
        <row r="259">
          <cell r="A259" t="str">
            <v>B0746JPNZJ</v>
          </cell>
          <cell r="B259">
            <v>67</v>
          </cell>
          <cell r="C259">
            <v>35</v>
          </cell>
          <cell r="D259">
            <v>31</v>
          </cell>
          <cell r="E259">
            <v>18</v>
          </cell>
        </row>
        <row r="260">
          <cell r="A260" t="str">
            <v>B0746JQ2MS</v>
          </cell>
          <cell r="B260">
            <v>29</v>
          </cell>
          <cell r="C260">
            <v>26</v>
          </cell>
          <cell r="D260">
            <v>14</v>
          </cell>
          <cell r="E260">
            <v>17</v>
          </cell>
        </row>
        <row r="261">
          <cell r="A261" t="str">
            <v>B0746JYN2R</v>
          </cell>
          <cell r="B261">
            <v>28</v>
          </cell>
          <cell r="C261">
            <v>23</v>
          </cell>
          <cell r="D261">
            <v>13</v>
          </cell>
          <cell r="E261">
            <v>9</v>
          </cell>
        </row>
        <row r="262">
          <cell r="A262" t="str">
            <v>B0746KC71K</v>
          </cell>
          <cell r="B262">
            <v>10</v>
          </cell>
          <cell r="C262">
            <v>9</v>
          </cell>
          <cell r="D262">
            <v>7</v>
          </cell>
          <cell r="E262">
            <v>5</v>
          </cell>
        </row>
        <row r="263">
          <cell r="A263" t="str">
            <v>B0747JGPQB</v>
          </cell>
          <cell r="B263">
            <v>25</v>
          </cell>
          <cell r="C263">
            <v>12</v>
          </cell>
          <cell r="D263">
            <v>11</v>
          </cell>
          <cell r="E263">
            <v>9</v>
          </cell>
        </row>
        <row r="264">
          <cell r="A264" t="str">
            <v>B0747JGPQG</v>
          </cell>
          <cell r="B264">
            <v>29</v>
          </cell>
          <cell r="C264">
            <v>19</v>
          </cell>
          <cell r="D264">
            <v>16</v>
          </cell>
          <cell r="E264">
            <v>13</v>
          </cell>
        </row>
        <row r="265">
          <cell r="A265" t="str">
            <v>B0747JKFNG</v>
          </cell>
          <cell r="B265">
            <v>0</v>
          </cell>
          <cell r="C265">
            <v>16</v>
          </cell>
          <cell r="D265">
            <v>12</v>
          </cell>
          <cell r="E265">
            <v>26</v>
          </cell>
        </row>
        <row r="266">
          <cell r="A266" t="str">
            <v>B0747KXTTW</v>
          </cell>
          <cell r="B266">
            <v>0</v>
          </cell>
          <cell r="C266">
            <v>0</v>
          </cell>
          <cell r="D266">
            <v>23</v>
          </cell>
          <cell r="E266">
            <v>41</v>
          </cell>
        </row>
        <row r="267">
          <cell r="A267" t="str">
            <v>B0747L4P7Z</v>
          </cell>
          <cell r="B267">
            <v>50</v>
          </cell>
          <cell r="C267">
            <v>32</v>
          </cell>
          <cell r="D267">
            <v>21</v>
          </cell>
          <cell r="E267">
            <v>20</v>
          </cell>
        </row>
        <row r="268">
          <cell r="A268" t="str">
            <v>B0747N1T3J</v>
          </cell>
          <cell r="B268">
            <v>14</v>
          </cell>
          <cell r="C268">
            <v>10</v>
          </cell>
          <cell r="D268">
            <v>3</v>
          </cell>
          <cell r="E268">
            <v>7</v>
          </cell>
        </row>
        <row r="269">
          <cell r="A269" t="str">
            <v>B0747NFJMX</v>
          </cell>
          <cell r="B269">
            <v>11</v>
          </cell>
          <cell r="C269">
            <v>12</v>
          </cell>
          <cell r="D269">
            <v>13</v>
          </cell>
          <cell r="E269">
            <v>5</v>
          </cell>
        </row>
        <row r="270">
          <cell r="A270" t="str">
            <v>B0748DH3DB</v>
          </cell>
          <cell r="B270">
            <v>27</v>
          </cell>
          <cell r="C270">
            <v>19</v>
          </cell>
          <cell r="D270">
            <v>18</v>
          </cell>
          <cell r="E270">
            <v>17</v>
          </cell>
        </row>
        <row r="271">
          <cell r="A271" t="str">
            <v>B074J9LJHF</v>
          </cell>
          <cell r="B271">
            <v>0</v>
          </cell>
          <cell r="C271">
            <v>3</v>
          </cell>
          <cell r="D271">
            <v>1</v>
          </cell>
          <cell r="E271">
            <v>2</v>
          </cell>
        </row>
        <row r="272">
          <cell r="A272" t="str">
            <v>B074JBM8J1</v>
          </cell>
          <cell r="B272">
            <v>1</v>
          </cell>
          <cell r="C272">
            <v>1</v>
          </cell>
          <cell r="D272">
            <v>3</v>
          </cell>
          <cell r="E272">
            <v>2</v>
          </cell>
        </row>
        <row r="273">
          <cell r="A273" t="str">
            <v>B074JDBJFN</v>
          </cell>
          <cell r="B273">
            <v>0</v>
          </cell>
          <cell r="C273">
            <v>2</v>
          </cell>
          <cell r="D273">
            <v>3</v>
          </cell>
          <cell r="E273">
            <v>3</v>
          </cell>
        </row>
        <row r="274">
          <cell r="A274" t="str">
            <v>B074K8RKK4</v>
          </cell>
          <cell r="B274">
            <v>50</v>
          </cell>
          <cell r="C274">
            <v>35</v>
          </cell>
          <cell r="D274">
            <v>24</v>
          </cell>
          <cell r="E274">
            <v>19</v>
          </cell>
        </row>
        <row r="275">
          <cell r="A275" t="str">
            <v>B074KDD9P4</v>
          </cell>
          <cell r="B275">
            <v>107</v>
          </cell>
          <cell r="C275">
            <v>73</v>
          </cell>
          <cell r="D275">
            <v>89</v>
          </cell>
          <cell r="E275">
            <v>65</v>
          </cell>
        </row>
        <row r="276">
          <cell r="A276" t="str">
            <v>B074KDF6TV</v>
          </cell>
          <cell r="B276">
            <v>41</v>
          </cell>
          <cell r="C276">
            <v>37</v>
          </cell>
          <cell r="D276">
            <v>21</v>
          </cell>
          <cell r="E276">
            <v>18</v>
          </cell>
        </row>
        <row r="277">
          <cell r="A277" t="str">
            <v>B074PKRJP6</v>
          </cell>
          <cell r="B277">
            <v>9</v>
          </cell>
          <cell r="C277">
            <v>22</v>
          </cell>
          <cell r="D277">
            <v>13</v>
          </cell>
          <cell r="E277">
            <v>10</v>
          </cell>
        </row>
        <row r="278">
          <cell r="A278" t="str">
            <v>B074PL1QFY</v>
          </cell>
          <cell r="B278">
            <v>8</v>
          </cell>
          <cell r="C278">
            <v>13</v>
          </cell>
          <cell r="D278">
            <v>13</v>
          </cell>
          <cell r="E278">
            <v>13</v>
          </cell>
        </row>
        <row r="279">
          <cell r="A279" t="str">
            <v>B074PL73NX</v>
          </cell>
          <cell r="B279">
            <v>77</v>
          </cell>
          <cell r="C279">
            <v>56</v>
          </cell>
          <cell r="D279">
            <v>25</v>
          </cell>
          <cell r="E279">
            <v>29</v>
          </cell>
        </row>
        <row r="280">
          <cell r="A280" t="str">
            <v>B074PL8264</v>
          </cell>
          <cell r="B280">
            <v>20</v>
          </cell>
          <cell r="C280">
            <v>30</v>
          </cell>
          <cell r="D280">
            <v>22</v>
          </cell>
          <cell r="E280">
            <v>23</v>
          </cell>
        </row>
        <row r="281">
          <cell r="A281" t="str">
            <v>B074PLCZ8Z</v>
          </cell>
          <cell r="B281">
            <v>22</v>
          </cell>
          <cell r="C281">
            <v>16</v>
          </cell>
          <cell r="D281">
            <v>15</v>
          </cell>
          <cell r="E281">
            <v>19</v>
          </cell>
        </row>
        <row r="282">
          <cell r="A282" t="str">
            <v>B074PLDC18</v>
          </cell>
          <cell r="B282">
            <v>129</v>
          </cell>
          <cell r="C282">
            <v>105</v>
          </cell>
          <cell r="D282">
            <v>41</v>
          </cell>
          <cell r="E282">
            <v>69</v>
          </cell>
        </row>
        <row r="283">
          <cell r="A283" t="str">
            <v>B074PLW9HM</v>
          </cell>
          <cell r="B283">
            <v>0</v>
          </cell>
          <cell r="C283">
            <v>38</v>
          </cell>
          <cell r="D283">
            <v>21</v>
          </cell>
          <cell r="E283">
            <v>17</v>
          </cell>
        </row>
        <row r="284">
          <cell r="A284" t="str">
            <v>B074PM11B6</v>
          </cell>
          <cell r="B284">
            <v>71</v>
          </cell>
          <cell r="C284">
            <v>51</v>
          </cell>
          <cell r="D284">
            <v>26</v>
          </cell>
          <cell r="E284">
            <v>47</v>
          </cell>
        </row>
        <row r="285">
          <cell r="A285" t="str">
            <v>B074SJ3FPV</v>
          </cell>
          <cell r="B285">
            <v>5</v>
          </cell>
          <cell r="C285">
            <v>7</v>
          </cell>
          <cell r="D285">
            <v>4</v>
          </cell>
          <cell r="E285">
            <v>4</v>
          </cell>
        </row>
        <row r="286">
          <cell r="A286" t="str">
            <v>B074SJS9D2</v>
          </cell>
          <cell r="B286">
            <v>24</v>
          </cell>
          <cell r="C286">
            <v>7</v>
          </cell>
          <cell r="D286">
            <v>11</v>
          </cell>
          <cell r="E286">
            <v>10</v>
          </cell>
        </row>
        <row r="287">
          <cell r="A287" t="str">
            <v>B074V4W4MJ</v>
          </cell>
          <cell r="B287">
            <v>758</v>
          </cell>
          <cell r="C287">
            <v>756</v>
          </cell>
          <cell r="D287">
            <v>564</v>
          </cell>
          <cell r="E287">
            <v>655</v>
          </cell>
        </row>
        <row r="288">
          <cell r="A288" t="str">
            <v>B074W13L99</v>
          </cell>
          <cell r="B288">
            <v>16</v>
          </cell>
          <cell r="C288">
            <v>7</v>
          </cell>
          <cell r="D288">
            <v>1</v>
          </cell>
          <cell r="E288">
            <v>5</v>
          </cell>
        </row>
        <row r="289">
          <cell r="A289" t="str">
            <v>B074W1JXQW</v>
          </cell>
          <cell r="B289">
            <v>26</v>
          </cell>
          <cell r="C289">
            <v>8</v>
          </cell>
          <cell r="D289">
            <v>2</v>
          </cell>
          <cell r="E289">
            <v>6</v>
          </cell>
        </row>
        <row r="290">
          <cell r="A290" t="str">
            <v>B074W2S5BX</v>
          </cell>
          <cell r="B290">
            <v>12</v>
          </cell>
          <cell r="C290">
            <v>7</v>
          </cell>
          <cell r="D290">
            <v>1</v>
          </cell>
          <cell r="E290">
            <v>4</v>
          </cell>
        </row>
        <row r="291">
          <cell r="A291" t="str">
            <v>B074W3PDMT</v>
          </cell>
          <cell r="B291">
            <v>29</v>
          </cell>
          <cell r="C291">
            <v>8</v>
          </cell>
          <cell r="D291">
            <v>1</v>
          </cell>
          <cell r="E291">
            <v>6</v>
          </cell>
        </row>
        <row r="292">
          <cell r="A292" t="str">
            <v>B074W525HZ</v>
          </cell>
          <cell r="B292">
            <v>31</v>
          </cell>
          <cell r="C292">
            <v>11</v>
          </cell>
          <cell r="D292">
            <v>2</v>
          </cell>
          <cell r="E292">
            <v>6</v>
          </cell>
        </row>
        <row r="293">
          <cell r="A293" t="str">
            <v>B074W5TPJ2</v>
          </cell>
          <cell r="B293">
            <v>30</v>
          </cell>
          <cell r="C293">
            <v>14</v>
          </cell>
          <cell r="D293">
            <v>2</v>
          </cell>
          <cell r="E293">
            <v>4</v>
          </cell>
        </row>
        <row r="294">
          <cell r="A294" t="str">
            <v>B074W6RWL6</v>
          </cell>
          <cell r="B294">
            <v>41</v>
          </cell>
          <cell r="C294">
            <v>25</v>
          </cell>
          <cell r="D294">
            <v>3</v>
          </cell>
          <cell r="E294">
            <v>9</v>
          </cell>
        </row>
        <row r="295">
          <cell r="A295" t="str">
            <v>B074W79F2H</v>
          </cell>
          <cell r="B295">
            <v>38</v>
          </cell>
          <cell r="C295">
            <v>51</v>
          </cell>
          <cell r="D295">
            <v>19</v>
          </cell>
          <cell r="E295">
            <v>7</v>
          </cell>
        </row>
        <row r="296">
          <cell r="A296" t="str">
            <v>B0756CHGKN</v>
          </cell>
          <cell r="B296">
            <v>5</v>
          </cell>
          <cell r="C296">
            <v>10</v>
          </cell>
          <cell r="D296">
            <v>2</v>
          </cell>
          <cell r="E296">
            <v>2</v>
          </cell>
        </row>
        <row r="297">
          <cell r="A297" t="str">
            <v>B075CJ14DX</v>
          </cell>
          <cell r="B297">
            <v>2</v>
          </cell>
          <cell r="C297">
            <v>3</v>
          </cell>
          <cell r="D297">
            <v>0</v>
          </cell>
          <cell r="E297">
            <v>2</v>
          </cell>
        </row>
        <row r="298">
          <cell r="A298" t="str">
            <v>B075CJ26XY</v>
          </cell>
          <cell r="B298">
            <v>1</v>
          </cell>
          <cell r="C298">
            <v>4</v>
          </cell>
          <cell r="D298">
            <v>0</v>
          </cell>
          <cell r="E298">
            <v>2</v>
          </cell>
        </row>
        <row r="299">
          <cell r="A299" t="str">
            <v>B075CLLVBH</v>
          </cell>
          <cell r="B299">
            <v>1</v>
          </cell>
          <cell r="C299">
            <v>5</v>
          </cell>
          <cell r="D299">
            <v>0</v>
          </cell>
          <cell r="E299">
            <v>2</v>
          </cell>
        </row>
        <row r="300">
          <cell r="A300" t="str">
            <v>B075CLNS1L</v>
          </cell>
          <cell r="B300">
            <v>0</v>
          </cell>
          <cell r="C300">
            <v>6</v>
          </cell>
          <cell r="D300">
            <v>0</v>
          </cell>
          <cell r="E300">
            <v>2</v>
          </cell>
        </row>
        <row r="301">
          <cell r="A301" t="str">
            <v>B075CM2SDV</v>
          </cell>
          <cell r="B301">
            <v>0</v>
          </cell>
          <cell r="C301">
            <v>4</v>
          </cell>
          <cell r="D301">
            <v>0</v>
          </cell>
          <cell r="E301">
            <v>2</v>
          </cell>
        </row>
        <row r="302">
          <cell r="A302" t="str">
            <v>B075CM6D7K</v>
          </cell>
          <cell r="B302">
            <v>6</v>
          </cell>
          <cell r="C302">
            <v>4</v>
          </cell>
          <cell r="D302">
            <v>0</v>
          </cell>
          <cell r="E302">
            <v>1</v>
          </cell>
        </row>
        <row r="303">
          <cell r="A303" t="str">
            <v>B075CM6XZ8</v>
          </cell>
          <cell r="B303">
            <v>0</v>
          </cell>
          <cell r="C303">
            <v>6</v>
          </cell>
          <cell r="D303">
            <v>0</v>
          </cell>
          <cell r="E303">
            <v>2</v>
          </cell>
        </row>
        <row r="304">
          <cell r="A304" t="str">
            <v>B075CM9YGG</v>
          </cell>
          <cell r="B304">
            <v>0</v>
          </cell>
          <cell r="C304">
            <v>4</v>
          </cell>
          <cell r="D304">
            <v>1</v>
          </cell>
          <cell r="E304">
            <v>2</v>
          </cell>
        </row>
        <row r="305">
          <cell r="A305" t="str">
            <v>B075CMBYLG</v>
          </cell>
          <cell r="B305">
            <v>0</v>
          </cell>
          <cell r="C305">
            <v>4</v>
          </cell>
          <cell r="D305">
            <v>2</v>
          </cell>
          <cell r="E305">
            <v>2</v>
          </cell>
        </row>
        <row r="306">
          <cell r="A306" t="str">
            <v>B075CMT47H</v>
          </cell>
          <cell r="B306">
            <v>0</v>
          </cell>
          <cell r="C306">
            <v>4</v>
          </cell>
          <cell r="D306">
            <v>0</v>
          </cell>
          <cell r="E306">
            <v>4</v>
          </cell>
        </row>
        <row r="307">
          <cell r="A307" t="str">
            <v>B075CMX27Q</v>
          </cell>
          <cell r="B307">
            <v>0</v>
          </cell>
          <cell r="C307">
            <v>4</v>
          </cell>
          <cell r="D307">
            <v>1</v>
          </cell>
          <cell r="E307">
            <v>2</v>
          </cell>
        </row>
        <row r="308">
          <cell r="A308" t="str">
            <v>B075CMX72N</v>
          </cell>
          <cell r="B308">
            <v>3</v>
          </cell>
          <cell r="C308">
            <v>3</v>
          </cell>
          <cell r="D308">
            <v>1</v>
          </cell>
          <cell r="E308">
            <v>4</v>
          </cell>
        </row>
        <row r="309">
          <cell r="A309" t="str">
            <v>B075CMYF9H</v>
          </cell>
          <cell r="B309">
            <v>0</v>
          </cell>
          <cell r="C309">
            <v>3</v>
          </cell>
          <cell r="D309">
            <v>1</v>
          </cell>
          <cell r="E309">
            <v>2</v>
          </cell>
        </row>
        <row r="310">
          <cell r="A310" t="str">
            <v>B075CMYF9L</v>
          </cell>
          <cell r="B310">
            <v>4</v>
          </cell>
          <cell r="C310">
            <v>11</v>
          </cell>
          <cell r="D310">
            <v>4</v>
          </cell>
          <cell r="E310">
            <v>1</v>
          </cell>
        </row>
        <row r="311">
          <cell r="A311" t="str">
            <v>B075CMZTNT</v>
          </cell>
          <cell r="B311">
            <v>0</v>
          </cell>
          <cell r="C311">
            <v>2</v>
          </cell>
          <cell r="D311">
            <v>1</v>
          </cell>
          <cell r="E311">
            <v>1</v>
          </cell>
        </row>
        <row r="312">
          <cell r="A312" t="str">
            <v>B075CN3GW6</v>
          </cell>
          <cell r="B312">
            <v>0</v>
          </cell>
          <cell r="C312">
            <v>2</v>
          </cell>
          <cell r="D312">
            <v>1</v>
          </cell>
          <cell r="E312">
            <v>1</v>
          </cell>
        </row>
        <row r="313">
          <cell r="A313" t="str">
            <v>B075CN5CQM</v>
          </cell>
          <cell r="B313">
            <v>0</v>
          </cell>
          <cell r="C313">
            <v>4</v>
          </cell>
          <cell r="D313">
            <v>1</v>
          </cell>
          <cell r="E313">
            <v>1</v>
          </cell>
        </row>
        <row r="314">
          <cell r="A314" t="str">
            <v>B075CN5LX4</v>
          </cell>
          <cell r="B314">
            <v>0</v>
          </cell>
          <cell r="C314">
            <v>2</v>
          </cell>
          <cell r="D314">
            <v>0</v>
          </cell>
          <cell r="E314">
            <v>1</v>
          </cell>
        </row>
        <row r="315">
          <cell r="A315" t="str">
            <v>B075CN5Y4M</v>
          </cell>
          <cell r="B315">
            <v>0</v>
          </cell>
          <cell r="C315">
            <v>3</v>
          </cell>
          <cell r="D315">
            <v>2</v>
          </cell>
          <cell r="E315">
            <v>2</v>
          </cell>
        </row>
        <row r="316">
          <cell r="A316" t="str">
            <v>B075CNC9Y3</v>
          </cell>
          <cell r="B316">
            <v>0</v>
          </cell>
          <cell r="C316">
            <v>3</v>
          </cell>
          <cell r="D316">
            <v>2</v>
          </cell>
          <cell r="E316">
            <v>3</v>
          </cell>
        </row>
        <row r="317">
          <cell r="A317" t="str">
            <v>B075CNDLKZ</v>
          </cell>
          <cell r="B317">
            <v>0</v>
          </cell>
          <cell r="C317">
            <v>3</v>
          </cell>
          <cell r="D317">
            <v>1</v>
          </cell>
          <cell r="E317">
            <v>3</v>
          </cell>
        </row>
        <row r="318">
          <cell r="A318" t="str">
            <v>B075CNDM2J</v>
          </cell>
          <cell r="B318">
            <v>0</v>
          </cell>
          <cell r="C318">
            <v>3</v>
          </cell>
          <cell r="D318">
            <v>1</v>
          </cell>
          <cell r="E318">
            <v>3</v>
          </cell>
        </row>
        <row r="319">
          <cell r="A319" t="str">
            <v>B075CNH519</v>
          </cell>
          <cell r="B319">
            <v>0</v>
          </cell>
          <cell r="C319">
            <v>4</v>
          </cell>
          <cell r="D319">
            <v>1</v>
          </cell>
          <cell r="E319">
            <v>1</v>
          </cell>
        </row>
        <row r="320">
          <cell r="A320" t="str">
            <v>B075CNJ8RC</v>
          </cell>
          <cell r="B320">
            <v>1</v>
          </cell>
          <cell r="C320">
            <v>4</v>
          </cell>
          <cell r="D320">
            <v>1</v>
          </cell>
          <cell r="E320">
            <v>4</v>
          </cell>
        </row>
        <row r="321">
          <cell r="A321" t="str">
            <v>B075CNLHM6</v>
          </cell>
          <cell r="B321">
            <v>0</v>
          </cell>
          <cell r="C321">
            <v>8</v>
          </cell>
          <cell r="D321">
            <v>1</v>
          </cell>
          <cell r="E321">
            <v>3</v>
          </cell>
        </row>
        <row r="322">
          <cell r="A322" t="str">
            <v>B075CNQLTP</v>
          </cell>
          <cell r="B322">
            <v>0</v>
          </cell>
          <cell r="C322">
            <v>2</v>
          </cell>
          <cell r="D322">
            <v>1</v>
          </cell>
          <cell r="E322">
            <v>3</v>
          </cell>
        </row>
        <row r="323">
          <cell r="A323" t="str">
            <v>B075CNRVLR</v>
          </cell>
          <cell r="B323">
            <v>0</v>
          </cell>
          <cell r="C323">
            <v>4</v>
          </cell>
          <cell r="D323">
            <v>2</v>
          </cell>
          <cell r="E323">
            <v>2</v>
          </cell>
        </row>
        <row r="324">
          <cell r="A324" t="str">
            <v>B075CNRVWL</v>
          </cell>
          <cell r="B324">
            <v>0</v>
          </cell>
          <cell r="C324">
            <v>6</v>
          </cell>
          <cell r="D324">
            <v>2</v>
          </cell>
          <cell r="E324">
            <v>3</v>
          </cell>
        </row>
        <row r="325">
          <cell r="A325" t="str">
            <v>B075CNTLTN</v>
          </cell>
          <cell r="B325">
            <v>0</v>
          </cell>
          <cell r="C325">
            <v>5</v>
          </cell>
          <cell r="D325">
            <v>4</v>
          </cell>
          <cell r="E325">
            <v>4</v>
          </cell>
        </row>
        <row r="326">
          <cell r="A326" t="str">
            <v>B075CNX4Q9</v>
          </cell>
          <cell r="B326">
            <v>5</v>
          </cell>
          <cell r="C326">
            <v>6</v>
          </cell>
          <cell r="D326">
            <v>1</v>
          </cell>
          <cell r="E326">
            <v>4</v>
          </cell>
        </row>
        <row r="327">
          <cell r="A327" t="str">
            <v>B075CNY3N4</v>
          </cell>
          <cell r="B327">
            <v>0</v>
          </cell>
          <cell r="C327">
            <v>5</v>
          </cell>
          <cell r="D327">
            <v>2</v>
          </cell>
          <cell r="E327">
            <v>5</v>
          </cell>
        </row>
        <row r="328">
          <cell r="A328" t="str">
            <v>B075J7NJV2</v>
          </cell>
          <cell r="B328">
            <v>744</v>
          </cell>
          <cell r="C328">
            <v>584</v>
          </cell>
          <cell r="D328">
            <v>557</v>
          </cell>
          <cell r="E328">
            <v>855</v>
          </cell>
        </row>
        <row r="329">
          <cell r="A329" t="str">
            <v>B075XH5ZB8</v>
          </cell>
          <cell r="B329">
            <v>2</v>
          </cell>
          <cell r="C329">
            <v>2</v>
          </cell>
          <cell r="D329">
            <v>2</v>
          </cell>
          <cell r="E329">
            <v>4</v>
          </cell>
        </row>
        <row r="330">
          <cell r="A330" t="str">
            <v>B075ZTGQCC</v>
          </cell>
          <cell r="B330">
            <v>0</v>
          </cell>
          <cell r="C330">
            <v>161</v>
          </cell>
          <cell r="D330">
            <v>431</v>
          </cell>
          <cell r="E330">
            <v>642</v>
          </cell>
        </row>
        <row r="331">
          <cell r="A331" t="str">
            <v>B0769WTB45</v>
          </cell>
          <cell r="B331">
            <v>0</v>
          </cell>
          <cell r="C331">
            <v>6</v>
          </cell>
          <cell r="D331">
            <v>1</v>
          </cell>
          <cell r="E331">
            <v>3</v>
          </cell>
        </row>
        <row r="332">
          <cell r="A332" t="str">
            <v>B076DLYXWT</v>
          </cell>
          <cell r="B332">
            <v>11</v>
          </cell>
          <cell r="C332">
            <v>19</v>
          </cell>
          <cell r="D332">
            <v>12</v>
          </cell>
          <cell r="E332">
            <v>13</v>
          </cell>
        </row>
        <row r="333">
          <cell r="A333" t="str">
            <v>B076DPGDHG</v>
          </cell>
          <cell r="B333">
            <v>22</v>
          </cell>
          <cell r="C333">
            <v>15</v>
          </cell>
          <cell r="D333">
            <v>11</v>
          </cell>
          <cell r="E333">
            <v>8</v>
          </cell>
        </row>
        <row r="334">
          <cell r="A334" t="str">
            <v>B076DPGDHH</v>
          </cell>
          <cell r="B334">
            <v>20</v>
          </cell>
          <cell r="C334">
            <v>15</v>
          </cell>
          <cell r="D334">
            <v>10</v>
          </cell>
          <cell r="E334">
            <v>13</v>
          </cell>
        </row>
        <row r="335">
          <cell r="A335" t="str">
            <v>B076DR4BK4</v>
          </cell>
          <cell r="B335">
            <v>10</v>
          </cell>
          <cell r="C335">
            <v>9</v>
          </cell>
          <cell r="D335">
            <v>2</v>
          </cell>
          <cell r="E335">
            <v>4</v>
          </cell>
        </row>
        <row r="336">
          <cell r="A336" t="str">
            <v>B076DR81SV</v>
          </cell>
          <cell r="B336">
            <v>6</v>
          </cell>
          <cell r="C336">
            <v>5</v>
          </cell>
          <cell r="D336">
            <v>6</v>
          </cell>
          <cell r="E336">
            <v>7</v>
          </cell>
        </row>
        <row r="337">
          <cell r="A337" t="str">
            <v>B076DSB43Y</v>
          </cell>
          <cell r="B337">
            <v>14</v>
          </cell>
          <cell r="C337">
            <v>6</v>
          </cell>
          <cell r="D337">
            <v>8</v>
          </cell>
          <cell r="E337">
            <v>3</v>
          </cell>
        </row>
        <row r="338">
          <cell r="A338" t="str">
            <v>B076DSM35T</v>
          </cell>
          <cell r="B338">
            <v>8</v>
          </cell>
          <cell r="C338">
            <v>4</v>
          </cell>
          <cell r="D338">
            <v>5</v>
          </cell>
          <cell r="E338">
            <v>6</v>
          </cell>
        </row>
        <row r="339">
          <cell r="A339" t="str">
            <v>B076DSWJN4</v>
          </cell>
          <cell r="B339">
            <v>21</v>
          </cell>
          <cell r="C339">
            <v>18</v>
          </cell>
          <cell r="D339">
            <v>8</v>
          </cell>
          <cell r="E339">
            <v>10</v>
          </cell>
        </row>
        <row r="340">
          <cell r="A340" t="str">
            <v>B076DT77BR</v>
          </cell>
          <cell r="B340">
            <v>19</v>
          </cell>
          <cell r="C340">
            <v>8</v>
          </cell>
          <cell r="D340">
            <v>10</v>
          </cell>
          <cell r="E340">
            <v>8</v>
          </cell>
        </row>
        <row r="341">
          <cell r="A341" t="str">
            <v>B076DTK34H</v>
          </cell>
          <cell r="B341">
            <v>13</v>
          </cell>
          <cell r="C341">
            <v>13</v>
          </cell>
          <cell r="D341">
            <v>14</v>
          </cell>
          <cell r="E341">
            <v>6</v>
          </cell>
        </row>
        <row r="342">
          <cell r="A342" t="str">
            <v>B076DW1RH6</v>
          </cell>
          <cell r="B342">
            <v>18</v>
          </cell>
          <cell r="C342">
            <v>5</v>
          </cell>
          <cell r="D342">
            <v>5</v>
          </cell>
          <cell r="E342">
            <v>4</v>
          </cell>
        </row>
        <row r="343">
          <cell r="A343" t="str">
            <v>B076DW59RG</v>
          </cell>
          <cell r="B343">
            <v>15</v>
          </cell>
          <cell r="C343">
            <v>9</v>
          </cell>
          <cell r="D343">
            <v>5</v>
          </cell>
          <cell r="E343">
            <v>10</v>
          </cell>
        </row>
        <row r="344">
          <cell r="A344" t="str">
            <v>B076DX1XK9</v>
          </cell>
          <cell r="B344">
            <v>44</v>
          </cell>
          <cell r="C344">
            <v>21</v>
          </cell>
          <cell r="D344">
            <v>12</v>
          </cell>
          <cell r="E344">
            <v>9</v>
          </cell>
        </row>
        <row r="345">
          <cell r="A345" t="str">
            <v>B076DXK13Z</v>
          </cell>
          <cell r="B345">
            <v>19</v>
          </cell>
          <cell r="C345">
            <v>9</v>
          </cell>
          <cell r="D345">
            <v>7</v>
          </cell>
          <cell r="E345">
            <v>5</v>
          </cell>
        </row>
        <row r="346">
          <cell r="A346" t="str">
            <v>B076DYFG4G</v>
          </cell>
          <cell r="B346">
            <v>29</v>
          </cell>
          <cell r="C346">
            <v>13</v>
          </cell>
          <cell r="D346">
            <v>12</v>
          </cell>
          <cell r="E346">
            <v>11</v>
          </cell>
        </row>
        <row r="347">
          <cell r="A347" t="str">
            <v>B076DYK2G6</v>
          </cell>
          <cell r="B347">
            <v>3</v>
          </cell>
          <cell r="C347">
            <v>2</v>
          </cell>
          <cell r="D347">
            <v>6</v>
          </cell>
          <cell r="E347">
            <v>7</v>
          </cell>
        </row>
        <row r="348">
          <cell r="A348" t="str">
            <v>B076HP7DQW</v>
          </cell>
          <cell r="B348">
            <v>0</v>
          </cell>
          <cell r="C348">
            <v>0</v>
          </cell>
          <cell r="D348">
            <v>0</v>
          </cell>
          <cell r="E348">
            <v>2</v>
          </cell>
        </row>
        <row r="349">
          <cell r="A349" t="str">
            <v>B076P8S1LC</v>
          </cell>
          <cell r="B349">
            <v>20</v>
          </cell>
          <cell r="C349">
            <v>48</v>
          </cell>
          <cell r="D349">
            <v>74</v>
          </cell>
          <cell r="E349">
            <v>85</v>
          </cell>
        </row>
        <row r="350">
          <cell r="A350" t="str">
            <v>B0771JJC17</v>
          </cell>
          <cell r="B350">
            <v>87</v>
          </cell>
          <cell r="C350">
            <v>45</v>
          </cell>
          <cell r="D350">
            <v>40</v>
          </cell>
          <cell r="E350">
            <v>32</v>
          </cell>
        </row>
        <row r="351">
          <cell r="A351" t="str">
            <v>B0771L2H52</v>
          </cell>
          <cell r="B351">
            <v>63</v>
          </cell>
          <cell r="C351">
            <v>48</v>
          </cell>
          <cell r="D351">
            <v>32</v>
          </cell>
          <cell r="E351">
            <v>41</v>
          </cell>
        </row>
        <row r="352">
          <cell r="A352" t="str">
            <v>B0776Q3PVM</v>
          </cell>
          <cell r="B352">
            <v>1</v>
          </cell>
          <cell r="C352">
            <v>3</v>
          </cell>
          <cell r="D352">
            <v>4</v>
          </cell>
          <cell r="E352">
            <v>6</v>
          </cell>
        </row>
        <row r="353">
          <cell r="A353" t="str">
            <v>B0776QVRRT</v>
          </cell>
          <cell r="B353">
            <v>1</v>
          </cell>
          <cell r="C353">
            <v>2</v>
          </cell>
          <cell r="D353">
            <v>2</v>
          </cell>
          <cell r="E353">
            <v>7</v>
          </cell>
        </row>
        <row r="354">
          <cell r="A354" t="str">
            <v>B0776SM4GN</v>
          </cell>
          <cell r="B354">
            <v>0</v>
          </cell>
          <cell r="C354">
            <v>0</v>
          </cell>
          <cell r="D354">
            <v>3</v>
          </cell>
          <cell r="E354">
            <v>7</v>
          </cell>
        </row>
        <row r="355">
          <cell r="A355" t="str">
            <v>B077FLHKK7</v>
          </cell>
          <cell r="B355">
            <v>0</v>
          </cell>
          <cell r="C355">
            <v>24</v>
          </cell>
          <cell r="D355">
            <v>33</v>
          </cell>
          <cell r="E355">
            <v>44</v>
          </cell>
        </row>
        <row r="356">
          <cell r="A356" t="str">
            <v>B077FZ185H</v>
          </cell>
          <cell r="B356">
            <v>10</v>
          </cell>
          <cell r="C356">
            <v>19</v>
          </cell>
          <cell r="D356">
            <v>15</v>
          </cell>
          <cell r="E356">
            <v>19</v>
          </cell>
        </row>
        <row r="357">
          <cell r="A357" t="str">
            <v>B077GSTK1N</v>
          </cell>
          <cell r="B357">
            <v>7</v>
          </cell>
          <cell r="C357">
            <v>2</v>
          </cell>
          <cell r="D357">
            <v>3</v>
          </cell>
          <cell r="E357">
            <v>5</v>
          </cell>
        </row>
        <row r="358">
          <cell r="A358" t="str">
            <v>B077GT5NM7</v>
          </cell>
          <cell r="B358">
            <v>1</v>
          </cell>
          <cell r="C358">
            <v>1</v>
          </cell>
          <cell r="D358">
            <v>3</v>
          </cell>
          <cell r="E358">
            <v>4</v>
          </cell>
        </row>
        <row r="359">
          <cell r="A359" t="str">
            <v>B077GT9Y32</v>
          </cell>
          <cell r="B359">
            <v>3</v>
          </cell>
          <cell r="C359">
            <v>1</v>
          </cell>
          <cell r="D359">
            <v>5</v>
          </cell>
          <cell r="E359">
            <v>6</v>
          </cell>
        </row>
        <row r="360">
          <cell r="A360" t="str">
            <v>B077GTB515</v>
          </cell>
          <cell r="B360">
            <v>3</v>
          </cell>
          <cell r="C360">
            <v>1</v>
          </cell>
          <cell r="D360">
            <v>2</v>
          </cell>
          <cell r="E360">
            <v>3</v>
          </cell>
        </row>
        <row r="361">
          <cell r="A361" t="str">
            <v>B077GTC3DD</v>
          </cell>
          <cell r="B361">
            <v>4</v>
          </cell>
          <cell r="C361">
            <v>2</v>
          </cell>
          <cell r="D361">
            <v>2</v>
          </cell>
          <cell r="E361">
            <v>3</v>
          </cell>
        </row>
        <row r="362">
          <cell r="A362" t="str">
            <v>B077GTCV4D</v>
          </cell>
          <cell r="B362">
            <v>1</v>
          </cell>
          <cell r="C362">
            <v>2</v>
          </cell>
          <cell r="D362">
            <v>3</v>
          </cell>
          <cell r="E362">
            <v>3</v>
          </cell>
        </row>
        <row r="363">
          <cell r="A363" t="str">
            <v>B077GTDGCX</v>
          </cell>
          <cell r="B363">
            <v>3</v>
          </cell>
          <cell r="C363">
            <v>2</v>
          </cell>
          <cell r="D363">
            <v>3</v>
          </cell>
          <cell r="E363">
            <v>3</v>
          </cell>
        </row>
        <row r="364">
          <cell r="A364" t="str">
            <v>B077GTG3DN</v>
          </cell>
          <cell r="B364">
            <v>3</v>
          </cell>
          <cell r="C364">
            <v>3</v>
          </cell>
          <cell r="D364">
            <v>5</v>
          </cell>
          <cell r="E364">
            <v>4</v>
          </cell>
        </row>
        <row r="365">
          <cell r="A365" t="str">
            <v>B077GTHYN3</v>
          </cell>
          <cell r="B365">
            <v>6</v>
          </cell>
          <cell r="C365">
            <v>2</v>
          </cell>
          <cell r="D365">
            <v>3</v>
          </cell>
          <cell r="E365">
            <v>5</v>
          </cell>
        </row>
        <row r="366">
          <cell r="A366" t="str">
            <v>B077GTMLLQ</v>
          </cell>
          <cell r="B366">
            <v>2</v>
          </cell>
          <cell r="C366">
            <v>3</v>
          </cell>
          <cell r="D366">
            <v>0</v>
          </cell>
          <cell r="E366">
            <v>1</v>
          </cell>
        </row>
        <row r="367">
          <cell r="A367" t="str">
            <v>B077GTPRNJ</v>
          </cell>
          <cell r="B367">
            <v>2</v>
          </cell>
          <cell r="C367">
            <v>3</v>
          </cell>
          <cell r="D367">
            <v>2</v>
          </cell>
          <cell r="E367">
            <v>5</v>
          </cell>
        </row>
        <row r="368">
          <cell r="A368" t="str">
            <v>B077GTQ56H</v>
          </cell>
          <cell r="B368">
            <v>1</v>
          </cell>
          <cell r="C368">
            <v>1</v>
          </cell>
          <cell r="D368">
            <v>3</v>
          </cell>
          <cell r="E368">
            <v>4</v>
          </cell>
        </row>
        <row r="369">
          <cell r="A369" t="str">
            <v>B077GTR5GP</v>
          </cell>
          <cell r="B369">
            <v>2</v>
          </cell>
          <cell r="C369">
            <v>0</v>
          </cell>
          <cell r="D369">
            <v>2</v>
          </cell>
          <cell r="E369">
            <v>4</v>
          </cell>
        </row>
        <row r="370">
          <cell r="A370" t="str">
            <v>B077GTSW3V</v>
          </cell>
          <cell r="B370">
            <v>1</v>
          </cell>
          <cell r="C370">
            <v>0</v>
          </cell>
          <cell r="D370">
            <v>3</v>
          </cell>
          <cell r="E370">
            <v>5</v>
          </cell>
        </row>
        <row r="371">
          <cell r="A371" t="str">
            <v>B077GTT4DB</v>
          </cell>
          <cell r="B371">
            <v>2</v>
          </cell>
          <cell r="C371">
            <v>1</v>
          </cell>
          <cell r="D371">
            <v>1</v>
          </cell>
          <cell r="E371">
            <v>4</v>
          </cell>
        </row>
        <row r="372">
          <cell r="A372" t="str">
            <v>B077GTTW6F</v>
          </cell>
          <cell r="B372">
            <v>3</v>
          </cell>
          <cell r="C372">
            <v>0</v>
          </cell>
          <cell r="D372">
            <v>2</v>
          </cell>
          <cell r="E372">
            <v>3</v>
          </cell>
        </row>
        <row r="373">
          <cell r="A373" t="str">
            <v>B077GV12XZ</v>
          </cell>
          <cell r="B373">
            <v>3</v>
          </cell>
          <cell r="C373">
            <v>1</v>
          </cell>
          <cell r="D373">
            <v>3</v>
          </cell>
          <cell r="E373">
            <v>5</v>
          </cell>
        </row>
        <row r="374">
          <cell r="A374" t="str">
            <v>B077GVB9QZ</v>
          </cell>
          <cell r="B374">
            <v>3</v>
          </cell>
          <cell r="C374">
            <v>0</v>
          </cell>
          <cell r="D374">
            <v>2</v>
          </cell>
          <cell r="E374">
            <v>5</v>
          </cell>
        </row>
        <row r="375">
          <cell r="A375" t="str">
            <v>B077GVDKL1</v>
          </cell>
          <cell r="B375">
            <v>0</v>
          </cell>
          <cell r="C375">
            <v>1</v>
          </cell>
          <cell r="D375">
            <v>3</v>
          </cell>
          <cell r="E375">
            <v>5</v>
          </cell>
        </row>
        <row r="376">
          <cell r="A376" t="str">
            <v>B077GVFQ2V</v>
          </cell>
          <cell r="B376">
            <v>2</v>
          </cell>
          <cell r="C376">
            <v>1</v>
          </cell>
          <cell r="D376">
            <v>3</v>
          </cell>
          <cell r="E376">
            <v>7</v>
          </cell>
        </row>
        <row r="377">
          <cell r="A377" t="str">
            <v>B077GVL6JJ</v>
          </cell>
          <cell r="B377">
            <v>1</v>
          </cell>
          <cell r="C377">
            <v>3</v>
          </cell>
          <cell r="D377">
            <v>2</v>
          </cell>
          <cell r="E377">
            <v>4</v>
          </cell>
        </row>
        <row r="378">
          <cell r="A378" t="str">
            <v>B077GVPYG5</v>
          </cell>
          <cell r="B378">
            <v>3</v>
          </cell>
          <cell r="C378">
            <v>2</v>
          </cell>
          <cell r="D378">
            <v>2</v>
          </cell>
          <cell r="E378">
            <v>1</v>
          </cell>
        </row>
        <row r="379">
          <cell r="A379" t="str">
            <v>B077GVRC8H</v>
          </cell>
          <cell r="B379">
            <v>0</v>
          </cell>
          <cell r="C379">
            <v>2</v>
          </cell>
          <cell r="D379">
            <v>3</v>
          </cell>
          <cell r="E379">
            <v>2</v>
          </cell>
        </row>
        <row r="380">
          <cell r="A380" t="str">
            <v>B077GW6SRH</v>
          </cell>
          <cell r="B380">
            <v>0</v>
          </cell>
          <cell r="C380">
            <v>1</v>
          </cell>
          <cell r="D380">
            <v>1</v>
          </cell>
          <cell r="E380">
            <v>3</v>
          </cell>
        </row>
        <row r="381">
          <cell r="A381" t="str">
            <v>B077GWG4J3</v>
          </cell>
          <cell r="B381">
            <v>1</v>
          </cell>
          <cell r="C381">
            <v>1</v>
          </cell>
          <cell r="D381">
            <v>1</v>
          </cell>
          <cell r="E381">
            <v>3</v>
          </cell>
        </row>
        <row r="382">
          <cell r="A382" t="str">
            <v>B077MTV31P</v>
          </cell>
          <cell r="B382">
            <v>0</v>
          </cell>
          <cell r="C382">
            <v>1</v>
          </cell>
          <cell r="D382">
            <v>2</v>
          </cell>
          <cell r="E382">
            <v>3</v>
          </cell>
        </row>
        <row r="383">
          <cell r="A383" t="str">
            <v>B077MWVFXR</v>
          </cell>
          <cell r="B383">
            <v>2</v>
          </cell>
          <cell r="C383">
            <v>1</v>
          </cell>
          <cell r="D383">
            <v>2</v>
          </cell>
          <cell r="E383">
            <v>3</v>
          </cell>
        </row>
        <row r="384">
          <cell r="A384" t="str">
            <v>B077MWZHRH</v>
          </cell>
          <cell r="B384">
            <v>0</v>
          </cell>
          <cell r="C384">
            <v>2</v>
          </cell>
          <cell r="D384">
            <v>1</v>
          </cell>
          <cell r="E384">
            <v>3</v>
          </cell>
        </row>
        <row r="385">
          <cell r="A385" t="str">
            <v>B077MXLJYL</v>
          </cell>
          <cell r="B385">
            <v>0</v>
          </cell>
          <cell r="C385">
            <v>2</v>
          </cell>
          <cell r="D385">
            <v>1</v>
          </cell>
          <cell r="E385">
            <v>3</v>
          </cell>
        </row>
        <row r="386">
          <cell r="A386" t="str">
            <v>B077MXLJYR</v>
          </cell>
          <cell r="B386">
            <v>0</v>
          </cell>
          <cell r="C386">
            <v>2</v>
          </cell>
          <cell r="D386">
            <v>0</v>
          </cell>
          <cell r="E386">
            <v>1</v>
          </cell>
        </row>
        <row r="387">
          <cell r="A387" t="str">
            <v>B077MXMG77</v>
          </cell>
          <cell r="B387">
            <v>1</v>
          </cell>
          <cell r="C387">
            <v>3</v>
          </cell>
          <cell r="D387">
            <v>2</v>
          </cell>
          <cell r="E387">
            <v>4</v>
          </cell>
        </row>
        <row r="388">
          <cell r="A388" t="str">
            <v>B077MYVL7W</v>
          </cell>
          <cell r="B388">
            <v>2</v>
          </cell>
          <cell r="C388">
            <v>3</v>
          </cell>
          <cell r="D388">
            <v>2</v>
          </cell>
          <cell r="E388">
            <v>3</v>
          </cell>
        </row>
        <row r="389">
          <cell r="A389" t="str">
            <v>B077MZVCLY</v>
          </cell>
          <cell r="B389">
            <v>0</v>
          </cell>
          <cell r="C389">
            <v>0</v>
          </cell>
          <cell r="D389">
            <v>1</v>
          </cell>
          <cell r="E389">
            <v>2</v>
          </cell>
        </row>
        <row r="390">
          <cell r="A390" t="str">
            <v>B077N1HRR8</v>
          </cell>
          <cell r="B390">
            <v>0</v>
          </cell>
          <cell r="C390">
            <v>1</v>
          </cell>
          <cell r="D390">
            <v>2</v>
          </cell>
          <cell r="E390">
            <v>5</v>
          </cell>
        </row>
        <row r="391">
          <cell r="A391" t="str">
            <v>B077N1QGPK</v>
          </cell>
          <cell r="B391">
            <v>0</v>
          </cell>
          <cell r="C391">
            <v>4</v>
          </cell>
          <cell r="D391">
            <v>1</v>
          </cell>
          <cell r="E391">
            <v>5</v>
          </cell>
        </row>
        <row r="392">
          <cell r="A392" t="str">
            <v>B077N24PG2</v>
          </cell>
          <cell r="B392">
            <v>0</v>
          </cell>
          <cell r="C392">
            <v>3</v>
          </cell>
          <cell r="D392">
            <v>2</v>
          </cell>
          <cell r="E392">
            <v>4</v>
          </cell>
        </row>
        <row r="393">
          <cell r="A393" t="str">
            <v>B077N28DGY</v>
          </cell>
          <cell r="B393">
            <v>0</v>
          </cell>
          <cell r="C393">
            <v>6</v>
          </cell>
          <cell r="D393">
            <v>0</v>
          </cell>
          <cell r="E393">
            <v>4</v>
          </cell>
        </row>
        <row r="394">
          <cell r="A394" t="str">
            <v>B077N3KY6X</v>
          </cell>
          <cell r="B394">
            <v>2</v>
          </cell>
          <cell r="C394">
            <v>6</v>
          </cell>
          <cell r="D394">
            <v>3</v>
          </cell>
          <cell r="E394">
            <v>5</v>
          </cell>
        </row>
        <row r="395">
          <cell r="A395" t="str">
            <v>B077N3LV33</v>
          </cell>
          <cell r="B395">
            <v>0</v>
          </cell>
          <cell r="C395">
            <v>2</v>
          </cell>
          <cell r="D395">
            <v>1</v>
          </cell>
          <cell r="E395">
            <v>4</v>
          </cell>
        </row>
        <row r="396">
          <cell r="A396" t="str">
            <v>B077N3LV38</v>
          </cell>
          <cell r="B396">
            <v>3</v>
          </cell>
          <cell r="C396">
            <v>14</v>
          </cell>
          <cell r="D396">
            <v>4</v>
          </cell>
          <cell r="E396">
            <v>3</v>
          </cell>
        </row>
        <row r="397">
          <cell r="A397" t="str">
            <v>B077N47MTG</v>
          </cell>
          <cell r="B397">
            <v>0</v>
          </cell>
          <cell r="C397">
            <v>10</v>
          </cell>
          <cell r="D397">
            <v>2</v>
          </cell>
          <cell r="E397">
            <v>1</v>
          </cell>
        </row>
        <row r="398">
          <cell r="A398" t="str">
            <v>B077N4VS3G</v>
          </cell>
          <cell r="B398">
            <v>3</v>
          </cell>
          <cell r="C398">
            <v>8</v>
          </cell>
          <cell r="D398">
            <v>1</v>
          </cell>
          <cell r="E398">
            <v>4</v>
          </cell>
        </row>
        <row r="399">
          <cell r="A399" t="str">
            <v>B077N58RS3</v>
          </cell>
          <cell r="B399">
            <v>0</v>
          </cell>
          <cell r="C399">
            <v>2</v>
          </cell>
          <cell r="D399">
            <v>0</v>
          </cell>
          <cell r="E399">
            <v>4</v>
          </cell>
        </row>
        <row r="400">
          <cell r="A400" t="str">
            <v>B077N641W6</v>
          </cell>
          <cell r="B400">
            <v>1</v>
          </cell>
          <cell r="C400">
            <v>1</v>
          </cell>
          <cell r="D400">
            <v>0</v>
          </cell>
          <cell r="E400">
            <v>3</v>
          </cell>
        </row>
        <row r="401">
          <cell r="A401" t="str">
            <v>B077N685Q4</v>
          </cell>
          <cell r="B401">
            <v>6</v>
          </cell>
          <cell r="C401">
            <v>3</v>
          </cell>
          <cell r="D401">
            <v>4</v>
          </cell>
          <cell r="E401">
            <v>4</v>
          </cell>
        </row>
        <row r="402">
          <cell r="A402" t="str">
            <v>B077N6RL2N</v>
          </cell>
          <cell r="B402">
            <v>0</v>
          </cell>
          <cell r="C402">
            <v>3</v>
          </cell>
          <cell r="D402">
            <v>1</v>
          </cell>
          <cell r="E402">
            <v>3</v>
          </cell>
        </row>
        <row r="403">
          <cell r="A403" t="str">
            <v>B077N7P2RN</v>
          </cell>
          <cell r="B403">
            <v>1</v>
          </cell>
          <cell r="C403">
            <v>4</v>
          </cell>
          <cell r="D403">
            <v>3</v>
          </cell>
          <cell r="E403">
            <v>5</v>
          </cell>
        </row>
        <row r="404">
          <cell r="A404" t="str">
            <v>B077N845BF</v>
          </cell>
          <cell r="B404">
            <v>5</v>
          </cell>
          <cell r="C404">
            <v>6</v>
          </cell>
          <cell r="D404">
            <v>3</v>
          </cell>
          <cell r="E404">
            <v>6</v>
          </cell>
        </row>
        <row r="405">
          <cell r="A405" t="str">
            <v>B077N91KX8</v>
          </cell>
          <cell r="B405">
            <v>1</v>
          </cell>
          <cell r="C405">
            <v>1</v>
          </cell>
          <cell r="D405">
            <v>2</v>
          </cell>
          <cell r="E405">
            <v>3</v>
          </cell>
        </row>
        <row r="406">
          <cell r="A406" t="str">
            <v>B077NB45R7</v>
          </cell>
          <cell r="B406">
            <v>20</v>
          </cell>
          <cell r="C406">
            <v>1</v>
          </cell>
          <cell r="D406">
            <v>3</v>
          </cell>
          <cell r="E406">
            <v>1</v>
          </cell>
        </row>
        <row r="407">
          <cell r="A407" t="str">
            <v>B077NBB2XS</v>
          </cell>
          <cell r="B407">
            <v>18</v>
          </cell>
          <cell r="C407">
            <v>15</v>
          </cell>
          <cell r="D407">
            <v>8</v>
          </cell>
          <cell r="E407">
            <v>11</v>
          </cell>
        </row>
        <row r="408">
          <cell r="A408" t="str">
            <v>B077NBCRDS</v>
          </cell>
          <cell r="B408">
            <v>0</v>
          </cell>
          <cell r="C408">
            <v>6</v>
          </cell>
          <cell r="D408">
            <v>7</v>
          </cell>
          <cell r="E408">
            <v>6</v>
          </cell>
        </row>
        <row r="409">
          <cell r="A409" t="str">
            <v>B077ND3YXB</v>
          </cell>
          <cell r="B409">
            <v>0</v>
          </cell>
          <cell r="C409">
            <v>1</v>
          </cell>
          <cell r="D409">
            <v>5</v>
          </cell>
          <cell r="E409">
            <v>2</v>
          </cell>
        </row>
        <row r="410">
          <cell r="A410" t="str">
            <v>B077NNVQ58</v>
          </cell>
          <cell r="B410">
            <v>0</v>
          </cell>
          <cell r="C410">
            <v>3</v>
          </cell>
          <cell r="D410">
            <v>0</v>
          </cell>
          <cell r="E410">
            <v>2</v>
          </cell>
        </row>
        <row r="411">
          <cell r="A411" t="str">
            <v>B077P1HZH5</v>
          </cell>
          <cell r="B411">
            <v>0</v>
          </cell>
          <cell r="C411">
            <v>3</v>
          </cell>
          <cell r="D411">
            <v>3</v>
          </cell>
          <cell r="E411">
            <v>2</v>
          </cell>
        </row>
        <row r="412">
          <cell r="A412" t="str">
            <v>B077P25L34</v>
          </cell>
          <cell r="B412">
            <v>0</v>
          </cell>
          <cell r="C412">
            <v>5</v>
          </cell>
          <cell r="D412">
            <v>2</v>
          </cell>
          <cell r="E412">
            <v>5</v>
          </cell>
        </row>
        <row r="413">
          <cell r="A413" t="str">
            <v>B077P3P1K6</v>
          </cell>
          <cell r="B413">
            <v>0</v>
          </cell>
          <cell r="C413">
            <v>5</v>
          </cell>
          <cell r="D413">
            <v>2</v>
          </cell>
          <cell r="E413">
            <v>1</v>
          </cell>
        </row>
        <row r="414">
          <cell r="A414" t="str">
            <v>B077P3Q2LJ</v>
          </cell>
          <cell r="B414">
            <v>0</v>
          </cell>
          <cell r="C414">
            <v>6</v>
          </cell>
          <cell r="D414">
            <v>0</v>
          </cell>
          <cell r="E414">
            <v>1</v>
          </cell>
        </row>
        <row r="415">
          <cell r="A415" t="str">
            <v>B077P3W5CY</v>
          </cell>
          <cell r="B415">
            <v>0</v>
          </cell>
          <cell r="C415">
            <v>5</v>
          </cell>
          <cell r="D415">
            <v>3</v>
          </cell>
          <cell r="E415">
            <v>4</v>
          </cell>
        </row>
        <row r="416">
          <cell r="A416" t="str">
            <v>B077P4BJ4R</v>
          </cell>
          <cell r="B416">
            <v>0</v>
          </cell>
          <cell r="C416">
            <v>6</v>
          </cell>
          <cell r="D416">
            <v>3</v>
          </cell>
          <cell r="E416">
            <v>4</v>
          </cell>
        </row>
        <row r="417">
          <cell r="A417" t="str">
            <v>B077P4NDQF</v>
          </cell>
          <cell r="B417">
            <v>0</v>
          </cell>
          <cell r="C417">
            <v>5</v>
          </cell>
          <cell r="D417">
            <v>1</v>
          </cell>
          <cell r="E417">
            <v>1</v>
          </cell>
        </row>
        <row r="418">
          <cell r="A418" t="str">
            <v>B077P6DN7F</v>
          </cell>
          <cell r="B418">
            <v>1</v>
          </cell>
          <cell r="C418">
            <v>5</v>
          </cell>
          <cell r="D418">
            <v>2</v>
          </cell>
          <cell r="E418">
            <v>8</v>
          </cell>
        </row>
        <row r="419">
          <cell r="A419" t="str">
            <v>B077P6GQ66</v>
          </cell>
          <cell r="B419">
            <v>0</v>
          </cell>
          <cell r="C419">
            <v>5</v>
          </cell>
          <cell r="D419">
            <v>2</v>
          </cell>
          <cell r="E419">
            <v>5</v>
          </cell>
        </row>
        <row r="420">
          <cell r="A420" t="str">
            <v>B077P6GSLS</v>
          </cell>
          <cell r="B420">
            <v>0</v>
          </cell>
          <cell r="C420">
            <v>4</v>
          </cell>
          <cell r="D420">
            <v>1</v>
          </cell>
          <cell r="E420">
            <v>4</v>
          </cell>
        </row>
        <row r="421">
          <cell r="A421" t="str">
            <v>B077P76342</v>
          </cell>
          <cell r="B421">
            <v>0</v>
          </cell>
          <cell r="C421">
            <v>5</v>
          </cell>
          <cell r="D421">
            <v>1</v>
          </cell>
          <cell r="E421">
            <v>4</v>
          </cell>
        </row>
        <row r="422">
          <cell r="A422" t="str">
            <v>B077P822BJ</v>
          </cell>
          <cell r="B422">
            <v>0</v>
          </cell>
          <cell r="C422">
            <v>3</v>
          </cell>
          <cell r="D422">
            <v>0</v>
          </cell>
          <cell r="E422">
            <v>3</v>
          </cell>
        </row>
        <row r="423">
          <cell r="A423" t="str">
            <v>B077P832FW</v>
          </cell>
          <cell r="B423">
            <v>0</v>
          </cell>
          <cell r="C423">
            <v>3</v>
          </cell>
          <cell r="D423">
            <v>1</v>
          </cell>
          <cell r="E423">
            <v>3</v>
          </cell>
        </row>
        <row r="424">
          <cell r="A424" t="str">
            <v>B077P98RR5</v>
          </cell>
          <cell r="B424">
            <v>0</v>
          </cell>
          <cell r="C424">
            <v>3</v>
          </cell>
          <cell r="D424">
            <v>1</v>
          </cell>
          <cell r="E424">
            <v>2</v>
          </cell>
        </row>
        <row r="425">
          <cell r="A425" t="str">
            <v>B077PBWY75</v>
          </cell>
          <cell r="B425">
            <v>0</v>
          </cell>
          <cell r="C425">
            <v>3</v>
          </cell>
          <cell r="D425">
            <v>1</v>
          </cell>
          <cell r="E425">
            <v>2</v>
          </cell>
        </row>
        <row r="426">
          <cell r="A426" t="str">
            <v>B077PBYWZS</v>
          </cell>
          <cell r="B426">
            <v>0</v>
          </cell>
          <cell r="C426">
            <v>2</v>
          </cell>
          <cell r="D426">
            <v>1</v>
          </cell>
          <cell r="E426">
            <v>2</v>
          </cell>
        </row>
        <row r="427">
          <cell r="A427" t="str">
            <v>B077PC5BGR</v>
          </cell>
          <cell r="B427">
            <v>0</v>
          </cell>
          <cell r="C427">
            <v>3</v>
          </cell>
          <cell r="D427">
            <v>1</v>
          </cell>
          <cell r="E427">
            <v>2</v>
          </cell>
        </row>
        <row r="428">
          <cell r="A428" t="str">
            <v>B077PC5F9V</v>
          </cell>
          <cell r="B428">
            <v>0</v>
          </cell>
          <cell r="C428">
            <v>3</v>
          </cell>
          <cell r="D428">
            <v>0</v>
          </cell>
          <cell r="E428">
            <v>2</v>
          </cell>
        </row>
        <row r="429">
          <cell r="A429" t="str">
            <v>B077PD7WHY</v>
          </cell>
          <cell r="B429">
            <v>0</v>
          </cell>
          <cell r="C429">
            <v>2</v>
          </cell>
          <cell r="D429">
            <v>1</v>
          </cell>
          <cell r="E429">
            <v>3</v>
          </cell>
        </row>
        <row r="430">
          <cell r="A430" t="str">
            <v>B077PFB21G</v>
          </cell>
          <cell r="B430">
            <v>0</v>
          </cell>
          <cell r="C430">
            <v>2</v>
          </cell>
          <cell r="D430">
            <v>0</v>
          </cell>
          <cell r="E430">
            <v>3</v>
          </cell>
        </row>
        <row r="431">
          <cell r="A431" t="str">
            <v>B077PFB34T</v>
          </cell>
          <cell r="B431">
            <v>0</v>
          </cell>
          <cell r="C431">
            <v>3</v>
          </cell>
          <cell r="D431">
            <v>0</v>
          </cell>
          <cell r="E431">
            <v>3</v>
          </cell>
        </row>
        <row r="432">
          <cell r="A432" t="str">
            <v>B077PFD9LP</v>
          </cell>
          <cell r="B432">
            <v>0</v>
          </cell>
          <cell r="C432">
            <v>1</v>
          </cell>
          <cell r="D432">
            <v>1</v>
          </cell>
          <cell r="E432">
            <v>3</v>
          </cell>
        </row>
        <row r="433">
          <cell r="A433" t="str">
            <v>B077PGDGHH</v>
          </cell>
          <cell r="B433">
            <v>0</v>
          </cell>
          <cell r="C433">
            <v>3</v>
          </cell>
          <cell r="D433">
            <v>1</v>
          </cell>
          <cell r="E433">
            <v>4</v>
          </cell>
        </row>
        <row r="434">
          <cell r="A434" t="str">
            <v>B077PGJY38</v>
          </cell>
          <cell r="B434">
            <v>0</v>
          </cell>
          <cell r="C434">
            <v>1</v>
          </cell>
          <cell r="D434">
            <v>1</v>
          </cell>
          <cell r="E434">
            <v>3</v>
          </cell>
        </row>
        <row r="435">
          <cell r="A435" t="str">
            <v>B077PGPQKQ</v>
          </cell>
          <cell r="B435">
            <v>0</v>
          </cell>
          <cell r="C435">
            <v>2</v>
          </cell>
          <cell r="D435">
            <v>1</v>
          </cell>
          <cell r="E435">
            <v>5</v>
          </cell>
        </row>
        <row r="436">
          <cell r="A436" t="str">
            <v>B077PGPW9C</v>
          </cell>
          <cell r="B436">
            <v>0</v>
          </cell>
          <cell r="C436">
            <v>3</v>
          </cell>
          <cell r="D436">
            <v>1</v>
          </cell>
          <cell r="E436">
            <v>4</v>
          </cell>
        </row>
        <row r="437">
          <cell r="A437" t="str">
            <v>B077S7LWD7</v>
          </cell>
          <cell r="B437">
            <v>3</v>
          </cell>
          <cell r="C437">
            <v>5</v>
          </cell>
          <cell r="D437">
            <v>4</v>
          </cell>
          <cell r="E437">
            <v>5</v>
          </cell>
        </row>
        <row r="438">
          <cell r="A438" t="str">
            <v>B077SDYYKL</v>
          </cell>
          <cell r="B438">
            <v>0</v>
          </cell>
          <cell r="C438">
            <v>2</v>
          </cell>
          <cell r="D438">
            <v>2</v>
          </cell>
          <cell r="E438">
            <v>4</v>
          </cell>
        </row>
        <row r="439">
          <cell r="A439" t="str">
            <v>B077SNBTYK</v>
          </cell>
          <cell r="B439">
            <v>0</v>
          </cell>
          <cell r="C439">
            <v>2</v>
          </cell>
          <cell r="D439">
            <v>1</v>
          </cell>
          <cell r="E439">
            <v>4</v>
          </cell>
        </row>
        <row r="440">
          <cell r="A440" t="str">
            <v>B077SPDQMX</v>
          </cell>
          <cell r="B440">
            <v>0</v>
          </cell>
          <cell r="C440">
            <v>4</v>
          </cell>
          <cell r="D440">
            <v>1</v>
          </cell>
          <cell r="E440">
            <v>4</v>
          </cell>
        </row>
        <row r="441">
          <cell r="A441" t="str">
            <v>B077SPDT2V</v>
          </cell>
          <cell r="B441">
            <v>0</v>
          </cell>
          <cell r="C441">
            <v>2</v>
          </cell>
          <cell r="D441">
            <v>2</v>
          </cell>
          <cell r="E441">
            <v>1</v>
          </cell>
        </row>
        <row r="442">
          <cell r="A442" t="str">
            <v>B077SSQ158</v>
          </cell>
          <cell r="B442">
            <v>0</v>
          </cell>
          <cell r="C442">
            <v>3</v>
          </cell>
          <cell r="D442">
            <v>1</v>
          </cell>
          <cell r="E442">
            <v>5</v>
          </cell>
        </row>
        <row r="443">
          <cell r="A443" t="str">
            <v>B077SSQFMX</v>
          </cell>
          <cell r="B443">
            <v>0</v>
          </cell>
          <cell r="C443">
            <v>4</v>
          </cell>
          <cell r="D443">
            <v>1</v>
          </cell>
          <cell r="E443">
            <v>2</v>
          </cell>
        </row>
        <row r="444">
          <cell r="A444" t="str">
            <v>B077TDYRN1</v>
          </cell>
          <cell r="B444">
            <v>2</v>
          </cell>
          <cell r="C444">
            <v>6</v>
          </cell>
          <cell r="D444">
            <v>1</v>
          </cell>
          <cell r="E444">
            <v>3</v>
          </cell>
        </row>
        <row r="445">
          <cell r="A445" t="str">
            <v>B077YTW39Y</v>
          </cell>
          <cell r="B445">
            <v>1</v>
          </cell>
          <cell r="C445">
            <v>11</v>
          </cell>
          <cell r="D445">
            <v>5</v>
          </cell>
          <cell r="E445">
            <v>1</v>
          </cell>
        </row>
        <row r="446">
          <cell r="A446" t="str">
            <v>B077YZMM76</v>
          </cell>
          <cell r="B446">
            <v>0</v>
          </cell>
          <cell r="C446">
            <v>7</v>
          </cell>
          <cell r="D446">
            <v>3</v>
          </cell>
          <cell r="E446">
            <v>1</v>
          </cell>
        </row>
        <row r="447">
          <cell r="A447" t="str">
            <v>B077YZQ4GF</v>
          </cell>
          <cell r="B447">
            <v>1</v>
          </cell>
          <cell r="C447">
            <v>6</v>
          </cell>
          <cell r="D447">
            <v>3</v>
          </cell>
          <cell r="E447">
            <v>1</v>
          </cell>
        </row>
        <row r="448">
          <cell r="A448" t="str">
            <v>B077YZQ6PF</v>
          </cell>
          <cell r="B448">
            <v>0</v>
          </cell>
          <cell r="C448">
            <v>6</v>
          </cell>
          <cell r="D448">
            <v>6</v>
          </cell>
          <cell r="E448">
            <v>1</v>
          </cell>
        </row>
        <row r="449">
          <cell r="A449" t="str">
            <v>B077Z3273G</v>
          </cell>
          <cell r="B449">
            <v>0</v>
          </cell>
          <cell r="C449">
            <v>3</v>
          </cell>
          <cell r="D449">
            <v>6</v>
          </cell>
          <cell r="E449">
            <v>2</v>
          </cell>
        </row>
        <row r="450">
          <cell r="A450" t="str">
            <v>B07841ZNJ5</v>
          </cell>
          <cell r="B450">
            <v>0</v>
          </cell>
          <cell r="C450">
            <v>4</v>
          </cell>
          <cell r="D450">
            <v>3</v>
          </cell>
          <cell r="E450">
            <v>2</v>
          </cell>
        </row>
        <row r="451">
          <cell r="A451" t="str">
            <v>B07842C2Q3</v>
          </cell>
          <cell r="B451">
            <v>10</v>
          </cell>
          <cell r="C451">
            <v>13</v>
          </cell>
          <cell r="D451">
            <v>3</v>
          </cell>
          <cell r="E451">
            <v>3</v>
          </cell>
        </row>
        <row r="452">
          <cell r="A452" t="str">
            <v>B07842CPN5</v>
          </cell>
          <cell r="B452">
            <v>0</v>
          </cell>
          <cell r="C452">
            <v>5</v>
          </cell>
          <cell r="D452">
            <v>2</v>
          </cell>
          <cell r="E452">
            <v>2</v>
          </cell>
        </row>
        <row r="453">
          <cell r="A453" t="str">
            <v>B07843N7TB</v>
          </cell>
          <cell r="B453">
            <v>0</v>
          </cell>
          <cell r="C453">
            <v>2</v>
          </cell>
          <cell r="D453">
            <v>4</v>
          </cell>
          <cell r="E453">
            <v>4</v>
          </cell>
        </row>
        <row r="454">
          <cell r="A454" t="str">
            <v>B07843R3WG</v>
          </cell>
          <cell r="B454">
            <v>0</v>
          </cell>
          <cell r="C454">
            <v>2</v>
          </cell>
          <cell r="D454">
            <v>3</v>
          </cell>
          <cell r="E454">
            <v>4</v>
          </cell>
        </row>
        <row r="455">
          <cell r="A455" t="str">
            <v>B07843RDHP</v>
          </cell>
          <cell r="B455">
            <v>0</v>
          </cell>
          <cell r="C455">
            <v>3</v>
          </cell>
          <cell r="D455">
            <v>1</v>
          </cell>
          <cell r="E455">
            <v>2</v>
          </cell>
        </row>
        <row r="456">
          <cell r="A456" t="str">
            <v>B07844VFWQ</v>
          </cell>
          <cell r="B456">
            <v>0</v>
          </cell>
          <cell r="C456">
            <v>3</v>
          </cell>
          <cell r="D456">
            <v>2</v>
          </cell>
          <cell r="E456">
            <v>3</v>
          </cell>
        </row>
        <row r="457">
          <cell r="A457" t="str">
            <v>B07844WCH2</v>
          </cell>
          <cell r="B457">
            <v>0</v>
          </cell>
          <cell r="C457">
            <v>8</v>
          </cell>
          <cell r="D457">
            <v>3</v>
          </cell>
          <cell r="E457">
            <v>2</v>
          </cell>
        </row>
        <row r="458">
          <cell r="A458" t="str">
            <v>B0784N7PCD</v>
          </cell>
          <cell r="B458">
            <v>11</v>
          </cell>
          <cell r="C458">
            <v>10</v>
          </cell>
          <cell r="D458">
            <v>6</v>
          </cell>
          <cell r="E458">
            <v>2</v>
          </cell>
        </row>
        <row r="459">
          <cell r="A459" t="str">
            <v>B0784RRGDD</v>
          </cell>
          <cell r="B459">
            <v>0</v>
          </cell>
          <cell r="C459">
            <v>4</v>
          </cell>
          <cell r="D459">
            <v>2</v>
          </cell>
          <cell r="E459">
            <v>2</v>
          </cell>
        </row>
        <row r="460">
          <cell r="A460" t="str">
            <v>B0784T4MYY</v>
          </cell>
          <cell r="B460">
            <v>0</v>
          </cell>
          <cell r="C460">
            <v>6</v>
          </cell>
          <cell r="D460">
            <v>1</v>
          </cell>
          <cell r="E460">
            <v>2</v>
          </cell>
        </row>
        <row r="461">
          <cell r="A461" t="str">
            <v>B07856FYRX</v>
          </cell>
          <cell r="B461">
            <v>51</v>
          </cell>
          <cell r="C461">
            <v>16</v>
          </cell>
          <cell r="D461">
            <v>12</v>
          </cell>
          <cell r="E461">
            <v>43</v>
          </cell>
        </row>
        <row r="462">
          <cell r="A462" t="str">
            <v>B0785NGDM9</v>
          </cell>
          <cell r="B462">
            <v>1</v>
          </cell>
          <cell r="C462">
            <v>14</v>
          </cell>
          <cell r="D462">
            <v>8</v>
          </cell>
          <cell r="E462">
            <v>3</v>
          </cell>
        </row>
        <row r="463">
          <cell r="A463" t="str">
            <v>B078C5JLZV</v>
          </cell>
          <cell r="B463">
            <v>0</v>
          </cell>
          <cell r="C463">
            <v>4</v>
          </cell>
          <cell r="D463">
            <v>2</v>
          </cell>
          <cell r="E463">
            <v>5</v>
          </cell>
        </row>
        <row r="464">
          <cell r="A464" t="str">
            <v>B078JQ3KLW</v>
          </cell>
          <cell r="B464">
            <v>48</v>
          </cell>
          <cell r="C464">
            <v>64</v>
          </cell>
          <cell r="D464">
            <v>65</v>
          </cell>
          <cell r="E464">
            <v>24</v>
          </cell>
        </row>
        <row r="465">
          <cell r="A465" t="str">
            <v>B0798K6868</v>
          </cell>
          <cell r="B465">
            <v>0</v>
          </cell>
          <cell r="C465">
            <v>0</v>
          </cell>
          <cell r="D465">
            <v>2</v>
          </cell>
          <cell r="E465">
            <v>2</v>
          </cell>
        </row>
        <row r="466">
          <cell r="A466" t="str">
            <v>B0798LDZR1</v>
          </cell>
          <cell r="B466">
            <v>0</v>
          </cell>
          <cell r="C466">
            <v>4</v>
          </cell>
          <cell r="D466">
            <v>1</v>
          </cell>
          <cell r="E466">
            <v>2</v>
          </cell>
        </row>
        <row r="467">
          <cell r="A467" t="str">
            <v>B0798LP538</v>
          </cell>
          <cell r="B467">
            <v>0</v>
          </cell>
          <cell r="C467">
            <v>1</v>
          </cell>
          <cell r="D467">
            <v>2</v>
          </cell>
          <cell r="E467">
            <v>2</v>
          </cell>
        </row>
        <row r="468">
          <cell r="A468" t="str">
            <v>B0798LYM3Y</v>
          </cell>
          <cell r="B468">
            <v>4</v>
          </cell>
          <cell r="C468">
            <v>1</v>
          </cell>
          <cell r="D468">
            <v>3</v>
          </cell>
          <cell r="E468">
            <v>2</v>
          </cell>
        </row>
        <row r="469">
          <cell r="A469" t="str">
            <v>B0798LYWQ6</v>
          </cell>
          <cell r="B469">
            <v>0</v>
          </cell>
          <cell r="C469">
            <v>1</v>
          </cell>
          <cell r="D469">
            <v>3</v>
          </cell>
          <cell r="E469">
            <v>5</v>
          </cell>
        </row>
        <row r="470">
          <cell r="A470" t="str">
            <v>B0798MFCBV</v>
          </cell>
          <cell r="B470">
            <v>2</v>
          </cell>
          <cell r="C470">
            <v>1</v>
          </cell>
          <cell r="D470">
            <v>3</v>
          </cell>
          <cell r="E470">
            <v>6</v>
          </cell>
        </row>
        <row r="471">
          <cell r="A471" t="str">
            <v>B079FQ4PDH</v>
          </cell>
          <cell r="B471">
            <v>0</v>
          </cell>
          <cell r="C471">
            <v>4</v>
          </cell>
          <cell r="D471">
            <v>4</v>
          </cell>
          <cell r="E471">
            <v>5</v>
          </cell>
        </row>
        <row r="472">
          <cell r="A472" t="str">
            <v>B079FQX9Q1</v>
          </cell>
          <cell r="B472">
            <v>0</v>
          </cell>
          <cell r="C472">
            <v>3</v>
          </cell>
          <cell r="D472">
            <v>4</v>
          </cell>
          <cell r="E472">
            <v>5</v>
          </cell>
        </row>
        <row r="473">
          <cell r="A473" t="str">
            <v>B079FSNZN7</v>
          </cell>
          <cell r="B473">
            <v>1</v>
          </cell>
          <cell r="C473">
            <v>3</v>
          </cell>
          <cell r="D473">
            <v>3</v>
          </cell>
          <cell r="E473">
            <v>3</v>
          </cell>
        </row>
        <row r="474">
          <cell r="A474" t="str">
            <v>B079FTFFNT</v>
          </cell>
          <cell r="B474">
            <v>0</v>
          </cell>
          <cell r="C474">
            <v>0</v>
          </cell>
          <cell r="D474">
            <v>2</v>
          </cell>
          <cell r="E474">
            <v>4</v>
          </cell>
        </row>
        <row r="475">
          <cell r="A475" t="str">
            <v>B079FTJ6C1</v>
          </cell>
          <cell r="B475">
            <v>0</v>
          </cell>
          <cell r="C475">
            <v>3</v>
          </cell>
          <cell r="D475">
            <v>2</v>
          </cell>
          <cell r="E475">
            <v>3</v>
          </cell>
        </row>
        <row r="476">
          <cell r="A476" t="str">
            <v>B079FTV86C</v>
          </cell>
          <cell r="B476">
            <v>0</v>
          </cell>
          <cell r="C476">
            <v>4</v>
          </cell>
          <cell r="D476">
            <v>1</v>
          </cell>
          <cell r="E476">
            <v>4</v>
          </cell>
        </row>
        <row r="477">
          <cell r="A477" t="str">
            <v>B079FVMRBZ</v>
          </cell>
          <cell r="B477">
            <v>1</v>
          </cell>
          <cell r="C477">
            <v>4</v>
          </cell>
          <cell r="D477">
            <v>1</v>
          </cell>
          <cell r="E477">
            <v>4</v>
          </cell>
        </row>
        <row r="478">
          <cell r="A478" t="str">
            <v>B079FVRCX3</v>
          </cell>
          <cell r="B478">
            <v>1</v>
          </cell>
          <cell r="C478">
            <v>5</v>
          </cell>
          <cell r="D478">
            <v>1</v>
          </cell>
          <cell r="E478">
            <v>2</v>
          </cell>
        </row>
        <row r="479">
          <cell r="A479" t="str">
            <v>B079FVVB6T</v>
          </cell>
          <cell r="B479">
            <v>1</v>
          </cell>
          <cell r="C479">
            <v>6</v>
          </cell>
          <cell r="D479">
            <v>1</v>
          </cell>
          <cell r="E479">
            <v>1</v>
          </cell>
        </row>
        <row r="480">
          <cell r="A480" t="str">
            <v>B079FX7R86</v>
          </cell>
          <cell r="B480">
            <v>1</v>
          </cell>
          <cell r="C480">
            <v>6</v>
          </cell>
          <cell r="D480">
            <v>0</v>
          </cell>
          <cell r="E480">
            <v>1</v>
          </cell>
        </row>
        <row r="481">
          <cell r="A481" t="str">
            <v>B079FXP1KJ</v>
          </cell>
          <cell r="B481">
            <v>0</v>
          </cell>
          <cell r="C481">
            <v>8</v>
          </cell>
          <cell r="D481">
            <v>0</v>
          </cell>
          <cell r="E481">
            <v>1</v>
          </cell>
        </row>
        <row r="482">
          <cell r="A482" t="str">
            <v>B079FXT799</v>
          </cell>
          <cell r="B482">
            <v>0</v>
          </cell>
          <cell r="C482">
            <v>5</v>
          </cell>
          <cell r="D482">
            <v>0</v>
          </cell>
          <cell r="E482">
            <v>1</v>
          </cell>
        </row>
        <row r="483">
          <cell r="A483" t="str">
            <v>B079FZKDFL</v>
          </cell>
          <cell r="B483">
            <v>0</v>
          </cell>
          <cell r="C483">
            <v>7</v>
          </cell>
          <cell r="D483">
            <v>0</v>
          </cell>
          <cell r="E483">
            <v>3</v>
          </cell>
        </row>
        <row r="484">
          <cell r="A484" t="str">
            <v>B079G223GW</v>
          </cell>
          <cell r="B484">
            <v>0</v>
          </cell>
          <cell r="C484">
            <v>7</v>
          </cell>
          <cell r="D484">
            <v>0</v>
          </cell>
          <cell r="E484">
            <v>2</v>
          </cell>
        </row>
        <row r="485">
          <cell r="A485" t="str">
            <v>B079G22H1J</v>
          </cell>
          <cell r="B485">
            <v>0</v>
          </cell>
          <cell r="C485">
            <v>7</v>
          </cell>
          <cell r="D485">
            <v>0</v>
          </cell>
          <cell r="E485">
            <v>3</v>
          </cell>
        </row>
        <row r="486">
          <cell r="A486" t="str">
            <v>B079G2PMNQ</v>
          </cell>
          <cell r="B486">
            <v>12</v>
          </cell>
          <cell r="C486">
            <v>20</v>
          </cell>
          <cell r="D486">
            <v>3</v>
          </cell>
          <cell r="E486">
            <v>3</v>
          </cell>
        </row>
        <row r="487">
          <cell r="A487" t="str">
            <v>B079G3D72G</v>
          </cell>
          <cell r="B487">
            <v>0</v>
          </cell>
          <cell r="C487">
            <v>0</v>
          </cell>
          <cell r="D487">
            <v>8</v>
          </cell>
          <cell r="E487">
            <v>7</v>
          </cell>
        </row>
        <row r="488">
          <cell r="A488" t="str">
            <v>B079G3L78V</v>
          </cell>
          <cell r="B488">
            <v>3</v>
          </cell>
          <cell r="C488">
            <v>5</v>
          </cell>
          <cell r="D488">
            <v>0</v>
          </cell>
          <cell r="E488">
            <v>3</v>
          </cell>
        </row>
        <row r="489">
          <cell r="A489" t="str">
            <v>B079G44DC9</v>
          </cell>
          <cell r="B489">
            <v>8</v>
          </cell>
          <cell r="C489">
            <v>4</v>
          </cell>
          <cell r="D489">
            <v>4</v>
          </cell>
          <cell r="E489">
            <v>2</v>
          </cell>
        </row>
        <row r="490">
          <cell r="A490" t="str">
            <v>B079G44DCB</v>
          </cell>
          <cell r="B490">
            <v>6</v>
          </cell>
          <cell r="C490">
            <v>8</v>
          </cell>
          <cell r="D490">
            <v>6</v>
          </cell>
          <cell r="E490">
            <v>3</v>
          </cell>
        </row>
        <row r="491">
          <cell r="A491" t="str">
            <v>B079G52PTQ</v>
          </cell>
          <cell r="B491">
            <v>0</v>
          </cell>
          <cell r="C491">
            <v>4</v>
          </cell>
          <cell r="D491">
            <v>0</v>
          </cell>
          <cell r="E491">
            <v>3</v>
          </cell>
        </row>
        <row r="492">
          <cell r="A492" t="str">
            <v>B079G5QNWG</v>
          </cell>
          <cell r="B492">
            <v>5</v>
          </cell>
          <cell r="C492">
            <v>5</v>
          </cell>
          <cell r="D492">
            <v>1</v>
          </cell>
          <cell r="E492">
            <v>1</v>
          </cell>
        </row>
        <row r="493">
          <cell r="A493" t="str">
            <v>B079G7FNT3</v>
          </cell>
          <cell r="B493">
            <v>0</v>
          </cell>
          <cell r="C493">
            <v>3</v>
          </cell>
          <cell r="D493">
            <v>0</v>
          </cell>
          <cell r="E493">
            <v>2</v>
          </cell>
        </row>
        <row r="494">
          <cell r="A494" t="str">
            <v>B079G7M8MC</v>
          </cell>
          <cell r="B494">
            <v>0</v>
          </cell>
          <cell r="C494">
            <v>4</v>
          </cell>
          <cell r="D494">
            <v>0</v>
          </cell>
          <cell r="E494">
            <v>2</v>
          </cell>
        </row>
        <row r="495">
          <cell r="A495" t="str">
            <v>B079G965RV</v>
          </cell>
          <cell r="B495">
            <v>0</v>
          </cell>
          <cell r="C495">
            <v>4</v>
          </cell>
          <cell r="D495">
            <v>0</v>
          </cell>
          <cell r="E495">
            <v>1</v>
          </cell>
        </row>
        <row r="496">
          <cell r="A496" t="str">
            <v>B079GPWYL7</v>
          </cell>
          <cell r="B496">
            <v>0</v>
          </cell>
          <cell r="C496">
            <v>4</v>
          </cell>
          <cell r="D496">
            <v>0</v>
          </cell>
          <cell r="E496">
            <v>3</v>
          </cell>
        </row>
        <row r="497">
          <cell r="A497" t="str">
            <v>B079GRZ7K7</v>
          </cell>
          <cell r="B497">
            <v>0</v>
          </cell>
          <cell r="C497">
            <v>4</v>
          </cell>
          <cell r="D497">
            <v>2</v>
          </cell>
          <cell r="E497">
            <v>3</v>
          </cell>
        </row>
        <row r="498">
          <cell r="A498" t="str">
            <v>B079GS1FR8</v>
          </cell>
          <cell r="B498">
            <v>1</v>
          </cell>
          <cell r="C498">
            <v>13</v>
          </cell>
          <cell r="D498">
            <v>6</v>
          </cell>
          <cell r="E498">
            <v>7</v>
          </cell>
        </row>
        <row r="499">
          <cell r="A499" t="str">
            <v>B079GSYW38</v>
          </cell>
          <cell r="B499">
            <v>1</v>
          </cell>
          <cell r="C499">
            <v>7</v>
          </cell>
          <cell r="D499">
            <v>2</v>
          </cell>
          <cell r="E499">
            <v>4</v>
          </cell>
        </row>
        <row r="500">
          <cell r="A500" t="str">
            <v>B079GSZKVK</v>
          </cell>
          <cell r="B500">
            <v>1</v>
          </cell>
          <cell r="C500">
            <v>2</v>
          </cell>
          <cell r="D500">
            <v>3</v>
          </cell>
          <cell r="E500">
            <v>3</v>
          </cell>
        </row>
        <row r="501">
          <cell r="A501" t="str">
            <v>B079JBWM3Q</v>
          </cell>
          <cell r="B501">
            <v>676</v>
          </cell>
          <cell r="C501">
            <v>688</v>
          </cell>
          <cell r="D501">
            <v>517</v>
          </cell>
          <cell r="E501">
            <v>660</v>
          </cell>
        </row>
        <row r="502">
          <cell r="A502" t="str">
            <v>B07BCFLQFZ</v>
          </cell>
          <cell r="B502">
            <v>6</v>
          </cell>
          <cell r="C502">
            <v>14</v>
          </cell>
          <cell r="D502">
            <v>7</v>
          </cell>
          <cell r="E502">
            <v>7</v>
          </cell>
        </row>
        <row r="503">
          <cell r="A503" t="str">
            <v>B07BFP1QR6</v>
          </cell>
          <cell r="B503">
            <v>3</v>
          </cell>
          <cell r="C503">
            <v>3</v>
          </cell>
          <cell r="D503">
            <v>3</v>
          </cell>
          <cell r="E503">
            <v>1</v>
          </cell>
        </row>
        <row r="504">
          <cell r="A504" t="str">
            <v>B07BFP2PHH</v>
          </cell>
          <cell r="B504">
            <v>3</v>
          </cell>
          <cell r="C504">
            <v>2</v>
          </cell>
          <cell r="D504">
            <v>4</v>
          </cell>
          <cell r="E504">
            <v>1</v>
          </cell>
        </row>
        <row r="505">
          <cell r="A505" t="str">
            <v>B07BFP3YDG</v>
          </cell>
          <cell r="B505">
            <v>2</v>
          </cell>
          <cell r="C505">
            <v>3</v>
          </cell>
          <cell r="D505">
            <v>3</v>
          </cell>
          <cell r="E505">
            <v>1</v>
          </cell>
        </row>
        <row r="506">
          <cell r="A506" t="str">
            <v>B07BFP4RZK</v>
          </cell>
          <cell r="B506">
            <v>2</v>
          </cell>
          <cell r="C506">
            <v>3</v>
          </cell>
          <cell r="D506">
            <v>5</v>
          </cell>
          <cell r="E506">
            <v>1</v>
          </cell>
        </row>
        <row r="507">
          <cell r="A507" t="str">
            <v>B07BFP7H3J</v>
          </cell>
          <cell r="B507">
            <v>3</v>
          </cell>
          <cell r="C507">
            <v>2</v>
          </cell>
          <cell r="D507">
            <v>3</v>
          </cell>
          <cell r="E507">
            <v>1</v>
          </cell>
        </row>
        <row r="508">
          <cell r="A508" t="str">
            <v>B07BFP8PZB</v>
          </cell>
          <cell r="B508">
            <v>3</v>
          </cell>
          <cell r="C508">
            <v>2</v>
          </cell>
          <cell r="D508">
            <v>2</v>
          </cell>
          <cell r="E508">
            <v>1</v>
          </cell>
        </row>
        <row r="509">
          <cell r="A509" t="str">
            <v>B07BFP948J</v>
          </cell>
          <cell r="B509">
            <v>3</v>
          </cell>
          <cell r="C509">
            <v>4</v>
          </cell>
          <cell r="D509">
            <v>2</v>
          </cell>
          <cell r="E509">
            <v>1</v>
          </cell>
        </row>
        <row r="510">
          <cell r="A510" t="str">
            <v>B07BFPB578</v>
          </cell>
          <cell r="B510">
            <v>3</v>
          </cell>
          <cell r="C510">
            <v>3</v>
          </cell>
          <cell r="D510">
            <v>0</v>
          </cell>
          <cell r="E510">
            <v>1</v>
          </cell>
        </row>
        <row r="511">
          <cell r="A511" t="str">
            <v>B07BFPCZ6K</v>
          </cell>
          <cell r="B511">
            <v>1</v>
          </cell>
          <cell r="C511">
            <v>2</v>
          </cell>
          <cell r="D511">
            <v>0</v>
          </cell>
          <cell r="E511">
            <v>1</v>
          </cell>
        </row>
        <row r="512">
          <cell r="A512" t="str">
            <v>B07BFPF8BC</v>
          </cell>
          <cell r="B512">
            <v>1</v>
          </cell>
          <cell r="C512">
            <v>2</v>
          </cell>
          <cell r="D512">
            <v>0</v>
          </cell>
          <cell r="E512">
            <v>1</v>
          </cell>
        </row>
        <row r="513">
          <cell r="A513" t="str">
            <v>B07BFPFC9Z</v>
          </cell>
          <cell r="B513">
            <v>1</v>
          </cell>
          <cell r="C513">
            <v>1</v>
          </cell>
          <cell r="D513">
            <v>0</v>
          </cell>
          <cell r="E513">
            <v>2</v>
          </cell>
        </row>
        <row r="514">
          <cell r="A514" t="str">
            <v>B07BFPFSK5</v>
          </cell>
          <cell r="B514">
            <v>1</v>
          </cell>
          <cell r="C514">
            <v>1</v>
          </cell>
          <cell r="D514">
            <v>0</v>
          </cell>
          <cell r="E514">
            <v>2</v>
          </cell>
        </row>
        <row r="515">
          <cell r="A515" t="str">
            <v>B07BFPGH14</v>
          </cell>
          <cell r="B515">
            <v>1</v>
          </cell>
          <cell r="C515">
            <v>2</v>
          </cell>
          <cell r="D515">
            <v>0</v>
          </cell>
          <cell r="E515">
            <v>2</v>
          </cell>
        </row>
        <row r="516">
          <cell r="A516" t="str">
            <v>B07BFPGKMP</v>
          </cell>
          <cell r="B516">
            <v>2</v>
          </cell>
          <cell r="C516">
            <v>1</v>
          </cell>
          <cell r="D516">
            <v>0</v>
          </cell>
          <cell r="E516">
            <v>2</v>
          </cell>
        </row>
        <row r="517">
          <cell r="A517" t="str">
            <v>B07BFPGV4J</v>
          </cell>
          <cell r="B517">
            <v>2</v>
          </cell>
          <cell r="C517">
            <v>1</v>
          </cell>
          <cell r="D517">
            <v>0</v>
          </cell>
          <cell r="E517">
            <v>2</v>
          </cell>
        </row>
        <row r="518">
          <cell r="A518" t="str">
            <v>B07BFPGY4T</v>
          </cell>
          <cell r="B518">
            <v>1</v>
          </cell>
          <cell r="C518">
            <v>1</v>
          </cell>
          <cell r="D518">
            <v>0</v>
          </cell>
          <cell r="E518">
            <v>2</v>
          </cell>
        </row>
        <row r="519">
          <cell r="A519" t="str">
            <v>B07BFPH9ND</v>
          </cell>
          <cell r="B519">
            <v>1</v>
          </cell>
          <cell r="C519">
            <v>3</v>
          </cell>
          <cell r="D519">
            <v>1</v>
          </cell>
          <cell r="E519">
            <v>2</v>
          </cell>
        </row>
        <row r="520">
          <cell r="A520" t="str">
            <v>B07BFPHBTY</v>
          </cell>
          <cell r="B520">
            <v>1</v>
          </cell>
          <cell r="C520">
            <v>1</v>
          </cell>
          <cell r="D520">
            <v>0</v>
          </cell>
          <cell r="E520">
            <v>2</v>
          </cell>
        </row>
        <row r="521">
          <cell r="A521" t="str">
            <v>B07BFPHH48</v>
          </cell>
          <cell r="B521">
            <v>1</v>
          </cell>
          <cell r="C521">
            <v>2</v>
          </cell>
          <cell r="D521">
            <v>1</v>
          </cell>
          <cell r="E521">
            <v>2</v>
          </cell>
        </row>
        <row r="522">
          <cell r="A522" t="str">
            <v>B07BFPJC83</v>
          </cell>
          <cell r="B522">
            <v>1</v>
          </cell>
          <cell r="C522">
            <v>2</v>
          </cell>
          <cell r="D522">
            <v>1</v>
          </cell>
          <cell r="E522">
            <v>1</v>
          </cell>
        </row>
        <row r="523">
          <cell r="A523" t="str">
            <v>B07BFPJNMC</v>
          </cell>
          <cell r="B523">
            <v>1</v>
          </cell>
          <cell r="C523">
            <v>4</v>
          </cell>
          <cell r="D523">
            <v>1</v>
          </cell>
          <cell r="E523">
            <v>4</v>
          </cell>
        </row>
        <row r="524">
          <cell r="A524" t="str">
            <v>B07BFPM3NH</v>
          </cell>
          <cell r="B524">
            <v>1</v>
          </cell>
          <cell r="C524">
            <v>2</v>
          </cell>
          <cell r="D524">
            <v>1</v>
          </cell>
          <cell r="E524">
            <v>1</v>
          </cell>
        </row>
        <row r="525">
          <cell r="A525" t="str">
            <v>B07BFPYGMN</v>
          </cell>
          <cell r="B525">
            <v>4</v>
          </cell>
          <cell r="C525">
            <v>0</v>
          </cell>
          <cell r="D525">
            <v>2</v>
          </cell>
          <cell r="E525">
            <v>1</v>
          </cell>
        </row>
        <row r="526">
          <cell r="A526" t="str">
            <v>B07BFPYYHX</v>
          </cell>
          <cell r="B526">
            <v>3</v>
          </cell>
          <cell r="C526">
            <v>0</v>
          </cell>
          <cell r="D526">
            <v>1</v>
          </cell>
          <cell r="E526">
            <v>2</v>
          </cell>
        </row>
        <row r="527">
          <cell r="A527" t="str">
            <v>B07BFQCXYT</v>
          </cell>
          <cell r="B527">
            <v>3</v>
          </cell>
          <cell r="C527">
            <v>3</v>
          </cell>
          <cell r="D527">
            <v>1</v>
          </cell>
          <cell r="E527">
            <v>1</v>
          </cell>
        </row>
        <row r="528">
          <cell r="A528" t="str">
            <v>B07BFQDVJR</v>
          </cell>
          <cell r="B528">
            <v>4</v>
          </cell>
          <cell r="C528">
            <v>1</v>
          </cell>
          <cell r="D528">
            <v>0</v>
          </cell>
          <cell r="E528">
            <v>1</v>
          </cell>
        </row>
        <row r="529">
          <cell r="A529" t="str">
            <v>B07BFSVHWL</v>
          </cell>
          <cell r="B529">
            <v>3</v>
          </cell>
          <cell r="C529">
            <v>7</v>
          </cell>
          <cell r="D529">
            <v>2</v>
          </cell>
          <cell r="E529">
            <v>3</v>
          </cell>
        </row>
        <row r="530">
          <cell r="A530" t="str">
            <v>B07BGT6DJG</v>
          </cell>
          <cell r="B530">
            <v>3</v>
          </cell>
          <cell r="C530">
            <v>12</v>
          </cell>
          <cell r="D530">
            <v>3</v>
          </cell>
          <cell r="E530">
            <v>5</v>
          </cell>
        </row>
        <row r="531">
          <cell r="A531" t="str">
            <v>B07BGTNL76</v>
          </cell>
          <cell r="B531">
            <v>3</v>
          </cell>
          <cell r="C531">
            <v>4</v>
          </cell>
          <cell r="D531">
            <v>0</v>
          </cell>
          <cell r="E531">
            <v>2</v>
          </cell>
        </row>
        <row r="532">
          <cell r="A532" t="str">
            <v>B07BGWNBCR</v>
          </cell>
          <cell r="B532">
            <v>5</v>
          </cell>
          <cell r="C532">
            <v>9</v>
          </cell>
          <cell r="D532">
            <v>4</v>
          </cell>
          <cell r="E532">
            <v>4</v>
          </cell>
        </row>
        <row r="533">
          <cell r="A533" t="str">
            <v>B07BGWRB7M</v>
          </cell>
          <cell r="B533">
            <v>7</v>
          </cell>
          <cell r="C533">
            <v>14</v>
          </cell>
          <cell r="D533">
            <v>3</v>
          </cell>
          <cell r="E533">
            <v>8</v>
          </cell>
        </row>
        <row r="534">
          <cell r="A534" t="str">
            <v>B07BGYNNNN</v>
          </cell>
          <cell r="B534">
            <v>0</v>
          </cell>
          <cell r="C534">
            <v>0</v>
          </cell>
          <cell r="D534">
            <v>0</v>
          </cell>
          <cell r="E534">
            <v>7</v>
          </cell>
        </row>
        <row r="535">
          <cell r="A535" t="str">
            <v>B07BK4DF3D</v>
          </cell>
          <cell r="B535">
            <v>557</v>
          </cell>
          <cell r="C535">
            <v>583</v>
          </cell>
          <cell r="D535">
            <v>461</v>
          </cell>
          <cell r="E535">
            <v>24</v>
          </cell>
        </row>
        <row r="536">
          <cell r="A536" t="str">
            <v>B07BXDY8H3</v>
          </cell>
          <cell r="B536">
            <v>0</v>
          </cell>
          <cell r="C536">
            <v>0</v>
          </cell>
          <cell r="D536">
            <v>2</v>
          </cell>
          <cell r="E536">
            <v>25</v>
          </cell>
        </row>
        <row r="537">
          <cell r="A537" t="str">
            <v>B07BZLC93M</v>
          </cell>
          <cell r="B537">
            <v>11</v>
          </cell>
          <cell r="C537">
            <v>10</v>
          </cell>
          <cell r="D537">
            <v>5</v>
          </cell>
          <cell r="E537">
            <v>3</v>
          </cell>
        </row>
        <row r="538">
          <cell r="A538" t="str">
            <v>B07C7Y23N5</v>
          </cell>
          <cell r="B538">
            <v>1</v>
          </cell>
          <cell r="C538">
            <v>2</v>
          </cell>
          <cell r="D538">
            <v>0</v>
          </cell>
          <cell r="E538">
            <v>3</v>
          </cell>
        </row>
        <row r="539">
          <cell r="A539" t="str">
            <v>B07C83LKZL</v>
          </cell>
          <cell r="B539">
            <v>2</v>
          </cell>
          <cell r="C539">
            <v>4</v>
          </cell>
          <cell r="D539">
            <v>0</v>
          </cell>
          <cell r="E539">
            <v>1</v>
          </cell>
        </row>
        <row r="540">
          <cell r="A540" t="str">
            <v>B07C857S61</v>
          </cell>
          <cell r="B540">
            <v>1</v>
          </cell>
          <cell r="C540">
            <v>1</v>
          </cell>
          <cell r="D540">
            <v>0</v>
          </cell>
          <cell r="E540">
            <v>1</v>
          </cell>
        </row>
        <row r="541">
          <cell r="A541" t="str">
            <v>B07C86RTJ9</v>
          </cell>
          <cell r="B541">
            <v>2</v>
          </cell>
          <cell r="C541">
            <v>2</v>
          </cell>
          <cell r="D541">
            <v>0</v>
          </cell>
          <cell r="E541">
            <v>1</v>
          </cell>
        </row>
        <row r="542">
          <cell r="A542" t="str">
            <v>B07C8CRQ9V</v>
          </cell>
          <cell r="B542">
            <v>2</v>
          </cell>
          <cell r="C542">
            <v>0</v>
          </cell>
          <cell r="D542">
            <v>4</v>
          </cell>
          <cell r="E542">
            <v>1</v>
          </cell>
        </row>
        <row r="543">
          <cell r="A543" t="str">
            <v>B07C8CXBNT</v>
          </cell>
          <cell r="B543">
            <v>3</v>
          </cell>
          <cell r="C543">
            <v>0</v>
          </cell>
          <cell r="D543">
            <v>2</v>
          </cell>
          <cell r="E543">
            <v>1</v>
          </cell>
        </row>
        <row r="544">
          <cell r="A544" t="str">
            <v>B07C8D3877</v>
          </cell>
          <cell r="B544">
            <v>14</v>
          </cell>
          <cell r="C544">
            <v>8</v>
          </cell>
          <cell r="D544">
            <v>0</v>
          </cell>
          <cell r="E544">
            <v>2</v>
          </cell>
        </row>
        <row r="545">
          <cell r="A545" t="str">
            <v>B07C8D82T6</v>
          </cell>
          <cell r="B545">
            <v>4</v>
          </cell>
          <cell r="C545">
            <v>0</v>
          </cell>
          <cell r="D545">
            <v>3</v>
          </cell>
          <cell r="E545">
            <v>2</v>
          </cell>
        </row>
        <row r="546">
          <cell r="A546" t="str">
            <v>B07C8NV7TC</v>
          </cell>
          <cell r="B546">
            <v>7</v>
          </cell>
          <cell r="C546">
            <v>3</v>
          </cell>
          <cell r="D546">
            <v>3</v>
          </cell>
          <cell r="E546">
            <v>5</v>
          </cell>
        </row>
        <row r="547">
          <cell r="A547" t="str">
            <v>B07C9S7X1W</v>
          </cell>
          <cell r="B547">
            <v>340</v>
          </cell>
          <cell r="C547">
            <v>292</v>
          </cell>
          <cell r="D547">
            <v>156</v>
          </cell>
          <cell r="E547">
            <v>273</v>
          </cell>
        </row>
        <row r="548">
          <cell r="A548" t="str">
            <v>B07CG5ZWPD</v>
          </cell>
          <cell r="B548">
            <v>3</v>
          </cell>
          <cell r="C548">
            <v>0</v>
          </cell>
          <cell r="D548">
            <v>0</v>
          </cell>
          <cell r="E548">
            <v>1</v>
          </cell>
        </row>
        <row r="549">
          <cell r="A549" t="str">
            <v>B07CXKG7V2</v>
          </cell>
          <cell r="B549">
            <v>0</v>
          </cell>
          <cell r="C549">
            <v>0</v>
          </cell>
          <cell r="D549">
            <v>0</v>
          </cell>
          <cell r="E549">
            <v>2</v>
          </cell>
        </row>
        <row r="550">
          <cell r="A550" t="str">
            <v>B07CYDQFTF</v>
          </cell>
          <cell r="B550">
            <v>39</v>
          </cell>
          <cell r="C550">
            <v>23</v>
          </cell>
          <cell r="D550">
            <v>23</v>
          </cell>
          <cell r="E550">
            <v>21</v>
          </cell>
        </row>
        <row r="551">
          <cell r="A551" t="str">
            <v>B07CYG5LN8</v>
          </cell>
          <cell r="B551">
            <v>29</v>
          </cell>
          <cell r="C551">
            <v>12</v>
          </cell>
          <cell r="D551">
            <v>7</v>
          </cell>
          <cell r="E551">
            <v>13</v>
          </cell>
        </row>
        <row r="552">
          <cell r="A552" t="str">
            <v>B07CYHC2KN</v>
          </cell>
          <cell r="B552">
            <v>21</v>
          </cell>
          <cell r="C552">
            <v>24</v>
          </cell>
          <cell r="D552">
            <v>6</v>
          </cell>
          <cell r="E552">
            <v>13</v>
          </cell>
        </row>
        <row r="553">
          <cell r="A553" t="str">
            <v>B07CYLDY29</v>
          </cell>
          <cell r="B553">
            <v>37</v>
          </cell>
          <cell r="C553">
            <v>19</v>
          </cell>
          <cell r="D553">
            <v>16</v>
          </cell>
          <cell r="E553">
            <v>23</v>
          </cell>
        </row>
        <row r="554">
          <cell r="A554" t="str">
            <v>B07CYLRT43</v>
          </cell>
          <cell r="B554">
            <v>14</v>
          </cell>
          <cell r="C554">
            <v>9</v>
          </cell>
          <cell r="D554">
            <v>18</v>
          </cell>
          <cell r="E554">
            <v>8</v>
          </cell>
        </row>
        <row r="555">
          <cell r="A555" t="str">
            <v>B07CYMDHK9</v>
          </cell>
          <cell r="B555">
            <v>12</v>
          </cell>
          <cell r="C555">
            <v>11</v>
          </cell>
          <cell r="D555">
            <v>19</v>
          </cell>
          <cell r="E555">
            <v>9</v>
          </cell>
        </row>
        <row r="556">
          <cell r="A556" t="str">
            <v>B07CYMDJZV</v>
          </cell>
          <cell r="B556">
            <v>36</v>
          </cell>
          <cell r="C556">
            <v>16</v>
          </cell>
          <cell r="D556">
            <v>17</v>
          </cell>
          <cell r="E556">
            <v>11</v>
          </cell>
        </row>
        <row r="557">
          <cell r="A557" t="str">
            <v>B07CYMV2ZC</v>
          </cell>
          <cell r="B557">
            <v>71</v>
          </cell>
          <cell r="C557">
            <v>84</v>
          </cell>
          <cell r="D557">
            <v>26</v>
          </cell>
          <cell r="E557">
            <v>14</v>
          </cell>
        </row>
        <row r="558">
          <cell r="A558" t="str">
            <v>B07CYN2LST</v>
          </cell>
          <cell r="B558">
            <v>65</v>
          </cell>
          <cell r="C558">
            <v>62</v>
          </cell>
          <cell r="D558">
            <v>30</v>
          </cell>
          <cell r="E558">
            <v>66</v>
          </cell>
        </row>
        <row r="559">
          <cell r="A559" t="str">
            <v>B07CYN4GVK</v>
          </cell>
          <cell r="B559">
            <v>143</v>
          </cell>
          <cell r="C559">
            <v>126</v>
          </cell>
          <cell r="D559">
            <v>86</v>
          </cell>
          <cell r="E559">
            <v>143</v>
          </cell>
        </row>
        <row r="560">
          <cell r="A560" t="str">
            <v>B07CYN58NP</v>
          </cell>
          <cell r="B560">
            <v>5</v>
          </cell>
          <cell r="C560">
            <v>16</v>
          </cell>
          <cell r="D560">
            <v>7</v>
          </cell>
          <cell r="E560">
            <v>11</v>
          </cell>
        </row>
        <row r="561">
          <cell r="A561" t="str">
            <v>B07CYN5C1D</v>
          </cell>
          <cell r="B561">
            <v>15</v>
          </cell>
          <cell r="C561">
            <v>29</v>
          </cell>
          <cell r="D561">
            <v>15</v>
          </cell>
          <cell r="E561">
            <v>12</v>
          </cell>
        </row>
        <row r="562">
          <cell r="A562" t="str">
            <v>B07CYN7Z12</v>
          </cell>
          <cell r="B562">
            <v>20</v>
          </cell>
          <cell r="C562">
            <v>14</v>
          </cell>
          <cell r="D562">
            <v>24</v>
          </cell>
          <cell r="E562">
            <v>23</v>
          </cell>
        </row>
        <row r="563">
          <cell r="A563" t="str">
            <v>B07CYNFKBJ</v>
          </cell>
          <cell r="B563">
            <v>29</v>
          </cell>
          <cell r="C563">
            <v>19</v>
          </cell>
          <cell r="D563">
            <v>18</v>
          </cell>
          <cell r="E563">
            <v>14</v>
          </cell>
        </row>
        <row r="564">
          <cell r="A564" t="str">
            <v>B07CYNGKTC</v>
          </cell>
          <cell r="B564">
            <v>11</v>
          </cell>
          <cell r="C564">
            <v>2</v>
          </cell>
          <cell r="D564">
            <v>8</v>
          </cell>
          <cell r="E564">
            <v>5</v>
          </cell>
        </row>
        <row r="565">
          <cell r="A565" t="str">
            <v>B07CYNJY36</v>
          </cell>
          <cell r="B565">
            <v>20</v>
          </cell>
          <cell r="C565">
            <v>19</v>
          </cell>
          <cell r="D565">
            <v>25</v>
          </cell>
          <cell r="E565">
            <v>20</v>
          </cell>
        </row>
        <row r="566">
          <cell r="A566" t="str">
            <v>B07CYNLHMM</v>
          </cell>
          <cell r="B566">
            <v>15</v>
          </cell>
          <cell r="C566">
            <v>19</v>
          </cell>
          <cell r="D566">
            <v>5</v>
          </cell>
          <cell r="E566">
            <v>15</v>
          </cell>
        </row>
        <row r="567">
          <cell r="A567" t="str">
            <v>B07CYNMJL8</v>
          </cell>
          <cell r="B567">
            <v>40</v>
          </cell>
          <cell r="C567">
            <v>19</v>
          </cell>
          <cell r="D567">
            <v>11</v>
          </cell>
          <cell r="E567">
            <v>10</v>
          </cell>
        </row>
        <row r="568">
          <cell r="A568" t="str">
            <v>B07CYNNCMT</v>
          </cell>
          <cell r="B568">
            <v>5</v>
          </cell>
          <cell r="C568">
            <v>5</v>
          </cell>
          <cell r="D568">
            <v>6</v>
          </cell>
          <cell r="E568">
            <v>6</v>
          </cell>
        </row>
        <row r="569">
          <cell r="A569" t="str">
            <v>B07CYNNW22</v>
          </cell>
          <cell r="B569">
            <v>15</v>
          </cell>
          <cell r="C569">
            <v>8</v>
          </cell>
          <cell r="D569">
            <v>15</v>
          </cell>
          <cell r="E569">
            <v>13</v>
          </cell>
        </row>
        <row r="570">
          <cell r="A570" t="str">
            <v>B07CYP2N5Q</v>
          </cell>
          <cell r="B570">
            <v>142</v>
          </cell>
          <cell r="C570">
            <v>130</v>
          </cell>
          <cell r="D570">
            <v>103</v>
          </cell>
          <cell r="E570">
            <v>102</v>
          </cell>
        </row>
        <row r="571">
          <cell r="A571" t="str">
            <v>B07CYP3SMP</v>
          </cell>
          <cell r="B571">
            <v>12</v>
          </cell>
          <cell r="C571">
            <v>8</v>
          </cell>
          <cell r="D571">
            <v>10</v>
          </cell>
          <cell r="E571">
            <v>11</v>
          </cell>
        </row>
        <row r="572">
          <cell r="A572" t="str">
            <v>B07CYP8DFK</v>
          </cell>
          <cell r="B572">
            <v>10</v>
          </cell>
          <cell r="C572">
            <v>9</v>
          </cell>
          <cell r="D572">
            <v>8</v>
          </cell>
          <cell r="E572">
            <v>6</v>
          </cell>
        </row>
        <row r="573">
          <cell r="A573" t="str">
            <v>B07CYPCKWV</v>
          </cell>
          <cell r="B573">
            <v>13</v>
          </cell>
          <cell r="C573">
            <v>4</v>
          </cell>
          <cell r="D573">
            <v>10</v>
          </cell>
          <cell r="E573">
            <v>11</v>
          </cell>
        </row>
        <row r="574">
          <cell r="A574" t="str">
            <v>B07CYPM4KS</v>
          </cell>
          <cell r="B574">
            <v>0</v>
          </cell>
          <cell r="C574">
            <v>0</v>
          </cell>
          <cell r="D574">
            <v>0</v>
          </cell>
          <cell r="E574">
            <v>1</v>
          </cell>
        </row>
        <row r="575">
          <cell r="A575" t="str">
            <v>B07CYQ24CD</v>
          </cell>
          <cell r="B575">
            <v>45</v>
          </cell>
          <cell r="C575">
            <v>18</v>
          </cell>
          <cell r="D575">
            <v>15</v>
          </cell>
          <cell r="E575">
            <v>15</v>
          </cell>
        </row>
        <row r="576">
          <cell r="A576" t="str">
            <v>B07CYQ24CG</v>
          </cell>
          <cell r="B576">
            <v>30</v>
          </cell>
          <cell r="C576">
            <v>26</v>
          </cell>
          <cell r="D576">
            <v>14</v>
          </cell>
          <cell r="E576">
            <v>15</v>
          </cell>
        </row>
        <row r="577">
          <cell r="A577" t="str">
            <v>B07CYQ7LMY</v>
          </cell>
          <cell r="B577">
            <v>39</v>
          </cell>
          <cell r="C577">
            <v>23</v>
          </cell>
          <cell r="D577">
            <v>13</v>
          </cell>
          <cell r="E577">
            <v>19</v>
          </cell>
        </row>
        <row r="578">
          <cell r="A578" t="str">
            <v>B07CYQC82N</v>
          </cell>
          <cell r="B578">
            <v>6</v>
          </cell>
          <cell r="C578">
            <v>5</v>
          </cell>
          <cell r="D578">
            <v>7</v>
          </cell>
          <cell r="E578">
            <v>5</v>
          </cell>
        </row>
        <row r="579">
          <cell r="A579" t="str">
            <v>B07CYQHDTT</v>
          </cell>
          <cell r="B579">
            <v>18</v>
          </cell>
          <cell r="C579">
            <v>8</v>
          </cell>
          <cell r="D579">
            <v>11</v>
          </cell>
          <cell r="E579">
            <v>20</v>
          </cell>
        </row>
        <row r="580">
          <cell r="A580" t="str">
            <v>B07CYQNFSP</v>
          </cell>
          <cell r="B580">
            <v>14</v>
          </cell>
          <cell r="C580">
            <v>8</v>
          </cell>
          <cell r="D580">
            <v>16</v>
          </cell>
          <cell r="E580">
            <v>9</v>
          </cell>
        </row>
        <row r="581">
          <cell r="A581" t="str">
            <v>B07CYQP2WB</v>
          </cell>
          <cell r="B581">
            <v>4</v>
          </cell>
          <cell r="C581">
            <v>19</v>
          </cell>
          <cell r="D581">
            <v>5</v>
          </cell>
          <cell r="E581">
            <v>6</v>
          </cell>
        </row>
        <row r="582">
          <cell r="A582" t="str">
            <v>B07CYQPSKD</v>
          </cell>
          <cell r="B582">
            <v>31</v>
          </cell>
          <cell r="C582">
            <v>9</v>
          </cell>
          <cell r="D582">
            <v>11</v>
          </cell>
          <cell r="E582">
            <v>11</v>
          </cell>
        </row>
        <row r="583">
          <cell r="A583" t="str">
            <v>B07CYQTRM3</v>
          </cell>
          <cell r="B583">
            <v>6</v>
          </cell>
          <cell r="C583">
            <v>4</v>
          </cell>
          <cell r="D583">
            <v>7</v>
          </cell>
          <cell r="E583">
            <v>7</v>
          </cell>
        </row>
        <row r="584">
          <cell r="A584" t="str">
            <v>B07CYR86BT</v>
          </cell>
          <cell r="B584">
            <v>9</v>
          </cell>
          <cell r="C584">
            <v>5</v>
          </cell>
          <cell r="D584">
            <v>9</v>
          </cell>
          <cell r="E584">
            <v>6</v>
          </cell>
        </row>
        <row r="585">
          <cell r="A585" t="str">
            <v>B07CYRF2RW</v>
          </cell>
          <cell r="B585">
            <v>12</v>
          </cell>
          <cell r="C585">
            <v>10</v>
          </cell>
          <cell r="D585">
            <v>9</v>
          </cell>
          <cell r="E585">
            <v>21</v>
          </cell>
        </row>
        <row r="586">
          <cell r="A586" t="str">
            <v>B07CYRQX7L</v>
          </cell>
          <cell r="B586">
            <v>43</v>
          </cell>
          <cell r="C586">
            <v>36</v>
          </cell>
          <cell r="D586">
            <v>31</v>
          </cell>
          <cell r="E586">
            <v>38</v>
          </cell>
        </row>
        <row r="587">
          <cell r="A587" t="str">
            <v>B07CYRZCR1</v>
          </cell>
          <cell r="B587">
            <v>33</v>
          </cell>
          <cell r="C587">
            <v>23</v>
          </cell>
          <cell r="D587">
            <v>16</v>
          </cell>
          <cell r="E587">
            <v>13</v>
          </cell>
        </row>
        <row r="588">
          <cell r="A588" t="str">
            <v>B07CYS8MWX</v>
          </cell>
          <cell r="B588">
            <v>13</v>
          </cell>
          <cell r="C588">
            <v>13</v>
          </cell>
          <cell r="D588">
            <v>4</v>
          </cell>
          <cell r="E588">
            <v>11</v>
          </cell>
        </row>
        <row r="589">
          <cell r="A589" t="str">
            <v>B07CYSSGYK</v>
          </cell>
          <cell r="B589">
            <v>85</v>
          </cell>
          <cell r="C589">
            <v>97</v>
          </cell>
          <cell r="D589">
            <v>121</v>
          </cell>
          <cell r="E589">
            <v>64</v>
          </cell>
        </row>
        <row r="590">
          <cell r="A590" t="str">
            <v>B07CYT3T23</v>
          </cell>
          <cell r="B590">
            <v>34</v>
          </cell>
          <cell r="C590">
            <v>12</v>
          </cell>
          <cell r="D590">
            <v>14</v>
          </cell>
          <cell r="E590">
            <v>27</v>
          </cell>
        </row>
        <row r="591">
          <cell r="A591" t="str">
            <v>B07CYTN2MZ</v>
          </cell>
          <cell r="B591">
            <v>54</v>
          </cell>
          <cell r="C591">
            <v>35</v>
          </cell>
          <cell r="D591">
            <v>15</v>
          </cell>
          <cell r="E591">
            <v>16</v>
          </cell>
        </row>
        <row r="592">
          <cell r="A592" t="str">
            <v>B07CYTRZVB</v>
          </cell>
          <cell r="B592">
            <v>14</v>
          </cell>
          <cell r="C592">
            <v>7</v>
          </cell>
          <cell r="D592">
            <v>5</v>
          </cell>
          <cell r="E592">
            <v>6</v>
          </cell>
        </row>
        <row r="593">
          <cell r="A593" t="str">
            <v>B07CYTYVLF</v>
          </cell>
          <cell r="B593">
            <v>15</v>
          </cell>
          <cell r="C593">
            <v>17</v>
          </cell>
          <cell r="D593">
            <v>16</v>
          </cell>
          <cell r="E593">
            <v>9</v>
          </cell>
        </row>
        <row r="594">
          <cell r="A594" t="str">
            <v>B07CYV2X4S</v>
          </cell>
          <cell r="B594">
            <v>76</v>
          </cell>
          <cell r="C594">
            <v>9</v>
          </cell>
          <cell r="D594">
            <v>24</v>
          </cell>
          <cell r="E594">
            <v>10</v>
          </cell>
        </row>
        <row r="595">
          <cell r="A595" t="str">
            <v>B07CYVFKH9</v>
          </cell>
          <cell r="B595">
            <v>18</v>
          </cell>
          <cell r="C595">
            <v>7</v>
          </cell>
          <cell r="D595">
            <v>12</v>
          </cell>
          <cell r="E595">
            <v>66</v>
          </cell>
        </row>
        <row r="596">
          <cell r="A596" t="str">
            <v>B07CYX5S6S</v>
          </cell>
          <cell r="B596">
            <v>79</v>
          </cell>
          <cell r="C596">
            <v>62</v>
          </cell>
          <cell r="D596">
            <v>38</v>
          </cell>
          <cell r="E596">
            <v>33</v>
          </cell>
        </row>
        <row r="597">
          <cell r="A597" t="str">
            <v>B07CYXD7TM</v>
          </cell>
          <cell r="B597">
            <v>11</v>
          </cell>
          <cell r="C597">
            <v>11</v>
          </cell>
          <cell r="D597">
            <v>4</v>
          </cell>
          <cell r="E597">
            <v>6</v>
          </cell>
        </row>
        <row r="598">
          <cell r="A598" t="str">
            <v>B07CYXJH94</v>
          </cell>
          <cell r="B598">
            <v>4</v>
          </cell>
          <cell r="C598">
            <v>6</v>
          </cell>
          <cell r="D598">
            <v>4</v>
          </cell>
          <cell r="E598">
            <v>1</v>
          </cell>
        </row>
        <row r="599">
          <cell r="A599" t="str">
            <v>B07CYXSSQR</v>
          </cell>
          <cell r="B599">
            <v>7</v>
          </cell>
          <cell r="C599">
            <v>8</v>
          </cell>
          <cell r="D599">
            <v>6</v>
          </cell>
          <cell r="E599">
            <v>2</v>
          </cell>
        </row>
        <row r="600">
          <cell r="A600" t="str">
            <v>B07CYXWHHL</v>
          </cell>
          <cell r="B600">
            <v>16</v>
          </cell>
          <cell r="C600">
            <v>20</v>
          </cell>
          <cell r="D600">
            <v>6</v>
          </cell>
          <cell r="E600">
            <v>10</v>
          </cell>
        </row>
        <row r="601">
          <cell r="A601" t="str">
            <v>B07CYY6NGR</v>
          </cell>
          <cell r="B601">
            <v>11</v>
          </cell>
          <cell r="C601">
            <v>11</v>
          </cell>
          <cell r="D601">
            <v>9</v>
          </cell>
          <cell r="E601">
            <v>6</v>
          </cell>
        </row>
        <row r="602">
          <cell r="A602" t="str">
            <v>B07CYY7CSG</v>
          </cell>
          <cell r="B602">
            <v>390</v>
          </cell>
          <cell r="C602">
            <v>307</v>
          </cell>
          <cell r="D602">
            <v>199</v>
          </cell>
          <cell r="E602">
            <v>235</v>
          </cell>
        </row>
        <row r="603">
          <cell r="A603" t="str">
            <v>B07CYYVMF8</v>
          </cell>
          <cell r="B603">
            <v>20</v>
          </cell>
          <cell r="C603">
            <v>16</v>
          </cell>
          <cell r="D603">
            <v>12</v>
          </cell>
          <cell r="E603">
            <v>13</v>
          </cell>
        </row>
        <row r="604">
          <cell r="A604" t="str">
            <v>B07CYZ1TYG</v>
          </cell>
          <cell r="B604">
            <v>14</v>
          </cell>
          <cell r="C604">
            <v>11</v>
          </cell>
          <cell r="D604">
            <v>3</v>
          </cell>
          <cell r="E604">
            <v>3</v>
          </cell>
        </row>
        <row r="605">
          <cell r="A605" t="str">
            <v>B07CYZ7JMS</v>
          </cell>
          <cell r="B605">
            <v>14</v>
          </cell>
          <cell r="C605">
            <v>17</v>
          </cell>
          <cell r="D605">
            <v>9</v>
          </cell>
          <cell r="E605">
            <v>4</v>
          </cell>
        </row>
        <row r="606">
          <cell r="A606" t="str">
            <v>B07CYZ9KY7</v>
          </cell>
          <cell r="B606">
            <v>6</v>
          </cell>
          <cell r="C606">
            <v>4</v>
          </cell>
          <cell r="D606">
            <v>4</v>
          </cell>
          <cell r="E606">
            <v>6</v>
          </cell>
        </row>
        <row r="607">
          <cell r="A607" t="str">
            <v>B07CYZ9NDG</v>
          </cell>
          <cell r="B607">
            <v>5</v>
          </cell>
          <cell r="C607">
            <v>15</v>
          </cell>
          <cell r="D607">
            <v>5</v>
          </cell>
          <cell r="E607">
            <v>8</v>
          </cell>
        </row>
        <row r="608">
          <cell r="A608" t="str">
            <v>B07CYZFTT7</v>
          </cell>
          <cell r="B608">
            <v>14</v>
          </cell>
          <cell r="C608">
            <v>14</v>
          </cell>
          <cell r="D608">
            <v>12</v>
          </cell>
          <cell r="E608">
            <v>7</v>
          </cell>
        </row>
        <row r="609">
          <cell r="A609" t="str">
            <v>B07CYZHFYJ</v>
          </cell>
          <cell r="B609">
            <v>32</v>
          </cell>
          <cell r="C609">
            <v>38</v>
          </cell>
          <cell r="D609">
            <v>16</v>
          </cell>
          <cell r="E609">
            <v>8</v>
          </cell>
        </row>
        <row r="610">
          <cell r="A610" t="str">
            <v>B07CZ14M68</v>
          </cell>
          <cell r="B610">
            <v>22</v>
          </cell>
          <cell r="C610">
            <v>25</v>
          </cell>
          <cell r="D610">
            <v>9</v>
          </cell>
          <cell r="E610">
            <v>10</v>
          </cell>
        </row>
        <row r="611">
          <cell r="A611" t="str">
            <v>B07CZ14MHG</v>
          </cell>
          <cell r="B611">
            <v>16</v>
          </cell>
          <cell r="C611">
            <v>15</v>
          </cell>
          <cell r="D611">
            <v>17</v>
          </cell>
          <cell r="E611">
            <v>7</v>
          </cell>
        </row>
        <row r="612">
          <cell r="A612" t="str">
            <v>B07CZ1W28M</v>
          </cell>
          <cell r="B612">
            <v>247</v>
          </cell>
          <cell r="C612">
            <v>185</v>
          </cell>
          <cell r="D612">
            <v>89</v>
          </cell>
          <cell r="E612">
            <v>121</v>
          </cell>
        </row>
        <row r="613">
          <cell r="A613" t="str">
            <v>B07CZ286DW</v>
          </cell>
          <cell r="B613">
            <v>10</v>
          </cell>
          <cell r="C613">
            <v>12</v>
          </cell>
          <cell r="D613">
            <v>14</v>
          </cell>
          <cell r="E613">
            <v>7</v>
          </cell>
        </row>
        <row r="614">
          <cell r="A614" t="str">
            <v>B07CZ2TXXQ</v>
          </cell>
          <cell r="B614">
            <v>10</v>
          </cell>
          <cell r="C614">
            <v>11</v>
          </cell>
          <cell r="D614">
            <v>5</v>
          </cell>
          <cell r="E614">
            <v>5</v>
          </cell>
        </row>
        <row r="615">
          <cell r="A615" t="str">
            <v>B07CZ3KCQJ</v>
          </cell>
          <cell r="B615">
            <v>12</v>
          </cell>
          <cell r="C615">
            <v>13</v>
          </cell>
          <cell r="D615">
            <v>11</v>
          </cell>
          <cell r="E615">
            <v>7</v>
          </cell>
        </row>
        <row r="616">
          <cell r="A616" t="str">
            <v>B07D741QQ7</v>
          </cell>
          <cell r="B616">
            <v>13</v>
          </cell>
          <cell r="C616">
            <v>10</v>
          </cell>
          <cell r="D616">
            <v>7</v>
          </cell>
          <cell r="E616">
            <v>2</v>
          </cell>
        </row>
        <row r="617">
          <cell r="A617" t="str">
            <v>B07D7445L3</v>
          </cell>
          <cell r="B617">
            <v>6</v>
          </cell>
          <cell r="C617">
            <v>12</v>
          </cell>
          <cell r="D617">
            <v>6</v>
          </cell>
          <cell r="E617">
            <v>2</v>
          </cell>
        </row>
        <row r="618">
          <cell r="A618" t="str">
            <v>B07D74DCPD</v>
          </cell>
          <cell r="B618">
            <v>10</v>
          </cell>
          <cell r="C618">
            <v>4</v>
          </cell>
          <cell r="D618">
            <v>7</v>
          </cell>
          <cell r="E618">
            <v>0</v>
          </cell>
        </row>
        <row r="619">
          <cell r="A619" t="str">
            <v>B07D74DSFC</v>
          </cell>
          <cell r="B619">
            <v>9</v>
          </cell>
          <cell r="C619">
            <v>8</v>
          </cell>
          <cell r="D619">
            <v>6</v>
          </cell>
          <cell r="E619">
            <v>2</v>
          </cell>
        </row>
        <row r="620">
          <cell r="A620" t="str">
            <v>B07D74FY1M</v>
          </cell>
          <cell r="B620">
            <v>10</v>
          </cell>
          <cell r="C620">
            <v>4</v>
          </cell>
          <cell r="D620">
            <v>5</v>
          </cell>
          <cell r="E620">
            <v>0</v>
          </cell>
        </row>
        <row r="621">
          <cell r="A621" t="str">
            <v>B07D74JFT2</v>
          </cell>
          <cell r="B621">
            <v>6</v>
          </cell>
          <cell r="C621">
            <v>4</v>
          </cell>
          <cell r="D621">
            <v>1</v>
          </cell>
          <cell r="E621">
            <v>1</v>
          </cell>
        </row>
        <row r="622">
          <cell r="A622" t="str">
            <v>B07D74JGP3</v>
          </cell>
          <cell r="B622">
            <v>6</v>
          </cell>
          <cell r="C622">
            <v>15</v>
          </cell>
          <cell r="D622">
            <v>4</v>
          </cell>
          <cell r="E622">
            <v>7</v>
          </cell>
        </row>
        <row r="623">
          <cell r="A623" t="str">
            <v>B07D74SLC5</v>
          </cell>
          <cell r="B623">
            <v>28</v>
          </cell>
          <cell r="C623">
            <v>36</v>
          </cell>
          <cell r="D623">
            <v>30</v>
          </cell>
          <cell r="E623">
            <v>27</v>
          </cell>
        </row>
        <row r="624">
          <cell r="A624" t="str">
            <v>B07D74TWXY</v>
          </cell>
          <cell r="B624">
            <v>5</v>
          </cell>
          <cell r="C624">
            <v>0</v>
          </cell>
          <cell r="D624">
            <v>4</v>
          </cell>
          <cell r="E624">
            <v>4</v>
          </cell>
        </row>
        <row r="625">
          <cell r="A625" t="str">
            <v>B07D754SZQ</v>
          </cell>
          <cell r="B625">
            <v>19</v>
          </cell>
          <cell r="C625">
            <v>3</v>
          </cell>
          <cell r="D625">
            <v>5</v>
          </cell>
          <cell r="E625">
            <v>10</v>
          </cell>
        </row>
        <row r="626">
          <cell r="A626" t="str">
            <v>B07D75CPW3</v>
          </cell>
          <cell r="B626">
            <v>95</v>
          </cell>
          <cell r="C626">
            <v>59</v>
          </cell>
          <cell r="D626">
            <v>44</v>
          </cell>
          <cell r="E626">
            <v>38</v>
          </cell>
        </row>
        <row r="627">
          <cell r="A627" t="str">
            <v>B07D75D4PM</v>
          </cell>
          <cell r="B627">
            <v>13</v>
          </cell>
          <cell r="C627">
            <v>29</v>
          </cell>
          <cell r="D627">
            <v>10</v>
          </cell>
          <cell r="E627">
            <v>21</v>
          </cell>
        </row>
        <row r="628">
          <cell r="A628" t="str">
            <v>B07D75GJW1</v>
          </cell>
          <cell r="B628">
            <v>25</v>
          </cell>
          <cell r="C628">
            <v>7</v>
          </cell>
          <cell r="D628">
            <v>6</v>
          </cell>
          <cell r="E628">
            <v>3</v>
          </cell>
        </row>
        <row r="629">
          <cell r="A629" t="str">
            <v>B07D75HFLV</v>
          </cell>
          <cell r="B629">
            <v>33</v>
          </cell>
          <cell r="C629">
            <v>20</v>
          </cell>
          <cell r="D629">
            <v>12</v>
          </cell>
          <cell r="E629">
            <v>15</v>
          </cell>
        </row>
        <row r="630">
          <cell r="A630" t="str">
            <v>B07D75MGJ7</v>
          </cell>
          <cell r="B630">
            <v>17</v>
          </cell>
          <cell r="C630">
            <v>7</v>
          </cell>
          <cell r="D630">
            <v>8</v>
          </cell>
          <cell r="E630">
            <v>8</v>
          </cell>
        </row>
        <row r="631">
          <cell r="A631" t="str">
            <v>B07D769HPR</v>
          </cell>
          <cell r="B631">
            <v>26</v>
          </cell>
          <cell r="C631">
            <v>7</v>
          </cell>
          <cell r="D631">
            <v>6</v>
          </cell>
          <cell r="E631">
            <v>2</v>
          </cell>
        </row>
        <row r="632">
          <cell r="A632" t="str">
            <v>B07DQL4VVL</v>
          </cell>
          <cell r="B632">
            <v>78</v>
          </cell>
          <cell r="C632">
            <v>58</v>
          </cell>
          <cell r="D632">
            <v>30</v>
          </cell>
          <cell r="E632">
            <v>37</v>
          </cell>
        </row>
        <row r="633">
          <cell r="A633" t="str">
            <v>B07DQL77MR</v>
          </cell>
          <cell r="B633">
            <v>18</v>
          </cell>
          <cell r="C633">
            <v>23</v>
          </cell>
          <cell r="D633">
            <v>0</v>
          </cell>
          <cell r="E633">
            <v>1</v>
          </cell>
        </row>
        <row r="634">
          <cell r="A634" t="str">
            <v>B07DQLKY6N</v>
          </cell>
          <cell r="B634">
            <v>47</v>
          </cell>
          <cell r="C634">
            <v>41</v>
          </cell>
          <cell r="D634">
            <v>20</v>
          </cell>
          <cell r="E634">
            <v>9</v>
          </cell>
        </row>
        <row r="635">
          <cell r="A635" t="str">
            <v>B07DQLVNSH</v>
          </cell>
          <cell r="B635">
            <v>0</v>
          </cell>
          <cell r="C635">
            <v>0</v>
          </cell>
          <cell r="D635">
            <v>0</v>
          </cell>
          <cell r="E635">
            <v>1</v>
          </cell>
        </row>
        <row r="636">
          <cell r="A636" t="str">
            <v>B07DQLZ5KK</v>
          </cell>
          <cell r="B636">
            <v>18</v>
          </cell>
          <cell r="C636">
            <v>34</v>
          </cell>
          <cell r="D636">
            <v>30</v>
          </cell>
          <cell r="E636">
            <v>21</v>
          </cell>
        </row>
        <row r="637">
          <cell r="A637" t="str">
            <v>B07DQM6N3W</v>
          </cell>
          <cell r="B637">
            <v>23</v>
          </cell>
          <cell r="C637">
            <v>25</v>
          </cell>
          <cell r="D637">
            <v>15</v>
          </cell>
          <cell r="E637">
            <v>10</v>
          </cell>
        </row>
        <row r="638">
          <cell r="A638" t="str">
            <v>B07DQMJRJG</v>
          </cell>
          <cell r="B638">
            <v>0</v>
          </cell>
          <cell r="C638">
            <v>0</v>
          </cell>
          <cell r="D638">
            <v>0</v>
          </cell>
          <cell r="E638">
            <v>1</v>
          </cell>
        </row>
        <row r="639">
          <cell r="A639" t="str">
            <v>B07DQMT2TL</v>
          </cell>
          <cell r="B639">
            <v>14</v>
          </cell>
          <cell r="C639">
            <v>28</v>
          </cell>
          <cell r="D639">
            <v>18</v>
          </cell>
          <cell r="E639">
            <v>7</v>
          </cell>
        </row>
        <row r="640">
          <cell r="A640" t="str">
            <v>B07DQNVQYY</v>
          </cell>
          <cell r="B640">
            <v>207</v>
          </cell>
          <cell r="C640">
            <v>142</v>
          </cell>
          <cell r="D640">
            <v>93</v>
          </cell>
          <cell r="E640">
            <v>93</v>
          </cell>
        </row>
        <row r="641">
          <cell r="A641" t="str">
            <v>B07DQPGWNM</v>
          </cell>
          <cell r="B641">
            <v>0</v>
          </cell>
          <cell r="C641">
            <v>0</v>
          </cell>
          <cell r="D641">
            <v>0</v>
          </cell>
          <cell r="E641">
            <v>1</v>
          </cell>
        </row>
        <row r="642">
          <cell r="A642" t="str">
            <v>B07DQPRJPR</v>
          </cell>
          <cell r="B642">
            <v>25</v>
          </cell>
          <cell r="C642">
            <v>25</v>
          </cell>
          <cell r="D642">
            <v>16</v>
          </cell>
          <cell r="E642">
            <v>15</v>
          </cell>
        </row>
        <row r="643">
          <cell r="A643" t="str">
            <v>B07DTZB3NP</v>
          </cell>
          <cell r="B643">
            <v>96</v>
          </cell>
          <cell r="C643">
            <v>104</v>
          </cell>
          <cell r="D643">
            <v>46</v>
          </cell>
          <cell r="E643">
            <v>18</v>
          </cell>
        </row>
        <row r="644">
          <cell r="A644" t="str">
            <v>B07DV1KGJ4</v>
          </cell>
          <cell r="B644">
            <v>132</v>
          </cell>
          <cell r="C644">
            <v>101</v>
          </cell>
          <cell r="D644">
            <v>35</v>
          </cell>
          <cell r="E644">
            <v>23</v>
          </cell>
        </row>
        <row r="645">
          <cell r="A645" t="str">
            <v>B07DV3LV6M</v>
          </cell>
          <cell r="B645">
            <v>68</v>
          </cell>
          <cell r="C645">
            <v>91</v>
          </cell>
          <cell r="D645">
            <v>38</v>
          </cell>
          <cell r="E645">
            <v>20</v>
          </cell>
        </row>
        <row r="646">
          <cell r="A646" t="str">
            <v>B07DV73JMF</v>
          </cell>
          <cell r="B646">
            <v>60</v>
          </cell>
          <cell r="C646">
            <v>127</v>
          </cell>
          <cell r="D646">
            <v>52</v>
          </cell>
          <cell r="E646">
            <v>43</v>
          </cell>
        </row>
        <row r="647">
          <cell r="A647" t="str">
            <v>B07DV9BMHF</v>
          </cell>
          <cell r="B647">
            <v>505</v>
          </cell>
          <cell r="C647">
            <v>409</v>
          </cell>
          <cell r="D647">
            <v>237</v>
          </cell>
          <cell r="E647">
            <v>14</v>
          </cell>
        </row>
        <row r="648">
          <cell r="A648" t="str">
            <v>B07DVBDXSH</v>
          </cell>
          <cell r="B648">
            <v>507</v>
          </cell>
          <cell r="C648">
            <v>441</v>
          </cell>
          <cell r="D648">
            <v>381</v>
          </cell>
          <cell r="E648">
            <v>193</v>
          </cell>
        </row>
        <row r="649">
          <cell r="A649" t="str">
            <v>B07DVBN2KT</v>
          </cell>
          <cell r="B649">
            <v>37</v>
          </cell>
          <cell r="C649">
            <v>53</v>
          </cell>
          <cell r="D649">
            <v>26</v>
          </cell>
          <cell r="E649">
            <v>15</v>
          </cell>
        </row>
        <row r="650">
          <cell r="A650" t="str">
            <v>B07DVBR4HX</v>
          </cell>
          <cell r="B650">
            <v>877</v>
          </cell>
          <cell r="C650">
            <v>648</v>
          </cell>
          <cell r="D650">
            <v>485</v>
          </cell>
          <cell r="E650">
            <v>291</v>
          </cell>
        </row>
        <row r="651">
          <cell r="A651" t="str">
            <v>B07DVF2N43</v>
          </cell>
          <cell r="B651">
            <v>8</v>
          </cell>
          <cell r="C651">
            <v>12</v>
          </cell>
          <cell r="D651">
            <v>4</v>
          </cell>
          <cell r="E651">
            <v>10</v>
          </cell>
        </row>
        <row r="652">
          <cell r="A652" t="str">
            <v>B07DVGRHZ6</v>
          </cell>
          <cell r="B652">
            <v>62</v>
          </cell>
          <cell r="C652">
            <v>993</v>
          </cell>
          <cell r="D652">
            <v>786</v>
          </cell>
          <cell r="E652">
            <v>510</v>
          </cell>
        </row>
        <row r="653">
          <cell r="A653" t="str">
            <v>B07DVHWQV6</v>
          </cell>
          <cell r="B653">
            <v>22</v>
          </cell>
          <cell r="C653">
            <v>17</v>
          </cell>
          <cell r="D653">
            <v>21</v>
          </cell>
          <cell r="E653">
            <v>29</v>
          </cell>
        </row>
        <row r="654">
          <cell r="A654" t="str">
            <v>B07DVK4HKX</v>
          </cell>
          <cell r="B654">
            <v>12</v>
          </cell>
          <cell r="C654">
            <v>28</v>
          </cell>
          <cell r="D654">
            <v>46</v>
          </cell>
          <cell r="E654">
            <v>15</v>
          </cell>
        </row>
        <row r="655">
          <cell r="A655" t="str">
            <v>B07DVKMPNT</v>
          </cell>
          <cell r="B655">
            <v>30</v>
          </cell>
          <cell r="C655">
            <v>12</v>
          </cell>
          <cell r="D655">
            <v>4</v>
          </cell>
          <cell r="E655">
            <v>8</v>
          </cell>
        </row>
        <row r="656">
          <cell r="A656" t="str">
            <v>B07DVLM761</v>
          </cell>
          <cell r="B656">
            <v>15</v>
          </cell>
          <cell r="C656">
            <v>38</v>
          </cell>
          <cell r="D656">
            <v>27</v>
          </cell>
          <cell r="E656">
            <v>20</v>
          </cell>
        </row>
        <row r="657">
          <cell r="A657" t="str">
            <v>B07DVPGVTQ</v>
          </cell>
          <cell r="B657">
            <v>12</v>
          </cell>
          <cell r="C657">
            <v>7</v>
          </cell>
          <cell r="D657">
            <v>2</v>
          </cell>
          <cell r="E657">
            <v>9</v>
          </cell>
        </row>
        <row r="658">
          <cell r="A658" t="str">
            <v>B07DWQTW7P</v>
          </cell>
          <cell r="B658">
            <v>59</v>
          </cell>
          <cell r="C658">
            <v>93</v>
          </cell>
          <cell r="D658">
            <v>54</v>
          </cell>
          <cell r="E658">
            <v>66</v>
          </cell>
        </row>
        <row r="659">
          <cell r="A659" t="str">
            <v>B07DWTX22N</v>
          </cell>
          <cell r="B659">
            <v>41</v>
          </cell>
          <cell r="C659">
            <v>28</v>
          </cell>
          <cell r="D659">
            <v>29</v>
          </cell>
          <cell r="E659">
            <v>45</v>
          </cell>
        </row>
        <row r="660">
          <cell r="A660" t="str">
            <v>B07F6Y2H7G</v>
          </cell>
          <cell r="B660">
            <v>84</v>
          </cell>
          <cell r="C660">
            <v>40</v>
          </cell>
          <cell r="D660">
            <v>7</v>
          </cell>
          <cell r="E660">
            <v>48</v>
          </cell>
        </row>
        <row r="661">
          <cell r="A661" t="str">
            <v>B07F71J9RX</v>
          </cell>
          <cell r="B661">
            <v>99</v>
          </cell>
          <cell r="C661">
            <v>65</v>
          </cell>
          <cell r="D661">
            <v>27</v>
          </cell>
          <cell r="E661">
            <v>18</v>
          </cell>
        </row>
        <row r="662">
          <cell r="A662" t="str">
            <v>B07F71JBF4</v>
          </cell>
          <cell r="B662">
            <v>0</v>
          </cell>
          <cell r="C662">
            <v>0</v>
          </cell>
          <cell r="D662">
            <v>59</v>
          </cell>
          <cell r="E662">
            <v>23</v>
          </cell>
        </row>
        <row r="663">
          <cell r="A663" t="str">
            <v>B07F71KQX8</v>
          </cell>
          <cell r="B663">
            <v>18</v>
          </cell>
          <cell r="C663">
            <v>43</v>
          </cell>
          <cell r="D663">
            <v>32</v>
          </cell>
          <cell r="E663">
            <v>82</v>
          </cell>
        </row>
        <row r="664">
          <cell r="A664" t="str">
            <v>B07F72G9Q1</v>
          </cell>
          <cell r="B664">
            <v>48</v>
          </cell>
          <cell r="C664">
            <v>0</v>
          </cell>
          <cell r="D664">
            <v>4</v>
          </cell>
          <cell r="E664">
            <v>6</v>
          </cell>
        </row>
        <row r="665">
          <cell r="A665" t="str">
            <v>B07F7G63C5</v>
          </cell>
          <cell r="B665">
            <v>0</v>
          </cell>
          <cell r="C665">
            <v>37</v>
          </cell>
          <cell r="D665">
            <v>16</v>
          </cell>
          <cell r="E665">
            <v>36</v>
          </cell>
        </row>
        <row r="666">
          <cell r="A666" t="str">
            <v>B07F9KQ2X6</v>
          </cell>
          <cell r="B666">
            <v>54</v>
          </cell>
          <cell r="C666">
            <v>32</v>
          </cell>
          <cell r="D666">
            <v>23</v>
          </cell>
          <cell r="E666">
            <v>18</v>
          </cell>
        </row>
        <row r="667">
          <cell r="A667" t="str">
            <v>B07F9MHC8X</v>
          </cell>
          <cell r="B667">
            <v>0</v>
          </cell>
          <cell r="C667">
            <v>0</v>
          </cell>
          <cell r="D667">
            <v>0</v>
          </cell>
          <cell r="E667">
            <v>24</v>
          </cell>
        </row>
        <row r="668">
          <cell r="A668" t="str">
            <v>B07F9N2KBW</v>
          </cell>
          <cell r="B668">
            <v>74</v>
          </cell>
          <cell r="C668">
            <v>38</v>
          </cell>
          <cell r="D668">
            <v>34</v>
          </cell>
          <cell r="E668">
            <v>50</v>
          </cell>
        </row>
        <row r="669">
          <cell r="A669" t="str">
            <v>B07F9P1V67</v>
          </cell>
          <cell r="B669">
            <v>0</v>
          </cell>
          <cell r="C669">
            <v>0</v>
          </cell>
          <cell r="D669">
            <v>1</v>
          </cell>
          <cell r="E669">
            <v>35</v>
          </cell>
        </row>
        <row r="670">
          <cell r="A670" t="str">
            <v>B07F9RX9DD</v>
          </cell>
          <cell r="B670">
            <v>8</v>
          </cell>
          <cell r="C670">
            <v>0</v>
          </cell>
          <cell r="D670">
            <v>20</v>
          </cell>
          <cell r="E670">
            <v>22</v>
          </cell>
        </row>
        <row r="671">
          <cell r="A671" t="str">
            <v>B07F9S6B2N</v>
          </cell>
          <cell r="B671">
            <v>0</v>
          </cell>
          <cell r="C671">
            <v>36</v>
          </cell>
          <cell r="D671">
            <v>15</v>
          </cell>
          <cell r="E671">
            <v>14</v>
          </cell>
        </row>
        <row r="672">
          <cell r="A672" t="str">
            <v>B07FB13GS9</v>
          </cell>
          <cell r="B672">
            <v>58</v>
          </cell>
          <cell r="C672">
            <v>38</v>
          </cell>
          <cell r="D672">
            <v>21</v>
          </cell>
          <cell r="E672">
            <v>18</v>
          </cell>
        </row>
        <row r="673">
          <cell r="A673" t="str">
            <v>B07FDVY7MN</v>
          </cell>
          <cell r="B673">
            <v>58</v>
          </cell>
          <cell r="C673">
            <v>41</v>
          </cell>
          <cell r="D673">
            <v>46</v>
          </cell>
          <cell r="E673">
            <v>32</v>
          </cell>
        </row>
        <row r="674">
          <cell r="A674" t="str">
            <v>B07FF3JGFS</v>
          </cell>
          <cell r="B674">
            <v>50</v>
          </cell>
          <cell r="C674">
            <v>57</v>
          </cell>
          <cell r="D674">
            <v>47</v>
          </cell>
          <cell r="E674">
            <v>30</v>
          </cell>
        </row>
        <row r="675">
          <cell r="A675" t="str">
            <v>B07FF5XBYR</v>
          </cell>
          <cell r="B675">
            <v>86</v>
          </cell>
          <cell r="C675">
            <v>63</v>
          </cell>
          <cell r="D675">
            <v>53</v>
          </cell>
          <cell r="E675">
            <v>34</v>
          </cell>
        </row>
        <row r="676">
          <cell r="A676" t="str">
            <v>B07FGD8C6J</v>
          </cell>
          <cell r="B676">
            <v>40</v>
          </cell>
          <cell r="C676">
            <v>19</v>
          </cell>
          <cell r="D676">
            <v>11</v>
          </cell>
          <cell r="E676">
            <v>18</v>
          </cell>
        </row>
        <row r="677">
          <cell r="A677" t="str">
            <v>B07FJLYDMK</v>
          </cell>
          <cell r="B677">
            <v>39</v>
          </cell>
          <cell r="C677">
            <v>23</v>
          </cell>
          <cell r="D677">
            <v>24</v>
          </cell>
          <cell r="E677">
            <v>19</v>
          </cell>
        </row>
        <row r="678">
          <cell r="A678" t="str">
            <v>B07FJMCFZM</v>
          </cell>
          <cell r="B678">
            <v>78</v>
          </cell>
          <cell r="C678">
            <v>39</v>
          </cell>
          <cell r="D678">
            <v>39</v>
          </cell>
          <cell r="E678">
            <v>40</v>
          </cell>
        </row>
        <row r="679">
          <cell r="A679" t="str">
            <v>B07FJQJ4XP</v>
          </cell>
          <cell r="B679">
            <v>22</v>
          </cell>
          <cell r="C679">
            <v>21</v>
          </cell>
          <cell r="D679">
            <v>21</v>
          </cell>
          <cell r="E679">
            <v>11</v>
          </cell>
        </row>
        <row r="680">
          <cell r="A680" t="str">
            <v>B07FM8JKCL</v>
          </cell>
          <cell r="B680">
            <v>20</v>
          </cell>
          <cell r="C680">
            <v>13</v>
          </cell>
          <cell r="D680">
            <v>10</v>
          </cell>
          <cell r="E680">
            <v>1</v>
          </cell>
        </row>
        <row r="681">
          <cell r="A681" t="str">
            <v>B07FP7MJYC</v>
          </cell>
          <cell r="B681">
            <v>1</v>
          </cell>
          <cell r="C681">
            <v>8</v>
          </cell>
          <cell r="D681">
            <v>0</v>
          </cell>
          <cell r="E681">
            <v>1</v>
          </cell>
        </row>
        <row r="682">
          <cell r="A682" t="str">
            <v>B07FPBS54Y</v>
          </cell>
          <cell r="B682">
            <v>112</v>
          </cell>
          <cell r="C682">
            <v>49</v>
          </cell>
          <cell r="D682">
            <v>100</v>
          </cell>
          <cell r="E682">
            <v>3</v>
          </cell>
        </row>
        <row r="683">
          <cell r="A683" t="str">
            <v>B07FR8YG78</v>
          </cell>
          <cell r="B683">
            <v>7</v>
          </cell>
          <cell r="C683">
            <v>0</v>
          </cell>
          <cell r="D683">
            <v>7</v>
          </cell>
          <cell r="E683">
            <v>4</v>
          </cell>
        </row>
        <row r="684">
          <cell r="A684" t="str">
            <v>B01BHQVPLS</v>
          </cell>
          <cell r="B684">
            <v>0</v>
          </cell>
          <cell r="C684">
            <v>10</v>
          </cell>
          <cell r="D684">
            <v>6</v>
          </cell>
          <cell r="E684">
            <v>0</v>
          </cell>
        </row>
        <row r="685">
          <cell r="A685" t="str">
            <v>B01BHQWRLU</v>
          </cell>
          <cell r="B685">
            <v>3</v>
          </cell>
          <cell r="C685">
            <v>2</v>
          </cell>
          <cell r="D685">
            <v>1</v>
          </cell>
          <cell r="E685">
            <v>0</v>
          </cell>
        </row>
        <row r="686">
          <cell r="A686" t="str">
            <v>B01F5LOTZK</v>
          </cell>
          <cell r="B686">
            <v>0</v>
          </cell>
          <cell r="C686">
            <v>2</v>
          </cell>
          <cell r="D686">
            <v>2</v>
          </cell>
          <cell r="E686">
            <v>0</v>
          </cell>
        </row>
        <row r="687">
          <cell r="A687" t="str">
            <v>B01F5LQ0MA</v>
          </cell>
          <cell r="B687">
            <v>5</v>
          </cell>
          <cell r="C687">
            <v>2</v>
          </cell>
          <cell r="D687">
            <v>2</v>
          </cell>
          <cell r="E687">
            <v>0</v>
          </cell>
        </row>
        <row r="688">
          <cell r="A688" t="str">
            <v>B01HHQ4PSM</v>
          </cell>
          <cell r="B688">
            <v>3</v>
          </cell>
          <cell r="C688">
            <v>1</v>
          </cell>
          <cell r="D688">
            <v>1</v>
          </cell>
          <cell r="E688">
            <v>0</v>
          </cell>
        </row>
        <row r="689">
          <cell r="A689" t="str">
            <v>B073WX3KWG</v>
          </cell>
          <cell r="B689">
            <v>7</v>
          </cell>
          <cell r="C689">
            <v>7</v>
          </cell>
          <cell r="D689">
            <v>1</v>
          </cell>
          <cell r="E689">
            <v>0</v>
          </cell>
        </row>
        <row r="690">
          <cell r="A690" t="str">
            <v>B0747N5YGY</v>
          </cell>
          <cell r="B690">
            <v>52</v>
          </cell>
          <cell r="C690">
            <v>27</v>
          </cell>
          <cell r="D690">
            <v>2</v>
          </cell>
          <cell r="E690">
            <v>0</v>
          </cell>
        </row>
        <row r="691">
          <cell r="A691" t="str">
            <v>B0748CMBS7</v>
          </cell>
          <cell r="B691">
            <v>3</v>
          </cell>
          <cell r="C691">
            <v>6</v>
          </cell>
          <cell r="D691">
            <v>10</v>
          </cell>
          <cell r="E691">
            <v>0</v>
          </cell>
        </row>
        <row r="692">
          <cell r="A692" t="str">
            <v>B0756F238Y</v>
          </cell>
          <cell r="B692">
            <v>9</v>
          </cell>
          <cell r="C692">
            <v>8</v>
          </cell>
          <cell r="D692">
            <v>2</v>
          </cell>
          <cell r="E692">
            <v>0</v>
          </cell>
        </row>
        <row r="693">
          <cell r="A693" t="str">
            <v>B075CN5BTC</v>
          </cell>
          <cell r="B693">
            <v>0</v>
          </cell>
          <cell r="C693">
            <v>2</v>
          </cell>
          <cell r="D693">
            <v>1</v>
          </cell>
          <cell r="E693">
            <v>0</v>
          </cell>
        </row>
        <row r="694">
          <cell r="A694" t="str">
            <v>B075RCQD9P</v>
          </cell>
          <cell r="B694">
            <v>37</v>
          </cell>
          <cell r="C694">
            <v>29</v>
          </cell>
          <cell r="D694">
            <v>39</v>
          </cell>
          <cell r="E694">
            <v>0</v>
          </cell>
        </row>
        <row r="695">
          <cell r="A695" t="str">
            <v>B076GZ17CW</v>
          </cell>
          <cell r="B695">
            <v>4</v>
          </cell>
          <cell r="C695">
            <v>7</v>
          </cell>
          <cell r="D695">
            <v>2</v>
          </cell>
          <cell r="E695">
            <v>0</v>
          </cell>
        </row>
        <row r="696">
          <cell r="A696" t="str">
            <v>B07846LZTV</v>
          </cell>
          <cell r="B696">
            <v>0</v>
          </cell>
          <cell r="C696">
            <v>5</v>
          </cell>
          <cell r="D696">
            <v>1</v>
          </cell>
          <cell r="E696">
            <v>0</v>
          </cell>
        </row>
        <row r="697">
          <cell r="A697" t="str">
            <v>B078JQ7B7M</v>
          </cell>
          <cell r="B697">
            <v>13</v>
          </cell>
          <cell r="C697">
            <v>15</v>
          </cell>
          <cell r="D697">
            <v>16</v>
          </cell>
          <cell r="E697">
            <v>0</v>
          </cell>
        </row>
        <row r="698">
          <cell r="A698" t="str">
            <v>B078JQVN4Q</v>
          </cell>
          <cell r="B698">
            <v>12</v>
          </cell>
          <cell r="C698">
            <v>16</v>
          </cell>
          <cell r="D698">
            <v>11</v>
          </cell>
          <cell r="E698">
            <v>0</v>
          </cell>
        </row>
        <row r="699">
          <cell r="A699" t="str">
            <v>B079FT1CC6</v>
          </cell>
          <cell r="B699">
            <v>0</v>
          </cell>
          <cell r="C699">
            <v>6</v>
          </cell>
          <cell r="D699">
            <v>1</v>
          </cell>
          <cell r="E699">
            <v>0</v>
          </cell>
        </row>
        <row r="700">
          <cell r="A700" t="str">
            <v>B07BFP5FH3</v>
          </cell>
          <cell r="B700">
            <v>5</v>
          </cell>
          <cell r="C700">
            <v>2</v>
          </cell>
          <cell r="D700">
            <v>4</v>
          </cell>
          <cell r="E700">
            <v>0</v>
          </cell>
        </row>
        <row r="701">
          <cell r="A701" t="str">
            <v>B07BFPM4KZ</v>
          </cell>
          <cell r="B701">
            <v>1</v>
          </cell>
          <cell r="C701">
            <v>2</v>
          </cell>
          <cell r="D701">
            <v>2</v>
          </cell>
          <cell r="E701">
            <v>0</v>
          </cell>
        </row>
        <row r="702">
          <cell r="A702" t="str">
            <v>B07BFPM9GJ</v>
          </cell>
          <cell r="B702">
            <v>1</v>
          </cell>
          <cell r="C702">
            <v>2</v>
          </cell>
          <cell r="D702">
            <v>2</v>
          </cell>
          <cell r="E702">
            <v>0</v>
          </cell>
        </row>
        <row r="703">
          <cell r="A703" t="str">
            <v>B07BFPMF8V</v>
          </cell>
          <cell r="B703">
            <v>1</v>
          </cell>
          <cell r="C703">
            <v>2</v>
          </cell>
          <cell r="D703">
            <v>2</v>
          </cell>
          <cell r="E703">
            <v>0</v>
          </cell>
        </row>
        <row r="704">
          <cell r="A704" t="str">
            <v>B07BFPSGHP</v>
          </cell>
          <cell r="B704">
            <v>2</v>
          </cell>
          <cell r="C704">
            <v>2</v>
          </cell>
          <cell r="D704">
            <v>3</v>
          </cell>
          <cell r="E704">
            <v>0</v>
          </cell>
        </row>
        <row r="705">
          <cell r="A705" t="str">
            <v>B07BFPT6FV</v>
          </cell>
          <cell r="B705">
            <v>1</v>
          </cell>
          <cell r="C705">
            <v>3</v>
          </cell>
          <cell r="D705">
            <v>2</v>
          </cell>
          <cell r="E705">
            <v>0</v>
          </cell>
        </row>
        <row r="706">
          <cell r="A706" t="str">
            <v>B07BFPT6G5</v>
          </cell>
          <cell r="B706">
            <v>4</v>
          </cell>
          <cell r="C706">
            <v>2</v>
          </cell>
          <cell r="D706">
            <v>1</v>
          </cell>
          <cell r="E706">
            <v>0</v>
          </cell>
        </row>
        <row r="707">
          <cell r="A707" t="str">
            <v>B07BFPTTWV</v>
          </cell>
          <cell r="B707">
            <v>3</v>
          </cell>
          <cell r="C707">
            <v>4</v>
          </cell>
          <cell r="D707">
            <v>1</v>
          </cell>
          <cell r="E707">
            <v>0</v>
          </cell>
        </row>
        <row r="708">
          <cell r="A708" t="str">
            <v>B07BFPW4Y9</v>
          </cell>
          <cell r="B708">
            <v>3</v>
          </cell>
          <cell r="C708">
            <v>1</v>
          </cell>
          <cell r="D708">
            <v>1</v>
          </cell>
          <cell r="E708">
            <v>0</v>
          </cell>
        </row>
        <row r="709">
          <cell r="A709" t="str">
            <v>B07C88MRHF</v>
          </cell>
          <cell r="B709">
            <v>2</v>
          </cell>
          <cell r="C709">
            <v>2</v>
          </cell>
          <cell r="D709">
            <v>1</v>
          </cell>
          <cell r="E709">
            <v>0</v>
          </cell>
        </row>
        <row r="710">
          <cell r="A710" t="str">
            <v>B07C899437</v>
          </cell>
          <cell r="B710">
            <v>2</v>
          </cell>
          <cell r="C710">
            <v>4</v>
          </cell>
          <cell r="D710">
            <v>1</v>
          </cell>
          <cell r="E710">
            <v>0</v>
          </cell>
        </row>
        <row r="711">
          <cell r="A711" t="str">
            <v>B07C899TPG</v>
          </cell>
          <cell r="B711">
            <v>2</v>
          </cell>
          <cell r="C711">
            <v>3</v>
          </cell>
          <cell r="D711">
            <v>1</v>
          </cell>
          <cell r="E711">
            <v>0</v>
          </cell>
        </row>
        <row r="712">
          <cell r="A712" t="str">
            <v>B07C89F6X2</v>
          </cell>
          <cell r="B712">
            <v>3</v>
          </cell>
          <cell r="C712">
            <v>5</v>
          </cell>
          <cell r="D712">
            <v>1</v>
          </cell>
          <cell r="E712">
            <v>0</v>
          </cell>
        </row>
        <row r="713">
          <cell r="A713" t="str">
            <v>B07C89YKT7</v>
          </cell>
          <cell r="B713">
            <v>4</v>
          </cell>
          <cell r="C713">
            <v>8</v>
          </cell>
          <cell r="D713">
            <v>4</v>
          </cell>
          <cell r="E713">
            <v>0</v>
          </cell>
        </row>
        <row r="714">
          <cell r="A714" t="str">
            <v>B07C8BHV83</v>
          </cell>
          <cell r="B714">
            <v>4</v>
          </cell>
          <cell r="C714">
            <v>3</v>
          </cell>
          <cell r="D714">
            <v>1</v>
          </cell>
          <cell r="E714">
            <v>0</v>
          </cell>
        </row>
        <row r="715">
          <cell r="A715" t="str">
            <v>B07DV5JV44</v>
          </cell>
          <cell r="B715">
            <v>73</v>
          </cell>
          <cell r="C715">
            <v>122</v>
          </cell>
          <cell r="D715">
            <v>57</v>
          </cell>
          <cell r="E715">
            <v>0</v>
          </cell>
        </row>
        <row r="716">
          <cell r="A716" t="str">
            <v>B07FM42JD2</v>
          </cell>
          <cell r="B716">
            <v>3</v>
          </cell>
          <cell r="C716">
            <v>2</v>
          </cell>
          <cell r="D716">
            <v>2</v>
          </cell>
          <cell r="E716">
            <v>0</v>
          </cell>
        </row>
        <row r="717">
          <cell r="A717" t="str">
            <v>B07FM5CQBS</v>
          </cell>
          <cell r="B717">
            <v>1</v>
          </cell>
          <cell r="C717">
            <v>2</v>
          </cell>
          <cell r="D717">
            <v>2</v>
          </cell>
          <cell r="E717">
            <v>0</v>
          </cell>
        </row>
        <row r="718">
          <cell r="A718" t="str">
            <v>B07FM5D6V7</v>
          </cell>
          <cell r="B718">
            <v>0</v>
          </cell>
          <cell r="C718">
            <v>3</v>
          </cell>
          <cell r="D718">
            <v>3</v>
          </cell>
          <cell r="E718">
            <v>0</v>
          </cell>
        </row>
        <row r="719">
          <cell r="A719" t="str">
            <v>B07FM66H7Y</v>
          </cell>
          <cell r="B719">
            <v>1</v>
          </cell>
          <cell r="C719">
            <v>9</v>
          </cell>
          <cell r="D719">
            <v>1</v>
          </cell>
          <cell r="E719">
            <v>0</v>
          </cell>
        </row>
        <row r="720">
          <cell r="A720" t="str">
            <v>B07FM6GKHY</v>
          </cell>
          <cell r="B720">
            <v>0</v>
          </cell>
          <cell r="C720">
            <v>3</v>
          </cell>
          <cell r="D720">
            <v>0</v>
          </cell>
          <cell r="E720">
            <v>0</v>
          </cell>
        </row>
        <row r="721">
          <cell r="A721" t="str">
            <v>B07FM6LRHB</v>
          </cell>
          <cell r="B721">
            <v>3</v>
          </cell>
          <cell r="C721">
            <v>6</v>
          </cell>
          <cell r="D721">
            <v>3</v>
          </cell>
          <cell r="E721">
            <v>0</v>
          </cell>
        </row>
        <row r="722">
          <cell r="A722" t="str">
            <v>B07FM6M66H</v>
          </cell>
          <cell r="B722">
            <v>1</v>
          </cell>
          <cell r="C722">
            <v>3</v>
          </cell>
          <cell r="D722">
            <v>2</v>
          </cell>
          <cell r="E722">
            <v>0</v>
          </cell>
        </row>
        <row r="723">
          <cell r="A723" t="str">
            <v>B07FM6MQSS</v>
          </cell>
          <cell r="B723">
            <v>1</v>
          </cell>
          <cell r="C723">
            <v>4</v>
          </cell>
          <cell r="D723">
            <v>2</v>
          </cell>
          <cell r="E723">
            <v>0</v>
          </cell>
        </row>
        <row r="724">
          <cell r="A724" t="str">
            <v>B07FM6WSYH</v>
          </cell>
          <cell r="B724">
            <v>4</v>
          </cell>
          <cell r="C724">
            <v>6</v>
          </cell>
          <cell r="D724">
            <v>2</v>
          </cell>
          <cell r="E724">
            <v>0</v>
          </cell>
        </row>
        <row r="725">
          <cell r="A725" t="str">
            <v>B07FM6X59M</v>
          </cell>
          <cell r="B725">
            <v>1</v>
          </cell>
          <cell r="C725">
            <v>3</v>
          </cell>
          <cell r="D725">
            <v>3</v>
          </cell>
          <cell r="E725">
            <v>0</v>
          </cell>
        </row>
        <row r="726">
          <cell r="A726" t="str">
            <v>B07FM77G99</v>
          </cell>
          <cell r="B726">
            <v>2</v>
          </cell>
          <cell r="C726">
            <v>5</v>
          </cell>
          <cell r="D726">
            <v>1</v>
          </cell>
          <cell r="E726">
            <v>0</v>
          </cell>
        </row>
        <row r="727">
          <cell r="A727" t="str">
            <v>B07FM8L625</v>
          </cell>
          <cell r="B727">
            <v>2</v>
          </cell>
          <cell r="C727">
            <v>6</v>
          </cell>
          <cell r="D727">
            <v>1</v>
          </cell>
          <cell r="E727">
            <v>0</v>
          </cell>
        </row>
        <row r="728">
          <cell r="A728" t="str">
            <v>B07FM8LS9R</v>
          </cell>
          <cell r="B728">
            <v>1</v>
          </cell>
          <cell r="C728">
            <v>4</v>
          </cell>
          <cell r="D728">
            <v>5</v>
          </cell>
          <cell r="E728">
            <v>0</v>
          </cell>
        </row>
        <row r="729">
          <cell r="A729" t="str">
            <v>B07FMBTXMF</v>
          </cell>
          <cell r="B729">
            <v>1</v>
          </cell>
          <cell r="C729">
            <v>3</v>
          </cell>
          <cell r="D729">
            <v>3</v>
          </cell>
          <cell r="E729">
            <v>0</v>
          </cell>
        </row>
        <row r="730">
          <cell r="A730" t="str">
            <v>B07FMBXWG6</v>
          </cell>
          <cell r="B730">
            <v>10</v>
          </cell>
          <cell r="C730">
            <v>9</v>
          </cell>
          <cell r="D730">
            <v>8</v>
          </cell>
          <cell r="E730">
            <v>0</v>
          </cell>
        </row>
        <row r="731">
          <cell r="A731" t="str">
            <v>B07FMFLC15</v>
          </cell>
          <cell r="B731">
            <v>35</v>
          </cell>
          <cell r="C731">
            <v>34</v>
          </cell>
          <cell r="D731">
            <v>14</v>
          </cell>
          <cell r="E731">
            <v>0</v>
          </cell>
        </row>
        <row r="732">
          <cell r="A732" t="str">
            <v>B07FML2VJ1</v>
          </cell>
          <cell r="B732">
            <v>1</v>
          </cell>
          <cell r="C732">
            <v>4</v>
          </cell>
          <cell r="D732">
            <v>3</v>
          </cell>
          <cell r="E732">
            <v>0</v>
          </cell>
        </row>
        <row r="733">
          <cell r="A733" t="str">
            <v>B07FMM2HXQ</v>
          </cell>
          <cell r="B733">
            <v>1</v>
          </cell>
          <cell r="C733">
            <v>7</v>
          </cell>
          <cell r="D733">
            <v>5</v>
          </cell>
          <cell r="E733">
            <v>0</v>
          </cell>
        </row>
        <row r="734">
          <cell r="A734" t="str">
            <v>B07FP74CT9</v>
          </cell>
          <cell r="B734">
            <v>1</v>
          </cell>
          <cell r="C734">
            <v>3</v>
          </cell>
          <cell r="D734">
            <v>1</v>
          </cell>
          <cell r="E734">
            <v>0</v>
          </cell>
        </row>
        <row r="735">
          <cell r="A735" t="str">
            <v>B07FP7WW37</v>
          </cell>
          <cell r="B735">
            <v>1</v>
          </cell>
          <cell r="C735">
            <v>4</v>
          </cell>
          <cell r="D735">
            <v>1</v>
          </cell>
          <cell r="E735">
            <v>0</v>
          </cell>
        </row>
        <row r="736">
          <cell r="A736" t="str">
            <v>B07FP8X2TC</v>
          </cell>
          <cell r="B736">
            <v>8</v>
          </cell>
          <cell r="C736">
            <v>6</v>
          </cell>
          <cell r="D736">
            <v>4</v>
          </cell>
          <cell r="E736">
            <v>0</v>
          </cell>
        </row>
        <row r="737">
          <cell r="A737" t="str">
            <v>B07FP915GV</v>
          </cell>
          <cell r="B737">
            <v>2</v>
          </cell>
          <cell r="C737">
            <v>4</v>
          </cell>
          <cell r="D737">
            <v>2</v>
          </cell>
          <cell r="E737">
            <v>0</v>
          </cell>
        </row>
        <row r="738">
          <cell r="A738" t="str">
            <v>B07FPBJZSY</v>
          </cell>
          <cell r="B738">
            <v>2</v>
          </cell>
          <cell r="C738">
            <v>5</v>
          </cell>
          <cell r="D738">
            <v>1</v>
          </cell>
          <cell r="E738">
            <v>0</v>
          </cell>
        </row>
        <row r="739">
          <cell r="A739" t="str">
            <v>B07FPBTZTD</v>
          </cell>
          <cell r="B739">
            <v>9</v>
          </cell>
          <cell r="C739">
            <v>2</v>
          </cell>
          <cell r="D739">
            <v>2</v>
          </cell>
          <cell r="E739">
            <v>0</v>
          </cell>
        </row>
        <row r="740">
          <cell r="A740" t="str">
            <v>B07FPDK8GL</v>
          </cell>
          <cell r="B740">
            <v>3</v>
          </cell>
          <cell r="C740">
            <v>0</v>
          </cell>
          <cell r="D740">
            <v>7</v>
          </cell>
          <cell r="E740">
            <v>0</v>
          </cell>
        </row>
        <row r="741">
          <cell r="A741" t="str">
            <v>B07FPDVC3D</v>
          </cell>
          <cell r="B741">
            <v>0</v>
          </cell>
          <cell r="C741">
            <v>4</v>
          </cell>
          <cell r="D741">
            <v>2</v>
          </cell>
          <cell r="E741">
            <v>0</v>
          </cell>
        </row>
        <row r="742">
          <cell r="A742" t="str">
            <v>B07FPF1V6Z</v>
          </cell>
          <cell r="B742">
            <v>2</v>
          </cell>
          <cell r="C742">
            <v>8</v>
          </cell>
          <cell r="D742">
            <v>2</v>
          </cell>
          <cell r="E742">
            <v>0</v>
          </cell>
        </row>
        <row r="743">
          <cell r="A743" t="str">
            <v>B07FPGYWZ9</v>
          </cell>
          <cell r="B743">
            <v>2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B07FPLD45J</v>
          </cell>
          <cell r="B744">
            <v>3</v>
          </cell>
          <cell r="C744">
            <v>2</v>
          </cell>
          <cell r="D744">
            <v>1</v>
          </cell>
          <cell r="E744">
            <v>0</v>
          </cell>
        </row>
        <row r="745">
          <cell r="A745" t="str">
            <v>B07FPWYGND</v>
          </cell>
          <cell r="B745">
            <v>7</v>
          </cell>
          <cell r="C745">
            <v>10</v>
          </cell>
          <cell r="D745">
            <v>4</v>
          </cell>
          <cell r="E745">
            <v>0</v>
          </cell>
        </row>
        <row r="746">
          <cell r="A746" t="str">
            <v>B07FZY7P2X</v>
          </cell>
          <cell r="B746">
            <v>14</v>
          </cell>
          <cell r="C746">
            <v>0</v>
          </cell>
          <cell r="D746">
            <v>19</v>
          </cell>
          <cell r="E746">
            <v>0</v>
          </cell>
        </row>
        <row r="747">
          <cell r="A747" t="str">
            <v>B01C8QH2A4</v>
          </cell>
          <cell r="B747">
            <v>0</v>
          </cell>
          <cell r="C747">
            <v>2</v>
          </cell>
          <cell r="D747">
            <v>0</v>
          </cell>
          <cell r="E747">
            <v>0</v>
          </cell>
        </row>
        <row r="748">
          <cell r="A748" t="str">
            <v>B01C8QHD8U</v>
          </cell>
          <cell r="B748">
            <v>1</v>
          </cell>
          <cell r="C748">
            <v>2</v>
          </cell>
          <cell r="D748">
            <v>0</v>
          </cell>
          <cell r="E748">
            <v>0</v>
          </cell>
        </row>
        <row r="749">
          <cell r="A749" t="str">
            <v>B01JIVDTL8</v>
          </cell>
          <cell r="B749">
            <v>4</v>
          </cell>
          <cell r="C749">
            <v>2</v>
          </cell>
          <cell r="D749">
            <v>0</v>
          </cell>
          <cell r="E749">
            <v>0</v>
          </cell>
        </row>
        <row r="750">
          <cell r="A750" t="str">
            <v>B01JIXIFK6</v>
          </cell>
          <cell r="B750">
            <v>0</v>
          </cell>
          <cell r="C750">
            <v>10</v>
          </cell>
          <cell r="D750">
            <v>0</v>
          </cell>
          <cell r="E750">
            <v>0</v>
          </cell>
        </row>
        <row r="751">
          <cell r="A751" t="str">
            <v>B01NGTHW1H</v>
          </cell>
          <cell r="B751">
            <v>16</v>
          </cell>
          <cell r="C751">
            <v>4</v>
          </cell>
          <cell r="D751">
            <v>0</v>
          </cell>
          <cell r="E751">
            <v>0</v>
          </cell>
        </row>
        <row r="752">
          <cell r="A752" t="str">
            <v>B06Y5SKG6M</v>
          </cell>
          <cell r="B752">
            <v>9</v>
          </cell>
          <cell r="C752">
            <v>4</v>
          </cell>
          <cell r="D752">
            <v>0</v>
          </cell>
          <cell r="E752">
            <v>0</v>
          </cell>
        </row>
        <row r="753">
          <cell r="A753" t="str">
            <v>B071RF6XMQ</v>
          </cell>
          <cell r="B753">
            <v>1</v>
          </cell>
          <cell r="C753">
            <v>5</v>
          </cell>
          <cell r="D753">
            <v>0</v>
          </cell>
          <cell r="E753">
            <v>0</v>
          </cell>
        </row>
        <row r="754">
          <cell r="A754" t="str">
            <v>B075CN4GC6</v>
          </cell>
          <cell r="B754">
            <v>1</v>
          </cell>
          <cell r="C754">
            <v>2</v>
          </cell>
          <cell r="D754">
            <v>0</v>
          </cell>
          <cell r="E754">
            <v>0</v>
          </cell>
        </row>
        <row r="755">
          <cell r="A755" t="str">
            <v>B075R4RWDL</v>
          </cell>
          <cell r="B755">
            <v>89</v>
          </cell>
          <cell r="C755">
            <v>57</v>
          </cell>
          <cell r="D755">
            <v>0</v>
          </cell>
          <cell r="E755">
            <v>0</v>
          </cell>
        </row>
        <row r="756">
          <cell r="A756" t="str">
            <v>B075R4XJZV</v>
          </cell>
          <cell r="B756">
            <v>48</v>
          </cell>
          <cell r="C756">
            <v>37</v>
          </cell>
          <cell r="D756">
            <v>0</v>
          </cell>
          <cell r="E756">
            <v>0</v>
          </cell>
        </row>
        <row r="757">
          <cell r="A757" t="str">
            <v>B076GWWM8X</v>
          </cell>
          <cell r="B757">
            <v>5</v>
          </cell>
          <cell r="C757">
            <v>2</v>
          </cell>
          <cell r="D757">
            <v>0</v>
          </cell>
          <cell r="E757">
            <v>0</v>
          </cell>
        </row>
        <row r="758">
          <cell r="A758" t="str">
            <v>B077N2B7N1</v>
          </cell>
          <cell r="B758">
            <v>2</v>
          </cell>
          <cell r="C758">
            <v>3</v>
          </cell>
          <cell r="D758">
            <v>0</v>
          </cell>
          <cell r="E758">
            <v>0</v>
          </cell>
        </row>
        <row r="759">
          <cell r="A759" t="str">
            <v>B077N5HSXR</v>
          </cell>
          <cell r="B759">
            <v>0</v>
          </cell>
          <cell r="C759">
            <v>3</v>
          </cell>
          <cell r="D759">
            <v>0</v>
          </cell>
          <cell r="E759">
            <v>0</v>
          </cell>
        </row>
        <row r="760">
          <cell r="A760" t="str">
            <v>B0784285GH</v>
          </cell>
          <cell r="B760">
            <v>0</v>
          </cell>
          <cell r="C760">
            <v>1</v>
          </cell>
          <cell r="D760">
            <v>0</v>
          </cell>
          <cell r="E760">
            <v>0</v>
          </cell>
        </row>
        <row r="761">
          <cell r="A761" t="str">
            <v>B0784P37N4</v>
          </cell>
          <cell r="B761">
            <v>2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B078J1MVB6</v>
          </cell>
          <cell r="B762">
            <v>15</v>
          </cell>
          <cell r="C762">
            <v>7</v>
          </cell>
          <cell r="D762">
            <v>0</v>
          </cell>
          <cell r="E762">
            <v>0</v>
          </cell>
        </row>
        <row r="763">
          <cell r="A763" t="str">
            <v>B078JK429P</v>
          </cell>
          <cell r="B763">
            <v>27</v>
          </cell>
          <cell r="C763">
            <v>11</v>
          </cell>
          <cell r="D763">
            <v>0</v>
          </cell>
          <cell r="E763">
            <v>0</v>
          </cell>
        </row>
        <row r="764">
          <cell r="A764" t="str">
            <v>B079GQ8FRF</v>
          </cell>
          <cell r="B764">
            <v>0</v>
          </cell>
          <cell r="C764">
            <v>4</v>
          </cell>
          <cell r="D764">
            <v>0</v>
          </cell>
          <cell r="E764">
            <v>0</v>
          </cell>
        </row>
        <row r="765">
          <cell r="A765" t="str">
            <v>B079GWBWYN</v>
          </cell>
          <cell r="B765">
            <v>0</v>
          </cell>
          <cell r="C765">
            <v>2</v>
          </cell>
          <cell r="D765">
            <v>0</v>
          </cell>
          <cell r="E765">
            <v>0</v>
          </cell>
        </row>
        <row r="766">
          <cell r="A766" t="str">
            <v>B07BFPBRX6</v>
          </cell>
          <cell r="B766">
            <v>2</v>
          </cell>
          <cell r="C766">
            <v>3</v>
          </cell>
          <cell r="D766">
            <v>0</v>
          </cell>
          <cell r="E766">
            <v>0</v>
          </cell>
        </row>
        <row r="767">
          <cell r="A767" t="str">
            <v>B07C86GY6V</v>
          </cell>
          <cell r="B767">
            <v>1</v>
          </cell>
          <cell r="C767">
            <v>2</v>
          </cell>
          <cell r="D767">
            <v>0</v>
          </cell>
          <cell r="E767">
            <v>0</v>
          </cell>
        </row>
        <row r="768">
          <cell r="A768" t="str">
            <v>B07C8NVMGF</v>
          </cell>
          <cell r="B768">
            <v>4</v>
          </cell>
          <cell r="C768">
            <v>3</v>
          </cell>
          <cell r="D768">
            <v>0</v>
          </cell>
          <cell r="E768">
            <v>0</v>
          </cell>
        </row>
        <row r="769">
          <cell r="A769" t="str">
            <v>B07DQN92XD</v>
          </cell>
          <cell r="B769">
            <v>58</v>
          </cell>
          <cell r="C769">
            <v>28</v>
          </cell>
          <cell r="D769">
            <v>0</v>
          </cell>
          <cell r="E769">
            <v>0</v>
          </cell>
        </row>
        <row r="770">
          <cell r="A770" t="str">
            <v>B07DQN9ZJT</v>
          </cell>
          <cell r="B770">
            <v>28</v>
          </cell>
          <cell r="C770">
            <v>13</v>
          </cell>
          <cell r="D770">
            <v>0</v>
          </cell>
          <cell r="E770">
            <v>0</v>
          </cell>
        </row>
        <row r="771">
          <cell r="A771" t="str">
            <v>B07DQP8MPM</v>
          </cell>
          <cell r="B771">
            <v>18</v>
          </cell>
          <cell r="C771">
            <v>12</v>
          </cell>
          <cell r="D771">
            <v>0</v>
          </cell>
          <cell r="E771">
            <v>0</v>
          </cell>
        </row>
        <row r="772">
          <cell r="A772" t="str">
            <v>B07FM16RR3</v>
          </cell>
          <cell r="B772">
            <v>1</v>
          </cell>
          <cell r="C772">
            <v>1</v>
          </cell>
          <cell r="D772">
            <v>0</v>
          </cell>
          <cell r="E772">
            <v>0</v>
          </cell>
        </row>
        <row r="773">
          <cell r="A773" t="str">
            <v>B07FM16V9G</v>
          </cell>
          <cell r="B773">
            <v>3</v>
          </cell>
          <cell r="C773">
            <v>5</v>
          </cell>
          <cell r="D773">
            <v>0</v>
          </cell>
          <cell r="E773">
            <v>0</v>
          </cell>
        </row>
        <row r="774">
          <cell r="A774" t="str">
            <v>B07FM19C5B</v>
          </cell>
          <cell r="B774">
            <v>4</v>
          </cell>
          <cell r="C774">
            <v>1</v>
          </cell>
          <cell r="D774">
            <v>0</v>
          </cell>
          <cell r="E774">
            <v>0</v>
          </cell>
        </row>
        <row r="775">
          <cell r="A775" t="str">
            <v>B07FM41G3Z</v>
          </cell>
          <cell r="B775">
            <v>6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B07FM4B2M4</v>
          </cell>
          <cell r="B776">
            <v>2</v>
          </cell>
          <cell r="C776">
            <v>2</v>
          </cell>
          <cell r="D776">
            <v>0</v>
          </cell>
          <cell r="E776">
            <v>0</v>
          </cell>
        </row>
        <row r="777">
          <cell r="A777" t="str">
            <v>B07FM5QXR1</v>
          </cell>
          <cell r="B777">
            <v>3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B07FMB6GKG</v>
          </cell>
          <cell r="B778">
            <v>1</v>
          </cell>
          <cell r="C778">
            <v>5</v>
          </cell>
          <cell r="D778">
            <v>0</v>
          </cell>
          <cell r="E778">
            <v>0</v>
          </cell>
        </row>
        <row r="779">
          <cell r="A779" t="str">
            <v>B07FMBSRYX</v>
          </cell>
          <cell r="B779">
            <v>1</v>
          </cell>
          <cell r="C779">
            <v>5</v>
          </cell>
          <cell r="D779">
            <v>0</v>
          </cell>
          <cell r="E779">
            <v>0</v>
          </cell>
        </row>
        <row r="780">
          <cell r="A780" t="str">
            <v>B07FPHM3MP</v>
          </cell>
          <cell r="B780">
            <v>2</v>
          </cell>
          <cell r="C780">
            <v>3</v>
          </cell>
          <cell r="D780">
            <v>0</v>
          </cell>
          <cell r="E780">
            <v>0</v>
          </cell>
        </row>
        <row r="781">
          <cell r="A781" t="str">
            <v>B07G9T8HS2</v>
          </cell>
          <cell r="B781">
            <v>665</v>
          </cell>
          <cell r="C781">
            <v>213</v>
          </cell>
          <cell r="D781">
            <v>0</v>
          </cell>
          <cell r="E781">
            <v>0</v>
          </cell>
        </row>
        <row r="782">
          <cell r="A782" t="str">
            <v>B07G9VZ3NG</v>
          </cell>
          <cell r="B782">
            <v>608</v>
          </cell>
          <cell r="C782">
            <v>214</v>
          </cell>
          <cell r="D782">
            <v>0</v>
          </cell>
          <cell r="E782">
            <v>0</v>
          </cell>
        </row>
        <row r="783">
          <cell r="A783" t="str">
            <v>B07G9W28KV</v>
          </cell>
          <cell r="B783">
            <v>855</v>
          </cell>
          <cell r="C783">
            <v>218</v>
          </cell>
          <cell r="D783">
            <v>0</v>
          </cell>
          <cell r="E783">
            <v>0</v>
          </cell>
        </row>
        <row r="784">
          <cell r="A784" t="str">
            <v>B0769HRFWW</v>
          </cell>
          <cell r="B784">
            <v>1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B07C848ML4</v>
          </cell>
          <cell r="B785">
            <v>8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B07FMCPM5H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B07FMFCJL5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B07FMGXFBR</v>
          </cell>
          <cell r="B788">
            <v>1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B07G9W2CKD</v>
          </cell>
          <cell r="B789">
            <v>1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B07G9WLG2X</v>
          </cell>
          <cell r="B790">
            <v>1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B07G9WY1Q7</v>
          </cell>
          <cell r="B791">
            <v>1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B07G9X1J2T</v>
          </cell>
          <cell r="B792">
            <v>1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B07G9ZRV4P</v>
          </cell>
          <cell r="B793">
            <v>1</v>
          </cell>
          <cell r="C793">
            <v>0</v>
          </cell>
          <cell r="D793">
            <v>0</v>
          </cell>
          <cell r="E793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1352.56</v>
          </cell>
        </row>
        <row r="3">
          <cell r="G3">
            <v>1327.15</v>
          </cell>
        </row>
        <row r="3">
          <cell r="J3">
            <v>1336.61</v>
          </cell>
        </row>
        <row r="3">
          <cell r="M3">
            <v>1448.63</v>
          </cell>
        </row>
        <row r="4">
          <cell r="A4" t="str">
            <v>ZAKKA0466LTW25*65CM</v>
          </cell>
          <cell r="B4">
            <v>114</v>
          </cell>
          <cell r="C4">
            <v>0</v>
          </cell>
          <cell r="D4">
            <v>0</v>
          </cell>
          <cell r="E4">
            <v>132</v>
          </cell>
          <cell r="F4">
            <v>0</v>
          </cell>
          <cell r="G4">
            <v>0</v>
          </cell>
          <cell r="H4">
            <v>116</v>
          </cell>
          <cell r="I4">
            <v>0</v>
          </cell>
          <cell r="J4">
            <v>0</v>
          </cell>
          <cell r="K4">
            <v>150</v>
          </cell>
          <cell r="L4">
            <v>3</v>
          </cell>
          <cell r="M4">
            <v>0.45</v>
          </cell>
        </row>
        <row r="5">
          <cell r="A5" t="str">
            <v>ZAKKA0589R035*50CM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11</v>
          </cell>
          <cell r="L5">
            <v>0</v>
          </cell>
          <cell r="M5">
            <v>0</v>
          </cell>
        </row>
        <row r="6">
          <cell r="A6" t="str">
            <v>ZAKKA0630B028*55CM</v>
          </cell>
          <cell r="B6">
            <v>5933</v>
          </cell>
          <cell r="C6">
            <v>56</v>
          </cell>
          <cell r="D6">
            <v>7.92</v>
          </cell>
          <cell r="E6">
            <v>4676</v>
          </cell>
          <cell r="F6">
            <v>47</v>
          </cell>
          <cell r="G6">
            <v>6.29</v>
          </cell>
          <cell r="H6">
            <v>3278</v>
          </cell>
          <cell r="I6">
            <v>24</v>
          </cell>
          <cell r="J6">
            <v>3.15</v>
          </cell>
          <cell r="K6">
            <v>7350</v>
          </cell>
          <cell r="L6">
            <v>89</v>
          </cell>
          <cell r="M6">
            <v>14.42</v>
          </cell>
        </row>
        <row r="7">
          <cell r="A7" t="str">
            <v>ZAKKA0631B030*65CM</v>
          </cell>
          <cell r="B7">
            <v>20251</v>
          </cell>
          <cell r="C7">
            <v>200</v>
          </cell>
          <cell r="D7">
            <v>64.54</v>
          </cell>
          <cell r="E7">
            <v>19934</v>
          </cell>
          <cell r="F7">
            <v>243</v>
          </cell>
          <cell r="G7">
            <v>70.94</v>
          </cell>
          <cell r="H7">
            <v>21229</v>
          </cell>
          <cell r="I7">
            <v>203</v>
          </cell>
          <cell r="J7">
            <v>42.72</v>
          </cell>
          <cell r="K7">
            <v>26742</v>
          </cell>
          <cell r="L7">
            <v>243</v>
          </cell>
          <cell r="M7">
            <v>49.76</v>
          </cell>
        </row>
        <row r="8">
          <cell r="A8" t="str">
            <v>ZAKKA0633B035*50CM</v>
          </cell>
          <cell r="B8">
            <v>2717</v>
          </cell>
          <cell r="C8">
            <v>30</v>
          </cell>
          <cell r="D8">
            <v>13.9</v>
          </cell>
          <cell r="E8">
            <v>3606</v>
          </cell>
          <cell r="F8">
            <v>30</v>
          </cell>
          <cell r="G8">
            <v>14.39</v>
          </cell>
          <cell r="H8">
            <v>2614</v>
          </cell>
          <cell r="I8">
            <v>25</v>
          </cell>
          <cell r="J8">
            <v>11.71</v>
          </cell>
          <cell r="K8">
            <v>1803</v>
          </cell>
          <cell r="L8">
            <v>13</v>
          </cell>
          <cell r="M8">
            <v>6.32</v>
          </cell>
        </row>
        <row r="9">
          <cell r="A9" t="str">
            <v>ZAKKA0631R030*65CM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1995</v>
          </cell>
          <cell r="L9">
            <v>25</v>
          </cell>
          <cell r="M9">
            <v>7.87</v>
          </cell>
        </row>
        <row r="10">
          <cell r="A10" t="str">
            <v>TBYPRBFOUR-M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217</v>
          </cell>
          <cell r="L10">
            <v>3</v>
          </cell>
          <cell r="M10">
            <v>0.38</v>
          </cell>
        </row>
        <row r="11">
          <cell r="A11" t="str">
            <v>TBYPRBONE-M</v>
          </cell>
          <cell r="B11">
            <v>355304</v>
          </cell>
          <cell r="C11">
            <v>961</v>
          </cell>
          <cell r="D11">
            <v>466.75</v>
          </cell>
          <cell r="E11">
            <v>277234</v>
          </cell>
          <cell r="F11">
            <v>735</v>
          </cell>
          <cell r="G11">
            <v>362.95</v>
          </cell>
          <cell r="H11">
            <v>278114</v>
          </cell>
          <cell r="I11">
            <v>768</v>
          </cell>
          <cell r="J11">
            <v>414.32</v>
          </cell>
          <cell r="K11">
            <v>200764</v>
          </cell>
          <cell r="L11">
            <v>625</v>
          </cell>
          <cell r="M11">
            <v>377.15</v>
          </cell>
        </row>
        <row r="12">
          <cell r="A12" t="str">
            <v>YY1100G0M</v>
          </cell>
          <cell r="B12">
            <v>3443</v>
          </cell>
          <cell r="C12">
            <v>13</v>
          </cell>
          <cell r="D12">
            <v>3.65</v>
          </cell>
          <cell r="E12">
            <v>2160</v>
          </cell>
          <cell r="F12">
            <v>14</v>
          </cell>
          <cell r="G12">
            <v>3.43</v>
          </cell>
          <cell r="H12">
            <v>2388</v>
          </cell>
          <cell r="I12">
            <v>6</v>
          </cell>
          <cell r="J12">
            <v>1.25</v>
          </cell>
          <cell r="K12">
            <v>15360</v>
          </cell>
          <cell r="L12">
            <v>19</v>
          </cell>
          <cell r="M12">
            <v>8.45</v>
          </cell>
        </row>
        <row r="13">
          <cell r="A13" t="str">
            <v>YY1100PR</v>
          </cell>
          <cell r="B13">
            <v>111978</v>
          </cell>
          <cell r="C13">
            <v>216</v>
          </cell>
          <cell r="D13">
            <v>104.77</v>
          </cell>
          <cell r="E13">
            <v>77848</v>
          </cell>
          <cell r="F13">
            <v>117</v>
          </cell>
          <cell r="G13">
            <v>57.87</v>
          </cell>
          <cell r="H13">
            <v>65070</v>
          </cell>
          <cell r="I13">
            <v>140</v>
          </cell>
          <cell r="J13">
            <v>72.51</v>
          </cell>
          <cell r="K13">
            <v>37538</v>
          </cell>
          <cell r="L13">
            <v>148</v>
          </cell>
          <cell r="M13">
            <v>78.32</v>
          </cell>
        </row>
        <row r="14">
          <cell r="A14" t="str">
            <v>TBYSTARRED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3009</v>
          </cell>
          <cell r="L14">
            <v>11</v>
          </cell>
          <cell r="M14">
            <v>5.78</v>
          </cell>
        </row>
        <row r="15">
          <cell r="A15" t="str">
            <v>TBYPJBLACK</v>
          </cell>
          <cell r="B15">
            <v>0</v>
          </cell>
          <cell r="C15">
            <v>0</v>
          </cell>
          <cell r="D15">
            <v>0</v>
          </cell>
          <cell r="E15">
            <v>77316</v>
          </cell>
          <cell r="F15">
            <v>176</v>
          </cell>
          <cell r="G15">
            <v>87.78</v>
          </cell>
          <cell r="H15">
            <v>46246</v>
          </cell>
          <cell r="I15">
            <v>209</v>
          </cell>
          <cell r="J15">
            <v>119.44</v>
          </cell>
          <cell r="K15">
            <v>23079</v>
          </cell>
          <cell r="L15">
            <v>143</v>
          </cell>
          <cell r="M15">
            <v>88.37</v>
          </cell>
        </row>
        <row r="16">
          <cell r="A16" t="str">
            <v>MZYSZHUOBUDTLEIS60*60CM</v>
          </cell>
          <cell r="B16">
            <v>3583</v>
          </cell>
          <cell r="C16">
            <v>37</v>
          </cell>
          <cell r="D16">
            <v>7.08</v>
          </cell>
          <cell r="E16">
            <v>5457</v>
          </cell>
          <cell r="F16">
            <v>45</v>
          </cell>
          <cell r="G16">
            <v>7.95</v>
          </cell>
          <cell r="H16">
            <v>4127</v>
          </cell>
          <cell r="I16">
            <v>43</v>
          </cell>
          <cell r="J16">
            <v>5.91</v>
          </cell>
          <cell r="K16">
            <v>4143</v>
          </cell>
          <cell r="L16">
            <v>42</v>
          </cell>
          <cell r="M16">
            <v>7.01</v>
          </cell>
        </row>
        <row r="17">
          <cell r="A17" t="str">
            <v>MZYSZHUOBUDTMAP140*140CM</v>
          </cell>
          <cell r="B17">
            <v>10421</v>
          </cell>
          <cell r="C17">
            <v>69</v>
          </cell>
          <cell r="D17">
            <v>43.29</v>
          </cell>
          <cell r="E17">
            <v>10723</v>
          </cell>
          <cell r="F17">
            <v>71</v>
          </cell>
          <cell r="G17">
            <v>46.55</v>
          </cell>
          <cell r="H17">
            <v>9150</v>
          </cell>
          <cell r="I17">
            <v>40</v>
          </cell>
          <cell r="J17">
            <v>26.06</v>
          </cell>
          <cell r="K17">
            <v>32314</v>
          </cell>
          <cell r="L17">
            <v>128</v>
          </cell>
          <cell r="M17">
            <v>83.86</v>
          </cell>
        </row>
        <row r="18">
          <cell r="A18" t="str">
            <v>YMQYQXDHW0100*140CM</v>
          </cell>
          <cell r="B18">
            <v>628</v>
          </cell>
          <cell r="C18">
            <v>7</v>
          </cell>
          <cell r="D18">
            <v>1.36</v>
          </cell>
          <cell r="E18">
            <v>597</v>
          </cell>
          <cell r="F18">
            <v>6</v>
          </cell>
          <cell r="G18">
            <v>0.98</v>
          </cell>
          <cell r="H18">
            <v>803</v>
          </cell>
          <cell r="I18">
            <v>4</v>
          </cell>
          <cell r="J18">
            <v>0.81</v>
          </cell>
          <cell r="K18">
            <v>1241</v>
          </cell>
          <cell r="L18">
            <v>10</v>
          </cell>
          <cell r="M18">
            <v>1.28</v>
          </cell>
        </row>
        <row r="19">
          <cell r="A19" t="str">
            <v>YMQYQXDHW0140*180CM</v>
          </cell>
          <cell r="B19">
            <v>3865</v>
          </cell>
          <cell r="C19">
            <v>43</v>
          </cell>
          <cell r="D19">
            <v>18.04</v>
          </cell>
          <cell r="E19">
            <v>3238</v>
          </cell>
          <cell r="F19">
            <v>35</v>
          </cell>
          <cell r="G19">
            <v>12.58</v>
          </cell>
          <cell r="H19">
            <v>1275</v>
          </cell>
          <cell r="I19">
            <v>18</v>
          </cell>
          <cell r="J19">
            <v>4.73</v>
          </cell>
          <cell r="K19">
            <v>770</v>
          </cell>
          <cell r="L19">
            <v>10</v>
          </cell>
          <cell r="M19">
            <v>1.64</v>
          </cell>
        </row>
        <row r="20">
          <cell r="A20" t="str">
            <v>YMQYQXDHW0140*200CM</v>
          </cell>
          <cell r="B20">
            <v>2700</v>
          </cell>
          <cell r="C20">
            <v>19</v>
          </cell>
          <cell r="D20">
            <v>8.34</v>
          </cell>
          <cell r="E20">
            <v>4716</v>
          </cell>
          <cell r="F20">
            <v>58</v>
          </cell>
          <cell r="G20">
            <v>24.7</v>
          </cell>
          <cell r="H20">
            <v>1633</v>
          </cell>
          <cell r="I20">
            <v>25</v>
          </cell>
          <cell r="J20">
            <v>7.96</v>
          </cell>
          <cell r="K20">
            <v>764</v>
          </cell>
          <cell r="L20">
            <v>7</v>
          </cell>
          <cell r="M20">
            <v>1.33</v>
          </cell>
        </row>
        <row r="21">
          <cell r="A21" t="str">
            <v>YMQYQXDHW0140*220CM</v>
          </cell>
          <cell r="B21">
            <v>1167</v>
          </cell>
          <cell r="C21">
            <v>5</v>
          </cell>
          <cell r="D21">
            <v>0.93</v>
          </cell>
          <cell r="E21">
            <v>634</v>
          </cell>
          <cell r="F21">
            <v>9</v>
          </cell>
          <cell r="G21">
            <v>0.75</v>
          </cell>
          <cell r="H21">
            <v>488</v>
          </cell>
          <cell r="I21">
            <v>5</v>
          </cell>
          <cell r="J21">
            <v>0.79</v>
          </cell>
          <cell r="K21">
            <v>534</v>
          </cell>
          <cell r="L21">
            <v>8</v>
          </cell>
          <cell r="M21">
            <v>1.02</v>
          </cell>
        </row>
        <row r="22">
          <cell r="A22" t="str">
            <v>YMQYQXDHW0140*250CM</v>
          </cell>
          <cell r="B22">
            <v>221</v>
          </cell>
          <cell r="C22">
            <v>2</v>
          </cell>
          <cell r="D22">
            <v>0.21</v>
          </cell>
          <cell r="E22">
            <v>164</v>
          </cell>
          <cell r="F22">
            <v>5</v>
          </cell>
          <cell r="G22">
            <v>0.47</v>
          </cell>
          <cell r="H22">
            <v>98</v>
          </cell>
          <cell r="I22">
            <v>2</v>
          </cell>
          <cell r="J22">
            <v>0.19</v>
          </cell>
          <cell r="K22">
            <v>185</v>
          </cell>
          <cell r="L22">
            <v>2</v>
          </cell>
          <cell r="M22">
            <v>0.33</v>
          </cell>
        </row>
        <row r="23">
          <cell r="A23" t="str">
            <v>YMQYQDZMZM140*140CM</v>
          </cell>
          <cell r="B23">
            <v>68</v>
          </cell>
          <cell r="C23">
            <v>0</v>
          </cell>
          <cell r="D23">
            <v>0</v>
          </cell>
          <cell r="E23">
            <v>114</v>
          </cell>
          <cell r="F23">
            <v>0</v>
          </cell>
          <cell r="G23">
            <v>0</v>
          </cell>
          <cell r="H23">
            <v>96</v>
          </cell>
          <cell r="I23">
            <v>0</v>
          </cell>
          <cell r="J23">
            <v>0</v>
          </cell>
          <cell r="K23">
            <v>112</v>
          </cell>
          <cell r="L23">
            <v>1</v>
          </cell>
          <cell r="M23">
            <v>0.21</v>
          </cell>
        </row>
        <row r="24">
          <cell r="A24" t="str">
            <v>YMQYQJISZMSS100*140CM</v>
          </cell>
          <cell r="B24">
            <v>81</v>
          </cell>
          <cell r="C24">
            <v>0</v>
          </cell>
          <cell r="D24">
            <v>0</v>
          </cell>
          <cell r="E24">
            <v>98</v>
          </cell>
          <cell r="F24">
            <v>0</v>
          </cell>
          <cell r="G24">
            <v>0</v>
          </cell>
          <cell r="H24">
            <v>88</v>
          </cell>
          <cell r="I24">
            <v>0</v>
          </cell>
          <cell r="J24">
            <v>0</v>
          </cell>
          <cell r="K24">
            <v>70</v>
          </cell>
          <cell r="L24">
            <v>1</v>
          </cell>
          <cell r="M24">
            <v>0.3</v>
          </cell>
        </row>
        <row r="25">
          <cell r="A25" t="str">
            <v>SXHLYITAO4-LH-001DHS40x60CM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425</v>
          </cell>
          <cell r="L25">
            <v>0</v>
          </cell>
          <cell r="M25">
            <v>0</v>
          </cell>
        </row>
        <row r="26">
          <cell r="A26" t="str">
            <v>SXHLYITAO5-LH-001YHS40x60CM</v>
          </cell>
          <cell r="B26">
            <v>181</v>
          </cell>
          <cell r="C26">
            <v>3</v>
          </cell>
          <cell r="D26">
            <v>0.53</v>
          </cell>
          <cell r="E26">
            <v>142</v>
          </cell>
          <cell r="F26">
            <v>2</v>
          </cell>
          <cell r="G26">
            <v>0.39</v>
          </cell>
          <cell r="H26">
            <v>131</v>
          </cell>
          <cell r="I26">
            <v>1</v>
          </cell>
          <cell r="J26">
            <v>0.25</v>
          </cell>
          <cell r="K26">
            <v>341</v>
          </cell>
          <cell r="L26">
            <v>2</v>
          </cell>
          <cell r="M26">
            <v>0.43</v>
          </cell>
        </row>
        <row r="27">
          <cell r="A27" t="str">
            <v>YX-IUCY-819-N5-L</v>
          </cell>
          <cell r="B27">
            <v>3129</v>
          </cell>
          <cell r="C27">
            <v>25</v>
          </cell>
          <cell r="D27">
            <v>4.06</v>
          </cell>
          <cell r="E27">
            <v>1059</v>
          </cell>
          <cell r="F27">
            <v>12</v>
          </cell>
          <cell r="G27">
            <v>1.97</v>
          </cell>
          <cell r="H27">
            <v>370</v>
          </cell>
          <cell r="I27">
            <v>5</v>
          </cell>
          <cell r="J27">
            <v>0.87</v>
          </cell>
          <cell r="K27">
            <v>629</v>
          </cell>
          <cell r="L27">
            <v>12</v>
          </cell>
          <cell r="M27">
            <v>3.03</v>
          </cell>
        </row>
        <row r="28">
          <cell r="A28" t="str">
            <v>YX-IUCY-819-WO-XL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127</v>
          </cell>
          <cell r="L28">
            <v>5</v>
          </cell>
          <cell r="M28">
            <v>1.24</v>
          </cell>
        </row>
        <row r="29">
          <cell r="A29" t="str">
            <v>YY1100W0L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23</v>
          </cell>
          <cell r="L29">
            <v>0</v>
          </cell>
          <cell r="M29">
            <v>0</v>
          </cell>
        </row>
        <row r="30">
          <cell r="A30" t="str">
            <v>YX-IUCY-518-BO-XL</v>
          </cell>
          <cell r="B30">
            <v>120</v>
          </cell>
          <cell r="C30">
            <v>0</v>
          </cell>
          <cell r="D30">
            <v>0</v>
          </cell>
          <cell r="E30">
            <v>62</v>
          </cell>
          <cell r="F30">
            <v>0</v>
          </cell>
          <cell r="G30">
            <v>0</v>
          </cell>
          <cell r="H30">
            <v>37</v>
          </cell>
          <cell r="I30">
            <v>0</v>
          </cell>
          <cell r="J30">
            <v>0</v>
          </cell>
          <cell r="K30">
            <v>52</v>
          </cell>
          <cell r="L30">
            <v>2</v>
          </cell>
          <cell r="M30">
            <v>0.36</v>
          </cell>
        </row>
        <row r="31">
          <cell r="A31" t="str">
            <v>YX-IUCY-518-N5-XL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12</v>
          </cell>
          <cell r="L31">
            <v>0</v>
          </cell>
          <cell r="M31">
            <v>0</v>
          </cell>
        </row>
        <row r="32">
          <cell r="A32" t="str">
            <v>YX-IUCY-518-WO-L</v>
          </cell>
          <cell r="B32">
            <v>41</v>
          </cell>
          <cell r="C32">
            <v>0</v>
          </cell>
          <cell r="D32">
            <v>0</v>
          </cell>
          <cell r="E32">
            <v>32</v>
          </cell>
          <cell r="F32">
            <v>1</v>
          </cell>
          <cell r="G32">
            <v>0.02</v>
          </cell>
          <cell r="H32">
            <v>54</v>
          </cell>
          <cell r="I32">
            <v>0</v>
          </cell>
          <cell r="J32">
            <v>0</v>
          </cell>
          <cell r="K32">
            <v>52</v>
          </cell>
          <cell r="L32">
            <v>1</v>
          </cell>
          <cell r="M32">
            <v>0.15</v>
          </cell>
        </row>
        <row r="33">
          <cell r="A33" t="str">
            <v>YY-IULCY-KS371-YL-L</v>
          </cell>
          <cell r="B33">
            <v>96</v>
          </cell>
          <cell r="C33">
            <v>1</v>
          </cell>
          <cell r="D33">
            <v>0.2</v>
          </cell>
          <cell r="E33">
            <v>76</v>
          </cell>
          <cell r="F33">
            <v>1</v>
          </cell>
          <cell r="G33">
            <v>0.28</v>
          </cell>
          <cell r="H33">
            <v>48</v>
          </cell>
          <cell r="I33">
            <v>0</v>
          </cell>
          <cell r="J33">
            <v>0</v>
          </cell>
          <cell r="K33">
            <v>28</v>
          </cell>
          <cell r="L33">
            <v>0</v>
          </cell>
          <cell r="M33">
            <v>0</v>
          </cell>
        </row>
        <row r="34">
          <cell r="A34" t="str">
            <v>MZYSZHUOBUDTMAP60*60CM</v>
          </cell>
          <cell r="B34">
            <v>4127</v>
          </cell>
          <cell r="C34">
            <v>71</v>
          </cell>
          <cell r="D34">
            <v>24.53</v>
          </cell>
          <cell r="E34">
            <v>6810</v>
          </cell>
          <cell r="F34">
            <v>82</v>
          </cell>
          <cell r="G34">
            <v>25.39</v>
          </cell>
          <cell r="H34">
            <v>4001</v>
          </cell>
          <cell r="I34">
            <v>32</v>
          </cell>
          <cell r="J34">
            <v>10.21</v>
          </cell>
          <cell r="K34">
            <v>17730</v>
          </cell>
          <cell r="L34">
            <v>87</v>
          </cell>
          <cell r="M34">
            <v>21.65</v>
          </cell>
        </row>
        <row r="35">
          <cell r="A35" t="str">
            <v>SND-IUYL111-BE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56</v>
          </cell>
          <cell r="L35">
            <v>1</v>
          </cell>
          <cell r="M35">
            <v>0.08</v>
          </cell>
        </row>
        <row r="36">
          <cell r="A36" t="str">
            <v>YY-IULCY-XZM100-BLNWT</v>
          </cell>
          <cell r="B36">
            <v>0</v>
          </cell>
          <cell r="C36">
            <v>0</v>
          </cell>
          <cell r="D36">
            <v>0</v>
          </cell>
          <cell r="E36">
            <v>7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YY-IULCY-XZM100-BKNWT</v>
          </cell>
          <cell r="B37">
            <v>0</v>
          </cell>
          <cell r="C37">
            <v>0</v>
          </cell>
          <cell r="D37">
            <v>0</v>
          </cell>
          <cell r="E37">
            <v>18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1</v>
          </cell>
          <cell r="L37">
            <v>0</v>
          </cell>
          <cell r="M37">
            <v>0</v>
          </cell>
        </row>
        <row r="38">
          <cell r="A38" t="str">
            <v>YY-IULCY-KS372-YL-XL</v>
          </cell>
          <cell r="B38">
            <v>13484</v>
          </cell>
          <cell r="C38">
            <v>65</v>
          </cell>
          <cell r="D38">
            <v>22.94</v>
          </cell>
          <cell r="E38">
            <v>22973</v>
          </cell>
          <cell r="F38">
            <v>104</v>
          </cell>
          <cell r="G38">
            <v>35.81</v>
          </cell>
          <cell r="H38">
            <v>52123</v>
          </cell>
          <cell r="I38">
            <v>227</v>
          </cell>
          <cell r="J38">
            <v>61.46</v>
          </cell>
          <cell r="K38">
            <v>18605</v>
          </cell>
          <cell r="L38">
            <v>94</v>
          </cell>
          <cell r="M38">
            <v>26.68</v>
          </cell>
        </row>
        <row r="39">
          <cell r="A39" t="str">
            <v>YY-IULCY-KS371-YL-XL</v>
          </cell>
          <cell r="B39">
            <v>55694</v>
          </cell>
          <cell r="C39">
            <v>175</v>
          </cell>
          <cell r="D39">
            <v>50.32</v>
          </cell>
          <cell r="E39">
            <v>44960</v>
          </cell>
          <cell r="F39">
            <v>149</v>
          </cell>
          <cell r="G39">
            <v>45.89</v>
          </cell>
          <cell r="H39">
            <v>54951</v>
          </cell>
          <cell r="I39">
            <v>135</v>
          </cell>
          <cell r="J39">
            <v>44.82</v>
          </cell>
          <cell r="K39">
            <v>108644</v>
          </cell>
          <cell r="L39">
            <v>270</v>
          </cell>
          <cell r="M39">
            <v>91.36</v>
          </cell>
        </row>
        <row r="40">
          <cell r="A40" t="str">
            <v>YY-IULCY-KS377-HEAD-M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7679</v>
          </cell>
          <cell r="I40">
            <v>28</v>
          </cell>
          <cell r="J40">
            <v>16.12</v>
          </cell>
          <cell r="K40">
            <v>52855</v>
          </cell>
          <cell r="L40">
            <v>165</v>
          </cell>
          <cell r="M40">
            <v>89.62</v>
          </cell>
        </row>
        <row r="41">
          <cell r="A41" t="str">
            <v>SGZ-LULHY-001</v>
          </cell>
          <cell r="B41">
            <v>95</v>
          </cell>
          <cell r="C41">
            <v>2</v>
          </cell>
          <cell r="D41">
            <v>0.7</v>
          </cell>
          <cell r="E41">
            <v>83</v>
          </cell>
          <cell r="F41">
            <v>0</v>
          </cell>
          <cell r="G41">
            <v>0</v>
          </cell>
          <cell r="H41">
            <v>477</v>
          </cell>
          <cell r="I41">
            <v>2</v>
          </cell>
          <cell r="J41">
            <v>0.44</v>
          </cell>
          <cell r="K41">
            <v>1083</v>
          </cell>
          <cell r="L41">
            <v>8</v>
          </cell>
          <cell r="M41">
            <v>4.03</v>
          </cell>
        </row>
        <row r="42">
          <cell r="A42" t="str">
            <v>ZAKKA0633R035*50CM</v>
          </cell>
          <cell r="B42">
            <v>552</v>
          </cell>
          <cell r="C42">
            <v>8</v>
          </cell>
          <cell r="D42">
            <v>5.29</v>
          </cell>
          <cell r="E42">
            <v>513</v>
          </cell>
          <cell r="F42">
            <v>2</v>
          </cell>
          <cell r="G42">
            <v>1.92</v>
          </cell>
          <cell r="H42">
            <v>479</v>
          </cell>
          <cell r="I42">
            <v>4</v>
          </cell>
          <cell r="J42">
            <v>3.86</v>
          </cell>
          <cell r="K42">
            <v>286</v>
          </cell>
          <cell r="L42">
            <v>2</v>
          </cell>
          <cell r="M42">
            <v>1.77</v>
          </cell>
        </row>
        <row r="43">
          <cell r="A43" t="str">
            <v>MZYSZHUOBUDTLEIS140*220CM</v>
          </cell>
          <cell r="B43">
            <v>143</v>
          </cell>
          <cell r="C43">
            <v>0</v>
          </cell>
          <cell r="D43">
            <v>0</v>
          </cell>
          <cell r="E43">
            <v>169</v>
          </cell>
          <cell r="F43">
            <v>0</v>
          </cell>
          <cell r="G43">
            <v>0</v>
          </cell>
          <cell r="H43">
            <v>140</v>
          </cell>
          <cell r="I43">
            <v>0</v>
          </cell>
          <cell r="J43">
            <v>0</v>
          </cell>
          <cell r="K43">
            <v>105</v>
          </cell>
          <cell r="L43">
            <v>1</v>
          </cell>
          <cell r="M43">
            <v>0.17</v>
          </cell>
        </row>
        <row r="44">
          <cell r="A44" t="str">
            <v>ETYIYELLOW-L</v>
          </cell>
          <cell r="B44">
            <v>17289</v>
          </cell>
          <cell r="C44">
            <v>64</v>
          </cell>
          <cell r="D44">
            <v>28.7</v>
          </cell>
          <cell r="E44">
            <v>34791</v>
          </cell>
          <cell r="F44">
            <v>71</v>
          </cell>
          <cell r="G44">
            <v>34.61</v>
          </cell>
          <cell r="H44">
            <v>20555</v>
          </cell>
          <cell r="I44">
            <v>52</v>
          </cell>
          <cell r="J44">
            <v>22.92</v>
          </cell>
          <cell r="K44">
            <v>15682</v>
          </cell>
          <cell r="L44">
            <v>57</v>
          </cell>
          <cell r="M44">
            <v>24.25</v>
          </cell>
        </row>
        <row r="45">
          <cell r="A45" t="str">
            <v>YDYPFS-S</v>
          </cell>
          <cell r="B45">
            <v>41607</v>
          </cell>
          <cell r="C45">
            <v>157</v>
          </cell>
          <cell r="D45">
            <v>75.38</v>
          </cell>
          <cell r="E45">
            <v>19697</v>
          </cell>
          <cell r="F45">
            <v>81</v>
          </cell>
          <cell r="G45">
            <v>39.55</v>
          </cell>
          <cell r="H45">
            <v>47161</v>
          </cell>
          <cell r="I45">
            <v>171</v>
          </cell>
          <cell r="J45">
            <v>78.6</v>
          </cell>
          <cell r="K45">
            <v>24210</v>
          </cell>
          <cell r="L45">
            <v>102</v>
          </cell>
          <cell r="M45">
            <v>37.77</v>
          </cell>
        </row>
        <row r="46">
          <cell r="A46" t="str">
            <v>ZCGTZ-IUCY001-AE</v>
          </cell>
          <cell r="B46">
            <v>59929</v>
          </cell>
          <cell r="C46">
            <v>279</v>
          </cell>
          <cell r="D46">
            <v>125.68</v>
          </cell>
          <cell r="E46">
            <v>51964</v>
          </cell>
          <cell r="F46">
            <v>352</v>
          </cell>
          <cell r="G46">
            <v>146.33</v>
          </cell>
          <cell r="H46">
            <v>58714</v>
          </cell>
          <cell r="I46">
            <v>246</v>
          </cell>
          <cell r="J46">
            <v>104.28</v>
          </cell>
          <cell r="K46">
            <v>86451</v>
          </cell>
          <cell r="L46">
            <v>337</v>
          </cell>
          <cell r="M46">
            <v>176.19</v>
          </cell>
        </row>
        <row r="47">
          <cell r="A47" t="str">
            <v>SXHLYITAO3-LH-001QLS40x60CM</v>
          </cell>
          <cell r="B47">
            <v>121</v>
          </cell>
          <cell r="C47">
            <v>0</v>
          </cell>
          <cell r="D47">
            <v>0</v>
          </cell>
          <cell r="E47">
            <v>96</v>
          </cell>
          <cell r="F47">
            <v>1</v>
          </cell>
          <cell r="G47">
            <v>0.15</v>
          </cell>
          <cell r="H47">
            <v>71</v>
          </cell>
          <cell r="I47">
            <v>0</v>
          </cell>
          <cell r="J47">
            <v>0</v>
          </cell>
          <cell r="K47">
            <v>279</v>
          </cell>
          <cell r="L47">
            <v>0</v>
          </cell>
          <cell r="M47">
            <v>0</v>
          </cell>
        </row>
        <row r="48">
          <cell r="A48" t="str">
            <v>ZB-IULCY-YMQY100-GR140*140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17699</v>
          </cell>
          <cell r="L48">
            <v>117</v>
          </cell>
          <cell r="M48">
            <v>46.59</v>
          </cell>
        </row>
        <row r="49">
          <cell r="A49" t="str">
            <v>ZB-IULCY-YMQY100-CF140*180</v>
          </cell>
          <cell r="B49">
            <v>6901</v>
          </cell>
          <cell r="C49">
            <v>48</v>
          </cell>
          <cell r="D49">
            <v>14.27</v>
          </cell>
          <cell r="E49">
            <v>0</v>
          </cell>
          <cell r="F49">
            <v>0</v>
          </cell>
          <cell r="G49">
            <v>0</v>
          </cell>
          <cell r="H49">
            <v>830</v>
          </cell>
          <cell r="I49">
            <v>5</v>
          </cell>
          <cell r="J49">
            <v>1.67</v>
          </cell>
          <cell r="K49">
            <v>2216</v>
          </cell>
          <cell r="L49">
            <v>25</v>
          </cell>
          <cell r="M49">
            <v>11.73</v>
          </cell>
        </row>
        <row r="50">
          <cell r="A50" t="str">
            <v>MZYSZHUOBUDTMAP100*140CM</v>
          </cell>
          <cell r="B50">
            <v>2238</v>
          </cell>
          <cell r="C50">
            <v>20</v>
          </cell>
          <cell r="D50">
            <v>12.08</v>
          </cell>
          <cell r="E50">
            <v>2353</v>
          </cell>
          <cell r="F50">
            <v>22</v>
          </cell>
          <cell r="G50">
            <v>13.59</v>
          </cell>
          <cell r="H50">
            <v>14339</v>
          </cell>
          <cell r="I50">
            <v>96</v>
          </cell>
          <cell r="J50">
            <v>73.09</v>
          </cell>
          <cell r="K50">
            <v>9333</v>
          </cell>
          <cell r="L50">
            <v>90</v>
          </cell>
          <cell r="M50">
            <v>62.68</v>
          </cell>
        </row>
        <row r="51">
          <cell r="A51" t="str">
            <v>YY-IULCY-HZYD100-BIGEYED-XL</v>
          </cell>
          <cell r="B51">
            <v>350</v>
          </cell>
          <cell r="C51">
            <v>5</v>
          </cell>
          <cell r="D51">
            <v>1.4</v>
          </cell>
          <cell r="E51">
            <v>109</v>
          </cell>
          <cell r="F51">
            <v>1</v>
          </cell>
          <cell r="G51">
            <v>0.53</v>
          </cell>
          <cell r="H51">
            <v>123</v>
          </cell>
          <cell r="I51">
            <v>1</v>
          </cell>
          <cell r="J51">
            <v>0.02</v>
          </cell>
          <cell r="K51">
            <v>429</v>
          </cell>
          <cell r="L51">
            <v>5</v>
          </cell>
          <cell r="M51">
            <v>1.57</v>
          </cell>
        </row>
        <row r="52">
          <cell r="A52" t="str">
            <v>YY-IULCY-HZYD200-LGSTAR-XL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278</v>
          </cell>
          <cell r="L52">
            <v>0</v>
          </cell>
          <cell r="M52">
            <v>0</v>
          </cell>
        </row>
        <row r="53">
          <cell r="A53" t="str">
            <v>YY-IULUY-KS374-YL-XL</v>
          </cell>
          <cell r="B53">
            <v>15324</v>
          </cell>
          <cell r="C53">
            <v>51</v>
          </cell>
          <cell r="D53">
            <v>28.95</v>
          </cell>
          <cell r="E53">
            <v>35200</v>
          </cell>
          <cell r="F53">
            <v>128</v>
          </cell>
          <cell r="G53">
            <v>63.85</v>
          </cell>
          <cell r="H53">
            <v>24104</v>
          </cell>
          <cell r="I53">
            <v>70</v>
          </cell>
          <cell r="J53">
            <v>32.27</v>
          </cell>
          <cell r="K53">
            <v>2203</v>
          </cell>
          <cell r="L53">
            <v>8</v>
          </cell>
          <cell r="M53">
            <v>3.25</v>
          </cell>
        </row>
        <row r="54">
          <cell r="A54" t="str">
            <v>YY-IULCY-KS377-BIRD-M</v>
          </cell>
          <cell r="B54">
            <v>24604</v>
          </cell>
          <cell r="C54">
            <v>109</v>
          </cell>
          <cell r="D54">
            <v>40.07</v>
          </cell>
          <cell r="E54">
            <v>150</v>
          </cell>
          <cell r="F54">
            <v>2</v>
          </cell>
          <cell r="G54">
            <v>0.48</v>
          </cell>
          <cell r="H54">
            <v>3006</v>
          </cell>
          <cell r="I54">
            <v>27</v>
          </cell>
          <cell r="J54">
            <v>13.28</v>
          </cell>
          <cell r="K54">
            <v>1354</v>
          </cell>
          <cell r="L54">
            <v>13</v>
          </cell>
          <cell r="M54">
            <v>4.13</v>
          </cell>
        </row>
        <row r="55">
          <cell r="A55" t="str">
            <v>ZPSD-LAHM-800-BK-S</v>
          </cell>
          <cell r="B55">
            <v>5200</v>
          </cell>
          <cell r="C55">
            <v>27</v>
          </cell>
          <cell r="D55">
            <v>13.04</v>
          </cell>
          <cell r="E55">
            <v>24538</v>
          </cell>
          <cell r="F55">
            <v>74</v>
          </cell>
          <cell r="G55">
            <v>63.08</v>
          </cell>
          <cell r="H55">
            <v>14085</v>
          </cell>
          <cell r="I55">
            <v>57</v>
          </cell>
          <cell r="J55">
            <v>38.07</v>
          </cell>
          <cell r="K55">
            <v>9275</v>
          </cell>
          <cell r="L55">
            <v>45</v>
          </cell>
          <cell r="M55">
            <v>28.74</v>
          </cell>
        </row>
        <row r="56">
          <cell r="A56" t="str">
            <v>FSFZB006QSRO200CM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79</v>
          </cell>
          <cell r="L56">
            <v>1</v>
          </cell>
          <cell r="M56">
            <v>0.41</v>
          </cell>
        </row>
        <row r="57">
          <cell r="A57" t="str">
            <v>FSFZB001JHRO200CM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11</v>
          </cell>
          <cell r="L57">
            <v>0</v>
          </cell>
          <cell r="M57">
            <v>0</v>
          </cell>
        </row>
        <row r="58">
          <cell r="A58" t="str">
            <v>FSFZB006J0RO220CM</v>
          </cell>
          <cell r="B58">
            <v>25</v>
          </cell>
          <cell r="C58">
            <v>0</v>
          </cell>
          <cell r="D58">
            <v>0</v>
          </cell>
          <cell r="E58">
            <v>38</v>
          </cell>
          <cell r="F58">
            <v>0</v>
          </cell>
          <cell r="G58">
            <v>0</v>
          </cell>
          <cell r="H58">
            <v>71</v>
          </cell>
          <cell r="I58">
            <v>2</v>
          </cell>
          <cell r="J58">
            <v>1.24</v>
          </cell>
          <cell r="K58">
            <v>56</v>
          </cell>
          <cell r="L58">
            <v>0</v>
          </cell>
          <cell r="M58">
            <v>0</v>
          </cell>
        </row>
        <row r="59">
          <cell r="A59" t="str">
            <v>ZXXBLV-S</v>
          </cell>
          <cell r="B59">
            <v>663</v>
          </cell>
          <cell r="C59">
            <v>4</v>
          </cell>
          <cell r="D59">
            <v>0.92</v>
          </cell>
          <cell r="E59">
            <v>539</v>
          </cell>
          <cell r="F59">
            <v>2</v>
          </cell>
          <cell r="G59">
            <v>0.42</v>
          </cell>
          <cell r="H59">
            <v>482</v>
          </cell>
          <cell r="I59">
            <v>1</v>
          </cell>
          <cell r="J59">
            <v>0.14</v>
          </cell>
          <cell r="K59">
            <v>1573</v>
          </cell>
          <cell r="L59">
            <v>8</v>
          </cell>
          <cell r="M59">
            <v>2.59</v>
          </cell>
        </row>
        <row r="60">
          <cell r="A60" t="str">
            <v>ZXXBHO-XL</v>
          </cell>
          <cell r="B60">
            <v>1826</v>
          </cell>
          <cell r="C60">
            <v>8</v>
          </cell>
          <cell r="D60">
            <v>1.4</v>
          </cell>
          <cell r="E60">
            <v>2802</v>
          </cell>
          <cell r="F60">
            <v>3</v>
          </cell>
          <cell r="G60">
            <v>0.79</v>
          </cell>
          <cell r="H60">
            <v>255</v>
          </cell>
          <cell r="I60">
            <v>2</v>
          </cell>
          <cell r="J60">
            <v>0.26</v>
          </cell>
          <cell r="K60">
            <v>628</v>
          </cell>
          <cell r="L60">
            <v>5</v>
          </cell>
          <cell r="M60">
            <v>1.17</v>
          </cell>
        </row>
        <row r="61">
          <cell r="A61" t="str">
            <v>ZXXBHO-M</v>
          </cell>
          <cell r="B61">
            <v>1135</v>
          </cell>
          <cell r="C61">
            <v>8</v>
          </cell>
          <cell r="D61">
            <v>1.5</v>
          </cell>
          <cell r="E61">
            <v>1417</v>
          </cell>
          <cell r="F61">
            <v>3</v>
          </cell>
          <cell r="G61">
            <v>0.64</v>
          </cell>
          <cell r="H61">
            <v>398</v>
          </cell>
          <cell r="I61">
            <v>1</v>
          </cell>
          <cell r="J61">
            <v>0.11</v>
          </cell>
          <cell r="K61">
            <v>1540</v>
          </cell>
          <cell r="L61">
            <v>6</v>
          </cell>
          <cell r="M61">
            <v>1.89</v>
          </cell>
        </row>
        <row r="62">
          <cell r="A62" t="str">
            <v>YY5100B1XL</v>
          </cell>
          <cell r="B62">
            <v>375</v>
          </cell>
          <cell r="C62">
            <v>6</v>
          </cell>
          <cell r="D62">
            <v>0.82</v>
          </cell>
          <cell r="E62">
            <v>225</v>
          </cell>
          <cell r="F62">
            <v>1</v>
          </cell>
          <cell r="G62">
            <v>0.28</v>
          </cell>
          <cell r="H62">
            <v>213</v>
          </cell>
          <cell r="I62">
            <v>3</v>
          </cell>
          <cell r="J62">
            <v>1.07</v>
          </cell>
          <cell r="K62">
            <v>253</v>
          </cell>
          <cell r="L62">
            <v>3</v>
          </cell>
          <cell r="M62">
            <v>0.72</v>
          </cell>
        </row>
        <row r="63">
          <cell r="A63" t="str">
            <v>YY5100R5XXL</v>
          </cell>
          <cell r="B63">
            <v>125</v>
          </cell>
          <cell r="C63">
            <v>5</v>
          </cell>
          <cell r="D63">
            <v>1.2</v>
          </cell>
          <cell r="E63">
            <v>82</v>
          </cell>
          <cell r="F63">
            <v>3</v>
          </cell>
          <cell r="G63">
            <v>0.43</v>
          </cell>
          <cell r="H63">
            <v>79</v>
          </cell>
          <cell r="I63">
            <v>2</v>
          </cell>
          <cell r="J63">
            <v>0.63</v>
          </cell>
          <cell r="K63">
            <v>135</v>
          </cell>
          <cell r="L63">
            <v>5</v>
          </cell>
          <cell r="M63">
            <v>1.5</v>
          </cell>
        </row>
        <row r="64">
          <cell r="A64" t="str">
            <v>YY5100Y0XXL</v>
          </cell>
          <cell r="B64">
            <v>576</v>
          </cell>
          <cell r="C64">
            <v>5</v>
          </cell>
          <cell r="D64">
            <v>0.86</v>
          </cell>
          <cell r="E64">
            <v>211</v>
          </cell>
          <cell r="F64">
            <v>0</v>
          </cell>
          <cell r="G64">
            <v>0</v>
          </cell>
          <cell r="H64">
            <v>173</v>
          </cell>
          <cell r="I64">
            <v>2</v>
          </cell>
          <cell r="J64">
            <v>0.26</v>
          </cell>
          <cell r="K64">
            <v>373</v>
          </cell>
          <cell r="L64">
            <v>4</v>
          </cell>
          <cell r="M64">
            <v>1.04</v>
          </cell>
        </row>
        <row r="65">
          <cell r="A65" t="str">
            <v>YMQYQHCZQ100*140CM</v>
          </cell>
          <cell r="B65">
            <v>201</v>
          </cell>
          <cell r="C65">
            <v>2</v>
          </cell>
          <cell r="D65">
            <v>1.16</v>
          </cell>
          <cell r="E65">
            <v>251</v>
          </cell>
          <cell r="F65">
            <v>1</v>
          </cell>
          <cell r="G65">
            <v>0.72</v>
          </cell>
          <cell r="H65">
            <v>203</v>
          </cell>
          <cell r="I65">
            <v>2</v>
          </cell>
          <cell r="J65">
            <v>0.96</v>
          </cell>
          <cell r="K65">
            <v>167</v>
          </cell>
          <cell r="L65">
            <v>1</v>
          </cell>
          <cell r="M65">
            <v>0.02</v>
          </cell>
        </row>
        <row r="66">
          <cell r="A66" t="str">
            <v>YY-IULCY-KS372-BL-XL</v>
          </cell>
          <cell r="B66">
            <v>1155</v>
          </cell>
          <cell r="C66">
            <v>4</v>
          </cell>
          <cell r="D66">
            <v>0.63</v>
          </cell>
          <cell r="E66">
            <v>283</v>
          </cell>
          <cell r="F66">
            <v>1</v>
          </cell>
          <cell r="G66">
            <v>0.15</v>
          </cell>
          <cell r="H66">
            <v>1794</v>
          </cell>
          <cell r="I66">
            <v>3</v>
          </cell>
          <cell r="J66">
            <v>1.39</v>
          </cell>
          <cell r="K66">
            <v>2653</v>
          </cell>
          <cell r="L66">
            <v>5</v>
          </cell>
          <cell r="M66">
            <v>1.36</v>
          </cell>
        </row>
        <row r="67">
          <cell r="A67" t="str">
            <v>YY-IULCY-KS372-GN-L</v>
          </cell>
          <cell r="B67">
            <v>193</v>
          </cell>
          <cell r="C67">
            <v>4</v>
          </cell>
          <cell r="D67">
            <v>0.99</v>
          </cell>
          <cell r="E67">
            <v>196</v>
          </cell>
          <cell r="F67">
            <v>4</v>
          </cell>
          <cell r="G67">
            <v>1.07</v>
          </cell>
          <cell r="H67">
            <v>127</v>
          </cell>
          <cell r="I67">
            <v>1</v>
          </cell>
          <cell r="J67">
            <v>0.37</v>
          </cell>
          <cell r="K67">
            <v>168</v>
          </cell>
          <cell r="L67">
            <v>2</v>
          </cell>
          <cell r="M67">
            <v>0.17</v>
          </cell>
        </row>
        <row r="68">
          <cell r="A68" t="str">
            <v>FMHSGJH67*20CM</v>
          </cell>
          <cell r="B68">
            <v>134</v>
          </cell>
          <cell r="C68">
            <v>1</v>
          </cell>
          <cell r="D68">
            <v>0.08</v>
          </cell>
          <cell r="E68">
            <v>0</v>
          </cell>
          <cell r="F68">
            <v>0</v>
          </cell>
          <cell r="G68">
            <v>0</v>
          </cell>
          <cell r="H68">
            <v>84</v>
          </cell>
          <cell r="I68">
            <v>1</v>
          </cell>
          <cell r="J68">
            <v>0.14</v>
          </cell>
          <cell r="K68">
            <v>148</v>
          </cell>
          <cell r="L68">
            <v>3</v>
          </cell>
          <cell r="M68">
            <v>0.44</v>
          </cell>
        </row>
        <row r="69">
          <cell r="A69" t="str">
            <v>TM-IULCY-300-LB</v>
          </cell>
          <cell r="B69">
            <v>107</v>
          </cell>
          <cell r="C69">
            <v>0</v>
          </cell>
          <cell r="D69">
            <v>0</v>
          </cell>
          <cell r="E69">
            <v>134</v>
          </cell>
          <cell r="F69">
            <v>0</v>
          </cell>
          <cell r="G69">
            <v>0</v>
          </cell>
          <cell r="H69">
            <v>246</v>
          </cell>
          <cell r="I69">
            <v>0</v>
          </cell>
          <cell r="J69">
            <v>0</v>
          </cell>
          <cell r="K69">
            <v>831</v>
          </cell>
          <cell r="L69">
            <v>2</v>
          </cell>
          <cell r="M69">
            <v>0.52</v>
          </cell>
        </row>
        <row r="70">
          <cell r="A70" t="str">
            <v>TM-IULCY-300-AG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178</v>
          </cell>
          <cell r="L70">
            <v>3</v>
          </cell>
          <cell r="M70">
            <v>1.55</v>
          </cell>
        </row>
        <row r="71">
          <cell r="A71" t="str">
            <v>YX-IUCY-819-WO-L</v>
          </cell>
          <cell r="B71">
            <v>263</v>
          </cell>
          <cell r="C71">
            <v>5</v>
          </cell>
          <cell r="D71">
            <v>0.37</v>
          </cell>
          <cell r="E71">
            <v>315</v>
          </cell>
          <cell r="F71">
            <v>4</v>
          </cell>
          <cell r="G71">
            <v>0.74</v>
          </cell>
          <cell r="H71">
            <v>244</v>
          </cell>
          <cell r="I71">
            <v>4</v>
          </cell>
          <cell r="J71">
            <v>0.99</v>
          </cell>
          <cell r="K71">
            <v>85</v>
          </cell>
          <cell r="L71">
            <v>3</v>
          </cell>
          <cell r="M71">
            <v>0.95</v>
          </cell>
        </row>
        <row r="72">
          <cell r="A72" t="str">
            <v>ZPSD-LAHM-800-BK-L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534</v>
          </cell>
          <cell r="L72">
            <v>1</v>
          </cell>
          <cell r="M72">
            <v>0.31</v>
          </cell>
        </row>
        <row r="73">
          <cell r="A73" t="str">
            <v>HNJAX2SW045*45CM</v>
          </cell>
          <cell r="B73">
            <v>150</v>
          </cell>
          <cell r="C73">
            <v>0</v>
          </cell>
          <cell r="D73">
            <v>0</v>
          </cell>
          <cell r="E73">
            <v>167</v>
          </cell>
          <cell r="F73">
            <v>0</v>
          </cell>
          <cell r="G73">
            <v>0</v>
          </cell>
          <cell r="H73">
            <v>190</v>
          </cell>
          <cell r="I73">
            <v>0</v>
          </cell>
          <cell r="J73">
            <v>0</v>
          </cell>
          <cell r="K73">
            <v>379</v>
          </cell>
          <cell r="L73">
            <v>1</v>
          </cell>
          <cell r="M73">
            <v>0.27</v>
          </cell>
        </row>
        <row r="74">
          <cell r="A74" t="str">
            <v>BZXKHH628E</v>
          </cell>
          <cell r="B74">
            <v>238</v>
          </cell>
          <cell r="C74">
            <v>0</v>
          </cell>
          <cell r="D74">
            <v>0</v>
          </cell>
          <cell r="E74">
            <v>98</v>
          </cell>
          <cell r="F74">
            <v>0</v>
          </cell>
          <cell r="G74">
            <v>0</v>
          </cell>
          <cell r="H74">
            <v>117</v>
          </cell>
          <cell r="I74">
            <v>0</v>
          </cell>
          <cell r="J74">
            <v>0</v>
          </cell>
          <cell r="K74">
            <v>144</v>
          </cell>
          <cell r="L74">
            <v>1</v>
          </cell>
          <cell r="M74">
            <v>0.45</v>
          </cell>
        </row>
        <row r="75">
          <cell r="A75" t="str">
            <v>H5-F378-ECJO</v>
          </cell>
          <cell r="B75">
            <v>20497</v>
          </cell>
          <cell r="C75">
            <v>39</v>
          </cell>
          <cell r="D75">
            <v>16.33</v>
          </cell>
          <cell r="E75">
            <v>4351</v>
          </cell>
          <cell r="F75">
            <v>11</v>
          </cell>
          <cell r="G75">
            <v>3.72</v>
          </cell>
          <cell r="H75">
            <v>3208</v>
          </cell>
          <cell r="I75">
            <v>11</v>
          </cell>
          <cell r="J75">
            <v>3.74</v>
          </cell>
          <cell r="K75">
            <v>7917</v>
          </cell>
          <cell r="L75">
            <v>21</v>
          </cell>
          <cell r="M75">
            <v>6.66</v>
          </cell>
        </row>
        <row r="76">
          <cell r="A76" t="str">
            <v>SXHLYITAO1-LH-001MHS40x60CM</v>
          </cell>
          <cell r="B76">
            <v>149</v>
          </cell>
          <cell r="C76">
            <v>2</v>
          </cell>
          <cell r="D76">
            <v>0.28</v>
          </cell>
          <cell r="E76">
            <v>144</v>
          </cell>
          <cell r="F76">
            <v>2</v>
          </cell>
          <cell r="G76">
            <v>0.41</v>
          </cell>
          <cell r="H76">
            <v>149</v>
          </cell>
          <cell r="I76">
            <v>3</v>
          </cell>
          <cell r="J76">
            <v>0.51</v>
          </cell>
          <cell r="K76">
            <v>172</v>
          </cell>
          <cell r="L76">
            <v>0</v>
          </cell>
          <cell r="M76">
            <v>0</v>
          </cell>
        </row>
        <row r="77">
          <cell r="A77" t="str">
            <v>ETYIYUANDIAN-XL</v>
          </cell>
          <cell r="B77">
            <v>162</v>
          </cell>
          <cell r="C77">
            <v>1</v>
          </cell>
          <cell r="D77">
            <v>0.15</v>
          </cell>
          <cell r="E77">
            <v>174</v>
          </cell>
          <cell r="F77">
            <v>0</v>
          </cell>
          <cell r="G77">
            <v>0</v>
          </cell>
          <cell r="H77">
            <v>147</v>
          </cell>
          <cell r="I77">
            <v>6</v>
          </cell>
          <cell r="J77">
            <v>0.86</v>
          </cell>
          <cell r="K77">
            <v>139</v>
          </cell>
          <cell r="L77">
            <v>4</v>
          </cell>
          <cell r="M77">
            <v>0.66</v>
          </cell>
        </row>
        <row r="78">
          <cell r="A78" t="str">
            <v>ETYIBLUE-M-2</v>
          </cell>
          <cell r="B78">
            <v>9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17</v>
          </cell>
          <cell r="I78">
            <v>1</v>
          </cell>
          <cell r="J78">
            <v>0.26</v>
          </cell>
          <cell r="K78">
            <v>6</v>
          </cell>
          <cell r="L78">
            <v>0</v>
          </cell>
          <cell r="M78">
            <v>0</v>
          </cell>
        </row>
        <row r="79">
          <cell r="A79" t="str">
            <v>YDYPFS-M-2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3</v>
          </cell>
          <cell r="L79">
            <v>0</v>
          </cell>
          <cell r="M79">
            <v>0</v>
          </cell>
        </row>
        <row r="80">
          <cell r="A80" t="str">
            <v>YI-IUYLTBY-N5</v>
          </cell>
          <cell r="B80">
            <v>0</v>
          </cell>
          <cell r="C80">
            <v>0</v>
          </cell>
          <cell r="D80">
            <v>0</v>
          </cell>
          <cell r="E80">
            <v>2547</v>
          </cell>
          <cell r="F80">
            <v>34</v>
          </cell>
          <cell r="G80">
            <v>19.83</v>
          </cell>
          <cell r="H80">
            <v>729</v>
          </cell>
          <cell r="I80">
            <v>8</v>
          </cell>
          <cell r="J80">
            <v>3.05</v>
          </cell>
          <cell r="K80">
            <v>277</v>
          </cell>
          <cell r="L80">
            <v>7</v>
          </cell>
          <cell r="M80">
            <v>2.34</v>
          </cell>
        </row>
        <row r="81">
          <cell r="A81" t="str">
            <v>FSFZB001W0RO180CM</v>
          </cell>
          <cell r="B81">
            <v>1331</v>
          </cell>
          <cell r="C81">
            <v>7</v>
          </cell>
          <cell r="D81">
            <v>4.34</v>
          </cell>
          <cell r="E81">
            <v>592</v>
          </cell>
          <cell r="F81">
            <v>1</v>
          </cell>
          <cell r="G81">
            <v>0.72</v>
          </cell>
          <cell r="H81">
            <v>1181</v>
          </cell>
          <cell r="I81">
            <v>4</v>
          </cell>
          <cell r="J81">
            <v>1.75</v>
          </cell>
          <cell r="K81">
            <v>1097</v>
          </cell>
          <cell r="L81">
            <v>3</v>
          </cell>
          <cell r="M81">
            <v>1.35</v>
          </cell>
        </row>
        <row r="82">
          <cell r="A82" t="str">
            <v>YY-IULCY-KS372-PP-M</v>
          </cell>
          <cell r="B82">
            <v>530</v>
          </cell>
          <cell r="C82">
            <v>6</v>
          </cell>
          <cell r="D82">
            <v>2.51</v>
          </cell>
          <cell r="E82">
            <v>326</v>
          </cell>
          <cell r="F82">
            <v>2</v>
          </cell>
          <cell r="G82">
            <v>0.41</v>
          </cell>
          <cell r="H82">
            <v>394</v>
          </cell>
          <cell r="I82">
            <v>2</v>
          </cell>
          <cell r="J82">
            <v>0.55</v>
          </cell>
          <cell r="K82">
            <v>343</v>
          </cell>
          <cell r="L82">
            <v>3</v>
          </cell>
          <cell r="M82">
            <v>1.17</v>
          </cell>
        </row>
        <row r="83">
          <cell r="A83" t="str">
            <v>YY2127GR</v>
          </cell>
          <cell r="B83">
            <v>51271</v>
          </cell>
          <cell r="C83">
            <v>80</v>
          </cell>
          <cell r="D83">
            <v>27.15</v>
          </cell>
          <cell r="E83">
            <v>45110</v>
          </cell>
          <cell r="F83">
            <v>78</v>
          </cell>
          <cell r="G83">
            <v>21.61</v>
          </cell>
          <cell r="H83">
            <v>31627</v>
          </cell>
          <cell r="I83">
            <v>56</v>
          </cell>
          <cell r="J83">
            <v>14.11</v>
          </cell>
          <cell r="K83">
            <v>5454</v>
          </cell>
          <cell r="L83">
            <v>26</v>
          </cell>
          <cell r="M83">
            <v>10.12</v>
          </cell>
        </row>
        <row r="84">
          <cell r="A84" t="str">
            <v>9CUE9N-04Y0XXXL</v>
          </cell>
          <cell r="B84">
            <v>4003</v>
          </cell>
          <cell r="C84">
            <v>31</v>
          </cell>
          <cell r="D84">
            <v>16.64</v>
          </cell>
          <cell r="E84">
            <v>19108</v>
          </cell>
          <cell r="F84">
            <v>91</v>
          </cell>
          <cell r="G84">
            <v>36.66</v>
          </cell>
          <cell r="H84">
            <v>3925</v>
          </cell>
          <cell r="I84">
            <v>21</v>
          </cell>
          <cell r="J84">
            <v>10.23</v>
          </cell>
          <cell r="K84">
            <v>2164</v>
          </cell>
          <cell r="L84">
            <v>17</v>
          </cell>
          <cell r="M84">
            <v>7.2</v>
          </cell>
        </row>
        <row r="85">
          <cell r="A85" t="str">
            <v>YY5100XB0L</v>
          </cell>
          <cell r="B85">
            <v>55493</v>
          </cell>
          <cell r="C85">
            <v>166</v>
          </cell>
          <cell r="D85">
            <v>69.9</v>
          </cell>
          <cell r="E85">
            <v>58849</v>
          </cell>
          <cell r="F85">
            <v>161</v>
          </cell>
          <cell r="G85">
            <v>52.89</v>
          </cell>
          <cell r="H85">
            <v>6082</v>
          </cell>
          <cell r="I85">
            <v>67</v>
          </cell>
          <cell r="J85">
            <v>32.92</v>
          </cell>
          <cell r="K85">
            <v>2885</v>
          </cell>
          <cell r="L85">
            <v>31</v>
          </cell>
          <cell r="M85">
            <v>12.72</v>
          </cell>
        </row>
        <row r="86">
          <cell r="A86" t="str">
            <v>YY-IULCY-HZYD200-LGSTAR-M</v>
          </cell>
          <cell r="B86">
            <v>736</v>
          </cell>
          <cell r="C86">
            <v>9</v>
          </cell>
          <cell r="D86">
            <v>1.68</v>
          </cell>
          <cell r="E86">
            <v>116</v>
          </cell>
          <cell r="F86">
            <v>1</v>
          </cell>
          <cell r="G86">
            <v>0.05</v>
          </cell>
          <cell r="H86">
            <v>77</v>
          </cell>
          <cell r="I86">
            <v>7</v>
          </cell>
          <cell r="J86">
            <v>1.2</v>
          </cell>
          <cell r="K86">
            <v>54</v>
          </cell>
          <cell r="L86">
            <v>4</v>
          </cell>
          <cell r="M86">
            <v>1.14</v>
          </cell>
        </row>
        <row r="87">
          <cell r="A87" t="str">
            <v>TM-IULCY-300-LG</v>
          </cell>
          <cell r="B87">
            <v>90</v>
          </cell>
          <cell r="C87">
            <v>2</v>
          </cell>
          <cell r="D87">
            <v>0.29</v>
          </cell>
          <cell r="E87">
            <v>89</v>
          </cell>
          <cell r="F87">
            <v>0</v>
          </cell>
          <cell r="G87">
            <v>0</v>
          </cell>
          <cell r="H87">
            <v>127</v>
          </cell>
          <cell r="I87">
            <v>1</v>
          </cell>
          <cell r="J87">
            <v>0.23</v>
          </cell>
          <cell r="K87">
            <v>119</v>
          </cell>
          <cell r="L87">
            <v>0</v>
          </cell>
          <cell r="M87">
            <v>0</v>
          </cell>
        </row>
        <row r="88">
          <cell r="A88" t="str">
            <v>DLJJZHUOBU-BGZW070x70CM</v>
          </cell>
          <cell r="B88">
            <v>372</v>
          </cell>
          <cell r="C88">
            <v>7</v>
          </cell>
          <cell r="D88">
            <v>5.44</v>
          </cell>
          <cell r="E88">
            <v>127</v>
          </cell>
          <cell r="F88">
            <v>1</v>
          </cell>
          <cell r="G88">
            <v>0.72</v>
          </cell>
          <cell r="H88">
            <v>206</v>
          </cell>
          <cell r="I88">
            <v>1</v>
          </cell>
          <cell r="J88">
            <v>0.78</v>
          </cell>
          <cell r="K88">
            <v>144</v>
          </cell>
          <cell r="L88">
            <v>3</v>
          </cell>
          <cell r="M88">
            <v>1.49</v>
          </cell>
        </row>
        <row r="89">
          <cell r="A89" t="str">
            <v>YMQYZBJTE0140*250CM</v>
          </cell>
          <cell r="B89">
            <v>112</v>
          </cell>
          <cell r="C89">
            <v>1</v>
          </cell>
          <cell r="D89">
            <v>0.36</v>
          </cell>
          <cell r="E89">
            <v>687</v>
          </cell>
          <cell r="F89">
            <v>3</v>
          </cell>
          <cell r="G89">
            <v>1</v>
          </cell>
          <cell r="H89">
            <v>1412</v>
          </cell>
          <cell r="I89">
            <v>10</v>
          </cell>
          <cell r="J89">
            <v>3.86</v>
          </cell>
          <cell r="K89">
            <v>944</v>
          </cell>
          <cell r="L89">
            <v>3</v>
          </cell>
          <cell r="M89">
            <v>1.42</v>
          </cell>
        </row>
        <row r="90">
          <cell r="A90" t="str">
            <v>YY-IULCY-KS377-PLANT-L</v>
          </cell>
          <cell r="B90">
            <v>38</v>
          </cell>
          <cell r="C90">
            <v>0</v>
          </cell>
          <cell r="D90">
            <v>0</v>
          </cell>
          <cell r="E90">
            <v>27</v>
          </cell>
          <cell r="F90">
            <v>0</v>
          </cell>
          <cell r="G90">
            <v>0</v>
          </cell>
          <cell r="H90">
            <v>28</v>
          </cell>
          <cell r="I90">
            <v>1</v>
          </cell>
          <cell r="J90">
            <v>0.52</v>
          </cell>
          <cell r="K90">
            <v>26</v>
          </cell>
          <cell r="L90">
            <v>0</v>
          </cell>
          <cell r="M90">
            <v>0</v>
          </cell>
        </row>
        <row r="91">
          <cell r="A91" t="str">
            <v>YY-IULCY-KS371-WT-M</v>
          </cell>
          <cell r="B91">
            <v>2491</v>
          </cell>
          <cell r="C91">
            <v>1</v>
          </cell>
          <cell r="D91">
            <v>0.15</v>
          </cell>
          <cell r="E91">
            <v>1746</v>
          </cell>
          <cell r="F91">
            <v>1</v>
          </cell>
          <cell r="G91">
            <v>0.27</v>
          </cell>
          <cell r="H91">
            <v>1741</v>
          </cell>
          <cell r="I91">
            <v>2</v>
          </cell>
          <cell r="J91">
            <v>0.53</v>
          </cell>
          <cell r="K91">
            <v>1583</v>
          </cell>
          <cell r="L91">
            <v>1</v>
          </cell>
          <cell r="M91">
            <v>0.19</v>
          </cell>
        </row>
        <row r="92">
          <cell r="A92" t="str">
            <v>DJSCZHUOBUCSAQHS110*140CM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8684</v>
          </cell>
          <cell r="I92">
            <v>49</v>
          </cell>
          <cell r="J92">
            <v>34.07</v>
          </cell>
          <cell r="K92">
            <v>6443</v>
          </cell>
          <cell r="L92">
            <v>24</v>
          </cell>
          <cell r="M92">
            <v>15.09</v>
          </cell>
        </row>
        <row r="93">
          <cell r="A93" t="str">
            <v>MTX-IULHY-W188-GN-38/39</v>
          </cell>
          <cell r="B93">
            <v>5</v>
          </cell>
          <cell r="C93">
            <v>0</v>
          </cell>
          <cell r="D93">
            <v>0</v>
          </cell>
          <cell r="E93">
            <v>6</v>
          </cell>
          <cell r="F93">
            <v>0</v>
          </cell>
          <cell r="G93">
            <v>0</v>
          </cell>
          <cell r="H93">
            <v>4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MTX-IULHY-M1759-DB-29</v>
          </cell>
          <cell r="B94">
            <v>309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909</v>
          </cell>
          <cell r="I94">
            <v>2</v>
          </cell>
          <cell r="J94">
            <v>0.74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MTX-IULHY-W1759-PK-26</v>
          </cell>
          <cell r="B95">
            <v>642</v>
          </cell>
          <cell r="C95">
            <v>1</v>
          </cell>
          <cell r="D95">
            <v>0.25</v>
          </cell>
          <cell r="E95">
            <v>1227</v>
          </cell>
          <cell r="F95">
            <v>2</v>
          </cell>
          <cell r="G95">
            <v>0.89</v>
          </cell>
          <cell r="H95">
            <v>2505</v>
          </cell>
          <cell r="I95">
            <v>4</v>
          </cell>
          <cell r="J95">
            <v>1.57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MTX-IULHY-W1759-GN-27</v>
          </cell>
          <cell r="B96">
            <v>193</v>
          </cell>
          <cell r="C96">
            <v>0</v>
          </cell>
          <cell r="D96">
            <v>0</v>
          </cell>
          <cell r="E96">
            <v>849</v>
          </cell>
          <cell r="F96">
            <v>4</v>
          </cell>
          <cell r="G96">
            <v>1.42</v>
          </cell>
          <cell r="H96">
            <v>1076</v>
          </cell>
          <cell r="I96">
            <v>1</v>
          </cell>
          <cell r="J96">
            <v>0.2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MTX-IULHY-W1758-OR-25</v>
          </cell>
          <cell r="B97">
            <v>123</v>
          </cell>
          <cell r="C97">
            <v>0</v>
          </cell>
          <cell r="D97">
            <v>0</v>
          </cell>
          <cell r="E97">
            <v>194</v>
          </cell>
          <cell r="F97">
            <v>1</v>
          </cell>
          <cell r="G97">
            <v>0.27</v>
          </cell>
          <cell r="H97">
            <v>253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MTX-IULHY-W1758-PK-26</v>
          </cell>
          <cell r="B98">
            <v>47</v>
          </cell>
          <cell r="C98">
            <v>0</v>
          </cell>
          <cell r="D98">
            <v>0</v>
          </cell>
          <cell r="E98">
            <v>119</v>
          </cell>
          <cell r="F98">
            <v>0</v>
          </cell>
          <cell r="G98">
            <v>0</v>
          </cell>
          <cell r="H98">
            <v>165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MTX-IULHY-W1798-GN-26</v>
          </cell>
          <cell r="B99">
            <v>64</v>
          </cell>
          <cell r="C99">
            <v>0</v>
          </cell>
          <cell r="D99">
            <v>0</v>
          </cell>
          <cell r="E99">
            <v>72</v>
          </cell>
          <cell r="F99">
            <v>0</v>
          </cell>
          <cell r="G99">
            <v>0</v>
          </cell>
          <cell r="H99">
            <v>102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ZB-IULCY-YMQY100-CF100*140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312</v>
          </cell>
          <cell r="I100">
            <v>4</v>
          </cell>
          <cell r="J100">
            <v>1.84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DZ-IUYL220-BK</v>
          </cell>
          <cell r="B101">
            <v>97</v>
          </cell>
          <cell r="C101">
            <v>1</v>
          </cell>
          <cell r="D101">
            <v>0.6</v>
          </cell>
          <cell r="E101">
            <v>1387</v>
          </cell>
          <cell r="F101">
            <v>2</v>
          </cell>
          <cell r="G101">
            <v>0.73</v>
          </cell>
          <cell r="H101">
            <v>1014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AWFSNANKU-2292JLS-31</v>
          </cell>
          <cell r="B102">
            <v>94</v>
          </cell>
          <cell r="C102">
            <v>1</v>
          </cell>
          <cell r="D102">
            <v>0.46</v>
          </cell>
          <cell r="E102">
            <v>1266</v>
          </cell>
          <cell r="F102">
            <v>7</v>
          </cell>
          <cell r="G102">
            <v>4.34</v>
          </cell>
          <cell r="H102">
            <v>1080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PUJIANGBAIMAMRG-COFFEE</v>
          </cell>
          <cell r="B103">
            <v>34</v>
          </cell>
          <cell r="C103">
            <v>0</v>
          </cell>
          <cell r="D103">
            <v>0</v>
          </cell>
          <cell r="E103">
            <v>1162</v>
          </cell>
          <cell r="F103">
            <v>2</v>
          </cell>
          <cell r="G103">
            <v>1.08</v>
          </cell>
          <cell r="H103">
            <v>937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HZ-SILVER</v>
          </cell>
          <cell r="B104">
            <v>289</v>
          </cell>
          <cell r="C104">
            <v>0</v>
          </cell>
          <cell r="D104">
            <v>0</v>
          </cell>
          <cell r="E104">
            <v>679</v>
          </cell>
          <cell r="F104">
            <v>3</v>
          </cell>
          <cell r="G104">
            <v>2.2</v>
          </cell>
          <cell r="H104">
            <v>452</v>
          </cell>
          <cell r="I104">
            <v>2</v>
          </cell>
          <cell r="J104">
            <v>1.18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YHJRBHIS-L</v>
          </cell>
          <cell r="B105">
            <v>490</v>
          </cell>
          <cell r="C105">
            <v>2</v>
          </cell>
          <cell r="D105">
            <v>0.89</v>
          </cell>
          <cell r="E105">
            <v>2118</v>
          </cell>
          <cell r="F105">
            <v>3</v>
          </cell>
          <cell r="G105">
            <v>1.22</v>
          </cell>
          <cell r="H105">
            <v>1479</v>
          </cell>
          <cell r="I105">
            <v>2</v>
          </cell>
          <cell r="J105">
            <v>0.57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YY-IULCY-XZM100-RDNWT</v>
          </cell>
          <cell r="B106">
            <v>0</v>
          </cell>
          <cell r="C106">
            <v>0</v>
          </cell>
          <cell r="D106">
            <v>0</v>
          </cell>
          <cell r="E106">
            <v>26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YY-IULCY-XZM100-CFNWT</v>
          </cell>
          <cell r="B107">
            <v>0</v>
          </cell>
          <cell r="C107">
            <v>0</v>
          </cell>
          <cell r="D107">
            <v>0</v>
          </cell>
          <cell r="E107">
            <v>15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MTX-IULHY-W188-PP-38/39</v>
          </cell>
          <cell r="B108">
            <v>1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SB-100-K0</v>
          </cell>
          <cell r="B109">
            <v>1652</v>
          </cell>
          <cell r="C109">
            <v>3</v>
          </cell>
          <cell r="D109">
            <v>0.78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YY-IULUY-KS374-DB-XL</v>
          </cell>
          <cell r="B110">
            <v>3495</v>
          </cell>
          <cell r="C110">
            <v>15</v>
          </cell>
          <cell r="D110">
            <v>5.09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ZB-IULCY-YMQY100-CF140*140</v>
          </cell>
          <cell r="B111">
            <v>105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ZB-IULCY-YMQY100-GR140*180</v>
          </cell>
          <cell r="B112">
            <v>133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YY-IULCY-XW100-COLORFUL</v>
          </cell>
          <cell r="B113">
            <v>213</v>
          </cell>
          <cell r="C113">
            <v>2</v>
          </cell>
          <cell r="D113">
            <v>0.32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YY-IULCY-XW100-DOG</v>
          </cell>
          <cell r="B114">
            <v>539</v>
          </cell>
          <cell r="C114">
            <v>1</v>
          </cell>
          <cell r="D114">
            <v>0.1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2190</v>
          </cell>
          <cell r="D2">
            <v>1769</v>
          </cell>
          <cell r="E2">
            <v>2014</v>
          </cell>
          <cell r="F2">
            <v>1774</v>
          </cell>
        </row>
        <row r="3">
          <cell r="A3" t="str">
            <v>TBYPRBFOUR-M</v>
          </cell>
          <cell r="B3" t="str">
            <v>TBYPRBMRG</v>
          </cell>
          <cell r="C3">
            <v>60</v>
          </cell>
          <cell r="D3">
            <v>54</v>
          </cell>
          <cell r="E3">
            <v>67</v>
          </cell>
          <cell r="F3">
            <v>29</v>
          </cell>
          <cell r="G3">
            <v>22.9899999999999</v>
          </cell>
        </row>
        <row r="4">
          <cell r="A4" t="str">
            <v>SGZ-LULHY-001</v>
          </cell>
          <cell r="B4" t="str">
            <v>SGZ-LULHY</v>
          </cell>
          <cell r="C4">
            <v>3</v>
          </cell>
          <cell r="D4">
            <v>2</v>
          </cell>
          <cell r="E4">
            <v>2</v>
          </cell>
          <cell r="F4">
            <v>6</v>
          </cell>
          <cell r="G4">
            <v>24.99</v>
          </cell>
        </row>
        <row r="5">
          <cell r="A5" t="str">
            <v>TBYPJBOGO</v>
          </cell>
          <cell r="B5" t="str">
            <v>TBYPRBMRG</v>
          </cell>
          <cell r="C5">
            <v>68</v>
          </cell>
          <cell r="D5">
            <v>59</v>
          </cell>
          <cell r="E5">
            <v>96</v>
          </cell>
          <cell r="F5">
            <v>112</v>
          </cell>
          <cell r="G5">
            <v>23.6378208955222</v>
          </cell>
        </row>
        <row r="6">
          <cell r="A6" t="str">
            <v>TBYPRBONE-M</v>
          </cell>
          <cell r="B6" t="str">
            <v>TBYPRBMRG</v>
          </cell>
          <cell r="C6">
            <v>336</v>
          </cell>
          <cell r="D6">
            <v>265</v>
          </cell>
          <cell r="E6">
            <v>300</v>
          </cell>
          <cell r="F6">
            <v>274</v>
          </cell>
          <cell r="G6">
            <v>23.5023319148941</v>
          </cell>
        </row>
        <row r="7">
          <cell r="A7" t="str">
            <v>ZAKKA0589B035*50CM</v>
          </cell>
          <cell r="B7" t="str">
            <v>ZAKKA0589</v>
          </cell>
          <cell r="C7">
            <v>2</v>
          </cell>
          <cell r="D7">
            <v>5</v>
          </cell>
          <cell r="E7">
            <v>4</v>
          </cell>
          <cell r="F7">
            <v>3</v>
          </cell>
          <cell r="G7">
            <v>9.90642857142857</v>
          </cell>
        </row>
        <row r="8">
          <cell r="A8" t="str">
            <v>TBYPJBLACK</v>
          </cell>
          <cell r="B8" t="str">
            <v>TBYPRBMRG</v>
          </cell>
          <cell r="C8">
            <v>230</v>
          </cell>
          <cell r="D8">
            <v>271</v>
          </cell>
          <cell r="E8">
            <v>332</v>
          </cell>
          <cell r="F8">
            <v>260</v>
          </cell>
          <cell r="G8">
            <v>22.9900000000003</v>
          </cell>
        </row>
        <row r="9">
          <cell r="A9" t="str">
            <v>TBYY0POINT</v>
          </cell>
          <cell r="B9" t="str">
            <v>TBYPRBMRG</v>
          </cell>
          <cell r="C9">
            <v>39</v>
          </cell>
          <cell r="D9">
            <v>31</v>
          </cell>
          <cell r="E9">
            <v>26</v>
          </cell>
          <cell r="F9">
            <v>39</v>
          </cell>
          <cell r="G9">
            <v>22.9899999999999</v>
          </cell>
        </row>
        <row r="10">
          <cell r="A10" t="str">
            <v>TBYY0ROINT</v>
          </cell>
          <cell r="B10" t="str">
            <v>TBYPRBMRG</v>
          </cell>
          <cell r="C10">
            <v>71</v>
          </cell>
          <cell r="D10">
            <v>85</v>
          </cell>
          <cell r="E10">
            <v>87</v>
          </cell>
          <cell r="F10">
            <v>84</v>
          </cell>
          <cell r="G10">
            <v>22.9899999999998</v>
          </cell>
        </row>
        <row r="11">
          <cell r="A11" t="str">
            <v>YY1100G0L</v>
          </cell>
          <cell r="B11" t="str">
            <v>YY1100</v>
          </cell>
          <cell r="C11">
            <v>8</v>
          </cell>
          <cell r="D11">
            <v>8</v>
          </cell>
          <cell r="E11">
            <v>16</v>
          </cell>
          <cell r="F11">
            <v>11</v>
          </cell>
          <cell r="G11">
            <v>22.9</v>
          </cell>
        </row>
        <row r="12">
          <cell r="A12" t="str">
            <v>MZYSZHUOBUDTMAP140*250CM</v>
          </cell>
          <cell r="B12" t="str">
            <v>MZYSZHUOBUD</v>
          </cell>
          <cell r="C12">
            <v>3</v>
          </cell>
          <cell r="D12">
            <v>3</v>
          </cell>
          <cell r="E12">
            <v>5</v>
          </cell>
          <cell r="F12">
            <v>6</v>
          </cell>
          <cell r="G12">
            <v>35.4</v>
          </cell>
        </row>
        <row r="13">
          <cell r="A13" t="str">
            <v>YY-IULCY-XZM100-KKNWT</v>
          </cell>
          <cell r="B13" t="str">
            <v>YY-IULCY-XZM100</v>
          </cell>
          <cell r="C13">
            <v>3</v>
          </cell>
          <cell r="D13">
            <v>3</v>
          </cell>
          <cell r="E13">
            <v>1</v>
          </cell>
          <cell r="F13">
            <v>7</v>
          </cell>
          <cell r="G13">
            <v>22.99</v>
          </cell>
        </row>
        <row r="14">
          <cell r="A14" t="str">
            <v>YI-IUYLTBY-N5</v>
          </cell>
          <cell r="B14" t="str">
            <v>TBYPRBMRG</v>
          </cell>
          <cell r="C14">
            <v>29</v>
          </cell>
          <cell r="D14">
            <v>31</v>
          </cell>
          <cell r="E14">
            <v>35</v>
          </cell>
          <cell r="F14">
            <v>39</v>
          </cell>
          <cell r="G14">
            <v>22.9899999999999</v>
          </cell>
        </row>
        <row r="15">
          <cell r="A15" t="str">
            <v>ZAKKA0631B030*65CM</v>
          </cell>
          <cell r="B15" t="str">
            <v>ZAKKA0631</v>
          </cell>
          <cell r="C15">
            <v>33</v>
          </cell>
          <cell r="D15">
            <v>52</v>
          </cell>
          <cell r="E15">
            <v>41</v>
          </cell>
          <cell r="F15">
            <v>44</v>
          </cell>
          <cell r="G15">
            <v>9.90582352941178</v>
          </cell>
        </row>
        <row r="16">
          <cell r="A16" t="str">
            <v>ZAKKA0040R035*50CM</v>
          </cell>
          <cell r="B16" t="str">
            <v>ZAKKA0040</v>
          </cell>
          <cell r="C16">
            <v>1</v>
          </cell>
          <cell r="D16">
            <v>4</v>
          </cell>
          <cell r="E16">
            <v>0</v>
          </cell>
          <cell r="F16">
            <v>2</v>
          </cell>
          <cell r="G16">
            <v>9.9</v>
          </cell>
        </row>
        <row r="17">
          <cell r="A17" t="str">
            <v>TBYSTARRED</v>
          </cell>
          <cell r="B17" t="str">
            <v>TBYPRBMRG</v>
          </cell>
          <cell r="C17">
            <v>31</v>
          </cell>
          <cell r="D17">
            <v>21</v>
          </cell>
          <cell r="E17">
            <v>22</v>
          </cell>
          <cell r="F17">
            <v>16</v>
          </cell>
          <cell r="G17">
            <v>22.99</v>
          </cell>
        </row>
        <row r="18">
          <cell r="A18" t="str">
            <v>ETYIMC-L-2</v>
          </cell>
          <cell r="B18" t="str">
            <v>ETYIMC</v>
          </cell>
          <cell r="C18">
            <v>0</v>
          </cell>
          <cell r="D18">
            <v>0</v>
          </cell>
          <cell r="E18">
            <v>0</v>
          </cell>
          <cell r="F18">
            <v>11</v>
          </cell>
          <cell r="G18">
            <v>15.99</v>
          </cell>
        </row>
        <row r="19">
          <cell r="A19" t="str">
            <v>ETYIMC-M-2</v>
          </cell>
          <cell r="B19" t="str">
            <v>ETYIMC</v>
          </cell>
          <cell r="C19">
            <v>0</v>
          </cell>
          <cell r="D19">
            <v>7</v>
          </cell>
          <cell r="E19">
            <v>1</v>
          </cell>
          <cell r="F19">
            <v>9</v>
          </cell>
          <cell r="G19">
            <v>15.99</v>
          </cell>
        </row>
        <row r="20">
          <cell r="A20" t="str">
            <v>YMQYQXDHW0100*140CM</v>
          </cell>
          <cell r="B20" t="str">
            <v>YMQYQXDH</v>
          </cell>
          <cell r="C20">
            <v>2</v>
          </cell>
          <cell r="D20">
            <v>3</v>
          </cell>
          <cell r="E20">
            <v>0</v>
          </cell>
          <cell r="F20">
            <v>5</v>
          </cell>
          <cell r="G20">
            <v>16.191</v>
          </cell>
        </row>
        <row r="21">
          <cell r="A21" t="str">
            <v>SXHLYITAO2-LH-001SKFS40x60CM</v>
          </cell>
          <cell r="B21" t="str">
            <v>SXHLYITAO1-LH-001</v>
          </cell>
          <cell r="C21">
            <v>0</v>
          </cell>
          <cell r="D21">
            <v>2</v>
          </cell>
          <cell r="E21">
            <v>0</v>
          </cell>
          <cell r="F21">
            <v>4</v>
          </cell>
          <cell r="G21">
            <v>13.99</v>
          </cell>
        </row>
        <row r="22">
          <cell r="A22" t="str">
            <v>YMQYQDZMZM140*140CM</v>
          </cell>
          <cell r="B22" t="str">
            <v>YMQYQDZMZM</v>
          </cell>
          <cell r="C22">
            <v>0</v>
          </cell>
          <cell r="D22">
            <v>0</v>
          </cell>
          <cell r="E22">
            <v>0</v>
          </cell>
          <cell r="F22">
            <v>3</v>
          </cell>
          <cell r="G22">
            <v>25.9</v>
          </cell>
        </row>
        <row r="23">
          <cell r="A23" t="str">
            <v>MZYSZHUOBUDTMAP140*180CM</v>
          </cell>
          <cell r="B23" t="str">
            <v>MZYSZHUOBUD</v>
          </cell>
          <cell r="C23">
            <v>3</v>
          </cell>
          <cell r="D23">
            <v>8</v>
          </cell>
          <cell r="E23">
            <v>1</v>
          </cell>
          <cell r="F23">
            <v>19</v>
          </cell>
          <cell r="G23">
            <v>25.8</v>
          </cell>
        </row>
        <row r="24">
          <cell r="A24" t="str">
            <v>ZB-IULCY-YMQY100-GR140*180</v>
          </cell>
          <cell r="B24" t="str">
            <v>ZB-IULCY</v>
          </cell>
          <cell r="C24">
            <v>2</v>
          </cell>
          <cell r="D24">
            <v>0</v>
          </cell>
          <cell r="E24">
            <v>1</v>
          </cell>
          <cell r="F24">
            <v>2</v>
          </cell>
          <cell r="G24">
            <v>25.99</v>
          </cell>
        </row>
        <row r="25">
          <cell r="A25" t="str">
            <v>TBYSTARBLUE</v>
          </cell>
          <cell r="B25" t="str">
            <v>TBYPRBMRG</v>
          </cell>
          <cell r="C25">
            <v>0</v>
          </cell>
          <cell r="D25">
            <v>3</v>
          </cell>
          <cell r="E25">
            <v>30</v>
          </cell>
          <cell r="F25">
            <v>39</v>
          </cell>
          <cell r="G25">
            <v>22.99</v>
          </cell>
        </row>
        <row r="26">
          <cell r="A26" t="str">
            <v>YDYPFS-L</v>
          </cell>
          <cell r="B26" t="str">
            <v>YDYPFS</v>
          </cell>
          <cell r="C26">
            <v>5</v>
          </cell>
          <cell r="D26">
            <v>8</v>
          </cell>
          <cell r="E26">
            <v>9</v>
          </cell>
          <cell r="F26">
            <v>4</v>
          </cell>
          <cell r="G26">
            <v>15.99</v>
          </cell>
        </row>
        <row r="27">
          <cell r="A27" t="str">
            <v>TBYWHITE</v>
          </cell>
          <cell r="B27" t="str">
            <v>TBYPRBMRG</v>
          </cell>
          <cell r="C27">
            <v>34</v>
          </cell>
          <cell r="D27">
            <v>20</v>
          </cell>
          <cell r="E27">
            <v>54</v>
          </cell>
          <cell r="F27">
            <v>57</v>
          </cell>
          <cell r="G27">
            <v>22.9899999999999</v>
          </cell>
        </row>
        <row r="28">
          <cell r="A28" t="str">
            <v>YY-IULCY-XZM150-LB</v>
          </cell>
          <cell r="B28" t="str">
            <v>YY-IULCY-XZM150</v>
          </cell>
          <cell r="C28">
            <v>26</v>
          </cell>
          <cell r="D28">
            <v>30</v>
          </cell>
          <cell r="E28">
            <v>17</v>
          </cell>
          <cell r="F28">
            <v>15</v>
          </cell>
          <cell r="G28">
            <v>22.99</v>
          </cell>
        </row>
        <row r="29">
          <cell r="A29" t="str">
            <v>YY-IULUY-KS374-DB-L</v>
          </cell>
          <cell r="B29" t="str">
            <v>YY-IULUY-KS374</v>
          </cell>
          <cell r="C29">
            <v>0</v>
          </cell>
          <cell r="D29">
            <v>2</v>
          </cell>
          <cell r="E29">
            <v>0</v>
          </cell>
          <cell r="F29">
            <v>5</v>
          </cell>
          <cell r="G29">
            <v>12.99</v>
          </cell>
        </row>
        <row r="30">
          <cell r="A30" t="str">
            <v>YY-IULCY-KS377-BIRD-L</v>
          </cell>
          <cell r="B30" t="str">
            <v>YY-IULCY-KS377</v>
          </cell>
          <cell r="C30">
            <v>0</v>
          </cell>
          <cell r="D30">
            <v>0</v>
          </cell>
          <cell r="E30">
            <v>0</v>
          </cell>
          <cell r="F30">
            <v>6</v>
          </cell>
          <cell r="G30">
            <v>10.99</v>
          </cell>
        </row>
        <row r="31">
          <cell r="A31" t="str">
            <v>YY-IULCY-XZM100-GNNWT</v>
          </cell>
          <cell r="B31" t="str">
            <v>YY-IULCY-XZM100</v>
          </cell>
          <cell r="C31">
            <v>3</v>
          </cell>
          <cell r="D31">
            <v>1</v>
          </cell>
          <cell r="E31">
            <v>3</v>
          </cell>
          <cell r="F31">
            <v>6</v>
          </cell>
          <cell r="G31">
            <v>22.99</v>
          </cell>
        </row>
        <row r="32">
          <cell r="A32" t="str">
            <v>MZYSZHUOBUDTLEIS140*140CM</v>
          </cell>
          <cell r="B32" t="str">
            <v>MZYSZHUOBUD</v>
          </cell>
          <cell r="C32">
            <v>3</v>
          </cell>
          <cell r="D32">
            <v>3</v>
          </cell>
          <cell r="E32">
            <v>2</v>
          </cell>
          <cell r="F32">
            <v>6</v>
          </cell>
          <cell r="G32">
            <v>19</v>
          </cell>
        </row>
        <row r="33">
          <cell r="A33" t="str">
            <v>YY-IULCY-XZM100-BKNWT</v>
          </cell>
          <cell r="B33" t="str">
            <v>YY-IULCY-XZM100</v>
          </cell>
          <cell r="C33">
            <v>10</v>
          </cell>
          <cell r="D33">
            <v>8</v>
          </cell>
          <cell r="E33">
            <v>6</v>
          </cell>
          <cell r="F33">
            <v>1</v>
          </cell>
          <cell r="G33">
            <v>22.99</v>
          </cell>
        </row>
        <row r="34">
          <cell r="A34" t="str">
            <v>ETYIMC-XL</v>
          </cell>
          <cell r="B34" t="str">
            <v>ETYIMC</v>
          </cell>
          <cell r="C34">
            <v>2</v>
          </cell>
          <cell r="D34">
            <v>7</v>
          </cell>
          <cell r="E34">
            <v>5</v>
          </cell>
          <cell r="F34">
            <v>10</v>
          </cell>
          <cell r="G34">
            <v>15.99</v>
          </cell>
        </row>
        <row r="35">
          <cell r="A35" t="str">
            <v>LQXFLS85*85CM</v>
          </cell>
          <cell r="B35" t="str">
            <v>LQXFLS</v>
          </cell>
          <cell r="C35">
            <v>1</v>
          </cell>
          <cell r="D35">
            <v>0</v>
          </cell>
          <cell r="E35">
            <v>6</v>
          </cell>
          <cell r="F35">
            <v>2</v>
          </cell>
          <cell r="G35">
            <v>9.9</v>
          </cell>
        </row>
        <row r="36">
          <cell r="A36" t="str">
            <v>YDYPFS-M-2</v>
          </cell>
          <cell r="B36" t="str">
            <v>YDYPFS</v>
          </cell>
          <cell r="C36">
            <v>0</v>
          </cell>
          <cell r="D36">
            <v>0</v>
          </cell>
          <cell r="E36">
            <v>1</v>
          </cell>
          <cell r="F36">
            <v>14</v>
          </cell>
          <cell r="G36">
            <v>15.99</v>
          </cell>
        </row>
        <row r="37">
          <cell r="A37" t="str">
            <v>DJSCZHUOBUCSAQHS140*140CM</v>
          </cell>
          <cell r="B37" t="str">
            <v>DJSCZHUOBUCSAQHS</v>
          </cell>
          <cell r="C37">
            <v>0</v>
          </cell>
          <cell r="D37">
            <v>2</v>
          </cell>
          <cell r="E37">
            <v>0</v>
          </cell>
          <cell r="F37">
            <v>6</v>
          </cell>
          <cell r="G37">
            <v>22.99</v>
          </cell>
        </row>
        <row r="38">
          <cell r="A38" t="str">
            <v>TBYPRBTHREE-M</v>
          </cell>
          <cell r="B38" t="str">
            <v>TBYPRBMRG</v>
          </cell>
          <cell r="C38">
            <v>26</v>
          </cell>
          <cell r="D38">
            <v>23</v>
          </cell>
          <cell r="E38">
            <v>18</v>
          </cell>
          <cell r="F38">
            <v>29</v>
          </cell>
          <cell r="G38">
            <v>22.7505208333333</v>
          </cell>
        </row>
        <row r="39">
          <cell r="A39" t="str">
            <v>ETYIYUANDIAN-S-2</v>
          </cell>
          <cell r="B39" t="str">
            <v>ETYIYUANDIAN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  <cell r="G39">
            <v>15.99</v>
          </cell>
        </row>
        <row r="40">
          <cell r="A40" t="str">
            <v>ETYIBLUE-L</v>
          </cell>
          <cell r="B40" t="str">
            <v>ETYIBLUE</v>
          </cell>
          <cell r="C40">
            <v>3</v>
          </cell>
          <cell r="D40">
            <v>3</v>
          </cell>
          <cell r="E40">
            <v>6</v>
          </cell>
          <cell r="F40">
            <v>6</v>
          </cell>
          <cell r="G40">
            <v>15.99</v>
          </cell>
        </row>
        <row r="41">
          <cell r="A41" t="str">
            <v>ETYIBLUE-S-2</v>
          </cell>
          <cell r="B41" t="str">
            <v>ETYIBLUE</v>
          </cell>
          <cell r="C41">
            <v>2</v>
          </cell>
          <cell r="D41">
            <v>3</v>
          </cell>
          <cell r="E41">
            <v>5</v>
          </cell>
          <cell r="F41">
            <v>2</v>
          </cell>
          <cell r="G41">
            <v>15.99</v>
          </cell>
        </row>
        <row r="42">
          <cell r="A42" t="str">
            <v>YMQYQXDHG0100*140CM</v>
          </cell>
          <cell r="B42" t="str">
            <v>YMQYQXDH</v>
          </cell>
          <cell r="C42">
            <v>0</v>
          </cell>
          <cell r="D42">
            <v>0</v>
          </cell>
          <cell r="E42">
            <v>0</v>
          </cell>
          <cell r="F42">
            <v>2</v>
          </cell>
          <cell r="G42">
            <v>16.99</v>
          </cell>
        </row>
        <row r="43">
          <cell r="A43" t="str">
            <v>GMZYL-FLQ06-BF-40</v>
          </cell>
          <cell r="B43" t="str">
            <v>GMZYL-FLQ06</v>
          </cell>
          <cell r="C43">
            <v>6</v>
          </cell>
          <cell r="D43">
            <v>12</v>
          </cell>
          <cell r="E43">
            <v>29</v>
          </cell>
          <cell r="F43">
            <v>6</v>
          </cell>
          <cell r="G43">
            <v>15.99</v>
          </cell>
        </row>
        <row r="44">
          <cell r="A44" t="str">
            <v>YY-IULCY-HZYD100-BIGEYED-M</v>
          </cell>
          <cell r="B44" t="str">
            <v>YY-IULCY-HZYD100</v>
          </cell>
          <cell r="C44">
            <v>3</v>
          </cell>
          <cell r="D44">
            <v>0</v>
          </cell>
          <cell r="E44">
            <v>0</v>
          </cell>
          <cell r="F44">
            <v>1</v>
          </cell>
          <cell r="G44">
            <v>12.99</v>
          </cell>
        </row>
        <row r="45">
          <cell r="A45" t="str">
            <v>YY-IULUY-KS374-YL-M</v>
          </cell>
          <cell r="B45" t="str">
            <v>YY-IULUY-KS374</v>
          </cell>
          <cell r="C45">
            <v>1</v>
          </cell>
          <cell r="D45">
            <v>3</v>
          </cell>
          <cell r="E45">
            <v>1</v>
          </cell>
          <cell r="F45">
            <v>4</v>
          </cell>
          <cell r="G45">
            <v>12.99</v>
          </cell>
        </row>
        <row r="46">
          <cell r="A46" t="str">
            <v>YY-IULCY-KS371-WT-M</v>
          </cell>
          <cell r="B46" t="str">
            <v>YY-IULCY-KS371</v>
          </cell>
          <cell r="C46">
            <v>0</v>
          </cell>
          <cell r="D46">
            <v>2</v>
          </cell>
          <cell r="E46">
            <v>3</v>
          </cell>
          <cell r="F46">
            <v>3</v>
          </cell>
          <cell r="G46">
            <v>12.99</v>
          </cell>
        </row>
        <row r="47">
          <cell r="A47" t="str">
            <v>YY-IULCY-KS377-HEAD-L</v>
          </cell>
          <cell r="B47" t="str">
            <v>YY-IULCY-KS377</v>
          </cell>
          <cell r="C47">
            <v>0</v>
          </cell>
          <cell r="D47">
            <v>1</v>
          </cell>
          <cell r="E47">
            <v>1</v>
          </cell>
          <cell r="F47">
            <v>1</v>
          </cell>
          <cell r="G47">
            <v>10.99</v>
          </cell>
        </row>
        <row r="48">
          <cell r="A48" t="str">
            <v>YY-IULCY-KS377-PLANT-L</v>
          </cell>
          <cell r="B48" t="str">
            <v>YY-IULCY-KS377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10.99</v>
          </cell>
        </row>
        <row r="49">
          <cell r="A49" t="str">
            <v>YY-IULUY-KS374-YL-XL</v>
          </cell>
          <cell r="B49" t="str">
            <v>YY-IULUY-KS374</v>
          </cell>
          <cell r="C49">
            <v>2</v>
          </cell>
          <cell r="D49">
            <v>3</v>
          </cell>
          <cell r="E49">
            <v>2</v>
          </cell>
          <cell r="F49">
            <v>2</v>
          </cell>
          <cell r="G49">
            <v>12.99</v>
          </cell>
        </row>
        <row r="50">
          <cell r="A50" t="str">
            <v>9CUE9N-04Y0XXXL</v>
          </cell>
          <cell r="B50" t="str">
            <v>9CUE9N</v>
          </cell>
          <cell r="C50">
            <v>2</v>
          </cell>
          <cell r="D50">
            <v>0</v>
          </cell>
          <cell r="E50">
            <v>1</v>
          </cell>
          <cell r="F50">
            <v>5</v>
          </cell>
          <cell r="G50">
            <v>13.49</v>
          </cell>
        </row>
        <row r="51">
          <cell r="A51" t="str">
            <v>YY1100PR</v>
          </cell>
          <cell r="B51" t="str">
            <v>YY1100</v>
          </cell>
          <cell r="C51">
            <v>20</v>
          </cell>
          <cell r="D51">
            <v>8</v>
          </cell>
          <cell r="E51">
            <v>16</v>
          </cell>
          <cell r="F51">
            <v>18</v>
          </cell>
          <cell r="G51">
            <v>22.9</v>
          </cell>
        </row>
        <row r="52">
          <cell r="A52" t="str">
            <v>MZYSZHUOBUDTMAP140*140CM</v>
          </cell>
          <cell r="B52" t="str">
            <v>MZYSZHUOBUD</v>
          </cell>
          <cell r="C52">
            <v>3</v>
          </cell>
          <cell r="D52">
            <v>6</v>
          </cell>
          <cell r="E52">
            <v>2</v>
          </cell>
          <cell r="F52">
            <v>18</v>
          </cell>
          <cell r="G52">
            <v>19</v>
          </cell>
        </row>
        <row r="53">
          <cell r="A53" t="str">
            <v>YY-IULCY-KS377-BIRD-M</v>
          </cell>
          <cell r="B53" t="str">
            <v>YY-IULCY-KS377</v>
          </cell>
          <cell r="C53">
            <v>2</v>
          </cell>
          <cell r="D53">
            <v>0</v>
          </cell>
          <cell r="E53">
            <v>1</v>
          </cell>
          <cell r="F53">
            <v>3</v>
          </cell>
          <cell r="G53">
            <v>10.99</v>
          </cell>
        </row>
        <row r="54">
          <cell r="A54" t="str">
            <v>DZ-IUYL210-BK</v>
          </cell>
          <cell r="B54" t="str">
            <v>DZ-IUYL210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37.99</v>
          </cell>
        </row>
        <row r="55">
          <cell r="A55" t="str">
            <v>YMQYZBCSMS90*90CM</v>
          </cell>
          <cell r="B55" t="str">
            <v>YMQYZBCSM</v>
          </cell>
          <cell r="C55">
            <v>1</v>
          </cell>
          <cell r="D55">
            <v>0</v>
          </cell>
          <cell r="E55">
            <v>2</v>
          </cell>
          <cell r="F55">
            <v>2</v>
          </cell>
          <cell r="G55">
            <v>13.99</v>
          </cell>
        </row>
        <row r="56">
          <cell r="A56" t="str">
            <v>MZYSZHUOBUDTMAP60*60CM</v>
          </cell>
          <cell r="B56" t="str">
            <v>MZYSZHUOBUD</v>
          </cell>
          <cell r="C56">
            <v>4</v>
          </cell>
          <cell r="D56">
            <v>6</v>
          </cell>
          <cell r="E56">
            <v>10</v>
          </cell>
          <cell r="F56">
            <v>5</v>
          </cell>
          <cell r="G56">
            <v>8.3</v>
          </cell>
        </row>
        <row r="57">
          <cell r="A57" t="str">
            <v>YY1100W0M</v>
          </cell>
          <cell r="B57" t="str">
            <v>YY1100</v>
          </cell>
          <cell r="C57">
            <v>6</v>
          </cell>
          <cell r="D57">
            <v>5</v>
          </cell>
          <cell r="E57">
            <v>10</v>
          </cell>
          <cell r="F57">
            <v>15</v>
          </cell>
          <cell r="G57">
            <v>22.9</v>
          </cell>
        </row>
        <row r="58">
          <cell r="A58" t="str">
            <v>YY-IULCY-XZM150-PK</v>
          </cell>
          <cell r="B58" t="str">
            <v>YY-IULCY-XZM150</v>
          </cell>
          <cell r="C58">
            <v>30</v>
          </cell>
          <cell r="D58">
            <v>17</v>
          </cell>
          <cell r="E58">
            <v>28</v>
          </cell>
          <cell r="F58">
            <v>15</v>
          </cell>
          <cell r="G58">
            <v>22.99</v>
          </cell>
        </row>
        <row r="59">
          <cell r="A59" t="str">
            <v>YY1100W0L</v>
          </cell>
          <cell r="B59" t="str">
            <v>YY1100</v>
          </cell>
          <cell r="C59">
            <v>43</v>
          </cell>
          <cell r="D59">
            <v>32</v>
          </cell>
          <cell r="E59">
            <v>51</v>
          </cell>
          <cell r="F59">
            <v>24</v>
          </cell>
          <cell r="G59">
            <v>22.9000000000001</v>
          </cell>
        </row>
        <row r="60">
          <cell r="A60" t="str">
            <v>YY-IULCY-KS371-WT-L</v>
          </cell>
          <cell r="B60" t="str">
            <v>YY-IULCY-KS371</v>
          </cell>
          <cell r="C60">
            <v>1</v>
          </cell>
          <cell r="D60">
            <v>0</v>
          </cell>
          <cell r="E60">
            <v>4</v>
          </cell>
          <cell r="F60">
            <v>0</v>
          </cell>
          <cell r="G60">
            <v>13.99</v>
          </cell>
        </row>
        <row r="61">
          <cell r="A61" t="str">
            <v>TBYPRBTWO-M</v>
          </cell>
          <cell r="B61" t="str">
            <v>TBYPRBMRG</v>
          </cell>
          <cell r="C61">
            <v>21</v>
          </cell>
          <cell r="D61">
            <v>29</v>
          </cell>
          <cell r="E61">
            <v>28</v>
          </cell>
          <cell r="F61">
            <v>18</v>
          </cell>
          <cell r="G61">
            <v>23.0096875</v>
          </cell>
        </row>
        <row r="62">
          <cell r="A62" t="str">
            <v>ETYIYUANDIAN-M</v>
          </cell>
          <cell r="B62" t="str">
            <v>ETYIYUANDIAN</v>
          </cell>
          <cell r="C62">
            <v>2</v>
          </cell>
          <cell r="D62">
            <v>4</v>
          </cell>
          <cell r="E62">
            <v>3</v>
          </cell>
          <cell r="F62">
            <v>8</v>
          </cell>
          <cell r="G62">
            <v>15.99</v>
          </cell>
        </row>
        <row r="63">
          <cell r="A63" t="str">
            <v>YY-IULCY-HZYD200-LGSTAR-L</v>
          </cell>
          <cell r="B63" t="str">
            <v>YY-IULCY-HZYD200</v>
          </cell>
          <cell r="C63">
            <v>1</v>
          </cell>
          <cell r="D63">
            <v>0</v>
          </cell>
          <cell r="E63">
            <v>0</v>
          </cell>
          <cell r="F63">
            <v>1</v>
          </cell>
          <cell r="G63">
            <v>15.99</v>
          </cell>
        </row>
        <row r="64">
          <cell r="A64" t="str">
            <v>YMQYQDZMZM60*60CM</v>
          </cell>
          <cell r="B64" t="str">
            <v>YMQYQDZMZM</v>
          </cell>
          <cell r="C64">
            <v>1</v>
          </cell>
          <cell r="D64">
            <v>0</v>
          </cell>
          <cell r="E64">
            <v>2</v>
          </cell>
          <cell r="F64">
            <v>2</v>
          </cell>
          <cell r="G64">
            <v>6.9</v>
          </cell>
        </row>
        <row r="65">
          <cell r="A65" t="str">
            <v>YMQYQJISZMSS90*90CM</v>
          </cell>
          <cell r="B65" t="str">
            <v>YMQYQJISZM</v>
          </cell>
          <cell r="C65">
            <v>3</v>
          </cell>
          <cell r="D65">
            <v>0</v>
          </cell>
          <cell r="E65">
            <v>0</v>
          </cell>
          <cell r="F65">
            <v>2</v>
          </cell>
          <cell r="G65">
            <v>10.9</v>
          </cell>
        </row>
        <row r="66">
          <cell r="A66" t="str">
            <v>YY-IULCY-KS371-YL-L</v>
          </cell>
          <cell r="B66" t="str">
            <v>YY-IULCY-KS371</v>
          </cell>
          <cell r="C66">
            <v>4</v>
          </cell>
          <cell r="D66">
            <v>2</v>
          </cell>
          <cell r="E66">
            <v>3</v>
          </cell>
          <cell r="F66">
            <v>5</v>
          </cell>
          <cell r="G66">
            <v>13.99</v>
          </cell>
        </row>
        <row r="67">
          <cell r="A67" t="str">
            <v>ZAKKA0631R030*65CM</v>
          </cell>
          <cell r="B67" t="str">
            <v>ZAKKA0631</v>
          </cell>
          <cell r="C67">
            <v>21</v>
          </cell>
          <cell r="D67">
            <v>24</v>
          </cell>
          <cell r="E67">
            <v>26</v>
          </cell>
          <cell r="F67">
            <v>15</v>
          </cell>
          <cell r="G67">
            <v>9.07139534883722</v>
          </cell>
        </row>
        <row r="68">
          <cell r="A68" t="str">
            <v>YMQYZBCSMS140*220CM</v>
          </cell>
          <cell r="B68" t="str">
            <v>YMQYZBCSM</v>
          </cell>
          <cell r="C68">
            <v>0</v>
          </cell>
          <cell r="D68">
            <v>1</v>
          </cell>
          <cell r="E68">
            <v>1</v>
          </cell>
          <cell r="F68">
            <v>1</v>
          </cell>
          <cell r="G68">
            <v>32.99</v>
          </cell>
        </row>
        <row r="69">
          <cell r="A69" t="str">
            <v>YMQYZBCSMS140*250CM</v>
          </cell>
          <cell r="B69" t="str">
            <v>YMQYZBCSM</v>
          </cell>
          <cell r="C69">
            <v>0</v>
          </cell>
          <cell r="D69">
            <v>0</v>
          </cell>
          <cell r="E69">
            <v>1</v>
          </cell>
          <cell r="F69">
            <v>4</v>
          </cell>
          <cell r="G69">
            <v>39.99</v>
          </cell>
        </row>
        <row r="70">
          <cell r="A70" t="str">
            <v>MZYSZHUOBUDTMAP100*140CM</v>
          </cell>
          <cell r="B70" t="str">
            <v>MZYSZHUOBUD</v>
          </cell>
          <cell r="C70">
            <v>4</v>
          </cell>
          <cell r="D70">
            <v>11</v>
          </cell>
          <cell r="E70">
            <v>10</v>
          </cell>
          <cell r="F70">
            <v>9</v>
          </cell>
          <cell r="G70">
            <v>15.9</v>
          </cell>
        </row>
        <row r="71">
          <cell r="A71" t="str">
            <v>YY-IULCY-XZM100-BLNWT</v>
          </cell>
          <cell r="B71" t="str">
            <v>YY-IULCY-XZM100</v>
          </cell>
          <cell r="C71">
            <v>9</v>
          </cell>
          <cell r="D71">
            <v>6</v>
          </cell>
          <cell r="E71">
            <v>2</v>
          </cell>
          <cell r="F71">
            <v>1</v>
          </cell>
          <cell r="G71">
            <v>22.99</v>
          </cell>
        </row>
        <row r="72">
          <cell r="A72" t="str">
            <v>YMQYZBCSMS100*140CM</v>
          </cell>
          <cell r="B72" t="str">
            <v>YMQYZBCSM</v>
          </cell>
          <cell r="C72">
            <v>0</v>
          </cell>
          <cell r="D72">
            <v>0</v>
          </cell>
          <cell r="E72">
            <v>1</v>
          </cell>
          <cell r="F72">
            <v>3</v>
          </cell>
          <cell r="G72">
            <v>19.99</v>
          </cell>
        </row>
        <row r="73">
          <cell r="A73" t="str">
            <v>ETYIYUANDIAN-XL</v>
          </cell>
          <cell r="B73" t="str">
            <v>ETYIYUANDIAN</v>
          </cell>
          <cell r="C73">
            <v>10</v>
          </cell>
          <cell r="D73">
            <v>8</v>
          </cell>
          <cell r="E73">
            <v>11</v>
          </cell>
          <cell r="F73">
            <v>6</v>
          </cell>
          <cell r="G73">
            <v>15.99</v>
          </cell>
        </row>
        <row r="74">
          <cell r="A74" t="str">
            <v>ETYIYUANDIAN-L</v>
          </cell>
          <cell r="B74" t="str">
            <v>ETYIYUANDIAN</v>
          </cell>
          <cell r="C74">
            <v>1</v>
          </cell>
          <cell r="D74">
            <v>0</v>
          </cell>
          <cell r="E74">
            <v>5</v>
          </cell>
          <cell r="F74">
            <v>7</v>
          </cell>
          <cell r="G74">
            <v>15.99</v>
          </cell>
        </row>
        <row r="75">
          <cell r="A75" t="str">
            <v>YY5100B0L</v>
          </cell>
          <cell r="B75" t="str">
            <v>YY5100</v>
          </cell>
          <cell r="C75">
            <v>0</v>
          </cell>
          <cell r="D75">
            <v>0</v>
          </cell>
          <cell r="E75">
            <v>3</v>
          </cell>
          <cell r="F75">
            <v>1</v>
          </cell>
          <cell r="G75">
            <v>12.9925</v>
          </cell>
        </row>
        <row r="76">
          <cell r="A76" t="str">
            <v>YY2127GRYL</v>
          </cell>
          <cell r="B76" t="str">
            <v>YY2127</v>
          </cell>
          <cell r="C76">
            <v>0</v>
          </cell>
          <cell r="D76">
            <v>0</v>
          </cell>
          <cell r="E76">
            <v>1</v>
          </cell>
          <cell r="F76">
            <v>2</v>
          </cell>
          <cell r="G76">
            <v>19.99</v>
          </cell>
        </row>
        <row r="77">
          <cell r="A77" t="str">
            <v>YY1100G0M</v>
          </cell>
          <cell r="B77" t="str">
            <v>YY1100</v>
          </cell>
          <cell r="C77">
            <v>20</v>
          </cell>
          <cell r="D77">
            <v>16</v>
          </cell>
          <cell r="E77">
            <v>9</v>
          </cell>
          <cell r="F77">
            <v>13</v>
          </cell>
          <cell r="G77">
            <v>22.9</v>
          </cell>
        </row>
        <row r="78">
          <cell r="A78" t="str">
            <v>DLJJZHUOBU-BGZW070x70CM</v>
          </cell>
          <cell r="B78" t="str">
            <v>DLJJZHUOBU-BGZW0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  <cell r="G78">
            <v>10.5</v>
          </cell>
        </row>
        <row r="79">
          <cell r="A79" t="str">
            <v>ETYIBLUE-M-2</v>
          </cell>
          <cell r="B79" t="str">
            <v>ETYIBLUE</v>
          </cell>
          <cell r="C79">
            <v>0</v>
          </cell>
          <cell r="D79">
            <v>0</v>
          </cell>
          <cell r="E79">
            <v>5</v>
          </cell>
          <cell r="F79">
            <v>11</v>
          </cell>
          <cell r="G79">
            <v>15.99</v>
          </cell>
        </row>
        <row r="80">
          <cell r="A80" t="str">
            <v>YDYPFS-S</v>
          </cell>
          <cell r="B80" t="str">
            <v>YDYPFS</v>
          </cell>
          <cell r="C80">
            <v>0</v>
          </cell>
          <cell r="D80">
            <v>2</v>
          </cell>
          <cell r="E80">
            <v>4</v>
          </cell>
          <cell r="F80">
            <v>2</v>
          </cell>
          <cell r="G80">
            <v>15.99</v>
          </cell>
        </row>
        <row r="81">
          <cell r="A81" t="str">
            <v>YY-IULCY-XZM100-RDNWT</v>
          </cell>
          <cell r="B81" t="str">
            <v>YY-IULCY-XZM100</v>
          </cell>
          <cell r="C81">
            <v>1</v>
          </cell>
          <cell r="D81">
            <v>1</v>
          </cell>
          <cell r="E81">
            <v>1</v>
          </cell>
          <cell r="F81">
            <v>2</v>
          </cell>
          <cell r="G81">
            <v>22.99</v>
          </cell>
        </row>
        <row r="82">
          <cell r="A82" t="str">
            <v>YY-IULCY-KS371-PP-M</v>
          </cell>
          <cell r="B82" t="str">
            <v>YY-IULCY-KS371</v>
          </cell>
          <cell r="C82">
            <v>4</v>
          </cell>
          <cell r="D82">
            <v>7</v>
          </cell>
          <cell r="E82">
            <v>0</v>
          </cell>
          <cell r="F82">
            <v>6</v>
          </cell>
          <cell r="G82">
            <v>13.99</v>
          </cell>
        </row>
        <row r="83">
          <cell r="A83" t="str">
            <v>SXHLYITAO5-LH-001YHS40x60CM</v>
          </cell>
          <cell r="B83" t="str">
            <v>SXHLYITAO1-LH-001</v>
          </cell>
          <cell r="C83">
            <v>1</v>
          </cell>
          <cell r="D83">
            <v>2</v>
          </cell>
          <cell r="E83">
            <v>0</v>
          </cell>
          <cell r="F83">
            <v>3</v>
          </cell>
          <cell r="G83">
            <v>13.99</v>
          </cell>
        </row>
        <row r="84">
          <cell r="A84" t="str">
            <v>YY-IULCY-KS371-GN-L</v>
          </cell>
          <cell r="B84" t="str">
            <v>YY-IULCY-KS371</v>
          </cell>
          <cell r="C84">
            <v>3</v>
          </cell>
          <cell r="D84">
            <v>7</v>
          </cell>
          <cell r="E84">
            <v>1</v>
          </cell>
          <cell r="F84">
            <v>4</v>
          </cell>
          <cell r="G84">
            <v>13.99</v>
          </cell>
        </row>
        <row r="85">
          <cell r="A85" t="str">
            <v>FMHSGJH67*20CM</v>
          </cell>
          <cell r="B85" t="str">
            <v>FMHSGJH</v>
          </cell>
          <cell r="C85">
            <v>0</v>
          </cell>
          <cell r="D85">
            <v>0</v>
          </cell>
          <cell r="E85">
            <v>1</v>
          </cell>
          <cell r="F85">
            <v>1</v>
          </cell>
          <cell r="G85">
            <v>8.99</v>
          </cell>
        </row>
        <row r="86">
          <cell r="A86" t="str">
            <v>ZCGTZ-IUCY001-AE</v>
          </cell>
          <cell r="B86" t="str">
            <v>ZCGTZ-IUCY001</v>
          </cell>
          <cell r="C86">
            <v>54</v>
          </cell>
          <cell r="D86">
            <v>48</v>
          </cell>
          <cell r="E86">
            <v>17</v>
          </cell>
          <cell r="F86">
            <v>14</v>
          </cell>
          <cell r="G86">
            <v>44.9899999999999</v>
          </cell>
        </row>
        <row r="87">
          <cell r="A87" t="str">
            <v>MZYSZHUOBUDTLEIS140*220CM</v>
          </cell>
          <cell r="B87" t="str">
            <v>MZYSZHUOBUD</v>
          </cell>
          <cell r="C87">
            <v>26</v>
          </cell>
          <cell r="D87">
            <v>1</v>
          </cell>
          <cell r="E87">
            <v>1</v>
          </cell>
          <cell r="F87">
            <v>3</v>
          </cell>
          <cell r="G87">
            <v>6.10967741935484</v>
          </cell>
        </row>
        <row r="88">
          <cell r="A88" t="str">
            <v>MZYSZHUOBUDTMAP90*90CM</v>
          </cell>
          <cell r="B88" t="str">
            <v>MZYSZHUOBUD</v>
          </cell>
          <cell r="C88">
            <v>1</v>
          </cell>
          <cell r="D88">
            <v>5</v>
          </cell>
          <cell r="E88">
            <v>7</v>
          </cell>
          <cell r="F88">
            <v>3</v>
          </cell>
          <cell r="G88">
            <v>12.4</v>
          </cell>
        </row>
        <row r="89">
          <cell r="A89" t="str">
            <v>YY-IULCY-KS371-PP-XL</v>
          </cell>
          <cell r="B89" t="str">
            <v>YY-IULCY-KS371</v>
          </cell>
          <cell r="C89">
            <v>3</v>
          </cell>
          <cell r="D89">
            <v>3</v>
          </cell>
          <cell r="E89">
            <v>1</v>
          </cell>
          <cell r="F89">
            <v>2</v>
          </cell>
          <cell r="G89">
            <v>13.99</v>
          </cell>
        </row>
        <row r="90">
          <cell r="A90" t="str">
            <v>TBYGREEN</v>
          </cell>
          <cell r="B90" t="str">
            <v>TBYPRBMRG</v>
          </cell>
          <cell r="C90">
            <v>96</v>
          </cell>
          <cell r="D90">
            <v>110</v>
          </cell>
          <cell r="E90">
            <v>166</v>
          </cell>
          <cell r="F90">
            <v>71</v>
          </cell>
          <cell r="G90">
            <v>23.1051467268622</v>
          </cell>
        </row>
        <row r="91">
          <cell r="A91" t="str">
            <v>ETYIYELLOW-M</v>
          </cell>
          <cell r="B91" t="str">
            <v>ETYIYELLOW</v>
          </cell>
          <cell r="C91">
            <v>2</v>
          </cell>
          <cell r="D91">
            <v>5</v>
          </cell>
          <cell r="E91">
            <v>0</v>
          </cell>
          <cell r="F91">
            <v>4</v>
          </cell>
          <cell r="G91">
            <v>15.99</v>
          </cell>
        </row>
        <row r="92">
          <cell r="A92" t="str">
            <v>YY-IULCY-HZYD100-BIGEYED-XL</v>
          </cell>
          <cell r="B92" t="str">
            <v>YY-IULCY-HZYD100</v>
          </cell>
          <cell r="C92">
            <v>0</v>
          </cell>
          <cell r="D92">
            <v>1</v>
          </cell>
          <cell r="E92">
            <v>3</v>
          </cell>
          <cell r="F92">
            <v>2</v>
          </cell>
          <cell r="G92">
            <v>12.99</v>
          </cell>
        </row>
        <row r="93">
          <cell r="A93" t="str">
            <v>YY-IULCY-KS371-BL-M</v>
          </cell>
          <cell r="B93" t="str">
            <v>YY-IULCY-KS371</v>
          </cell>
          <cell r="C93">
            <v>2</v>
          </cell>
          <cell r="D93">
            <v>4</v>
          </cell>
          <cell r="E93">
            <v>2</v>
          </cell>
          <cell r="F93">
            <v>0</v>
          </cell>
          <cell r="G93">
            <v>13.99</v>
          </cell>
        </row>
        <row r="94">
          <cell r="A94" t="str">
            <v>YDYPFS-XL</v>
          </cell>
          <cell r="B94" t="str">
            <v>YDYPFS</v>
          </cell>
          <cell r="C94">
            <v>5</v>
          </cell>
          <cell r="D94">
            <v>1</v>
          </cell>
          <cell r="E94">
            <v>5</v>
          </cell>
          <cell r="F94">
            <v>5</v>
          </cell>
          <cell r="G94">
            <v>15.99</v>
          </cell>
        </row>
        <row r="95">
          <cell r="A95" t="str">
            <v>ETYIBLUE-XL</v>
          </cell>
          <cell r="B95" t="str">
            <v>ETYIBLUE</v>
          </cell>
          <cell r="C95">
            <v>4</v>
          </cell>
          <cell r="D95">
            <v>4</v>
          </cell>
          <cell r="E95">
            <v>3</v>
          </cell>
          <cell r="F95">
            <v>5</v>
          </cell>
          <cell r="G95">
            <v>15.99</v>
          </cell>
        </row>
        <row r="96">
          <cell r="A96" t="str">
            <v>YY2127GR</v>
          </cell>
          <cell r="B96" t="str">
            <v>YY2127</v>
          </cell>
          <cell r="C96">
            <v>77</v>
          </cell>
          <cell r="D96">
            <v>3</v>
          </cell>
          <cell r="E96">
            <v>2</v>
          </cell>
          <cell r="F96">
            <v>3</v>
          </cell>
          <cell r="G96">
            <v>3.52764705882353</v>
          </cell>
        </row>
        <row r="97">
          <cell r="A97" t="str">
            <v>ETYIYELLOW-S-2</v>
          </cell>
          <cell r="B97" t="str">
            <v>ETYIYELLOW</v>
          </cell>
          <cell r="C97">
            <v>0</v>
          </cell>
          <cell r="D97">
            <v>1</v>
          </cell>
          <cell r="E97">
            <v>2</v>
          </cell>
          <cell r="F97">
            <v>1</v>
          </cell>
          <cell r="G97">
            <v>15.99</v>
          </cell>
        </row>
        <row r="98">
          <cell r="A98" t="str">
            <v>YY-IULCY-KS372-PP-L</v>
          </cell>
          <cell r="B98" t="str">
            <v>YY-IULCY-KS372</v>
          </cell>
          <cell r="C98">
            <v>1</v>
          </cell>
          <cell r="D98">
            <v>1</v>
          </cell>
          <cell r="E98">
            <v>2</v>
          </cell>
          <cell r="F98">
            <v>2</v>
          </cell>
          <cell r="G98">
            <v>13.99</v>
          </cell>
        </row>
        <row r="99">
          <cell r="A99" t="str">
            <v>YY-IULCY-KS372-YL-M</v>
          </cell>
          <cell r="B99" t="str">
            <v>YY-IULCY-KS372</v>
          </cell>
          <cell r="C99">
            <v>1</v>
          </cell>
          <cell r="D99">
            <v>1</v>
          </cell>
          <cell r="E99">
            <v>3</v>
          </cell>
          <cell r="F99">
            <v>3</v>
          </cell>
          <cell r="G99">
            <v>13.99</v>
          </cell>
        </row>
        <row r="100">
          <cell r="A100" t="str">
            <v>D7-K3RX-7XQQ</v>
          </cell>
          <cell r="B100" t="str">
            <v>D7-K3RX-7XQQ</v>
          </cell>
          <cell r="C100">
            <v>81</v>
          </cell>
          <cell r="D100">
            <v>0</v>
          </cell>
          <cell r="E100">
            <v>1</v>
          </cell>
          <cell r="F100">
            <v>1</v>
          </cell>
          <cell r="G100">
            <v>0.216626506024096</v>
          </cell>
        </row>
        <row r="101">
          <cell r="A101" t="str">
            <v>YY-IULCY-KS372-YL-XL</v>
          </cell>
          <cell r="B101" t="str">
            <v>YY-IULCY-KS372</v>
          </cell>
          <cell r="C101">
            <v>1</v>
          </cell>
          <cell r="D101">
            <v>0</v>
          </cell>
          <cell r="E101">
            <v>1</v>
          </cell>
          <cell r="F101">
            <v>4</v>
          </cell>
          <cell r="G101">
            <v>13.99</v>
          </cell>
        </row>
        <row r="102">
          <cell r="A102" t="str">
            <v>ZAKKA0633B035*50CM</v>
          </cell>
          <cell r="B102" t="str">
            <v>ZAKKA0633</v>
          </cell>
          <cell r="C102">
            <v>3</v>
          </cell>
          <cell r="D102">
            <v>3</v>
          </cell>
          <cell r="E102">
            <v>6</v>
          </cell>
          <cell r="F102">
            <v>3</v>
          </cell>
          <cell r="G102">
            <v>12.9</v>
          </cell>
        </row>
        <row r="103">
          <cell r="A103" t="str">
            <v>TM-IULCY-300-LB</v>
          </cell>
          <cell r="B103" t="str">
            <v>TM-IULCY-300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  <cell r="G103">
            <v>25</v>
          </cell>
        </row>
        <row r="104">
          <cell r="A104" t="str">
            <v>YMQYQXDHY0140*140CM</v>
          </cell>
          <cell r="B104" t="str">
            <v>YMQYQXDH</v>
          </cell>
          <cell r="C104">
            <v>0</v>
          </cell>
          <cell r="D104">
            <v>1</v>
          </cell>
          <cell r="E104">
            <v>1</v>
          </cell>
          <cell r="F104">
            <v>1</v>
          </cell>
          <cell r="G104">
            <v>20.99</v>
          </cell>
        </row>
        <row r="105">
          <cell r="A105" t="str">
            <v>YMQYQJISZMSS100*140CM</v>
          </cell>
          <cell r="B105" t="str">
            <v>YMQYQJISZM</v>
          </cell>
          <cell r="C105">
            <v>5</v>
          </cell>
          <cell r="D105">
            <v>2</v>
          </cell>
          <cell r="E105">
            <v>2</v>
          </cell>
          <cell r="F105">
            <v>1</v>
          </cell>
          <cell r="G105">
            <v>13.9</v>
          </cell>
        </row>
        <row r="106">
          <cell r="A106" t="str">
            <v>YMQYQXDHKF140*180CM</v>
          </cell>
          <cell r="B106" t="str">
            <v>YMQYQXDH</v>
          </cell>
          <cell r="C106">
            <v>0</v>
          </cell>
          <cell r="D106">
            <v>0</v>
          </cell>
          <cell r="E106">
            <v>0</v>
          </cell>
          <cell r="F106">
            <v>1</v>
          </cell>
          <cell r="G106">
            <v>23.99</v>
          </cell>
        </row>
        <row r="107">
          <cell r="A107" t="str">
            <v>YY-IULCY-KS371-YL-XL</v>
          </cell>
          <cell r="B107" t="str">
            <v>YY-IULCY-KS371</v>
          </cell>
          <cell r="C107">
            <v>3</v>
          </cell>
          <cell r="D107">
            <v>2</v>
          </cell>
          <cell r="E107">
            <v>3</v>
          </cell>
          <cell r="F107">
            <v>5</v>
          </cell>
          <cell r="G107">
            <v>13.99</v>
          </cell>
        </row>
        <row r="108">
          <cell r="A108" t="str">
            <v>YX-IUCY-518-WO-2XL</v>
          </cell>
          <cell r="B108" t="str">
            <v>YX-IUCY</v>
          </cell>
          <cell r="C108">
            <v>1</v>
          </cell>
          <cell r="D108">
            <v>0</v>
          </cell>
          <cell r="E108">
            <v>0</v>
          </cell>
          <cell r="F108">
            <v>3</v>
          </cell>
          <cell r="G108">
            <v>8.25</v>
          </cell>
        </row>
        <row r="109">
          <cell r="A109" t="str">
            <v>SND-IUYLZAK-BE</v>
          </cell>
          <cell r="B109" t="str">
            <v>SND-IUYL</v>
          </cell>
          <cell r="C109">
            <v>0</v>
          </cell>
          <cell r="D109">
            <v>0</v>
          </cell>
          <cell r="E109">
            <v>1</v>
          </cell>
          <cell r="F109">
            <v>1</v>
          </cell>
          <cell r="G109">
            <v>8.99</v>
          </cell>
        </row>
        <row r="110">
          <cell r="A110" t="str">
            <v>YY-IULCY-XZM150-BK</v>
          </cell>
          <cell r="B110" t="str">
            <v>YY-IULCY-XZM150</v>
          </cell>
          <cell r="C110">
            <v>2</v>
          </cell>
          <cell r="D110">
            <v>45</v>
          </cell>
          <cell r="E110">
            <v>32</v>
          </cell>
          <cell r="F110">
            <v>29</v>
          </cell>
          <cell r="G110">
            <v>22.99</v>
          </cell>
        </row>
        <row r="111">
          <cell r="A111" t="str">
            <v>YMQYQXDHW060*60CM</v>
          </cell>
          <cell r="B111" t="str">
            <v>YMQYQXDH</v>
          </cell>
          <cell r="C111">
            <v>2</v>
          </cell>
          <cell r="D111">
            <v>0</v>
          </cell>
          <cell r="E111">
            <v>0</v>
          </cell>
          <cell r="F111">
            <v>1</v>
          </cell>
          <cell r="G111">
            <v>8.99</v>
          </cell>
        </row>
        <row r="112">
          <cell r="A112" t="str">
            <v>SXHLYITAO1-LH-001MHS40x60CM</v>
          </cell>
          <cell r="B112" t="str">
            <v>SXHLYITAO1-LH-001</v>
          </cell>
          <cell r="C112">
            <v>0</v>
          </cell>
          <cell r="D112">
            <v>1</v>
          </cell>
          <cell r="E112">
            <v>2</v>
          </cell>
          <cell r="F112">
            <v>2</v>
          </cell>
          <cell r="G112">
            <v>13.99</v>
          </cell>
        </row>
        <row r="113">
          <cell r="A113" t="str">
            <v>SWEATPETLAN12</v>
          </cell>
          <cell r="B113" t="str">
            <v>SWEATPET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  <cell r="G113">
            <v>9.99</v>
          </cell>
        </row>
        <row r="114">
          <cell r="A114" t="str">
            <v>ZAKKA0466LTW25*65CM</v>
          </cell>
          <cell r="B114" t="str">
            <v>ZAKKA0466</v>
          </cell>
          <cell r="C114">
            <v>8</v>
          </cell>
          <cell r="D114">
            <v>9</v>
          </cell>
          <cell r="E114">
            <v>2</v>
          </cell>
          <cell r="F114">
            <v>3</v>
          </cell>
          <cell r="G114">
            <v>9.91227272727273</v>
          </cell>
        </row>
        <row r="115">
          <cell r="A115" t="str">
            <v>9CUE9N-00TLXXXL</v>
          </cell>
          <cell r="B115" t="str">
            <v>9CUE9N</v>
          </cell>
          <cell r="C115">
            <v>1</v>
          </cell>
          <cell r="D115">
            <v>2</v>
          </cell>
          <cell r="E115">
            <v>2</v>
          </cell>
          <cell r="F115">
            <v>3</v>
          </cell>
          <cell r="G115">
            <v>13.24</v>
          </cell>
        </row>
        <row r="116">
          <cell r="A116" t="str">
            <v>YY-IULCY-KS372-GN-M</v>
          </cell>
          <cell r="B116" t="str">
            <v>YY-IULCY-KS372</v>
          </cell>
          <cell r="C116">
            <v>0</v>
          </cell>
          <cell r="D116">
            <v>1</v>
          </cell>
          <cell r="E116">
            <v>0</v>
          </cell>
          <cell r="F116">
            <v>1</v>
          </cell>
          <cell r="G116">
            <v>13.99</v>
          </cell>
        </row>
        <row r="117">
          <cell r="A117" t="str">
            <v>YMQYQJISZMSS140*140CM</v>
          </cell>
          <cell r="B117" t="str">
            <v>YMQYQJISZM</v>
          </cell>
          <cell r="C117">
            <v>7</v>
          </cell>
          <cell r="D117">
            <v>3</v>
          </cell>
          <cell r="E117">
            <v>1</v>
          </cell>
          <cell r="F117">
            <v>3</v>
          </cell>
          <cell r="G117">
            <v>16.99</v>
          </cell>
        </row>
        <row r="118">
          <cell r="A118" t="str">
            <v>YY-IULCY-KS371-YL-M</v>
          </cell>
          <cell r="B118" t="str">
            <v>YY-IULCY-KS371</v>
          </cell>
          <cell r="C118">
            <v>5</v>
          </cell>
          <cell r="D118">
            <v>8</v>
          </cell>
          <cell r="E118">
            <v>6</v>
          </cell>
          <cell r="F118">
            <v>1</v>
          </cell>
          <cell r="G118">
            <v>13.99</v>
          </cell>
        </row>
        <row r="119">
          <cell r="A119" t="str">
            <v>YX-IUCY-518-N5-XL</v>
          </cell>
          <cell r="B119" t="str">
            <v>YX-IUCY</v>
          </cell>
          <cell r="C119">
            <v>1</v>
          </cell>
          <cell r="D119">
            <v>0</v>
          </cell>
          <cell r="E119">
            <v>2</v>
          </cell>
          <cell r="F119">
            <v>1</v>
          </cell>
          <cell r="G119">
            <v>8.75</v>
          </cell>
        </row>
        <row r="120">
          <cell r="A120" t="str">
            <v>TZ-IUYL240-BONE-S</v>
          </cell>
          <cell r="B120" t="str">
            <v>TZ-IUYL240</v>
          </cell>
          <cell r="C120">
            <v>0</v>
          </cell>
          <cell r="D120">
            <v>0</v>
          </cell>
          <cell r="E120">
            <v>6</v>
          </cell>
          <cell r="F120">
            <v>3</v>
          </cell>
          <cell r="G120">
            <v>13.99</v>
          </cell>
        </row>
        <row r="121">
          <cell r="A121" t="str">
            <v>MZYSZHUOBUDTLEIS140*180CM</v>
          </cell>
          <cell r="B121" t="str">
            <v>MZYSZHUOBUD</v>
          </cell>
          <cell r="C121">
            <v>0</v>
          </cell>
          <cell r="D121">
            <v>1</v>
          </cell>
          <cell r="E121">
            <v>1</v>
          </cell>
          <cell r="F121">
            <v>1</v>
          </cell>
          <cell r="G121">
            <v>25.8</v>
          </cell>
        </row>
        <row r="122">
          <cell r="A122" t="str">
            <v>YY-IULCY-KS369-HEAD-L</v>
          </cell>
          <cell r="B122" t="str">
            <v>YY-IULCY-KS369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  <cell r="G122">
            <v>10</v>
          </cell>
        </row>
        <row r="123">
          <cell r="A123" t="str">
            <v>SJJJZHUOBUKTWB090x90cm</v>
          </cell>
          <cell r="B123" t="str">
            <v>SJJJZHUOBUKTWB0</v>
          </cell>
          <cell r="C123">
            <v>0</v>
          </cell>
          <cell r="D123">
            <v>2</v>
          </cell>
          <cell r="E123">
            <v>1</v>
          </cell>
          <cell r="F123">
            <v>1</v>
          </cell>
          <cell r="G123">
            <v>12.4</v>
          </cell>
        </row>
        <row r="124">
          <cell r="A124" t="str">
            <v>MZYSZHUOBUDTLEIS100*140CM</v>
          </cell>
          <cell r="B124" t="str">
            <v>MZYSZHUOBUD</v>
          </cell>
          <cell r="C124">
            <v>4</v>
          </cell>
          <cell r="D124">
            <v>3</v>
          </cell>
          <cell r="E124">
            <v>3</v>
          </cell>
          <cell r="F124">
            <v>3</v>
          </cell>
          <cell r="G124">
            <v>15.9</v>
          </cell>
        </row>
        <row r="125">
          <cell r="A125" t="str">
            <v>MZYSZHUOBUDTMAP140*220CM</v>
          </cell>
          <cell r="B125" t="str">
            <v>MZYSZHUOBUD</v>
          </cell>
          <cell r="C125">
            <v>10</v>
          </cell>
          <cell r="D125">
            <v>3</v>
          </cell>
          <cell r="E125">
            <v>2</v>
          </cell>
          <cell r="F125">
            <v>4</v>
          </cell>
          <cell r="G125">
            <v>32.6</v>
          </cell>
        </row>
        <row r="126">
          <cell r="A126" t="str">
            <v>YX-IUCY-819-WO-2XL</v>
          </cell>
          <cell r="B126" t="str">
            <v>YX-IUCY</v>
          </cell>
          <cell r="C126">
            <v>2</v>
          </cell>
          <cell r="D126">
            <v>0</v>
          </cell>
          <cell r="E126">
            <v>1</v>
          </cell>
          <cell r="F126">
            <v>6</v>
          </cell>
          <cell r="G126">
            <v>8.33333333333333</v>
          </cell>
        </row>
        <row r="127">
          <cell r="A127" t="str">
            <v>ETYIM-S-2</v>
          </cell>
          <cell r="B127" t="str">
            <v>ETYIM</v>
          </cell>
          <cell r="C127">
            <v>2</v>
          </cell>
          <cell r="D127">
            <v>1</v>
          </cell>
          <cell r="E127">
            <v>1</v>
          </cell>
          <cell r="F127">
            <v>1</v>
          </cell>
          <cell r="G127">
            <v>19.188</v>
          </cell>
        </row>
        <row r="128">
          <cell r="A128" t="str">
            <v>YX-IUCY-819-WO-L</v>
          </cell>
          <cell r="B128" t="str">
            <v>YX-IUCY</v>
          </cell>
          <cell r="C128">
            <v>1</v>
          </cell>
          <cell r="D128">
            <v>3</v>
          </cell>
          <cell r="E128">
            <v>2</v>
          </cell>
          <cell r="F128">
            <v>5</v>
          </cell>
          <cell r="G128">
            <v>8.45454545454546</v>
          </cell>
        </row>
        <row r="129">
          <cell r="A129" t="str">
            <v>YY-IULCY-KS371-PP-L</v>
          </cell>
          <cell r="B129" t="str">
            <v>YY-IULCY-KS371</v>
          </cell>
          <cell r="C129">
            <v>5</v>
          </cell>
          <cell r="D129">
            <v>4</v>
          </cell>
          <cell r="E129">
            <v>1</v>
          </cell>
          <cell r="F129">
            <v>6</v>
          </cell>
          <cell r="G129">
            <v>13.99</v>
          </cell>
        </row>
        <row r="130">
          <cell r="A130" t="str">
            <v>TZ-IUYL240-ELPH-S</v>
          </cell>
          <cell r="B130" t="str">
            <v>TZ-IUYL240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  <cell r="G130">
            <v>13.99</v>
          </cell>
        </row>
        <row r="131">
          <cell r="A131" t="str">
            <v>YMQYQXDHW0140*250CM</v>
          </cell>
          <cell r="B131" t="str">
            <v>YMQYQXDH</v>
          </cell>
          <cell r="C131">
            <v>2</v>
          </cell>
          <cell r="D131">
            <v>6</v>
          </cell>
          <cell r="E131">
            <v>0</v>
          </cell>
          <cell r="F131">
            <v>3</v>
          </cell>
          <cell r="G131">
            <v>29.99</v>
          </cell>
        </row>
        <row r="132">
          <cell r="A132" t="str">
            <v>ETYIYELLOW-XL</v>
          </cell>
          <cell r="B132" t="str">
            <v>ETYIYELLOW</v>
          </cell>
          <cell r="C132">
            <v>2</v>
          </cell>
          <cell r="D132">
            <v>1</v>
          </cell>
          <cell r="E132">
            <v>2</v>
          </cell>
          <cell r="F132">
            <v>2</v>
          </cell>
          <cell r="G132">
            <v>15.99</v>
          </cell>
        </row>
        <row r="133">
          <cell r="A133" t="str">
            <v>MZYSZHUOBUDTLEIS60*60CM</v>
          </cell>
          <cell r="B133" t="str">
            <v>MZYSZHUOBUD</v>
          </cell>
          <cell r="C133">
            <v>1</v>
          </cell>
          <cell r="D133">
            <v>4</v>
          </cell>
          <cell r="E133">
            <v>2</v>
          </cell>
          <cell r="F133">
            <v>1</v>
          </cell>
          <cell r="G133">
            <v>8.3</v>
          </cell>
        </row>
        <row r="134">
          <cell r="A134" t="str">
            <v>DLJJZHUOBU-BGZW0140x140CM</v>
          </cell>
          <cell r="B134" t="str">
            <v>DLJJZHUOBU-BGZW0</v>
          </cell>
          <cell r="C134">
            <v>0</v>
          </cell>
          <cell r="D134">
            <v>2</v>
          </cell>
          <cell r="E134">
            <v>0</v>
          </cell>
          <cell r="F134">
            <v>2</v>
          </cell>
          <cell r="G134">
            <v>16.7</v>
          </cell>
        </row>
        <row r="135">
          <cell r="A135" t="str">
            <v>YY-IULCY-KS371-GN-M</v>
          </cell>
          <cell r="B135" t="str">
            <v>YY-IULCY-KS371</v>
          </cell>
          <cell r="C135">
            <v>1</v>
          </cell>
          <cell r="D135">
            <v>2</v>
          </cell>
          <cell r="E135">
            <v>0</v>
          </cell>
          <cell r="F135">
            <v>1</v>
          </cell>
          <cell r="G135">
            <v>13.99</v>
          </cell>
        </row>
        <row r="136">
          <cell r="A136" t="str">
            <v>YMQYQXDHW090*90CM</v>
          </cell>
          <cell r="B136" t="str">
            <v>YMQYQXDH</v>
          </cell>
          <cell r="C136">
            <v>3</v>
          </cell>
          <cell r="D136">
            <v>1</v>
          </cell>
          <cell r="E136">
            <v>6</v>
          </cell>
          <cell r="F136">
            <v>2</v>
          </cell>
          <cell r="G136">
            <v>12.99</v>
          </cell>
        </row>
        <row r="137">
          <cell r="A137" t="str">
            <v>YY-IULCY-KS372-PK-M</v>
          </cell>
          <cell r="B137" t="str">
            <v>YY-IULCY-KS372</v>
          </cell>
          <cell r="C137">
            <v>2</v>
          </cell>
          <cell r="D137">
            <v>0</v>
          </cell>
          <cell r="E137">
            <v>3</v>
          </cell>
          <cell r="F137">
            <v>3</v>
          </cell>
          <cell r="G137">
            <v>13.99</v>
          </cell>
        </row>
        <row r="138">
          <cell r="A138" t="str">
            <v>YY-IULCY-KS372-PP-M</v>
          </cell>
          <cell r="B138" t="str">
            <v>YY-IULCY-KS372</v>
          </cell>
          <cell r="C138">
            <v>1</v>
          </cell>
          <cell r="D138">
            <v>0</v>
          </cell>
          <cell r="E138">
            <v>2</v>
          </cell>
          <cell r="F138">
            <v>2</v>
          </cell>
          <cell r="G138">
            <v>13.99</v>
          </cell>
        </row>
        <row r="139">
          <cell r="A139" t="str">
            <v>YY-IULCY-KS372-BL-L</v>
          </cell>
          <cell r="B139" t="str">
            <v>YY-IULCY-KS372</v>
          </cell>
          <cell r="C139">
            <v>0</v>
          </cell>
          <cell r="D139">
            <v>0</v>
          </cell>
          <cell r="E139">
            <v>1</v>
          </cell>
          <cell r="F139">
            <v>3</v>
          </cell>
          <cell r="G139">
            <v>13.99</v>
          </cell>
        </row>
        <row r="140">
          <cell r="A140" t="str">
            <v>YY-IULCY-KS372-PK-L</v>
          </cell>
          <cell r="B140" t="str">
            <v>YY-IULCY-KS372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  <cell r="G140">
            <v>13.99</v>
          </cell>
        </row>
        <row r="141">
          <cell r="A141" t="str">
            <v>YMQYQJISZMSS140*180CM</v>
          </cell>
          <cell r="B141" t="str">
            <v>YMQYQJISZM</v>
          </cell>
          <cell r="C141">
            <v>0</v>
          </cell>
          <cell r="D141">
            <v>1</v>
          </cell>
          <cell r="E141">
            <v>3</v>
          </cell>
          <cell r="F141">
            <v>2</v>
          </cell>
          <cell r="G141">
            <v>22.9</v>
          </cell>
        </row>
        <row r="142">
          <cell r="A142" t="str">
            <v>YMQYQXDHKF140*220CM</v>
          </cell>
          <cell r="B142" t="str">
            <v>YMQYQXDH</v>
          </cell>
          <cell r="C142">
            <v>0</v>
          </cell>
          <cell r="D142">
            <v>0</v>
          </cell>
          <cell r="E142">
            <v>1</v>
          </cell>
          <cell r="F142">
            <v>1</v>
          </cell>
          <cell r="G142">
            <v>27.99</v>
          </cell>
        </row>
        <row r="143">
          <cell r="A143" t="str">
            <v>YDWJQWHQWH150*200CM</v>
          </cell>
          <cell r="B143" t="str">
            <v>YDWJQWHQWH</v>
          </cell>
          <cell r="C143">
            <v>0</v>
          </cell>
          <cell r="D143">
            <v>0</v>
          </cell>
          <cell r="E143">
            <v>0</v>
          </cell>
          <cell r="F143">
            <v>1</v>
          </cell>
          <cell r="G143">
            <v>15.99</v>
          </cell>
        </row>
        <row r="144">
          <cell r="A144" t="str">
            <v>YY-IULCY-KS372-YL-L</v>
          </cell>
          <cell r="B144" t="str">
            <v>YY-IULCY-KS372</v>
          </cell>
          <cell r="C144">
            <v>5</v>
          </cell>
          <cell r="D144">
            <v>1</v>
          </cell>
          <cell r="E144">
            <v>3</v>
          </cell>
          <cell r="F144">
            <v>2</v>
          </cell>
          <cell r="G144">
            <v>13.99</v>
          </cell>
        </row>
        <row r="145">
          <cell r="A145" t="str">
            <v>YI-IUYLTBH-Y0</v>
          </cell>
          <cell r="B145" t="str">
            <v>TBYPRBMRG</v>
          </cell>
          <cell r="C145">
            <v>41</v>
          </cell>
          <cell r="D145">
            <v>29</v>
          </cell>
          <cell r="E145">
            <v>41</v>
          </cell>
          <cell r="F145">
            <v>1</v>
          </cell>
          <cell r="G145">
            <v>22.99</v>
          </cell>
        </row>
        <row r="146">
          <cell r="A146" t="str">
            <v>MZYSMZ0170*140cm</v>
          </cell>
          <cell r="B146" t="str">
            <v>MZYSM</v>
          </cell>
          <cell r="C146">
            <v>2</v>
          </cell>
          <cell r="D146">
            <v>0</v>
          </cell>
          <cell r="E146">
            <v>0</v>
          </cell>
          <cell r="F146">
            <v>1</v>
          </cell>
          <cell r="G146">
            <v>21</v>
          </cell>
        </row>
        <row r="147">
          <cell r="A147" t="str">
            <v>YX-IUCY-518-WO-XL</v>
          </cell>
          <cell r="B147" t="str">
            <v>YX-IUCY</v>
          </cell>
          <cell r="C147">
            <v>1</v>
          </cell>
          <cell r="D147">
            <v>0</v>
          </cell>
          <cell r="E147">
            <v>0</v>
          </cell>
          <cell r="F147">
            <v>1</v>
          </cell>
          <cell r="G147">
            <v>8.5</v>
          </cell>
        </row>
        <row r="148">
          <cell r="A148" t="str">
            <v>ZAKKA0630R028*55CM</v>
          </cell>
          <cell r="B148" t="str">
            <v>ZAKKA0630</v>
          </cell>
          <cell r="C148">
            <v>1</v>
          </cell>
          <cell r="D148">
            <v>2</v>
          </cell>
          <cell r="E148">
            <v>2</v>
          </cell>
          <cell r="F148">
            <v>1</v>
          </cell>
          <cell r="G148">
            <v>8.99</v>
          </cell>
        </row>
        <row r="149">
          <cell r="A149" t="str">
            <v>SXHLYITAO1-LH-001WI40x60CM</v>
          </cell>
          <cell r="B149" t="str">
            <v>SXHLYITAO1-LH-001</v>
          </cell>
          <cell r="C149">
            <v>0</v>
          </cell>
          <cell r="D149">
            <v>2</v>
          </cell>
          <cell r="E149">
            <v>6</v>
          </cell>
          <cell r="F149">
            <v>3</v>
          </cell>
          <cell r="G149">
            <v>13.99</v>
          </cell>
        </row>
        <row r="150">
          <cell r="A150" t="str">
            <v>YMQYQXDHW0140*160CM</v>
          </cell>
          <cell r="B150" t="str">
            <v>YMQYQXDH</v>
          </cell>
          <cell r="C150">
            <v>1</v>
          </cell>
          <cell r="D150">
            <v>1</v>
          </cell>
          <cell r="E150">
            <v>0</v>
          </cell>
          <cell r="F150">
            <v>2</v>
          </cell>
          <cell r="G150">
            <v>21.99</v>
          </cell>
        </row>
        <row r="151">
          <cell r="A151" t="str">
            <v>YMQYQXDHW0140*180CM</v>
          </cell>
          <cell r="B151" t="str">
            <v>YMQYQXDH</v>
          </cell>
          <cell r="C151">
            <v>1</v>
          </cell>
          <cell r="D151">
            <v>7</v>
          </cell>
          <cell r="E151">
            <v>2</v>
          </cell>
          <cell r="F151">
            <v>2</v>
          </cell>
          <cell r="G151">
            <v>22.99</v>
          </cell>
        </row>
        <row r="152">
          <cell r="A152" t="str">
            <v>YMQYQXDHG0140*200CM</v>
          </cell>
          <cell r="B152" t="str">
            <v>YMQYQXDH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30.99</v>
          </cell>
        </row>
        <row r="153">
          <cell r="A153" t="str">
            <v>YMQYQJISZMZM140*180CM</v>
          </cell>
          <cell r="B153" t="str">
            <v>YMQYQJISZM</v>
          </cell>
          <cell r="C153">
            <v>0</v>
          </cell>
          <cell r="D153">
            <v>0</v>
          </cell>
          <cell r="E153">
            <v>1</v>
          </cell>
          <cell r="F153">
            <v>1</v>
          </cell>
          <cell r="G153">
            <v>21.9</v>
          </cell>
        </row>
        <row r="154">
          <cell r="A154" t="str">
            <v>ZAKKA0630B028*55CM</v>
          </cell>
          <cell r="B154" t="str">
            <v>ZAKKA0630</v>
          </cell>
          <cell r="C154">
            <v>5</v>
          </cell>
          <cell r="D154">
            <v>7</v>
          </cell>
          <cell r="E154">
            <v>6</v>
          </cell>
          <cell r="F154">
            <v>5</v>
          </cell>
          <cell r="G154">
            <v>9.95217391304348</v>
          </cell>
        </row>
        <row r="155">
          <cell r="A155" t="str">
            <v>MID46-069-3XL</v>
          </cell>
          <cell r="B155" t="str">
            <v>MID46-069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22.7</v>
          </cell>
        </row>
        <row r="156">
          <cell r="A156" t="str">
            <v>YY-IULCY-KS372-WT-M</v>
          </cell>
          <cell r="B156" t="str">
            <v>YY-IULCY-KS372</v>
          </cell>
          <cell r="C156">
            <v>1</v>
          </cell>
          <cell r="D156">
            <v>1</v>
          </cell>
          <cell r="E156">
            <v>0</v>
          </cell>
          <cell r="F156">
            <v>2</v>
          </cell>
          <cell r="G156">
            <v>13.99</v>
          </cell>
        </row>
        <row r="157">
          <cell r="A157" t="str">
            <v>YY-IULUY-KS374-YL-L</v>
          </cell>
          <cell r="B157" t="str">
            <v>YY-IULUY-KS374</v>
          </cell>
          <cell r="C157">
            <v>0</v>
          </cell>
          <cell r="D157">
            <v>1</v>
          </cell>
          <cell r="E157">
            <v>0</v>
          </cell>
          <cell r="F157">
            <v>1</v>
          </cell>
          <cell r="G157">
            <v>12.99</v>
          </cell>
        </row>
        <row r="158">
          <cell r="A158" t="str">
            <v>YX-IUCY-819-N5-L</v>
          </cell>
          <cell r="B158" t="str">
            <v>YX-IUCY</v>
          </cell>
          <cell r="C158">
            <v>1</v>
          </cell>
          <cell r="D158">
            <v>3</v>
          </cell>
          <cell r="E158">
            <v>1</v>
          </cell>
          <cell r="F158">
            <v>1</v>
          </cell>
          <cell r="G158">
            <v>8.83333333333333</v>
          </cell>
        </row>
        <row r="159">
          <cell r="A159" t="str">
            <v>H5-F378-ECJO</v>
          </cell>
          <cell r="B159" t="str">
            <v>H5-F378</v>
          </cell>
          <cell r="C159">
            <v>4</v>
          </cell>
          <cell r="D159">
            <v>2</v>
          </cell>
          <cell r="E159">
            <v>2</v>
          </cell>
          <cell r="F159">
            <v>3</v>
          </cell>
          <cell r="G159">
            <v>9.9</v>
          </cell>
        </row>
        <row r="160">
          <cell r="A160" t="str">
            <v>BYZBFS140*250CM</v>
          </cell>
          <cell r="B160" t="str">
            <v>BYZBFS</v>
          </cell>
          <cell r="C160">
            <v>0</v>
          </cell>
          <cell r="D160">
            <v>0</v>
          </cell>
          <cell r="E160">
            <v>0</v>
          </cell>
          <cell r="F160">
            <v>1</v>
          </cell>
          <cell r="G160">
            <v>29.31</v>
          </cell>
        </row>
        <row r="161">
          <cell r="A161" t="str">
            <v>YMQYZBCSMS140*140CM</v>
          </cell>
          <cell r="B161" t="str">
            <v>YMQYZBCSM</v>
          </cell>
          <cell r="C161">
            <v>0</v>
          </cell>
          <cell r="D161">
            <v>0</v>
          </cell>
          <cell r="E161">
            <v>0</v>
          </cell>
          <cell r="F161">
            <v>1</v>
          </cell>
          <cell r="G161">
            <v>22.99</v>
          </cell>
        </row>
        <row r="162">
          <cell r="A162" t="str">
            <v>YMQYZBCSMS140*200CM</v>
          </cell>
          <cell r="B162" t="str">
            <v>YMQYZBCSM</v>
          </cell>
          <cell r="C162">
            <v>2</v>
          </cell>
          <cell r="D162">
            <v>1</v>
          </cell>
          <cell r="E162">
            <v>1</v>
          </cell>
          <cell r="F162">
            <v>1</v>
          </cell>
          <cell r="G162">
            <v>25.7</v>
          </cell>
        </row>
        <row r="163">
          <cell r="A163" t="str">
            <v>YY-IULCY-KS369-PLANT-M</v>
          </cell>
          <cell r="B163" t="str">
            <v>YY-IULCY-KS369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  <cell r="G163">
            <v>10</v>
          </cell>
        </row>
        <row r="164">
          <cell r="A164" t="str">
            <v>ZB-IULCY-YMQY100-CF140*180</v>
          </cell>
          <cell r="B164" t="str">
            <v>ZB-IULCY</v>
          </cell>
          <cell r="C164">
            <v>1</v>
          </cell>
          <cell r="D164">
            <v>0</v>
          </cell>
          <cell r="E164">
            <v>2</v>
          </cell>
          <cell r="F164">
            <v>2</v>
          </cell>
          <cell r="G164">
            <v>25.99</v>
          </cell>
        </row>
        <row r="165">
          <cell r="A165" t="str">
            <v>YY-IULUY-KS374-DB-XL</v>
          </cell>
          <cell r="B165" t="str">
            <v>YY-IULUY-KS374</v>
          </cell>
          <cell r="C165">
            <v>2</v>
          </cell>
          <cell r="D165">
            <v>1</v>
          </cell>
          <cell r="E165">
            <v>5</v>
          </cell>
          <cell r="F165">
            <v>1</v>
          </cell>
          <cell r="G165">
            <v>12.99</v>
          </cell>
        </row>
        <row r="166">
          <cell r="A166" t="str">
            <v>YMQYQJISZMZM140*140CM</v>
          </cell>
          <cell r="B166" t="str">
            <v>YMQYQJISZM</v>
          </cell>
          <cell r="C166">
            <v>0</v>
          </cell>
          <cell r="D166">
            <v>2</v>
          </cell>
          <cell r="E166">
            <v>0</v>
          </cell>
          <cell r="F166">
            <v>3</v>
          </cell>
          <cell r="G166">
            <v>16.99</v>
          </cell>
        </row>
        <row r="167">
          <cell r="A167" t="str">
            <v>MZYSZHUOBUDTMAP140*200CM</v>
          </cell>
          <cell r="B167" t="str">
            <v>MZYSZHUOBUD</v>
          </cell>
          <cell r="C167">
            <v>1</v>
          </cell>
          <cell r="D167">
            <v>3</v>
          </cell>
          <cell r="E167">
            <v>0</v>
          </cell>
          <cell r="F167">
            <v>2</v>
          </cell>
          <cell r="G167">
            <v>29.3</v>
          </cell>
        </row>
        <row r="168">
          <cell r="A168" t="str">
            <v>YMQYQXDHW0140*220CM</v>
          </cell>
          <cell r="B168" t="str">
            <v>YMQYQXDH</v>
          </cell>
          <cell r="C168">
            <v>1</v>
          </cell>
          <cell r="D168">
            <v>3</v>
          </cell>
          <cell r="E168">
            <v>1</v>
          </cell>
          <cell r="F168">
            <v>1</v>
          </cell>
          <cell r="G168">
            <v>27.99</v>
          </cell>
        </row>
        <row r="169">
          <cell r="A169" t="str">
            <v>YY-IULCY-KS370-BL-L</v>
          </cell>
          <cell r="B169" t="str">
            <v>YY-IULCY-KS370</v>
          </cell>
          <cell r="C169">
            <v>0</v>
          </cell>
          <cell r="D169">
            <v>0</v>
          </cell>
          <cell r="E169">
            <v>1</v>
          </cell>
          <cell r="F169">
            <v>1</v>
          </cell>
          <cell r="G169">
            <v>14.99</v>
          </cell>
        </row>
        <row r="170">
          <cell r="A170" t="str">
            <v>ZPSD-LAHM-800-BK-L</v>
          </cell>
          <cell r="B170" t="str">
            <v>ZPSD-LAHM-800</v>
          </cell>
          <cell r="C170">
            <v>3</v>
          </cell>
          <cell r="D170">
            <v>1</v>
          </cell>
          <cell r="E170">
            <v>1</v>
          </cell>
          <cell r="F170">
            <v>2</v>
          </cell>
          <cell r="G170">
            <v>22.4185714285714</v>
          </cell>
        </row>
        <row r="171">
          <cell r="A171" t="str">
            <v>YMQYQJISZMSS60*60CM</v>
          </cell>
          <cell r="B171" t="str">
            <v>YMQYQJISZM</v>
          </cell>
          <cell r="C171">
            <v>4</v>
          </cell>
          <cell r="D171">
            <v>1</v>
          </cell>
          <cell r="E171">
            <v>0</v>
          </cell>
          <cell r="F171">
            <v>3</v>
          </cell>
          <cell r="G171">
            <v>7.9</v>
          </cell>
        </row>
        <row r="172">
          <cell r="A172" t="str">
            <v>SXHLYITAO1-LH-001BO40x60CM</v>
          </cell>
          <cell r="B172" t="str">
            <v>SXHLYITAO1-LH-001</v>
          </cell>
          <cell r="C172">
            <v>0</v>
          </cell>
          <cell r="D172">
            <v>1</v>
          </cell>
          <cell r="E172">
            <v>2</v>
          </cell>
          <cell r="F172">
            <v>1</v>
          </cell>
          <cell r="G172">
            <v>13.99</v>
          </cell>
        </row>
        <row r="173">
          <cell r="A173" t="str">
            <v>YY-IULCY-KS371-WT-XL</v>
          </cell>
          <cell r="B173" t="str">
            <v>YY-IULCY-KS371</v>
          </cell>
          <cell r="C173">
            <v>3</v>
          </cell>
          <cell r="D173">
            <v>2</v>
          </cell>
          <cell r="E173">
            <v>2</v>
          </cell>
          <cell r="F173">
            <v>1</v>
          </cell>
          <cell r="G173">
            <v>13.24</v>
          </cell>
        </row>
        <row r="174">
          <cell r="A174" t="str">
            <v>GMSNH-LUHM001-E0</v>
          </cell>
          <cell r="B174" t="str">
            <v>GMSNH-LUHM001</v>
          </cell>
          <cell r="C174">
            <v>1</v>
          </cell>
          <cell r="D174">
            <v>0</v>
          </cell>
          <cell r="E174">
            <v>6</v>
          </cell>
          <cell r="F174">
            <v>2</v>
          </cell>
          <cell r="G174">
            <v>9.10222222222222</v>
          </cell>
        </row>
        <row r="175">
          <cell r="A175" t="str">
            <v>MZYSZHUOBUDTLEIS90*90CM</v>
          </cell>
          <cell r="B175" t="str">
            <v>MZYSZHUOBUD</v>
          </cell>
          <cell r="C175">
            <v>0</v>
          </cell>
          <cell r="D175">
            <v>3</v>
          </cell>
          <cell r="E175">
            <v>1</v>
          </cell>
          <cell r="F175">
            <v>1</v>
          </cell>
          <cell r="G175">
            <v>12.4</v>
          </cell>
        </row>
        <row r="176">
          <cell r="A176" t="str">
            <v>ZB-IULCY-YMQY100-CF100*140</v>
          </cell>
          <cell r="B176" t="str">
            <v>ZB-IULCY</v>
          </cell>
          <cell r="C176">
            <v>0</v>
          </cell>
          <cell r="D176">
            <v>1</v>
          </cell>
          <cell r="E176">
            <v>2</v>
          </cell>
          <cell r="F176">
            <v>1</v>
          </cell>
          <cell r="G176">
            <v>16.99</v>
          </cell>
        </row>
        <row r="177">
          <cell r="A177" t="str">
            <v>SWEATPETLAN14</v>
          </cell>
          <cell r="B177" t="str">
            <v>SWEATPET</v>
          </cell>
          <cell r="C177">
            <v>0</v>
          </cell>
          <cell r="D177">
            <v>2</v>
          </cell>
          <cell r="E177">
            <v>0</v>
          </cell>
          <cell r="F177">
            <v>1</v>
          </cell>
          <cell r="G177">
            <v>9.99</v>
          </cell>
        </row>
        <row r="178">
          <cell r="A178" t="str">
            <v>YMQYZBCSMS60*60CM</v>
          </cell>
          <cell r="B178" t="str">
            <v>YMQYZBCSM</v>
          </cell>
          <cell r="C178">
            <v>6</v>
          </cell>
          <cell r="D178">
            <v>2</v>
          </cell>
          <cell r="E178">
            <v>1</v>
          </cell>
          <cell r="F178">
            <v>1</v>
          </cell>
          <cell r="G178">
            <v>8.99</v>
          </cell>
        </row>
        <row r="179">
          <cell r="A179" t="str">
            <v>BYZBFS140*140CM</v>
          </cell>
          <cell r="B179" t="str">
            <v>BYZBFS</v>
          </cell>
          <cell r="C179">
            <v>0</v>
          </cell>
          <cell r="D179">
            <v>0</v>
          </cell>
          <cell r="E179">
            <v>0</v>
          </cell>
          <cell r="F179">
            <v>1</v>
          </cell>
          <cell r="G179">
            <v>16.44</v>
          </cell>
        </row>
        <row r="180">
          <cell r="A180" t="str">
            <v>BYZBLANS140*140CM</v>
          </cell>
          <cell r="B180" t="str">
            <v>BYZBLANS</v>
          </cell>
          <cell r="C180">
            <v>0</v>
          </cell>
          <cell r="D180">
            <v>0</v>
          </cell>
          <cell r="E180">
            <v>1</v>
          </cell>
          <cell r="F180">
            <v>1</v>
          </cell>
          <cell r="G180">
            <v>19.99</v>
          </cell>
        </row>
        <row r="181">
          <cell r="A181" t="str">
            <v>YMQYQXDHKF140*140CM</v>
          </cell>
          <cell r="B181" t="str">
            <v>YMQYQXDH</v>
          </cell>
          <cell r="C181">
            <v>4</v>
          </cell>
          <cell r="D181">
            <v>2</v>
          </cell>
          <cell r="E181">
            <v>1</v>
          </cell>
          <cell r="F181">
            <v>1</v>
          </cell>
          <cell r="G181">
            <v>19.99</v>
          </cell>
        </row>
        <row r="182">
          <cell r="A182" t="str">
            <v>SB-100-G0</v>
          </cell>
          <cell r="B182" t="str">
            <v>SB-100</v>
          </cell>
          <cell r="C182">
            <v>1</v>
          </cell>
          <cell r="D182">
            <v>1</v>
          </cell>
          <cell r="E182">
            <v>4</v>
          </cell>
          <cell r="F182">
            <v>3</v>
          </cell>
          <cell r="G182">
            <v>14.6566666666667</v>
          </cell>
        </row>
        <row r="183">
          <cell r="A183" t="str">
            <v>YY-IULCY-HZYD100-BIGEYED-L</v>
          </cell>
          <cell r="B183" t="str">
            <v>YY-IULCY-HZYD100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12.99</v>
          </cell>
        </row>
        <row r="184">
          <cell r="A184" t="str">
            <v>YY-IULCY-KS371-BL-XL</v>
          </cell>
          <cell r="B184" t="str">
            <v>YY-IULCY-KS371</v>
          </cell>
          <cell r="C184">
            <v>1</v>
          </cell>
          <cell r="D184">
            <v>1</v>
          </cell>
          <cell r="E184">
            <v>1</v>
          </cell>
          <cell r="F184">
            <v>2</v>
          </cell>
          <cell r="G184">
            <v>13.99</v>
          </cell>
        </row>
        <row r="185">
          <cell r="A185" t="str">
            <v>DLJJZHUOBU-DSGZGZ140x140CM</v>
          </cell>
          <cell r="B185" t="str">
            <v>DLJJZHUOBU-DSGZGZ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  <cell r="G185">
            <v>23.5</v>
          </cell>
        </row>
        <row r="186">
          <cell r="A186" t="str">
            <v>YY-IULCY-KS371-BL-L</v>
          </cell>
          <cell r="B186" t="str">
            <v>YY-IULCY-KS371</v>
          </cell>
          <cell r="C186">
            <v>4</v>
          </cell>
          <cell r="D186">
            <v>3</v>
          </cell>
          <cell r="E186">
            <v>0</v>
          </cell>
          <cell r="F186">
            <v>1</v>
          </cell>
          <cell r="G186">
            <v>13.99</v>
          </cell>
        </row>
        <row r="187">
          <cell r="A187" t="str">
            <v>YMQYQXDHW0140*200CM</v>
          </cell>
          <cell r="B187" t="str">
            <v>YMQYQXDH</v>
          </cell>
          <cell r="C187">
            <v>0</v>
          </cell>
          <cell r="D187">
            <v>4</v>
          </cell>
          <cell r="E187">
            <v>3</v>
          </cell>
          <cell r="F187">
            <v>2</v>
          </cell>
          <cell r="G187">
            <v>25.99</v>
          </cell>
        </row>
        <row r="188">
          <cell r="A188" t="str">
            <v>9CUE9N-01SLXXXL</v>
          </cell>
          <cell r="B188" t="str">
            <v>9CUE9N</v>
          </cell>
          <cell r="C188">
            <v>4</v>
          </cell>
          <cell r="D188">
            <v>3</v>
          </cell>
          <cell r="E188">
            <v>2</v>
          </cell>
          <cell r="F188">
            <v>1</v>
          </cell>
          <cell r="G188">
            <v>12.79</v>
          </cell>
        </row>
        <row r="189">
          <cell r="A189" t="str">
            <v>SXHLYITAO4-LH-001DHS40x60CM</v>
          </cell>
          <cell r="B189" t="str">
            <v>SXHLYITAO1-LH-001</v>
          </cell>
          <cell r="C189">
            <v>4</v>
          </cell>
          <cell r="D189">
            <v>1</v>
          </cell>
          <cell r="E189">
            <v>0</v>
          </cell>
          <cell r="F189">
            <v>4</v>
          </cell>
          <cell r="G189">
            <v>13.99</v>
          </cell>
        </row>
        <row r="190">
          <cell r="A190" t="str">
            <v>YY2127GRYXL</v>
          </cell>
          <cell r="B190" t="str">
            <v>YY2127</v>
          </cell>
          <cell r="C190">
            <v>1</v>
          </cell>
          <cell r="D190">
            <v>2</v>
          </cell>
          <cell r="E190">
            <v>0</v>
          </cell>
          <cell r="F190">
            <v>2</v>
          </cell>
          <cell r="G190">
            <v>19.99</v>
          </cell>
        </row>
        <row r="191">
          <cell r="A191" t="str">
            <v>YX-IUCY-819-N5-XL</v>
          </cell>
          <cell r="B191" t="str">
            <v>YX-IUCY</v>
          </cell>
          <cell r="C191">
            <v>3</v>
          </cell>
          <cell r="D191">
            <v>2</v>
          </cell>
          <cell r="E191">
            <v>1</v>
          </cell>
          <cell r="F191">
            <v>1</v>
          </cell>
          <cell r="G191">
            <v>8.85714285714286</v>
          </cell>
        </row>
        <row r="192">
          <cell r="A192" t="str">
            <v>YMQYQJISZMZM100*140CM</v>
          </cell>
          <cell r="B192" t="str">
            <v>YMQYQJISZM</v>
          </cell>
          <cell r="C192">
            <v>1</v>
          </cell>
          <cell r="D192">
            <v>0</v>
          </cell>
          <cell r="E192">
            <v>1</v>
          </cell>
          <cell r="F192">
            <v>1</v>
          </cell>
          <cell r="G192">
            <v>13.9</v>
          </cell>
        </row>
        <row r="193">
          <cell r="A193" t="str">
            <v>SB-100-K0</v>
          </cell>
          <cell r="B193" t="str">
            <v>SB-100</v>
          </cell>
          <cell r="C193">
            <v>0</v>
          </cell>
          <cell r="D193">
            <v>0</v>
          </cell>
          <cell r="E193">
            <v>0</v>
          </cell>
          <cell r="F193">
            <v>2</v>
          </cell>
          <cell r="G193">
            <v>27.98</v>
          </cell>
        </row>
        <row r="194">
          <cell r="A194" t="str">
            <v>SB-101-B0</v>
          </cell>
          <cell r="B194" t="str">
            <v>SB-101</v>
          </cell>
          <cell r="C194">
            <v>1</v>
          </cell>
          <cell r="D194">
            <v>0</v>
          </cell>
          <cell r="E194">
            <v>0</v>
          </cell>
          <cell r="F194">
            <v>2</v>
          </cell>
          <cell r="G194">
            <v>18.6533333333333</v>
          </cell>
        </row>
        <row r="195">
          <cell r="A195" t="str">
            <v>BH-E628-EYEA</v>
          </cell>
          <cell r="B195" t="str">
            <v>BH-E628-EYEA</v>
          </cell>
          <cell r="C195">
            <v>57</v>
          </cell>
          <cell r="D195">
            <v>6</v>
          </cell>
          <cell r="E195">
            <v>4</v>
          </cell>
          <cell r="F195">
            <v>1</v>
          </cell>
          <cell r="G195">
            <v>1.90985294117647</v>
          </cell>
        </row>
        <row r="196">
          <cell r="A196" t="str">
            <v>MZYSZHUOBUDTLEIS140*200CM</v>
          </cell>
          <cell r="B196" t="str">
            <v>MZYSZHUOBUD</v>
          </cell>
          <cell r="C196">
            <v>1</v>
          </cell>
          <cell r="D196">
            <v>1</v>
          </cell>
          <cell r="E196">
            <v>0</v>
          </cell>
          <cell r="F196">
            <v>1</v>
          </cell>
          <cell r="G196">
            <v>29.3</v>
          </cell>
        </row>
        <row r="197">
          <cell r="A197" t="str">
            <v>FSFZB006J0RO180CM</v>
          </cell>
          <cell r="B197" t="str">
            <v>FSFZB006</v>
          </cell>
          <cell r="C197">
            <v>0</v>
          </cell>
          <cell r="D197">
            <v>0</v>
          </cell>
          <cell r="E197">
            <v>0</v>
          </cell>
          <cell r="F197">
            <v>1</v>
          </cell>
          <cell r="G197">
            <v>23.9</v>
          </cell>
        </row>
        <row r="198">
          <cell r="A198" t="str">
            <v>YMQYQDZMZM90*90CM</v>
          </cell>
          <cell r="B198" t="str">
            <v>YMQYQDZMZM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10.9</v>
          </cell>
        </row>
        <row r="199">
          <cell r="A199" t="str">
            <v>YY-IULCY-KS372-BL-M</v>
          </cell>
          <cell r="B199" t="str">
            <v>YY-IULCY-KS372</v>
          </cell>
          <cell r="C199">
            <v>1</v>
          </cell>
          <cell r="D199">
            <v>0</v>
          </cell>
          <cell r="E199">
            <v>1</v>
          </cell>
          <cell r="F199">
            <v>1</v>
          </cell>
          <cell r="G199">
            <v>13.99</v>
          </cell>
        </row>
        <row r="200">
          <cell r="A200" t="str">
            <v>GMSNH-CY001-Y0</v>
          </cell>
          <cell r="B200" t="str">
            <v>GMSNH-CY001</v>
          </cell>
          <cell r="C200">
            <v>4</v>
          </cell>
          <cell r="D200">
            <v>6</v>
          </cell>
          <cell r="E200">
            <v>10</v>
          </cell>
          <cell r="F200">
            <v>0</v>
          </cell>
          <cell r="G200">
            <v>9.7475</v>
          </cell>
        </row>
        <row r="201">
          <cell r="A201" t="str">
            <v>YX-IUCY-518-N5-2XL</v>
          </cell>
          <cell r="B201" t="str">
            <v>YX-IUCY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8</v>
          </cell>
        </row>
        <row r="202">
          <cell r="A202" t="str">
            <v>YY-IULCY-KS369-ANCHOR-L</v>
          </cell>
          <cell r="B202" t="str">
            <v>YY-IULCY-KS369</v>
          </cell>
          <cell r="C202">
            <v>0</v>
          </cell>
          <cell r="D202">
            <v>3</v>
          </cell>
          <cell r="E202">
            <v>1</v>
          </cell>
          <cell r="F202">
            <v>0</v>
          </cell>
          <cell r="G202">
            <v>10</v>
          </cell>
        </row>
        <row r="203">
          <cell r="A203" t="str">
            <v>BBSA140*180CM</v>
          </cell>
          <cell r="B203" t="str">
            <v>BBSA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18.99</v>
          </cell>
        </row>
        <row r="204">
          <cell r="A204" t="str">
            <v>YMQYQDZMZM140*200CM</v>
          </cell>
          <cell r="B204" t="str">
            <v>YMQYQDZMZM</v>
          </cell>
          <cell r="C204">
            <v>1</v>
          </cell>
          <cell r="D204">
            <v>0</v>
          </cell>
          <cell r="E204">
            <v>2</v>
          </cell>
          <cell r="F204">
            <v>0</v>
          </cell>
          <cell r="G204">
            <v>25.54</v>
          </cell>
        </row>
        <row r="205">
          <cell r="A205" t="str">
            <v>YMQYZHUOBUJXXHB0140x250CM</v>
          </cell>
          <cell r="B205" t="str">
            <v>YMQYZHUOBUJXXH</v>
          </cell>
          <cell r="C205">
            <v>0</v>
          </cell>
          <cell r="D205">
            <v>0</v>
          </cell>
          <cell r="E205">
            <v>3</v>
          </cell>
          <cell r="F205">
            <v>0</v>
          </cell>
          <cell r="G205">
            <v>15.99</v>
          </cell>
        </row>
        <row r="206">
          <cell r="A206" t="str">
            <v>YY-IULCY-KS372-PK-XL</v>
          </cell>
          <cell r="B206" t="str">
            <v>YY-IULCY-KS372</v>
          </cell>
          <cell r="C206">
            <v>0</v>
          </cell>
          <cell r="D206">
            <v>0</v>
          </cell>
          <cell r="E206">
            <v>2</v>
          </cell>
          <cell r="F206">
            <v>0</v>
          </cell>
          <cell r="G206">
            <v>13.99</v>
          </cell>
        </row>
        <row r="207">
          <cell r="A207" t="str">
            <v>YY-IULUY-KS374-DB-M</v>
          </cell>
          <cell r="B207" t="str">
            <v>YY-IULUY-KS374</v>
          </cell>
          <cell r="C207">
            <v>4</v>
          </cell>
          <cell r="D207">
            <v>3</v>
          </cell>
          <cell r="E207">
            <v>3</v>
          </cell>
          <cell r="F207">
            <v>0</v>
          </cell>
          <cell r="G207">
            <v>12.99</v>
          </cell>
        </row>
        <row r="208">
          <cell r="A208" t="str">
            <v>SWEATPETJS12</v>
          </cell>
          <cell r="B208" t="str">
            <v>SWEATPET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9.99</v>
          </cell>
        </row>
        <row r="209">
          <cell r="A209" t="str">
            <v>YY-IULCY-KS370-RD-M</v>
          </cell>
          <cell r="B209" t="str">
            <v>YY-IULCY-KS370</v>
          </cell>
          <cell r="C209">
            <v>0</v>
          </cell>
          <cell r="D209">
            <v>1</v>
          </cell>
          <cell r="E209">
            <v>1</v>
          </cell>
          <cell r="F209">
            <v>0</v>
          </cell>
          <cell r="G209">
            <v>14.99</v>
          </cell>
        </row>
        <row r="210">
          <cell r="A210" t="str">
            <v>YX-IUCY-518-BO-L</v>
          </cell>
          <cell r="B210" t="str">
            <v>YX-IUCY</v>
          </cell>
          <cell r="C210">
            <v>0</v>
          </cell>
          <cell r="D210">
            <v>0</v>
          </cell>
          <cell r="E210">
            <v>2</v>
          </cell>
          <cell r="F210">
            <v>0</v>
          </cell>
          <cell r="G210">
            <v>8.5</v>
          </cell>
        </row>
        <row r="211">
          <cell r="A211" t="str">
            <v>ZAKKA0633R035*50CM</v>
          </cell>
          <cell r="B211" t="str">
            <v>ZAKKA0633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12.9</v>
          </cell>
        </row>
        <row r="212">
          <cell r="A212" t="str">
            <v>YMQYQJISZMZM60*60CM</v>
          </cell>
          <cell r="B212" t="str">
            <v>YMQYQJISZM</v>
          </cell>
          <cell r="C212">
            <v>0</v>
          </cell>
          <cell r="D212">
            <v>1</v>
          </cell>
          <cell r="E212">
            <v>3</v>
          </cell>
          <cell r="F212">
            <v>0</v>
          </cell>
          <cell r="G212">
            <v>7.9</v>
          </cell>
        </row>
        <row r="213">
          <cell r="A213" t="str">
            <v>MTX-IULHY-M1759-DB-29</v>
          </cell>
          <cell r="B213" t="str">
            <v>MTX-IULHY-M1759</v>
          </cell>
          <cell r="C213">
            <v>1</v>
          </cell>
          <cell r="D213">
            <v>0</v>
          </cell>
          <cell r="E213">
            <v>5</v>
          </cell>
          <cell r="F213">
            <v>0</v>
          </cell>
          <cell r="G213">
            <v>15.99</v>
          </cell>
        </row>
        <row r="214">
          <cell r="A214" t="str">
            <v>YMQYQXDHW0140*140CM</v>
          </cell>
          <cell r="B214" t="str">
            <v>YMQYQXDH</v>
          </cell>
          <cell r="C214">
            <v>1</v>
          </cell>
          <cell r="D214">
            <v>1</v>
          </cell>
          <cell r="E214">
            <v>3</v>
          </cell>
          <cell r="F214">
            <v>0</v>
          </cell>
          <cell r="G214">
            <v>19.99</v>
          </cell>
        </row>
        <row r="215">
          <cell r="A215" t="str">
            <v>SWEATPETLAN28</v>
          </cell>
          <cell r="B215" t="str">
            <v>SWEATPET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14.99</v>
          </cell>
        </row>
        <row r="216">
          <cell r="A216" t="str">
            <v>SWEATPETRO24</v>
          </cell>
          <cell r="B216" t="str">
            <v>SWEATPET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  <cell r="G216">
            <v>12.99</v>
          </cell>
        </row>
        <row r="217">
          <cell r="A217" t="str">
            <v>ZPSD-LAHM-800-BK-S</v>
          </cell>
          <cell r="B217" t="str">
            <v>ZPSD-LAHM-800</v>
          </cell>
          <cell r="C217">
            <v>3</v>
          </cell>
          <cell r="D217">
            <v>1</v>
          </cell>
          <cell r="E217">
            <v>3</v>
          </cell>
          <cell r="F217">
            <v>0</v>
          </cell>
          <cell r="G217">
            <v>17.7057142857143</v>
          </cell>
        </row>
        <row r="218">
          <cell r="A218" t="str">
            <v>YY-IULCY-XZM100-CFNWT</v>
          </cell>
          <cell r="B218" t="str">
            <v>YY-IULCY-XZM100</v>
          </cell>
          <cell r="C218">
            <v>1</v>
          </cell>
          <cell r="D218">
            <v>0</v>
          </cell>
          <cell r="E218">
            <v>1</v>
          </cell>
          <cell r="F218">
            <v>0</v>
          </cell>
          <cell r="G218">
            <v>22.99</v>
          </cell>
        </row>
        <row r="219">
          <cell r="A219" t="str">
            <v>YY5100XGZG0</v>
          </cell>
          <cell r="B219" t="str">
            <v>YY5100</v>
          </cell>
          <cell r="C219">
            <v>0</v>
          </cell>
          <cell r="D219">
            <v>0</v>
          </cell>
          <cell r="E219">
            <v>2</v>
          </cell>
          <cell r="F219">
            <v>0</v>
          </cell>
          <cell r="G219">
            <v>19.99</v>
          </cell>
        </row>
        <row r="220">
          <cell r="A220" t="str">
            <v>GMSNT-CY001-DX</v>
          </cell>
          <cell r="B220" t="str">
            <v>GMSNT-CY001</v>
          </cell>
          <cell r="C220">
            <v>0</v>
          </cell>
          <cell r="D220">
            <v>3</v>
          </cell>
          <cell r="E220">
            <v>1</v>
          </cell>
          <cell r="F220">
            <v>0</v>
          </cell>
          <cell r="G220">
            <v>14.99</v>
          </cell>
        </row>
        <row r="221">
          <cell r="A221" t="str">
            <v>YMQYQXDHKF90*90CM</v>
          </cell>
          <cell r="B221" t="str">
            <v>YMQYQXDH</v>
          </cell>
          <cell r="C221">
            <v>2</v>
          </cell>
          <cell r="D221">
            <v>3</v>
          </cell>
          <cell r="E221">
            <v>2</v>
          </cell>
          <cell r="F221">
            <v>0</v>
          </cell>
          <cell r="G221">
            <v>6.62</v>
          </cell>
        </row>
        <row r="222">
          <cell r="A222" t="str">
            <v>YX-IUCY-518-BO-XL</v>
          </cell>
          <cell r="B222" t="str">
            <v>YX-IUCY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9</v>
          </cell>
        </row>
        <row r="223">
          <cell r="A223" t="str">
            <v>YMQYQDZMZM100*140CM</v>
          </cell>
          <cell r="B223" t="str">
            <v>YMQYQDZMZM</v>
          </cell>
          <cell r="C223">
            <v>2</v>
          </cell>
          <cell r="D223">
            <v>2</v>
          </cell>
          <cell r="E223">
            <v>1</v>
          </cell>
          <cell r="F223">
            <v>0</v>
          </cell>
          <cell r="G223">
            <v>14.58</v>
          </cell>
        </row>
        <row r="224">
          <cell r="A224" t="str">
            <v>HATQHMZ</v>
          </cell>
          <cell r="B224" t="str">
            <v>HATQHMZ</v>
          </cell>
          <cell r="C224">
            <v>26</v>
          </cell>
          <cell r="D224">
            <v>1</v>
          </cell>
          <cell r="E224">
            <v>1</v>
          </cell>
          <cell r="F224">
            <v>0</v>
          </cell>
          <cell r="G224">
            <v>0.713571428571429</v>
          </cell>
        </row>
        <row r="225">
          <cell r="A225" t="str">
            <v>YY-IULCY-KS377-HEAD-M</v>
          </cell>
          <cell r="B225" t="str">
            <v>YY-IULCY-KS377</v>
          </cell>
          <cell r="C225">
            <v>0</v>
          </cell>
          <cell r="D225">
            <v>0</v>
          </cell>
          <cell r="E225">
            <v>2</v>
          </cell>
          <cell r="F225">
            <v>0</v>
          </cell>
          <cell r="G225">
            <v>10.99</v>
          </cell>
        </row>
        <row r="226">
          <cell r="A226" t="str">
            <v>MZYSWZ8590*90CM</v>
          </cell>
          <cell r="B226" t="str">
            <v>MZYSWZ85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23.9</v>
          </cell>
        </row>
        <row r="227">
          <cell r="A227" t="str">
            <v>MID46-069-2XL</v>
          </cell>
          <cell r="B227" t="str">
            <v>MID46-069</v>
          </cell>
          <cell r="C227">
            <v>2</v>
          </cell>
          <cell r="D227">
            <v>1</v>
          </cell>
          <cell r="E227">
            <v>1</v>
          </cell>
          <cell r="F227">
            <v>0</v>
          </cell>
          <cell r="G227">
            <v>17.025</v>
          </cell>
        </row>
        <row r="228">
          <cell r="A228" t="str">
            <v>ZB-IULCY-YMQY100-GR140*140</v>
          </cell>
          <cell r="B228" t="str">
            <v>ZB-IULCY</v>
          </cell>
          <cell r="C228">
            <v>1</v>
          </cell>
          <cell r="D228">
            <v>1</v>
          </cell>
          <cell r="E228">
            <v>2</v>
          </cell>
          <cell r="F228">
            <v>0</v>
          </cell>
          <cell r="G228">
            <v>21.99</v>
          </cell>
        </row>
        <row r="229">
          <cell r="A229" t="str">
            <v>YY-IULCY-KS370-RD-L</v>
          </cell>
          <cell r="B229" t="str">
            <v>YY-IULCY-KS370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  <cell r="G229">
            <v>14.99</v>
          </cell>
        </row>
        <row r="230">
          <cell r="A230" t="str">
            <v>YX-IUCY-819-WO-XL</v>
          </cell>
          <cell r="B230" t="str">
            <v>YX-IUCY</v>
          </cell>
          <cell r="C230">
            <v>2</v>
          </cell>
          <cell r="D230">
            <v>1</v>
          </cell>
          <cell r="E230">
            <v>1</v>
          </cell>
          <cell r="F230">
            <v>0</v>
          </cell>
          <cell r="G230">
            <v>9</v>
          </cell>
        </row>
        <row r="231">
          <cell r="A231" t="str">
            <v>YY-IULCY-KS372-PP-XL</v>
          </cell>
          <cell r="B231" t="str">
            <v>YY-IULCY-KS372</v>
          </cell>
          <cell r="C231">
            <v>4</v>
          </cell>
          <cell r="D231">
            <v>1</v>
          </cell>
          <cell r="E231">
            <v>5</v>
          </cell>
          <cell r="F231">
            <v>0</v>
          </cell>
          <cell r="G231">
            <v>13.99</v>
          </cell>
        </row>
        <row r="232">
          <cell r="A232" t="str">
            <v>MTX-IULHY-M1759-DB-27</v>
          </cell>
          <cell r="B232" t="str">
            <v>MTX-IULHY-M1759</v>
          </cell>
          <cell r="C232">
            <v>0</v>
          </cell>
          <cell r="D232">
            <v>0</v>
          </cell>
          <cell r="E232">
            <v>1</v>
          </cell>
          <cell r="F232">
            <v>0</v>
          </cell>
          <cell r="G232">
            <v>15.99</v>
          </cell>
        </row>
        <row r="233">
          <cell r="A233" t="str">
            <v>SND-IUYL00B-W0</v>
          </cell>
          <cell r="B233" t="str">
            <v>SND-IUYL</v>
          </cell>
          <cell r="C233">
            <v>0</v>
          </cell>
          <cell r="D233">
            <v>0</v>
          </cell>
          <cell r="E233">
            <v>1</v>
          </cell>
          <cell r="F233">
            <v>0</v>
          </cell>
          <cell r="G233">
            <v>8.99</v>
          </cell>
        </row>
        <row r="234">
          <cell r="A234" t="str">
            <v>MZYSMZ01140*140cm</v>
          </cell>
          <cell r="B234" t="str">
            <v>MZYSM</v>
          </cell>
          <cell r="C234">
            <v>0</v>
          </cell>
          <cell r="D234">
            <v>0</v>
          </cell>
          <cell r="E234">
            <v>1</v>
          </cell>
          <cell r="F234">
            <v>0</v>
          </cell>
          <cell r="G234">
            <v>25.8</v>
          </cell>
        </row>
        <row r="235">
          <cell r="A235" t="str">
            <v>YY-IULCY-KS369-BIRD-M</v>
          </cell>
          <cell r="B235" t="str">
            <v>YY-IULCY-KS369</v>
          </cell>
          <cell r="C235">
            <v>1</v>
          </cell>
          <cell r="D235">
            <v>2</v>
          </cell>
          <cell r="E235">
            <v>1</v>
          </cell>
          <cell r="F235">
            <v>0</v>
          </cell>
          <cell r="G235">
            <v>10</v>
          </cell>
        </row>
        <row r="236">
          <cell r="A236" t="str">
            <v>ETYIYELLOW-L</v>
          </cell>
          <cell r="B236" t="str">
            <v>ETYIYELLOW</v>
          </cell>
          <cell r="C236">
            <v>2</v>
          </cell>
          <cell r="D236">
            <v>2</v>
          </cell>
          <cell r="E236">
            <v>2</v>
          </cell>
          <cell r="F236">
            <v>0</v>
          </cell>
          <cell r="G236">
            <v>15.99</v>
          </cell>
        </row>
        <row r="237">
          <cell r="A237" t="str">
            <v>YMQYQXDHPO90*90CM</v>
          </cell>
          <cell r="B237" t="str">
            <v>YMQYQXDH</v>
          </cell>
          <cell r="C237">
            <v>0</v>
          </cell>
          <cell r="D237">
            <v>0</v>
          </cell>
          <cell r="E237">
            <v>1</v>
          </cell>
          <cell r="F237">
            <v>0</v>
          </cell>
          <cell r="G237">
            <v>12.99</v>
          </cell>
        </row>
        <row r="238">
          <cell r="A238" t="str">
            <v>YMQYZBJTE0140*180CM</v>
          </cell>
          <cell r="B238" t="str">
            <v>YMQYZBJT</v>
          </cell>
          <cell r="C238">
            <v>1</v>
          </cell>
          <cell r="D238">
            <v>0</v>
          </cell>
          <cell r="E238">
            <v>2</v>
          </cell>
          <cell r="F238">
            <v>0</v>
          </cell>
          <cell r="G238">
            <v>24.5</v>
          </cell>
        </row>
        <row r="239">
          <cell r="A239" t="str">
            <v>YMQYQZBXHGSS90*90CM</v>
          </cell>
          <cell r="B239" t="str">
            <v>YMQYQZBXHGSS</v>
          </cell>
          <cell r="C239">
            <v>0</v>
          </cell>
          <cell r="D239">
            <v>0</v>
          </cell>
          <cell r="E239">
            <v>1</v>
          </cell>
          <cell r="F239">
            <v>0</v>
          </cell>
          <cell r="G239">
            <v>10.9</v>
          </cell>
        </row>
        <row r="240">
          <cell r="A240" t="str">
            <v>YY-IULCY-KS371-GN-XL</v>
          </cell>
          <cell r="B240" t="str">
            <v>YY-IULCY-KS371</v>
          </cell>
          <cell r="C240">
            <v>3</v>
          </cell>
          <cell r="D240">
            <v>4</v>
          </cell>
          <cell r="E240">
            <v>1</v>
          </cell>
          <cell r="F240">
            <v>0</v>
          </cell>
          <cell r="G240">
            <v>13.99</v>
          </cell>
        </row>
        <row r="241">
          <cell r="A241" t="str">
            <v>ZB-IULCY-YMQY100-GR100*140</v>
          </cell>
          <cell r="B241" t="str">
            <v>ZB-IULCY</v>
          </cell>
          <cell r="C241">
            <v>0</v>
          </cell>
          <cell r="D241">
            <v>3</v>
          </cell>
          <cell r="E241">
            <v>1</v>
          </cell>
          <cell r="F241">
            <v>0</v>
          </cell>
          <cell r="G241">
            <v>16.99</v>
          </cell>
        </row>
        <row r="242">
          <cell r="A242" t="str">
            <v>MTX-IULHY-W1758-GN-27</v>
          </cell>
          <cell r="B242" t="str">
            <v>MTX-IULHY-W1758</v>
          </cell>
          <cell r="C242">
            <v>0</v>
          </cell>
          <cell r="D242">
            <v>0</v>
          </cell>
          <cell r="E242">
            <v>1</v>
          </cell>
          <cell r="F242">
            <v>0</v>
          </cell>
          <cell r="G242">
            <v>16.99</v>
          </cell>
        </row>
        <row r="243">
          <cell r="A243" t="str">
            <v>YY5100R5L</v>
          </cell>
          <cell r="B243" t="str">
            <v>YY5100</v>
          </cell>
          <cell r="C243">
            <v>1</v>
          </cell>
          <cell r="D243">
            <v>0</v>
          </cell>
          <cell r="E243">
            <v>2</v>
          </cell>
          <cell r="F243">
            <v>0</v>
          </cell>
          <cell r="G243">
            <v>10</v>
          </cell>
        </row>
        <row r="244">
          <cell r="A244" t="str">
            <v>YMQYZBCSMS140*180CM</v>
          </cell>
          <cell r="B244" t="str">
            <v>YMQYZBCSM</v>
          </cell>
          <cell r="C244">
            <v>0</v>
          </cell>
          <cell r="D244">
            <v>1</v>
          </cell>
          <cell r="E244">
            <v>1</v>
          </cell>
          <cell r="F244">
            <v>0</v>
          </cell>
          <cell r="G244">
            <v>25.99</v>
          </cell>
        </row>
        <row r="245">
          <cell r="A245" t="str">
            <v>MTX-IULHY-W1758-OR-26</v>
          </cell>
          <cell r="B245" t="str">
            <v>MTX-IULHY-W1758</v>
          </cell>
          <cell r="C245">
            <v>0</v>
          </cell>
          <cell r="D245">
            <v>0</v>
          </cell>
          <cell r="E245">
            <v>2</v>
          </cell>
          <cell r="F245">
            <v>0</v>
          </cell>
          <cell r="G245">
            <v>16.99</v>
          </cell>
        </row>
        <row r="246">
          <cell r="A246" t="str">
            <v>GMSNH-LUHM001-K0</v>
          </cell>
          <cell r="B246" t="str">
            <v>GMSNH-LUHM001</v>
          </cell>
          <cell r="C246">
            <v>1</v>
          </cell>
          <cell r="D246">
            <v>0</v>
          </cell>
          <cell r="E246">
            <v>1</v>
          </cell>
          <cell r="F246">
            <v>0</v>
          </cell>
          <cell r="G246">
            <v>10</v>
          </cell>
        </row>
        <row r="247">
          <cell r="A247" t="str">
            <v>MZYSMZ01140*210cm</v>
          </cell>
          <cell r="B247" t="str">
            <v>MZYSM</v>
          </cell>
          <cell r="C247">
            <v>0</v>
          </cell>
          <cell r="D247">
            <v>0</v>
          </cell>
          <cell r="E247">
            <v>1</v>
          </cell>
          <cell r="F247">
            <v>0</v>
          </cell>
          <cell r="G247">
            <v>31.4</v>
          </cell>
        </row>
        <row r="248">
          <cell r="A248" t="str">
            <v>MTX-IULHY-W1759-OR-26</v>
          </cell>
          <cell r="B248" t="str">
            <v>MTX-IULHY-W1759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15.99</v>
          </cell>
        </row>
        <row r="249">
          <cell r="A249" t="str">
            <v>MTX-IULHY-M1759-GR-29</v>
          </cell>
          <cell r="B249" t="str">
            <v>MTX-IULHY-M1759</v>
          </cell>
          <cell r="C249">
            <v>1</v>
          </cell>
          <cell r="D249">
            <v>2</v>
          </cell>
          <cell r="E249">
            <v>1</v>
          </cell>
          <cell r="F249">
            <v>0</v>
          </cell>
          <cell r="G249">
            <v>15.99</v>
          </cell>
        </row>
        <row r="250">
          <cell r="A250" t="str">
            <v>MTX-IULHY-W1759-GN-27</v>
          </cell>
          <cell r="B250" t="str">
            <v>MTX-IULHY-W1759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  <cell r="G250">
            <v>15.99</v>
          </cell>
        </row>
        <row r="251">
          <cell r="A251" t="str">
            <v>YY-IULCY-KS369-PLANT-L</v>
          </cell>
          <cell r="B251" t="str">
            <v>YY-IULCY-KS369</v>
          </cell>
          <cell r="C251">
            <v>0</v>
          </cell>
          <cell r="D251">
            <v>1</v>
          </cell>
          <cell r="E251">
            <v>1</v>
          </cell>
          <cell r="F251">
            <v>0</v>
          </cell>
          <cell r="G251">
            <v>10</v>
          </cell>
        </row>
        <row r="252">
          <cell r="A252" t="str">
            <v>ETYIMC-L-3</v>
          </cell>
          <cell r="B252" t="str">
            <v>ETYIMC</v>
          </cell>
          <cell r="C252">
            <v>1</v>
          </cell>
          <cell r="D252">
            <v>0</v>
          </cell>
          <cell r="E252">
            <v>4</v>
          </cell>
          <cell r="F252">
            <v>0</v>
          </cell>
          <cell r="G252">
            <v>15.99</v>
          </cell>
        </row>
        <row r="253">
          <cell r="A253" t="str">
            <v>MTX-IULHY-W188-PK-38/39</v>
          </cell>
          <cell r="B253" t="str">
            <v>MTX-IULHY-W188</v>
          </cell>
          <cell r="C253">
            <v>0</v>
          </cell>
          <cell r="D253">
            <v>0</v>
          </cell>
          <cell r="E253">
            <v>1</v>
          </cell>
          <cell r="F253">
            <v>0</v>
          </cell>
          <cell r="G253">
            <v>11.99</v>
          </cell>
        </row>
        <row r="254">
          <cell r="A254" t="str">
            <v>YY5100Y0M</v>
          </cell>
          <cell r="B254" t="str">
            <v>YY5100</v>
          </cell>
          <cell r="C254">
            <v>0</v>
          </cell>
          <cell r="D254">
            <v>0</v>
          </cell>
          <cell r="E254">
            <v>1</v>
          </cell>
          <cell r="F254">
            <v>0</v>
          </cell>
          <cell r="G254">
            <v>10</v>
          </cell>
        </row>
        <row r="255">
          <cell r="A255" t="str">
            <v>YY5100R5XL</v>
          </cell>
          <cell r="B255" t="str">
            <v>YY5100</v>
          </cell>
          <cell r="C255">
            <v>0</v>
          </cell>
          <cell r="D255">
            <v>1</v>
          </cell>
          <cell r="E255">
            <v>1</v>
          </cell>
          <cell r="F255">
            <v>0</v>
          </cell>
          <cell r="G255">
            <v>13.99</v>
          </cell>
        </row>
        <row r="256">
          <cell r="A256" t="str">
            <v>ZB-IULCY-YMQY100-CF140*140</v>
          </cell>
          <cell r="B256" t="str">
            <v>ZB-IULCY</v>
          </cell>
          <cell r="C256">
            <v>1</v>
          </cell>
          <cell r="D256">
            <v>2</v>
          </cell>
          <cell r="E256">
            <v>1</v>
          </cell>
          <cell r="F256">
            <v>0</v>
          </cell>
          <cell r="G256">
            <v>21.99</v>
          </cell>
        </row>
        <row r="257">
          <cell r="A257" t="str">
            <v>MTX-IULHY-W1759-PK-27</v>
          </cell>
          <cell r="B257" t="str">
            <v>MTX-IULHY-W1759</v>
          </cell>
          <cell r="C257">
            <v>1</v>
          </cell>
          <cell r="D257">
            <v>0</v>
          </cell>
          <cell r="E257">
            <v>1</v>
          </cell>
          <cell r="F257">
            <v>0</v>
          </cell>
          <cell r="G257">
            <v>15.99</v>
          </cell>
        </row>
        <row r="258">
          <cell r="A258" t="str">
            <v>MZYSZHUOBUDTLEIS140*250CM</v>
          </cell>
          <cell r="B258" t="str">
            <v>MZYSZHUOBUD</v>
          </cell>
          <cell r="C258">
            <v>10</v>
          </cell>
          <cell r="D258">
            <v>0</v>
          </cell>
          <cell r="E258">
            <v>1</v>
          </cell>
          <cell r="F258">
            <v>0</v>
          </cell>
          <cell r="G258">
            <v>3.21818181818182</v>
          </cell>
        </row>
        <row r="259">
          <cell r="A259" t="str">
            <v>MTX-IULHY-M1759-DB-28</v>
          </cell>
          <cell r="B259" t="str">
            <v>MTX-IULHY-M1759</v>
          </cell>
          <cell r="C259">
            <v>1</v>
          </cell>
          <cell r="D259">
            <v>0</v>
          </cell>
          <cell r="E259">
            <v>2</v>
          </cell>
          <cell r="F259">
            <v>0</v>
          </cell>
          <cell r="G259">
            <v>15.99</v>
          </cell>
        </row>
        <row r="260">
          <cell r="A260" t="str">
            <v>YMQYQJISZMSS140*200CM</v>
          </cell>
          <cell r="B260" t="str">
            <v>YMQYQJISZM</v>
          </cell>
          <cell r="C260">
            <v>3</v>
          </cell>
          <cell r="D260">
            <v>1</v>
          </cell>
          <cell r="E260">
            <v>1</v>
          </cell>
          <cell r="F260">
            <v>0</v>
          </cell>
          <cell r="G260">
            <v>23.9</v>
          </cell>
        </row>
        <row r="261">
          <cell r="A261" t="str">
            <v>YY5100XB0L</v>
          </cell>
          <cell r="B261" t="str">
            <v>YY5100</v>
          </cell>
          <cell r="C261">
            <v>0</v>
          </cell>
          <cell r="D261">
            <v>3</v>
          </cell>
          <cell r="E261">
            <v>1</v>
          </cell>
          <cell r="F261">
            <v>0</v>
          </cell>
          <cell r="G261">
            <v>16.99</v>
          </cell>
        </row>
        <row r="262">
          <cell r="A262" t="str">
            <v>YMQYGZZBGZ90*90CM</v>
          </cell>
          <cell r="B262" t="str">
            <v>YMQYGZZBGZ</v>
          </cell>
          <cell r="C262">
            <v>0</v>
          </cell>
          <cell r="D262">
            <v>0</v>
          </cell>
          <cell r="E262">
            <v>1</v>
          </cell>
          <cell r="F262">
            <v>0</v>
          </cell>
          <cell r="G262">
            <v>16.9</v>
          </cell>
        </row>
        <row r="263">
          <cell r="A263" t="str">
            <v>YMQYQXDHY060*60CM</v>
          </cell>
          <cell r="B263" t="str">
            <v>YMQYQXDH</v>
          </cell>
          <cell r="C263">
            <v>0</v>
          </cell>
          <cell r="D263">
            <v>1</v>
          </cell>
          <cell r="E263">
            <v>1</v>
          </cell>
          <cell r="F263">
            <v>0</v>
          </cell>
          <cell r="G263">
            <v>7.99</v>
          </cell>
        </row>
        <row r="264">
          <cell r="A264" t="str">
            <v>MID46-069HSS</v>
          </cell>
          <cell r="B264" t="str">
            <v>MID46-069</v>
          </cell>
          <cell r="C264">
            <v>0</v>
          </cell>
          <cell r="D264">
            <v>0</v>
          </cell>
          <cell r="E264">
            <v>1</v>
          </cell>
          <cell r="F264">
            <v>0</v>
          </cell>
          <cell r="G264">
            <v>22.7</v>
          </cell>
        </row>
        <row r="265">
          <cell r="A265" t="str">
            <v>YMQYQXDHKF100*140CM</v>
          </cell>
          <cell r="B265" t="str">
            <v>YMQYQXDH</v>
          </cell>
          <cell r="C265">
            <v>2</v>
          </cell>
          <cell r="D265">
            <v>1</v>
          </cell>
          <cell r="E265">
            <v>1</v>
          </cell>
          <cell r="F265">
            <v>0</v>
          </cell>
          <cell r="G265">
            <v>17.99</v>
          </cell>
        </row>
        <row r="266">
          <cell r="A266" t="str">
            <v>FSFZB001JHRO160CM</v>
          </cell>
          <cell r="B266" t="str">
            <v>FSFZB001</v>
          </cell>
          <cell r="C266">
            <v>0</v>
          </cell>
          <cell r="D266">
            <v>0</v>
          </cell>
          <cell r="E266">
            <v>1</v>
          </cell>
          <cell r="F266">
            <v>0</v>
          </cell>
          <cell r="G266">
            <v>17.9</v>
          </cell>
        </row>
        <row r="267">
          <cell r="A267" t="str">
            <v>DLJJZHUOBU-BGZW0100x140CM</v>
          </cell>
          <cell r="B267" t="str">
            <v>DLJJZHUOBU-BGZW0</v>
          </cell>
          <cell r="C267">
            <v>1</v>
          </cell>
          <cell r="D267">
            <v>0</v>
          </cell>
          <cell r="E267">
            <v>1</v>
          </cell>
          <cell r="F267">
            <v>0</v>
          </cell>
          <cell r="G267">
            <v>12.645</v>
          </cell>
        </row>
        <row r="268">
          <cell r="A268" t="str">
            <v>YMQYQXDHY0140*180CM</v>
          </cell>
          <cell r="B268" t="str">
            <v>YMQYQXDH</v>
          </cell>
          <cell r="C268">
            <v>1</v>
          </cell>
          <cell r="D268">
            <v>0</v>
          </cell>
          <cell r="E268">
            <v>1</v>
          </cell>
          <cell r="F268">
            <v>0</v>
          </cell>
          <cell r="G268">
            <v>26.99</v>
          </cell>
        </row>
        <row r="269">
          <cell r="A269" t="str">
            <v>YY-IULCY-C9002-AG</v>
          </cell>
          <cell r="B269" t="str">
            <v>YY-IULCY-C9002</v>
          </cell>
          <cell r="C269">
            <v>3</v>
          </cell>
          <cell r="D269">
            <v>2</v>
          </cell>
          <cell r="E269">
            <v>1</v>
          </cell>
          <cell r="F269">
            <v>0</v>
          </cell>
          <cell r="G269">
            <v>15.99</v>
          </cell>
        </row>
        <row r="270">
          <cell r="A270" t="str">
            <v>BYZBFS90*140CM</v>
          </cell>
          <cell r="B270" t="str">
            <v>BYZBFS</v>
          </cell>
          <cell r="C270">
            <v>0</v>
          </cell>
          <cell r="D270">
            <v>0</v>
          </cell>
          <cell r="E270">
            <v>1</v>
          </cell>
          <cell r="F270">
            <v>0</v>
          </cell>
          <cell r="G270">
            <v>15.85</v>
          </cell>
        </row>
        <row r="271">
          <cell r="A271" t="str">
            <v>YMQYQJISZMZM140*200CM</v>
          </cell>
          <cell r="B271" t="str">
            <v>YMQYQJISZM</v>
          </cell>
          <cell r="C271">
            <v>0</v>
          </cell>
          <cell r="D271">
            <v>0</v>
          </cell>
          <cell r="E271">
            <v>1</v>
          </cell>
          <cell r="F271">
            <v>0</v>
          </cell>
          <cell r="G271">
            <v>23.9</v>
          </cell>
        </row>
        <row r="272">
          <cell r="A272" t="str">
            <v>YMQYQXDHKF140*250CM</v>
          </cell>
          <cell r="B272" t="str">
            <v>YMQYQXDH</v>
          </cell>
          <cell r="C272">
            <v>0</v>
          </cell>
          <cell r="D272">
            <v>1</v>
          </cell>
          <cell r="E272">
            <v>0</v>
          </cell>
          <cell r="F272">
            <v>0</v>
          </cell>
          <cell r="G272">
            <v>30.99</v>
          </cell>
        </row>
        <row r="273">
          <cell r="A273" t="str">
            <v>YY5100B1XL</v>
          </cell>
          <cell r="B273" t="str">
            <v>YY5100</v>
          </cell>
          <cell r="C273">
            <v>0</v>
          </cell>
          <cell r="D273">
            <v>1</v>
          </cell>
          <cell r="E273">
            <v>0</v>
          </cell>
          <cell r="F273">
            <v>0</v>
          </cell>
          <cell r="G273">
            <v>13.99</v>
          </cell>
        </row>
        <row r="274">
          <cell r="A274" t="str">
            <v>MID46-069-XL</v>
          </cell>
          <cell r="B274" t="str">
            <v>MID46-069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22.7</v>
          </cell>
        </row>
        <row r="275">
          <cell r="A275" t="str">
            <v>AWFSNANKU-2292B0-31</v>
          </cell>
          <cell r="B275" t="str">
            <v>AWFSNANKU-2292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  <cell r="G275">
            <v>10</v>
          </cell>
        </row>
        <row r="276">
          <cell r="A276" t="str">
            <v>ETYIMC-L</v>
          </cell>
          <cell r="B276" t="str">
            <v>ETYIMC</v>
          </cell>
          <cell r="C276">
            <v>0</v>
          </cell>
          <cell r="D276">
            <v>2</v>
          </cell>
          <cell r="E276">
            <v>0</v>
          </cell>
          <cell r="F276">
            <v>0</v>
          </cell>
          <cell r="G276">
            <v>0</v>
          </cell>
        </row>
        <row r="277">
          <cell r="A277" t="str">
            <v>6958140000000-36</v>
          </cell>
          <cell r="B277" t="str">
            <v>6958140000000</v>
          </cell>
          <cell r="C277">
            <v>0</v>
          </cell>
          <cell r="D277">
            <v>2</v>
          </cell>
          <cell r="E277">
            <v>0</v>
          </cell>
          <cell r="F277">
            <v>0</v>
          </cell>
          <cell r="G277">
            <v>9.99</v>
          </cell>
        </row>
        <row r="278">
          <cell r="A278" t="str">
            <v>YMQYQXDHY090*90CM</v>
          </cell>
          <cell r="B278" t="str">
            <v>YMQYQXDH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 t="e">
            <v>#DIV/0!</v>
          </cell>
        </row>
        <row r="279">
          <cell r="A279" t="str">
            <v>YY-IULCY-KS369-ANCHOR-M</v>
          </cell>
          <cell r="B279" t="str">
            <v>YY-IULCY-KS369</v>
          </cell>
          <cell r="C279">
            <v>0</v>
          </cell>
          <cell r="D279">
            <v>1</v>
          </cell>
          <cell r="E279">
            <v>0</v>
          </cell>
          <cell r="F279">
            <v>0</v>
          </cell>
          <cell r="G279">
            <v>10</v>
          </cell>
        </row>
        <row r="280">
          <cell r="A280" t="str">
            <v>YMQYQXDHKF140*200CM</v>
          </cell>
          <cell r="B280" t="str">
            <v>YMQYQXDH</v>
          </cell>
          <cell r="C280">
            <v>0</v>
          </cell>
          <cell r="D280">
            <v>4</v>
          </cell>
          <cell r="E280">
            <v>0</v>
          </cell>
          <cell r="F280">
            <v>0</v>
          </cell>
          <cell r="G280">
            <v>26.99</v>
          </cell>
        </row>
        <row r="281">
          <cell r="A281" t="str">
            <v>DZ-IUYL220-BK</v>
          </cell>
          <cell r="B281" t="str">
            <v>DZ-IUYL220</v>
          </cell>
          <cell r="C281">
            <v>4</v>
          </cell>
          <cell r="D281">
            <v>1</v>
          </cell>
          <cell r="E281">
            <v>0</v>
          </cell>
          <cell r="F281">
            <v>0</v>
          </cell>
          <cell r="G281">
            <v>6</v>
          </cell>
        </row>
        <row r="282">
          <cell r="A282" t="str">
            <v>YY-IULCY-KS377-ANCHOR-L</v>
          </cell>
          <cell r="B282" t="str">
            <v>YY-IULCY-KS377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10</v>
          </cell>
        </row>
        <row r="283">
          <cell r="A283" t="str">
            <v>GMZYL-FLQ06-HG-40</v>
          </cell>
          <cell r="B283" t="str">
            <v>GMZYL-FLQ06</v>
          </cell>
          <cell r="C283">
            <v>1</v>
          </cell>
          <cell r="D283">
            <v>1</v>
          </cell>
          <cell r="E283">
            <v>0</v>
          </cell>
          <cell r="F283">
            <v>0</v>
          </cell>
          <cell r="G283">
            <v>18.99</v>
          </cell>
        </row>
        <row r="284">
          <cell r="A284" t="str">
            <v>ZAKKA0589R035*50CM</v>
          </cell>
          <cell r="B284" t="str">
            <v>ZAKKA0589</v>
          </cell>
          <cell r="C284">
            <v>0</v>
          </cell>
          <cell r="D284">
            <v>2</v>
          </cell>
          <cell r="E284">
            <v>0</v>
          </cell>
          <cell r="F284">
            <v>0</v>
          </cell>
          <cell r="G284">
            <v>9.9</v>
          </cell>
        </row>
        <row r="285">
          <cell r="A285" t="str">
            <v>YMQYQXDHPO100*140CM</v>
          </cell>
          <cell r="B285" t="str">
            <v>YMQYQXDH</v>
          </cell>
          <cell r="C285">
            <v>0</v>
          </cell>
          <cell r="D285">
            <v>1</v>
          </cell>
          <cell r="E285">
            <v>0</v>
          </cell>
          <cell r="F285">
            <v>0</v>
          </cell>
          <cell r="G285">
            <v>14.43</v>
          </cell>
        </row>
        <row r="286">
          <cell r="A286" t="str">
            <v>MTX-IULHY-W1759-GN-26</v>
          </cell>
          <cell r="B286" t="str">
            <v>MTX-IULHY-W1759</v>
          </cell>
          <cell r="C286">
            <v>0</v>
          </cell>
          <cell r="D286">
            <v>2</v>
          </cell>
          <cell r="E286">
            <v>0</v>
          </cell>
          <cell r="F286">
            <v>0</v>
          </cell>
          <cell r="G286">
            <v>15.99</v>
          </cell>
        </row>
        <row r="287">
          <cell r="A287" t="str">
            <v>BYZBFS140*200CM</v>
          </cell>
          <cell r="B287" t="str">
            <v>BYZBFS</v>
          </cell>
          <cell r="C287">
            <v>0</v>
          </cell>
          <cell r="D287">
            <v>1</v>
          </cell>
          <cell r="E287">
            <v>0</v>
          </cell>
          <cell r="F287">
            <v>0</v>
          </cell>
          <cell r="G287">
            <v>20.35</v>
          </cell>
        </row>
        <row r="288">
          <cell r="A288" t="str">
            <v>ZXXBLV-L</v>
          </cell>
          <cell r="B288" t="str">
            <v>ZXXB</v>
          </cell>
          <cell r="C288">
            <v>0</v>
          </cell>
          <cell r="D288">
            <v>1</v>
          </cell>
          <cell r="E288">
            <v>0</v>
          </cell>
          <cell r="F288">
            <v>0</v>
          </cell>
          <cell r="G288">
            <v>13.99</v>
          </cell>
        </row>
        <row r="289">
          <cell r="A289" t="str">
            <v>ZAKKA0040B035*50CM</v>
          </cell>
          <cell r="B289" t="str">
            <v>ZAKKA0040</v>
          </cell>
          <cell r="C289">
            <v>1</v>
          </cell>
          <cell r="D289">
            <v>2</v>
          </cell>
          <cell r="E289">
            <v>0</v>
          </cell>
          <cell r="F289">
            <v>0</v>
          </cell>
          <cell r="G289">
            <v>24.49</v>
          </cell>
        </row>
        <row r="290">
          <cell r="A290" t="str">
            <v>YY-IULCY-KS372-WT-XL</v>
          </cell>
          <cell r="B290" t="str">
            <v>YY-IULCY-KS372</v>
          </cell>
          <cell r="C290">
            <v>1</v>
          </cell>
          <cell r="D290">
            <v>2</v>
          </cell>
          <cell r="E290">
            <v>0</v>
          </cell>
          <cell r="F290">
            <v>0</v>
          </cell>
          <cell r="G290">
            <v>13.99</v>
          </cell>
        </row>
        <row r="291">
          <cell r="A291" t="str">
            <v>TZ-IUYL240-PAW-L</v>
          </cell>
          <cell r="B291" t="str">
            <v>TZ-IUYL240</v>
          </cell>
          <cell r="C291">
            <v>1</v>
          </cell>
          <cell r="D291">
            <v>2</v>
          </cell>
          <cell r="E291">
            <v>0</v>
          </cell>
          <cell r="F291">
            <v>0</v>
          </cell>
          <cell r="G291">
            <v>22.99</v>
          </cell>
        </row>
        <row r="292">
          <cell r="A292" t="str">
            <v>YY2127GRL</v>
          </cell>
          <cell r="B292" t="str">
            <v>YY2127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  <cell r="G292">
            <v>19.99</v>
          </cell>
        </row>
        <row r="293">
          <cell r="A293" t="str">
            <v>MJ-IUYL230-CF-L</v>
          </cell>
          <cell r="B293" t="str">
            <v>MJ-IUYL230</v>
          </cell>
          <cell r="C293">
            <v>0</v>
          </cell>
          <cell r="D293">
            <v>2</v>
          </cell>
          <cell r="E293">
            <v>0</v>
          </cell>
          <cell r="F293">
            <v>0</v>
          </cell>
          <cell r="G293">
            <v>15.59</v>
          </cell>
        </row>
        <row r="294">
          <cell r="A294" t="str">
            <v>YY-IULCY-C9002-DB</v>
          </cell>
          <cell r="B294" t="str">
            <v>YY-IULCY-C9002</v>
          </cell>
          <cell r="C294">
            <v>1</v>
          </cell>
          <cell r="D294">
            <v>2</v>
          </cell>
          <cell r="E294">
            <v>0</v>
          </cell>
          <cell r="F294">
            <v>0</v>
          </cell>
          <cell r="G294">
            <v>15.19</v>
          </cell>
        </row>
        <row r="295">
          <cell r="A295" t="str">
            <v>YMQYQXDHY0140*200CM</v>
          </cell>
          <cell r="B295" t="str">
            <v>YMQYQXDH</v>
          </cell>
          <cell r="C295">
            <v>0</v>
          </cell>
          <cell r="D295">
            <v>1</v>
          </cell>
          <cell r="E295">
            <v>0</v>
          </cell>
          <cell r="F295">
            <v>0</v>
          </cell>
          <cell r="G295">
            <v>30.99</v>
          </cell>
        </row>
        <row r="296">
          <cell r="A296" t="str">
            <v>SQ-XLEJ-496F</v>
          </cell>
          <cell r="B296" t="str">
            <v>SQ-XLEJ-496</v>
          </cell>
          <cell r="C296">
            <v>1</v>
          </cell>
          <cell r="D296">
            <v>1</v>
          </cell>
          <cell r="E296">
            <v>0</v>
          </cell>
          <cell r="F296">
            <v>0</v>
          </cell>
          <cell r="G296">
            <v>4.9</v>
          </cell>
        </row>
        <row r="297">
          <cell r="A297" t="str">
            <v>YMQYQZB05HS100*140CM</v>
          </cell>
          <cell r="B297" t="str">
            <v>YMQYQZB05HS</v>
          </cell>
          <cell r="C297">
            <v>1</v>
          </cell>
          <cell r="D297">
            <v>1</v>
          </cell>
          <cell r="E297">
            <v>0</v>
          </cell>
          <cell r="F297">
            <v>0</v>
          </cell>
          <cell r="G297">
            <v>9.95</v>
          </cell>
        </row>
        <row r="298">
          <cell r="A298" t="str">
            <v>YY5100R5XXL</v>
          </cell>
          <cell r="B298" t="str">
            <v>YY5100</v>
          </cell>
          <cell r="C298">
            <v>1</v>
          </cell>
          <cell r="D298">
            <v>1</v>
          </cell>
          <cell r="E298">
            <v>0</v>
          </cell>
          <cell r="F298">
            <v>0</v>
          </cell>
          <cell r="G298">
            <v>13.99</v>
          </cell>
        </row>
        <row r="299">
          <cell r="A299" t="str">
            <v>ZXXBHO-S</v>
          </cell>
          <cell r="B299" t="str">
            <v>ZXXB</v>
          </cell>
          <cell r="C299">
            <v>2</v>
          </cell>
          <cell r="D299">
            <v>1</v>
          </cell>
          <cell r="E299">
            <v>0</v>
          </cell>
          <cell r="F299">
            <v>0</v>
          </cell>
          <cell r="G299">
            <v>13.99</v>
          </cell>
        </row>
        <row r="300">
          <cell r="A300" t="str">
            <v>YMQYQXDHY0100*140CM</v>
          </cell>
          <cell r="B300" t="str">
            <v>YMQYQXDH</v>
          </cell>
          <cell r="C300">
            <v>0</v>
          </cell>
          <cell r="D300">
            <v>1</v>
          </cell>
          <cell r="E300">
            <v>0</v>
          </cell>
          <cell r="F300">
            <v>0</v>
          </cell>
          <cell r="G300">
            <v>16.99</v>
          </cell>
        </row>
        <row r="301">
          <cell r="A301" t="str">
            <v>ZXXBHO-L</v>
          </cell>
          <cell r="B301" t="str">
            <v>ZXXB</v>
          </cell>
          <cell r="C301">
            <v>0</v>
          </cell>
          <cell r="D301">
            <v>2</v>
          </cell>
          <cell r="E301">
            <v>0</v>
          </cell>
          <cell r="F301">
            <v>0</v>
          </cell>
          <cell r="G301">
            <v>13.99</v>
          </cell>
        </row>
        <row r="302">
          <cell r="A302" t="str">
            <v>MTX-IULHY-W188-PP-38/39</v>
          </cell>
          <cell r="B302" t="str">
            <v>MTX-IULHY-W188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  <cell r="G302">
            <v>11.99</v>
          </cell>
        </row>
        <row r="303">
          <cell r="A303" t="str">
            <v>MID46-069HSLX</v>
          </cell>
          <cell r="B303" t="str">
            <v>MID46-069</v>
          </cell>
          <cell r="C303">
            <v>0</v>
          </cell>
          <cell r="D303">
            <v>1</v>
          </cell>
          <cell r="E303">
            <v>0</v>
          </cell>
          <cell r="F303">
            <v>0</v>
          </cell>
          <cell r="G303">
            <v>22.7</v>
          </cell>
        </row>
        <row r="304">
          <cell r="A304" t="str">
            <v>MIDUYD46-059KZL</v>
          </cell>
          <cell r="B304" t="str">
            <v>MIDUYD46-059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  <cell r="G304">
            <v>22.7</v>
          </cell>
        </row>
        <row r="305">
          <cell r="A305" t="str">
            <v>YY-IULCY-KS369-HEAD-M</v>
          </cell>
          <cell r="B305" t="str">
            <v>YY-IULCY-KS369</v>
          </cell>
          <cell r="C305">
            <v>0</v>
          </cell>
          <cell r="D305">
            <v>1</v>
          </cell>
          <cell r="E305">
            <v>0</v>
          </cell>
          <cell r="F305">
            <v>0</v>
          </cell>
          <cell r="G305">
            <v>10</v>
          </cell>
        </row>
        <row r="306">
          <cell r="A306" t="str">
            <v>YY-IULCY-XW100-DOG</v>
          </cell>
          <cell r="B306" t="str">
            <v>YY-IULCY-XW100</v>
          </cell>
          <cell r="C306">
            <v>22</v>
          </cell>
          <cell r="D306">
            <v>5</v>
          </cell>
          <cell r="E306">
            <v>0</v>
          </cell>
          <cell r="F306">
            <v>0</v>
          </cell>
          <cell r="G306">
            <v>27.99</v>
          </cell>
        </row>
        <row r="307">
          <cell r="A307" t="str">
            <v>ZHUAPPPJS-S</v>
          </cell>
          <cell r="B307" t="str">
            <v>ZHUAPPP</v>
          </cell>
          <cell r="C307">
            <v>0</v>
          </cell>
          <cell r="D307">
            <v>1</v>
          </cell>
          <cell r="E307">
            <v>0</v>
          </cell>
          <cell r="F307">
            <v>0</v>
          </cell>
          <cell r="G307">
            <v>15.99</v>
          </cell>
        </row>
        <row r="308">
          <cell r="A308" t="str">
            <v>BYZBLANS140*220CM</v>
          </cell>
          <cell r="B308" t="str">
            <v>BYZBLANS</v>
          </cell>
          <cell r="C308">
            <v>0</v>
          </cell>
          <cell r="D308">
            <v>1</v>
          </cell>
          <cell r="E308">
            <v>0</v>
          </cell>
          <cell r="F308">
            <v>0</v>
          </cell>
          <cell r="G308">
            <v>27.99</v>
          </cell>
        </row>
        <row r="309">
          <cell r="A309" t="str">
            <v>YMQYQDZMZM140*160CM</v>
          </cell>
          <cell r="B309" t="str">
            <v>YMQYQDZMZM</v>
          </cell>
          <cell r="C309">
            <v>0</v>
          </cell>
          <cell r="D309">
            <v>1</v>
          </cell>
          <cell r="E309">
            <v>0</v>
          </cell>
          <cell r="F309">
            <v>0</v>
          </cell>
          <cell r="G309">
            <v>28.9</v>
          </cell>
        </row>
        <row r="310">
          <cell r="A310" t="str">
            <v>DJSCZHUOBUCSAQHS110*140CM</v>
          </cell>
          <cell r="B310" t="str">
            <v>DJSCZHUOBUCSAQHS</v>
          </cell>
          <cell r="C310">
            <v>0</v>
          </cell>
          <cell r="D310">
            <v>2</v>
          </cell>
          <cell r="E310">
            <v>0</v>
          </cell>
          <cell r="F310">
            <v>0</v>
          </cell>
          <cell r="G310">
            <v>18.19</v>
          </cell>
        </row>
        <row r="311">
          <cell r="A311" t="str">
            <v>MTX-IULHY-W1758-GN-25</v>
          </cell>
          <cell r="B311" t="str">
            <v>MTX-IULHY-W1758</v>
          </cell>
          <cell r="C311">
            <v>0</v>
          </cell>
          <cell r="D311">
            <v>1</v>
          </cell>
          <cell r="E311">
            <v>0</v>
          </cell>
          <cell r="F311">
            <v>0</v>
          </cell>
          <cell r="G311">
            <v>16.99</v>
          </cell>
        </row>
        <row r="312">
          <cell r="A312" t="str">
            <v>YY-IULCY-KS372-BL-XL</v>
          </cell>
          <cell r="B312" t="str">
            <v>YY-IULCY-KS372</v>
          </cell>
          <cell r="C312">
            <v>0</v>
          </cell>
          <cell r="D312">
            <v>1</v>
          </cell>
          <cell r="E312">
            <v>0</v>
          </cell>
          <cell r="F312">
            <v>0</v>
          </cell>
          <cell r="G312">
            <v>13.99</v>
          </cell>
        </row>
        <row r="313">
          <cell r="A313" t="str">
            <v>YY-IULCY-XW100-LIGHT</v>
          </cell>
          <cell r="B313" t="str">
            <v>YY-IULCY-XW100</v>
          </cell>
          <cell r="C313">
            <v>8</v>
          </cell>
          <cell r="D313">
            <v>1</v>
          </cell>
          <cell r="E313">
            <v>0</v>
          </cell>
          <cell r="F313">
            <v>0</v>
          </cell>
          <cell r="G313">
            <v>27.99</v>
          </cell>
        </row>
        <row r="314">
          <cell r="A314" t="str">
            <v>YX-IUCY-819-N5-2XL</v>
          </cell>
          <cell r="B314" t="str">
            <v>YX-IUCY</v>
          </cell>
          <cell r="C314">
            <v>2</v>
          </cell>
          <cell r="D314">
            <v>1</v>
          </cell>
          <cell r="E314">
            <v>0</v>
          </cell>
          <cell r="F314">
            <v>0</v>
          </cell>
          <cell r="G314">
            <v>9</v>
          </cell>
        </row>
        <row r="315">
          <cell r="A315" t="str">
            <v>YMQYQXDHY0140*250CM</v>
          </cell>
          <cell r="B315" t="str">
            <v>YMQYQXDH</v>
          </cell>
          <cell r="C315">
            <v>0</v>
          </cell>
          <cell r="D315">
            <v>1</v>
          </cell>
          <cell r="E315">
            <v>0</v>
          </cell>
          <cell r="F315">
            <v>0</v>
          </cell>
          <cell r="G315">
            <v>40.99</v>
          </cell>
        </row>
        <row r="316">
          <cell r="A316" t="str">
            <v>YMQYZBJTE090*90CM</v>
          </cell>
          <cell r="B316" t="str">
            <v>YMQYZBJT</v>
          </cell>
          <cell r="C316">
            <v>0</v>
          </cell>
          <cell r="D316">
            <v>1</v>
          </cell>
          <cell r="E316">
            <v>0</v>
          </cell>
          <cell r="F316">
            <v>0</v>
          </cell>
          <cell r="G316">
            <v>11.5</v>
          </cell>
        </row>
        <row r="317">
          <cell r="A317" t="str">
            <v>YHJRBHIS-L</v>
          </cell>
          <cell r="B317" t="str">
            <v>YHJRB</v>
          </cell>
          <cell r="C317">
            <v>0</v>
          </cell>
          <cell r="D317">
            <v>1</v>
          </cell>
          <cell r="E317">
            <v>0</v>
          </cell>
          <cell r="F317">
            <v>0</v>
          </cell>
          <cell r="G317">
            <v>9.99</v>
          </cell>
        </row>
        <row r="318">
          <cell r="A318" t="str">
            <v>YMQYZB4DHD140*140CM</v>
          </cell>
          <cell r="B318" t="str">
            <v>YMQYZB4DHD</v>
          </cell>
          <cell r="C318">
            <v>0</v>
          </cell>
          <cell r="D318">
            <v>1</v>
          </cell>
          <cell r="E318">
            <v>0</v>
          </cell>
          <cell r="F318">
            <v>0</v>
          </cell>
          <cell r="G318">
            <v>18.9</v>
          </cell>
        </row>
        <row r="319">
          <cell r="A319" t="str">
            <v>MTX-IULHY-M1759-GR-28</v>
          </cell>
          <cell r="B319" t="str">
            <v>MTX-IULHY-M1759</v>
          </cell>
          <cell r="C319">
            <v>2</v>
          </cell>
          <cell r="D319">
            <v>1</v>
          </cell>
          <cell r="E319">
            <v>0</v>
          </cell>
          <cell r="F319">
            <v>0</v>
          </cell>
          <cell r="G319">
            <v>15.99</v>
          </cell>
        </row>
        <row r="320">
          <cell r="A320" t="str">
            <v>YY-IULCY-HZYD200-LGSTAR-M</v>
          </cell>
          <cell r="B320" t="str">
            <v>YY-IULCY-HZYD200</v>
          </cell>
          <cell r="C320">
            <v>3</v>
          </cell>
          <cell r="D320">
            <v>1</v>
          </cell>
          <cell r="E320">
            <v>0</v>
          </cell>
          <cell r="F320">
            <v>0</v>
          </cell>
          <cell r="G320">
            <v>15.99</v>
          </cell>
        </row>
        <row r="321">
          <cell r="A321" t="str">
            <v>ARDIANCOF</v>
          </cell>
          <cell r="B321" t="str">
            <v>ARDIAN</v>
          </cell>
          <cell r="C321">
            <v>1</v>
          </cell>
          <cell r="D321">
            <v>1</v>
          </cell>
          <cell r="E321">
            <v>0</v>
          </cell>
          <cell r="F321">
            <v>0</v>
          </cell>
          <cell r="G321">
            <v>11.59</v>
          </cell>
        </row>
        <row r="322">
          <cell r="A322" t="str">
            <v>SWEATPETLAN24</v>
          </cell>
          <cell r="B322" t="str">
            <v>SWEATPET</v>
          </cell>
          <cell r="C322">
            <v>1</v>
          </cell>
          <cell r="D322">
            <v>0</v>
          </cell>
          <cell r="E322">
            <v>0</v>
          </cell>
          <cell r="F322">
            <v>0</v>
          </cell>
          <cell r="G322">
            <v>12.99</v>
          </cell>
        </row>
        <row r="323">
          <cell r="A323" t="str">
            <v>YY-IULCY-XW100-COLORFUL</v>
          </cell>
          <cell r="B323" t="str">
            <v>YY-IULCY-XW100</v>
          </cell>
          <cell r="C323">
            <v>12</v>
          </cell>
          <cell r="D323">
            <v>0</v>
          </cell>
          <cell r="E323">
            <v>0</v>
          </cell>
          <cell r="F323">
            <v>0</v>
          </cell>
          <cell r="G323">
            <v>27.99</v>
          </cell>
        </row>
        <row r="324">
          <cell r="A324" t="str">
            <v>YY-IULCY-HZYD200-LGSTAR-XL</v>
          </cell>
          <cell r="B324" t="str">
            <v>YY-IULCY-HZYD200</v>
          </cell>
          <cell r="C324">
            <v>2</v>
          </cell>
          <cell r="D324">
            <v>0</v>
          </cell>
          <cell r="E324">
            <v>0</v>
          </cell>
          <cell r="F324">
            <v>0</v>
          </cell>
          <cell r="G324">
            <v>15.99</v>
          </cell>
        </row>
        <row r="325">
          <cell r="A325" t="str">
            <v>GMZYL-FLQ2013-DX-36</v>
          </cell>
          <cell r="B325" t="str">
            <v>GMZYL-FLQ2013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14.99</v>
          </cell>
        </row>
        <row r="326">
          <cell r="A326" t="str">
            <v>YY-IULCY-KS377-PLANT-M</v>
          </cell>
          <cell r="B326" t="str">
            <v>YY-IULCY-KS377</v>
          </cell>
          <cell r="C326">
            <v>1</v>
          </cell>
          <cell r="D326">
            <v>0</v>
          </cell>
          <cell r="E326">
            <v>0</v>
          </cell>
          <cell r="F326">
            <v>0</v>
          </cell>
          <cell r="G326">
            <v>10.99</v>
          </cell>
        </row>
        <row r="327">
          <cell r="A327" t="str">
            <v>ZHUAPPPJS-L</v>
          </cell>
          <cell r="B327" t="str">
            <v>ZHUAPPP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  <cell r="G327">
            <v>17.99</v>
          </cell>
        </row>
        <row r="328">
          <cell r="A328" t="str">
            <v>YY-IULCY-KS370-BL-M</v>
          </cell>
          <cell r="B328" t="str">
            <v>YY-IULCY-KS370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e">
            <v>#DIV/0!</v>
          </cell>
        </row>
        <row r="329">
          <cell r="A329" t="str">
            <v>YHJRBZLS-XL</v>
          </cell>
          <cell r="B329" t="str">
            <v>YHJRB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e">
            <v>#DIV/0!</v>
          </cell>
        </row>
        <row r="330">
          <cell r="A330" t="str">
            <v>YHJRBBS-L</v>
          </cell>
          <cell r="B330" t="str">
            <v>YHJRB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e">
            <v>#DIV/0!</v>
          </cell>
        </row>
        <row r="331">
          <cell r="A331" t="str">
            <v>YHJRBBS-M</v>
          </cell>
          <cell r="B331" t="str">
            <v>YHJRB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 t="e">
            <v>#DIV/0!</v>
          </cell>
        </row>
        <row r="332">
          <cell r="A332" t="str">
            <v>YHJRBZS-XL</v>
          </cell>
          <cell r="B332" t="str">
            <v>YHJRB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 t="e">
            <v>#DIV/0!</v>
          </cell>
        </row>
        <row r="333">
          <cell r="A333" t="str">
            <v>MIDUQF46W0M</v>
          </cell>
          <cell r="B333" t="str">
            <v>MIDUQF46W0M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 t="e">
            <v>#DIV/0!</v>
          </cell>
        </row>
        <row r="334">
          <cell r="A334" t="str">
            <v>MIDUQF46W0SX</v>
          </cell>
          <cell r="B334" t="str">
            <v>MIDUQF46</v>
          </cell>
          <cell r="C334">
            <v>4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</row>
        <row r="335">
          <cell r="A335" t="str">
            <v>YHJRBBS-S</v>
          </cell>
          <cell r="B335" t="str">
            <v>YHJRB</v>
          </cell>
          <cell r="C335">
            <v>2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</row>
        <row r="336">
          <cell r="A336" t="str">
            <v>LMZJYUJIAK-17028-K0-L</v>
          </cell>
          <cell r="B336" t="str">
            <v>LMZJYUJIAK-17028</v>
          </cell>
          <cell r="C336">
            <v>2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</row>
        <row r="337">
          <cell r="A337" t="str">
            <v>YHJRBJS-M</v>
          </cell>
          <cell r="B337" t="str">
            <v>YHJRB</v>
          </cell>
          <cell r="C337">
            <v>2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</row>
        <row r="338">
          <cell r="A338" t="str">
            <v>YHJRBMHS-S</v>
          </cell>
          <cell r="B338" t="str">
            <v>YHJRB</v>
          </cell>
          <cell r="C338">
            <v>2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</row>
        <row r="339">
          <cell r="A339" t="str">
            <v>YHJRBMHS-L</v>
          </cell>
          <cell r="B339" t="str">
            <v>YHJRB</v>
          </cell>
          <cell r="C339">
            <v>2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</row>
        <row r="340">
          <cell r="A340" t="str">
            <v>DLJJZHUOBU-BGZW0140x250CM</v>
          </cell>
          <cell r="B340" t="str">
            <v>DLJJZHUOBU-BGZW0</v>
          </cell>
          <cell r="C340">
            <v>5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</row>
        <row r="341">
          <cell r="A341" t="str">
            <v>YMQYQZB05HS140*180CM</v>
          </cell>
          <cell r="B341" t="str">
            <v>YMQYQZB05HS</v>
          </cell>
          <cell r="C341">
            <v>2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</row>
        <row r="342">
          <cell r="A342" t="str">
            <v>YHJRBBS-XL</v>
          </cell>
          <cell r="B342" t="str">
            <v>YHJRB</v>
          </cell>
          <cell r="C342">
            <v>2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</row>
        <row r="343">
          <cell r="A343" t="str">
            <v>YHJRBMHS-M</v>
          </cell>
          <cell r="B343" t="str">
            <v>YHJRB</v>
          </cell>
          <cell r="C343">
            <v>2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</row>
        <row r="344">
          <cell r="A344" t="str">
            <v>ZBCSXMXM140*200</v>
          </cell>
          <cell r="B344" t="str">
            <v>ZBCSXMXM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 t="e">
            <v>#DIV/0!</v>
          </cell>
        </row>
        <row r="345">
          <cell r="A345" t="str">
            <v>YHJRBZS-S</v>
          </cell>
          <cell r="B345" t="str">
            <v>YHJRB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 t="e">
            <v>#DIV/0!</v>
          </cell>
        </row>
        <row r="346">
          <cell r="A346" t="str">
            <v>YHJRBZS-M</v>
          </cell>
          <cell r="B346" t="str">
            <v>YHJRB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 t="e">
            <v>#DIV/0!</v>
          </cell>
        </row>
        <row r="347">
          <cell r="A347" t="str">
            <v>YHJRBJS-L</v>
          </cell>
          <cell r="B347" t="str">
            <v>YHJRB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 t="e">
            <v>#DIV/0!</v>
          </cell>
        </row>
        <row r="348">
          <cell r="A348" t="str">
            <v>YHJRBHS-L</v>
          </cell>
          <cell r="B348" t="str">
            <v>YHJRB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 t="e">
            <v>#DIV/0!</v>
          </cell>
        </row>
        <row r="349">
          <cell r="A349" t="str">
            <v>YHJRBZS-L</v>
          </cell>
          <cell r="B349" t="str">
            <v>YHJRB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 t="e">
            <v>#DIV/0!</v>
          </cell>
        </row>
        <row r="350">
          <cell r="A350" t="str">
            <v>YHJRBHS-S</v>
          </cell>
          <cell r="B350" t="str">
            <v>YHJRB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 t="e">
            <v>#DIV/0!</v>
          </cell>
        </row>
        <row r="351">
          <cell r="A351" t="str">
            <v>YHJRBJS-S</v>
          </cell>
          <cell r="B351" t="str">
            <v>YHJRB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 t="e">
            <v>#DIV/0!</v>
          </cell>
        </row>
        <row r="352">
          <cell r="A352" t="str">
            <v>YHJRBZLS-L</v>
          </cell>
          <cell r="B352" t="str">
            <v>YHJRB</v>
          </cell>
          <cell r="C352">
            <v>4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</row>
        <row r="353">
          <cell r="A353" t="str">
            <v>YMQYZHUOBUJXXHB0140x180CM</v>
          </cell>
          <cell r="B353" t="str">
            <v>YMQYZHUOBUJXXH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 t="e">
            <v>#DIV/0!</v>
          </cell>
        </row>
        <row r="354">
          <cell r="A354" t="str">
            <v>YHJRBZLS-M</v>
          </cell>
          <cell r="B354" t="str">
            <v>YHJRB</v>
          </cell>
          <cell r="C354">
            <v>4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</row>
        <row r="355">
          <cell r="A355" t="str">
            <v>DDK2-L</v>
          </cell>
          <cell r="B355" t="str">
            <v>DDK2</v>
          </cell>
          <cell r="C355">
            <v>4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MZYSTYMM140*220CM</v>
          </cell>
          <cell r="B356" t="str">
            <v>MZYSTYMM</v>
          </cell>
          <cell r="C356">
            <v>4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YHJRBZLS-S</v>
          </cell>
          <cell r="B357" t="str">
            <v>YHJRB</v>
          </cell>
          <cell r="C357">
            <v>4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</row>
        <row r="358">
          <cell r="A358" t="str">
            <v>DDK2-XL</v>
          </cell>
          <cell r="B358" t="str">
            <v>DDK2</v>
          </cell>
          <cell r="C358">
            <v>5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</row>
        <row r="359">
          <cell r="A359" t="str">
            <v>YHJRBHIS-S</v>
          </cell>
          <cell r="B359" t="str">
            <v>YHJRB</v>
          </cell>
          <cell r="C359">
            <v>5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</row>
        <row r="360">
          <cell r="A360" t="str">
            <v>YHJRBJS-XL</v>
          </cell>
          <cell r="B360" t="str">
            <v>YHJRB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 t="e">
            <v>#DIV/0!</v>
          </cell>
        </row>
        <row r="361">
          <cell r="A361" t="str">
            <v>DDK2-S</v>
          </cell>
          <cell r="B361" t="str">
            <v>DDK2</v>
          </cell>
          <cell r="C361">
            <v>5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</row>
        <row r="362">
          <cell r="A362" t="str">
            <v>YHJRBHS-XL</v>
          </cell>
          <cell r="B362" t="str">
            <v>YHJRB</v>
          </cell>
          <cell r="C362">
            <v>5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</row>
        <row r="363">
          <cell r="A363" t="str">
            <v>DDK2-M</v>
          </cell>
          <cell r="B363" t="str">
            <v>DDK2</v>
          </cell>
          <cell r="C363">
            <v>5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</row>
        <row r="364">
          <cell r="A364" t="str">
            <v>MIDUYD036G0SX</v>
          </cell>
          <cell r="B364" t="str">
            <v>MIDUYD036</v>
          </cell>
          <cell r="C364">
            <v>6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YMQYQW011W0140*250CM</v>
          </cell>
          <cell r="B365" t="str">
            <v>YMQYQW011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 t="e">
            <v>#DIV/0!</v>
          </cell>
        </row>
        <row r="366">
          <cell r="A366" t="str">
            <v>DLJJZHUOBU-BGZW0140x200CM</v>
          </cell>
          <cell r="B366" t="str">
            <v>DLJJZHUOBU-BGZW0</v>
          </cell>
          <cell r="C366">
            <v>7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</row>
        <row r="367">
          <cell r="A367" t="str">
            <v>YMQYQXDHPO140*140CM</v>
          </cell>
          <cell r="B367" t="str">
            <v>YMQYQXDH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 t="e">
            <v>#DIV/0!</v>
          </cell>
        </row>
        <row r="368">
          <cell r="A368" t="str">
            <v>AWFSNANKU-2292JLS-31</v>
          </cell>
          <cell r="B368" t="str">
            <v>AWFSNANKU-2292</v>
          </cell>
          <cell r="C368">
            <v>8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</row>
        <row r="369">
          <cell r="A369" t="str">
            <v>YMQYQXDHPO140*250CM</v>
          </cell>
          <cell r="B369" t="str">
            <v>YMQYQXDH</v>
          </cell>
          <cell r="C369">
            <v>9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</row>
        <row r="370">
          <cell r="A370" t="str">
            <v>DL002-DX</v>
          </cell>
          <cell r="B370" t="str">
            <v>DL002-DX</v>
          </cell>
          <cell r="C370">
            <v>9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</row>
        <row r="371">
          <cell r="A371" t="str">
            <v>LQXFTY135*175CM</v>
          </cell>
          <cell r="B371" t="str">
            <v>LQXFTY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 t="e">
            <v>#DIV/0!</v>
          </cell>
        </row>
        <row r="372">
          <cell r="A372" t="str">
            <v>MZYSTYMM140*140CM</v>
          </cell>
          <cell r="B372" t="str">
            <v>MZYSTYMM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 t="e">
            <v>#DIV/0!</v>
          </cell>
        </row>
        <row r="373">
          <cell r="A373" t="str">
            <v>PUJIANGBAIMAMRG-COFFEE</v>
          </cell>
          <cell r="B373" t="str">
            <v>PUJIANGBAIMAMRG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 t="e">
            <v>#DIV/0!</v>
          </cell>
        </row>
        <row r="374">
          <cell r="A374" t="str">
            <v>YMQYZBJTE0140*250CM</v>
          </cell>
          <cell r="B374" t="str">
            <v>YMQYZBJT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 t="e">
            <v>#DIV/0!</v>
          </cell>
        </row>
        <row r="375">
          <cell r="A375" t="str">
            <v>ZHUAPPPJS-XL</v>
          </cell>
          <cell r="B375" t="str">
            <v>ZHUAPPP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HUAPET-1ROS-5XL</v>
          </cell>
          <cell r="B376" t="str">
            <v>HUAPET-1B</v>
          </cell>
          <cell r="C376">
            <v>1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</row>
        <row r="377">
          <cell r="A377" t="str">
            <v>SNTG-CLROS-XS</v>
          </cell>
          <cell r="B377" t="str">
            <v>SNTG-CL</v>
          </cell>
          <cell r="C377">
            <v>1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</row>
        <row r="378">
          <cell r="A378" t="str">
            <v>JDDKLNBOS-XXL</v>
          </cell>
          <cell r="B378" t="str">
            <v>JDDKLN</v>
          </cell>
          <cell r="C378">
            <v>1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</row>
        <row r="379">
          <cell r="A379" t="str">
            <v>LGQ-IUYL100-GN</v>
          </cell>
          <cell r="B379" t="str">
            <v>LGQ-IUYL100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 t="e">
            <v>#DIV/0!</v>
          </cell>
        </row>
        <row r="380">
          <cell r="A380" t="str">
            <v>HUAPET-1ROS-4XL</v>
          </cell>
          <cell r="B380" t="str">
            <v>HUAPET-1B</v>
          </cell>
          <cell r="C380">
            <v>1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</row>
        <row r="381">
          <cell r="A381" t="str">
            <v>HUAPET-1PKS-XL</v>
          </cell>
          <cell r="B381" t="str">
            <v>HUAPET-1B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 t="e">
            <v>#DIV/0!</v>
          </cell>
        </row>
        <row r="382">
          <cell r="A382" t="str">
            <v>SWEATPETRO8</v>
          </cell>
          <cell r="B382" t="str">
            <v>SWEATPET</v>
          </cell>
          <cell r="C382">
            <v>1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</row>
        <row r="383">
          <cell r="A383" t="str">
            <v>JDDKLNKQS-S</v>
          </cell>
          <cell r="B383" t="str">
            <v>JDDKLN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 t="e">
            <v>#DIV/0!</v>
          </cell>
        </row>
        <row r="384">
          <cell r="A384" t="str">
            <v>HUAPET-1ROS-3XL</v>
          </cell>
          <cell r="B384" t="str">
            <v>HUAPET-1B</v>
          </cell>
          <cell r="C384">
            <v>1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</row>
        <row r="385">
          <cell r="A385" t="str">
            <v>JDDKLNBOS-S</v>
          </cell>
          <cell r="B385" t="str">
            <v>JDDKLN</v>
          </cell>
          <cell r="C385">
            <v>1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</row>
        <row r="386">
          <cell r="A386" t="str">
            <v>SWEATPETRO14</v>
          </cell>
          <cell r="B386" t="str">
            <v>SWEATPET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 t="e">
            <v>#DIV/0!</v>
          </cell>
        </row>
        <row r="387">
          <cell r="A387" t="str">
            <v>BUDSNOWBO-M</v>
          </cell>
          <cell r="B387" t="str">
            <v>BUDSNOW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 t="e">
            <v>#DIV/0!</v>
          </cell>
        </row>
        <row r="388">
          <cell r="A388" t="str">
            <v>JDDKLNKQS-M</v>
          </cell>
          <cell r="B388" t="str">
            <v>JDDKLN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 t="e">
            <v>#DIV/0!</v>
          </cell>
        </row>
        <row r="389">
          <cell r="A389" t="str">
            <v>MJ-IUYL230-BL-L</v>
          </cell>
          <cell r="B389" t="str">
            <v>MJ-IUYL230</v>
          </cell>
          <cell r="C389">
            <v>2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</row>
        <row r="390">
          <cell r="A390" t="str">
            <v>GS-IUYL270</v>
          </cell>
          <cell r="B390" t="str">
            <v>GS-IUYL280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 t="e">
            <v>#DIV/0!</v>
          </cell>
        </row>
        <row r="391">
          <cell r="A391" t="str">
            <v>JDDKLNBOS-M</v>
          </cell>
          <cell r="B391" t="str">
            <v>JDDKLN</v>
          </cell>
          <cell r="C391">
            <v>2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</row>
        <row r="392">
          <cell r="A392" t="str">
            <v>LGQ-IUYL100-YL</v>
          </cell>
          <cell r="B392" t="str">
            <v>LGQ-IUYL100</v>
          </cell>
          <cell r="C392">
            <v>2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</row>
        <row r="393">
          <cell r="A393" t="str">
            <v>LGQ-IUYL100-BL</v>
          </cell>
          <cell r="B393" t="str">
            <v>LGQ-IUYL100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 t="e">
            <v>#DIV/0!</v>
          </cell>
        </row>
        <row r="394">
          <cell r="A394" t="str">
            <v>SZ-IUYL002</v>
          </cell>
          <cell r="B394" t="str">
            <v>SZ-IUYL002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 t="e">
            <v>#DIV/0!</v>
          </cell>
        </row>
        <row r="395">
          <cell r="A395" t="str">
            <v>JDDKLNFS-L</v>
          </cell>
          <cell r="B395" t="str">
            <v>JDDKLN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 t="e">
            <v>#DIV/0!</v>
          </cell>
        </row>
        <row r="396">
          <cell r="A396" t="str">
            <v>JDDKLNKQS-L</v>
          </cell>
          <cell r="B396" t="str">
            <v>JDDKLN</v>
          </cell>
          <cell r="C396">
            <v>2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</row>
        <row r="397">
          <cell r="A397" t="str">
            <v>JDDKLNBOS-L</v>
          </cell>
          <cell r="B397" t="str">
            <v>JDDKLN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 t="e">
            <v>#DIV/0!</v>
          </cell>
        </row>
        <row r="398">
          <cell r="A398" t="str">
            <v>HUAPET-1PKS-4XL</v>
          </cell>
          <cell r="B398" t="str">
            <v>HUAPET-1B</v>
          </cell>
          <cell r="C398">
            <v>2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</row>
        <row r="399">
          <cell r="A399" t="str">
            <v>BUDSNOWRO-XL</v>
          </cell>
          <cell r="B399" t="str">
            <v>BUDSNOW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 t="e">
            <v>#DIV/0!</v>
          </cell>
        </row>
        <row r="400">
          <cell r="A400" t="str">
            <v>CWGQYS-BDR0S</v>
          </cell>
          <cell r="B400" t="str">
            <v>CWGQYS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 t="e">
            <v>#DIV/0!</v>
          </cell>
        </row>
        <row r="401">
          <cell r="A401" t="str">
            <v>JDDKLNKQS-XXL</v>
          </cell>
          <cell r="B401" t="str">
            <v>JDDKLN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 t="e">
            <v>#DIV/0!</v>
          </cell>
        </row>
        <row r="402">
          <cell r="A402" t="str">
            <v>LGQ-IUYL100-WT</v>
          </cell>
          <cell r="B402" t="str">
            <v>LGQ-IUYL100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 t="e">
            <v>#DIV/0!</v>
          </cell>
        </row>
        <row r="403">
          <cell r="A403" t="str">
            <v>CWGQYS-BDB0S</v>
          </cell>
          <cell r="B403" t="str">
            <v>CWGQYS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 t="e">
            <v>#DIV/0!</v>
          </cell>
        </row>
        <row r="404">
          <cell r="A404" t="str">
            <v>BUDSNOWRO-M</v>
          </cell>
          <cell r="B404" t="str">
            <v>BUDSNOW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 t="e">
            <v>#DIV/0!</v>
          </cell>
        </row>
        <row r="405">
          <cell r="A405" t="str">
            <v>CWGQYS-BDB0M</v>
          </cell>
          <cell r="B405" t="str">
            <v>CWGQYS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 t="e">
            <v>#DIV/0!</v>
          </cell>
        </row>
        <row r="406">
          <cell r="A406" t="str">
            <v>XQ-IUYL260-YL-S</v>
          </cell>
          <cell r="B406" t="str">
            <v>XQ-IUYL260</v>
          </cell>
          <cell r="C406">
            <v>3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</row>
        <row r="407">
          <cell r="A407" t="str">
            <v>XQ-IUYL260-RD-M</v>
          </cell>
          <cell r="B407" t="str">
            <v>XQ-IUYL260</v>
          </cell>
          <cell r="C407">
            <v>3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</row>
        <row r="408">
          <cell r="A408" t="str">
            <v>XQ-IUYL260-BK-M</v>
          </cell>
          <cell r="B408" t="str">
            <v>XQ-IUYL260</v>
          </cell>
          <cell r="C408">
            <v>3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</row>
        <row r="409">
          <cell r="A409" t="str">
            <v>BUDSNOWRO-XXL</v>
          </cell>
          <cell r="B409" t="str">
            <v>BUDSNOW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 t="e">
            <v>#DIV/0!</v>
          </cell>
        </row>
        <row r="410">
          <cell r="A410" t="str">
            <v>CWGQYS-BDR0M</v>
          </cell>
          <cell r="B410" t="str">
            <v>CWGQYS</v>
          </cell>
          <cell r="C410">
            <v>3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</row>
        <row r="411">
          <cell r="A411" t="str">
            <v>XQ-IUYL260-BL2-S</v>
          </cell>
          <cell r="B411" t="str">
            <v>XQ-IUYL260</v>
          </cell>
          <cell r="C411">
            <v>3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</row>
        <row r="412">
          <cell r="A412" t="str">
            <v>CWGQYS-BDB0L</v>
          </cell>
          <cell r="B412" t="str">
            <v>CWGQYS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 t="e">
            <v>#DIV/0!</v>
          </cell>
        </row>
        <row r="413">
          <cell r="A413" t="str">
            <v>SWEATPETRO10</v>
          </cell>
          <cell r="B413" t="str">
            <v>SWEATPET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 t="e">
            <v>#DIV/0!</v>
          </cell>
        </row>
        <row r="414">
          <cell r="A414" t="str">
            <v>XQ-IUYL260-GN-S</v>
          </cell>
          <cell r="B414" t="str">
            <v>XQ-IUYL260</v>
          </cell>
          <cell r="C414">
            <v>3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CWGQYS-BDG01L</v>
          </cell>
          <cell r="B415" t="str">
            <v>CWGQYS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 t="e">
            <v>#DIV/0!</v>
          </cell>
        </row>
        <row r="416">
          <cell r="A416" t="str">
            <v>XQ-IUYL260-PK-S</v>
          </cell>
          <cell r="B416" t="str">
            <v>XQ-IUYL260</v>
          </cell>
          <cell r="C416">
            <v>3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BUDSNOWRO-S</v>
          </cell>
          <cell r="B417" t="str">
            <v>BUDSNOW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 t="e">
            <v>#DIV/0!</v>
          </cell>
        </row>
        <row r="418">
          <cell r="A418" t="str">
            <v>XQ-IUYL260-BL1-M</v>
          </cell>
          <cell r="B418" t="str">
            <v>XQ-IUYL260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 t="e">
            <v>#DIV/0!</v>
          </cell>
        </row>
        <row r="419">
          <cell r="A419" t="str">
            <v>BUDSNOWRO-L</v>
          </cell>
          <cell r="B419" t="str">
            <v>BUDSNOW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 t="e">
            <v>#DIV/0!</v>
          </cell>
        </row>
        <row r="420">
          <cell r="A420" t="str">
            <v>XQ-IUYL260-BL1-S</v>
          </cell>
          <cell r="B420" t="str">
            <v>XQ-IUYL260</v>
          </cell>
          <cell r="C420">
            <v>3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</row>
        <row r="421">
          <cell r="A421" t="str">
            <v>JDDKLNFS-XL</v>
          </cell>
          <cell r="B421" t="str">
            <v>JDDKLN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 t="e">
            <v>#DIV/0!</v>
          </cell>
        </row>
        <row r="422">
          <cell r="A422" t="str">
            <v>XQ-IUYL260-PK-M</v>
          </cell>
          <cell r="B422" t="str">
            <v>XQ-IUYL260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 t="e">
            <v>#DIV/0!</v>
          </cell>
        </row>
        <row r="423">
          <cell r="A423" t="str">
            <v>XQ-IUYL260-YL-M</v>
          </cell>
          <cell r="B423" t="str">
            <v>XQ-IUYL260</v>
          </cell>
          <cell r="C423">
            <v>3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</row>
        <row r="424">
          <cell r="A424" t="str">
            <v>XQ-IUYL260-RD-S</v>
          </cell>
          <cell r="B424" t="str">
            <v>XQ-IUYL260</v>
          </cell>
          <cell r="C424">
            <v>3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</row>
        <row r="425">
          <cell r="A425" t="str">
            <v>CWGQYS-BDK0M</v>
          </cell>
          <cell r="B425" t="str">
            <v>CWGQYS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 t="e">
            <v>#DIV/0!</v>
          </cell>
        </row>
        <row r="426">
          <cell r="A426" t="str">
            <v>BUDSNOWBO-XL</v>
          </cell>
          <cell r="B426" t="str">
            <v>BUDSNOW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 t="e">
            <v>#DIV/0!</v>
          </cell>
        </row>
        <row r="427">
          <cell r="A427" t="str">
            <v>CWGQYS-BDK0S</v>
          </cell>
          <cell r="B427" t="str">
            <v>CWGQYS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 t="e">
            <v>#DIV/0!</v>
          </cell>
        </row>
        <row r="428">
          <cell r="A428" t="str">
            <v>XQ-IUYL260-BL2-M</v>
          </cell>
          <cell r="B428" t="str">
            <v>XQ-IUYL260</v>
          </cell>
          <cell r="C428">
            <v>3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</row>
        <row r="429">
          <cell r="A429" t="str">
            <v>GS-IUYL280-1</v>
          </cell>
          <cell r="B429" t="str">
            <v>GS-IUYL280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 t="e">
            <v>#DIV/0!</v>
          </cell>
        </row>
        <row r="430">
          <cell r="A430" t="str">
            <v>XQ-IUYL260-GN-M</v>
          </cell>
          <cell r="B430" t="str">
            <v>XQ-IUYL260</v>
          </cell>
          <cell r="C430">
            <v>3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</row>
        <row r="431">
          <cell r="A431" t="str">
            <v>BUDSNOWBO-XXL</v>
          </cell>
          <cell r="B431" t="str">
            <v>BUDSNOW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 t="e">
            <v>#DIV/0!</v>
          </cell>
        </row>
        <row r="432">
          <cell r="A432" t="str">
            <v>GS-IUYL280-3</v>
          </cell>
          <cell r="B432" t="str">
            <v>GS-IUYL280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 t="e">
            <v>#DIV/0!</v>
          </cell>
        </row>
        <row r="433">
          <cell r="A433" t="str">
            <v>SWEATPETJS10</v>
          </cell>
          <cell r="B433" t="str">
            <v>SWEATPET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 t="e">
            <v>#DIV/0!</v>
          </cell>
        </row>
        <row r="434">
          <cell r="A434" t="str">
            <v>CWGQYS-BDG01S</v>
          </cell>
          <cell r="B434" t="str">
            <v>CWGQYS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 t="e">
            <v>#DIV/0!</v>
          </cell>
        </row>
        <row r="435">
          <cell r="A435" t="str">
            <v>SWEATPETJS8</v>
          </cell>
          <cell r="B435" t="str">
            <v>SWEATPET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 t="e">
            <v>#DIV/0!</v>
          </cell>
        </row>
        <row r="436">
          <cell r="A436" t="str">
            <v>XQ-IUYL260-BK-S</v>
          </cell>
          <cell r="B436" t="str">
            <v>XQ-IUYL260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 t="e">
            <v>#DIV/0!</v>
          </cell>
        </row>
        <row r="437">
          <cell r="A437" t="str">
            <v>BUDSNOWBO-L</v>
          </cell>
          <cell r="B437" t="str">
            <v>BUDSNOW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 t="e">
            <v>#DIV/0!</v>
          </cell>
        </row>
        <row r="438">
          <cell r="A438" t="str">
            <v>CWGQYS-BDK0L</v>
          </cell>
          <cell r="B438" t="str">
            <v>CWGQYS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 t="e">
            <v>#DIV/0!</v>
          </cell>
        </row>
        <row r="439">
          <cell r="A439" t="str">
            <v>SNTG-CLBOS-M</v>
          </cell>
          <cell r="B439" t="str">
            <v>SNTG-CL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 t="e">
            <v>#DIV/0!</v>
          </cell>
        </row>
        <row r="440">
          <cell r="A440" t="str">
            <v>MJ-IUYL230-BL-S</v>
          </cell>
          <cell r="B440" t="str">
            <v>MJ-IUYL230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 t="e">
            <v>#DIV/0!</v>
          </cell>
        </row>
        <row r="441">
          <cell r="A441" t="str">
            <v>SNTG-CLBOS-S</v>
          </cell>
          <cell r="B441" t="str">
            <v>SNTG-CL</v>
          </cell>
          <cell r="C441">
            <v>4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</row>
        <row r="442">
          <cell r="A442" t="str">
            <v>SNTG-CLROS-L</v>
          </cell>
          <cell r="B442" t="str">
            <v>SNTG-CL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 t="e">
            <v>#DIV/0!</v>
          </cell>
        </row>
        <row r="443">
          <cell r="A443" t="str">
            <v>ZHUAPPPBO-S</v>
          </cell>
          <cell r="B443" t="str">
            <v>ZHUAPPP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 t="e">
            <v>#DIV/0!</v>
          </cell>
        </row>
        <row r="444">
          <cell r="A444" t="str">
            <v>SNTG-CLROS-S</v>
          </cell>
          <cell r="B444" t="str">
            <v>SNTG-CL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 t="e">
            <v>#DIV/0!</v>
          </cell>
        </row>
        <row r="445">
          <cell r="A445" t="str">
            <v>SNTG-CLROS-XL</v>
          </cell>
          <cell r="B445" t="str">
            <v>SNTG-CL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 t="e">
            <v>#DIV/0!</v>
          </cell>
        </row>
        <row r="446">
          <cell r="A446" t="str">
            <v>ZHUAPPPBO-L</v>
          </cell>
          <cell r="B446" t="str">
            <v>ZHUAPPP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 t="e">
            <v>#DIV/0!</v>
          </cell>
        </row>
        <row r="447">
          <cell r="A447" t="str">
            <v>SNTG-CLBOS-XL</v>
          </cell>
          <cell r="B447" t="str">
            <v>SNTG-CL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 t="e">
            <v>#DIV/0!</v>
          </cell>
        </row>
        <row r="448">
          <cell r="A448" t="str">
            <v>CWGQYS-XSB0L</v>
          </cell>
          <cell r="B448" t="str">
            <v>CWGQYS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 t="e">
            <v>#DIV/0!</v>
          </cell>
        </row>
        <row r="449">
          <cell r="A449" t="str">
            <v>CWGQYS-XSR0XL</v>
          </cell>
          <cell r="B449" t="str">
            <v>CWGQYS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 t="e">
            <v>#DIV/0!</v>
          </cell>
        </row>
        <row r="450">
          <cell r="A450" t="str">
            <v>SWEATPETJS20</v>
          </cell>
          <cell r="B450" t="str">
            <v>SWEATPET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 t="e">
            <v>#DIV/0!</v>
          </cell>
        </row>
        <row r="451">
          <cell r="A451" t="str">
            <v>SWEATPETJS24</v>
          </cell>
          <cell r="B451" t="str">
            <v>SWEATPET</v>
          </cell>
          <cell r="C451">
            <v>17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</row>
        <row r="452">
          <cell r="A452" t="str">
            <v>SWEATPETLAN16</v>
          </cell>
          <cell r="B452" t="str">
            <v>SWEATPET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 t="e">
            <v>#DIV/0!</v>
          </cell>
        </row>
        <row r="453">
          <cell r="A453" t="str">
            <v>FREEQYS</v>
          </cell>
          <cell r="B453" t="str">
            <v>FREEQYS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 t="e">
            <v>#DIV/0!</v>
          </cell>
        </row>
        <row r="454">
          <cell r="A454" t="str">
            <v>HUAPET-1ROS-2XL</v>
          </cell>
          <cell r="B454" t="str">
            <v>HUAPET-1B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ZHUAPPPBO-M</v>
          </cell>
          <cell r="B455" t="str">
            <v>ZHUAPPP</v>
          </cell>
          <cell r="C455">
            <v>1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</row>
        <row r="456">
          <cell r="A456" t="str">
            <v>JDDKLNFS-XXL</v>
          </cell>
          <cell r="B456" t="str">
            <v>JDDKLN</v>
          </cell>
          <cell r="C456">
            <v>2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</row>
        <row r="457">
          <cell r="A457" t="str">
            <v>GS-IUYL280-2</v>
          </cell>
          <cell r="B457" t="str">
            <v>GS-IUYL280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 t="e">
            <v>#DIV/0!</v>
          </cell>
        </row>
        <row r="458">
          <cell r="A458" t="str">
            <v>CWGQYS-BDB0XL</v>
          </cell>
          <cell r="B458" t="str">
            <v>CWGQYS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 t="e">
            <v>#DIV/0!</v>
          </cell>
        </row>
        <row r="459">
          <cell r="A459" t="str">
            <v>CWGQYS-BDR0L</v>
          </cell>
          <cell r="B459" t="str">
            <v>CWGQYS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 t="e">
            <v>#DIV/0!</v>
          </cell>
        </row>
        <row r="460">
          <cell r="A460" t="str">
            <v>XQ-IUYL260-PP-S</v>
          </cell>
          <cell r="B460" t="str">
            <v>XQ-IUYL260</v>
          </cell>
          <cell r="C460">
            <v>3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</row>
        <row r="461">
          <cell r="A461" t="str">
            <v>CWGQYS-BDR0XL</v>
          </cell>
          <cell r="B461" t="str">
            <v>CWGQYS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 t="e">
            <v>#DIV/0!</v>
          </cell>
        </row>
        <row r="462">
          <cell r="A462" t="str">
            <v>JDDKLNBOS-XL</v>
          </cell>
          <cell r="B462" t="str">
            <v>JDDKLN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 t="e">
            <v>#DIV/0!</v>
          </cell>
        </row>
        <row r="463">
          <cell r="A463" t="str">
            <v>CWGQYS-BDG01M</v>
          </cell>
          <cell r="B463" t="str">
            <v>CWGQYS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 t="e">
            <v>#DIV/0!</v>
          </cell>
        </row>
        <row r="464">
          <cell r="A464" t="str">
            <v>XQ-IUYL260-PP-M</v>
          </cell>
          <cell r="B464" t="str">
            <v>XQ-IUYL260</v>
          </cell>
          <cell r="C464">
            <v>3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</row>
        <row r="465">
          <cell r="A465" t="str">
            <v>JDDKLNKQS-XL</v>
          </cell>
          <cell r="B465" t="str">
            <v>JDDKLN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 t="e">
            <v>#DIV/0!</v>
          </cell>
        </row>
        <row r="466">
          <cell r="A466" t="str">
            <v>CWGQYS-BDG01XL</v>
          </cell>
          <cell r="B466" t="str">
            <v>CWGQYS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 t="e">
            <v>#DIV/0!</v>
          </cell>
        </row>
        <row r="467">
          <cell r="A467" t="str">
            <v>HUAPET-1PKS-2XL</v>
          </cell>
          <cell r="B467" t="str">
            <v>HUAPET-1B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 t="e">
            <v>#DIV/0!</v>
          </cell>
        </row>
        <row r="468">
          <cell r="A468" t="str">
            <v>SNTG-CLROS-M</v>
          </cell>
          <cell r="B468" t="str">
            <v>SNTG-CL</v>
          </cell>
          <cell r="C468">
            <v>4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</row>
        <row r="469">
          <cell r="A469" t="str">
            <v>SNTG-CLBOS-L</v>
          </cell>
          <cell r="B469" t="str">
            <v>SNTG-CL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 t="e">
            <v>#DIV/0!</v>
          </cell>
        </row>
        <row r="470">
          <cell r="A470" t="str">
            <v>MJ-IUYL230-CF-S</v>
          </cell>
          <cell r="B470" t="str">
            <v>MJ-IUYL230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 t="e">
            <v>#DIV/0!</v>
          </cell>
        </row>
        <row r="471">
          <cell r="A471" t="str">
            <v>CWGQYS-XSR0S</v>
          </cell>
          <cell r="B471" t="str">
            <v>CWGQYS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 t="e">
            <v>#DIV/0!</v>
          </cell>
        </row>
        <row r="472">
          <cell r="A472" t="str">
            <v>CWGQYS-XSR0M</v>
          </cell>
          <cell r="B472" t="str">
            <v>CWGQYS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 t="e">
            <v>#DIV/0!</v>
          </cell>
        </row>
        <row r="473">
          <cell r="A473" t="str">
            <v>CWGQYS-XSR0L</v>
          </cell>
          <cell r="B473" t="str">
            <v>CWGQYS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 t="e">
            <v>#DIV/0!</v>
          </cell>
        </row>
        <row r="474">
          <cell r="A474" t="str">
            <v>CWGQYS-XSB0S</v>
          </cell>
          <cell r="B474" t="str">
            <v>CWGQYS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 t="e">
            <v>#DIV/0!</v>
          </cell>
        </row>
        <row r="475">
          <cell r="A475" t="str">
            <v>CWGQYS-XSB0M</v>
          </cell>
          <cell r="B475" t="str">
            <v>CWGQYS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 t="e">
            <v>#DIV/0!</v>
          </cell>
        </row>
        <row r="476">
          <cell r="A476" t="str">
            <v>CWGQYS-XSB0XL</v>
          </cell>
          <cell r="B476" t="str">
            <v>CWGQYS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 t="e">
            <v>#DIV/0!</v>
          </cell>
        </row>
        <row r="477">
          <cell r="A477" t="str">
            <v>SWEATPETJS16</v>
          </cell>
          <cell r="B477" t="str">
            <v>SWEATPET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 t="e">
            <v>#DIV/0!</v>
          </cell>
        </row>
        <row r="478">
          <cell r="A478" t="str">
            <v>SWEATPETRO12</v>
          </cell>
          <cell r="B478" t="str">
            <v>SWEATPET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e">
            <v>#DIV/0!</v>
          </cell>
        </row>
        <row r="479">
          <cell r="A479" t="str">
            <v>SWEATPETRO16</v>
          </cell>
          <cell r="B479" t="str">
            <v>SWEATPET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 t="e">
            <v>#DIV/0!</v>
          </cell>
        </row>
        <row r="480">
          <cell r="A480" t="str">
            <v>SWEATPETJS14</v>
          </cell>
          <cell r="B480" t="str">
            <v>SWEATPET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 t="e">
            <v>#DIV/0!</v>
          </cell>
        </row>
        <row r="481">
          <cell r="A481" t="str">
            <v>SWEATPETRO28</v>
          </cell>
          <cell r="B481" t="str">
            <v>SWEATPET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e">
            <v>#DIV/0!</v>
          </cell>
        </row>
        <row r="482">
          <cell r="A482" t="str">
            <v>NEWZXXCFS-L</v>
          </cell>
          <cell r="B482" t="str">
            <v>NEWCBLUE</v>
          </cell>
          <cell r="C482">
            <v>13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</row>
        <row r="483">
          <cell r="A483" t="str">
            <v>NEWZXXCFS-M</v>
          </cell>
          <cell r="B483" t="str">
            <v>NEWZXXC</v>
          </cell>
          <cell r="C483">
            <v>12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</row>
        <row r="484">
          <cell r="A484" t="str">
            <v>NEWZXXCFS-XL</v>
          </cell>
          <cell r="B484" t="str">
            <v>NEWZXXC</v>
          </cell>
          <cell r="C484">
            <v>12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</row>
        <row r="485">
          <cell r="A485" t="str">
            <v>NEWZXXCZS-L</v>
          </cell>
          <cell r="B485" t="str">
            <v>NEWZXXC</v>
          </cell>
          <cell r="C485">
            <v>13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</row>
        <row r="486">
          <cell r="A486" t="str">
            <v>ETYIBLUE-S</v>
          </cell>
          <cell r="B486" t="str">
            <v>ETYIBLUE</v>
          </cell>
          <cell r="C486">
            <v>11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</row>
        <row r="487">
          <cell r="A487" t="str">
            <v>ETYIBLUE-M</v>
          </cell>
          <cell r="B487" t="str">
            <v>ETYIBLUE</v>
          </cell>
          <cell r="C487">
            <v>12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</row>
        <row r="488">
          <cell r="A488" t="str">
            <v>ETYIYELLOW-S</v>
          </cell>
          <cell r="B488" t="str">
            <v>ETYIYELLOW</v>
          </cell>
          <cell r="C488">
            <v>6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</row>
        <row r="489">
          <cell r="A489" t="str">
            <v>ETYIMC-S</v>
          </cell>
          <cell r="B489" t="str">
            <v>ETYIMC</v>
          </cell>
          <cell r="C489">
            <v>11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</row>
        <row r="490">
          <cell r="A490" t="str">
            <v>ETYIMC-M</v>
          </cell>
          <cell r="B490" t="str">
            <v>ETYIMC</v>
          </cell>
          <cell r="C490">
            <v>13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</row>
        <row r="491">
          <cell r="A491" t="str">
            <v>NEWZXXCHO-L</v>
          </cell>
          <cell r="B491" t="str">
            <v>NEWZXXC</v>
          </cell>
          <cell r="C491">
            <v>11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</row>
        <row r="492">
          <cell r="A492" t="str">
            <v>NEWZXXCZS-XL</v>
          </cell>
          <cell r="B492" t="str">
            <v>NEWZXXC</v>
          </cell>
          <cell r="C492">
            <v>10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</row>
        <row r="493">
          <cell r="A493" t="str">
            <v>NEWCBLUE-L</v>
          </cell>
          <cell r="B493" t="str">
            <v>NEWC</v>
          </cell>
          <cell r="C493">
            <v>4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</row>
        <row r="494">
          <cell r="A494" t="str">
            <v>NEWCBLUE-S</v>
          </cell>
          <cell r="B494" t="str">
            <v>NEWCBLUE</v>
          </cell>
          <cell r="C494">
            <v>4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</row>
        <row r="495">
          <cell r="A495" t="str">
            <v>NEWZXXCLV-M</v>
          </cell>
          <cell r="B495" t="str">
            <v>NEWZXXC</v>
          </cell>
          <cell r="C495">
            <v>15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</row>
        <row r="496">
          <cell r="A496" t="str">
            <v>NEWZXXCLV-XL</v>
          </cell>
          <cell r="B496" t="str">
            <v>NEWZXXC</v>
          </cell>
          <cell r="C496">
            <v>15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</row>
        <row r="497">
          <cell r="A497" t="str">
            <v>SXHLYITAO4-LH-001SZS40x60CM</v>
          </cell>
          <cell r="B497" t="str">
            <v>SXHLYITAO1-LH-001</v>
          </cell>
          <cell r="C497">
            <v>6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</row>
        <row r="498">
          <cell r="A498" t="str">
            <v>NEWZXXCHO-M</v>
          </cell>
          <cell r="B498" t="str">
            <v>NEWZXXC</v>
          </cell>
          <cell r="C498">
            <v>17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</row>
        <row r="499">
          <cell r="A499" t="str">
            <v>NEWZXXCLV-L</v>
          </cell>
          <cell r="B499" t="str">
            <v>NEWZXXC</v>
          </cell>
          <cell r="C499">
            <v>16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SXHLYITAO1-LH-001GO40x60CM</v>
          </cell>
          <cell r="B500" t="str">
            <v>SXHLYITAO1-LH-001</v>
          </cell>
          <cell r="C500">
            <v>9</v>
          </cell>
          <cell r="D500">
            <v>0</v>
          </cell>
          <cell r="E500">
            <v>0</v>
          </cell>
          <cell r="F500">
            <v>0</v>
          </cell>
          <cell r="G500">
            <v>3.10888888888889</v>
          </cell>
        </row>
        <row r="501">
          <cell r="A501" t="str">
            <v>NEWCBLUE-M</v>
          </cell>
          <cell r="B501" t="str">
            <v>NEWC</v>
          </cell>
          <cell r="C501">
            <v>7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</row>
        <row r="502">
          <cell r="A502" t="str">
            <v>NEWZXXCLV-S</v>
          </cell>
          <cell r="B502" t="str">
            <v>NEWZXXC</v>
          </cell>
          <cell r="C502">
            <v>18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</row>
        <row r="503">
          <cell r="A503" t="str">
            <v>YY5100R5S</v>
          </cell>
          <cell r="B503" t="str">
            <v>YY5100</v>
          </cell>
          <cell r="C503">
            <v>12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YY5100B0M</v>
          </cell>
          <cell r="B504" t="str">
            <v>YY5100</v>
          </cell>
          <cell r="C504">
            <v>25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</row>
        <row r="505">
          <cell r="A505" t="str">
            <v>NEWCBLUE-XL</v>
          </cell>
          <cell r="B505" t="str">
            <v>NEWCBLUE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 t="e">
            <v>#DIV/0!</v>
          </cell>
        </row>
        <row r="506">
          <cell r="A506" t="str">
            <v>MZYSZHUOBUQXPURE140*220CM</v>
          </cell>
          <cell r="B506" t="str">
            <v>MZYSZHUOBUD</v>
          </cell>
          <cell r="C506">
            <v>2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</row>
        <row r="507">
          <cell r="A507" t="str">
            <v>YMQYCSCMR0140*220CM</v>
          </cell>
          <cell r="B507" t="str">
            <v>YMQYCSCMRO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 t="e">
            <v>#DIV/0!</v>
          </cell>
        </row>
        <row r="508">
          <cell r="A508" t="str">
            <v>HNJJBDWMAXS45*45CM</v>
          </cell>
          <cell r="B508" t="str">
            <v>HNJJBDW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 t="e">
            <v>#DIV/0!</v>
          </cell>
        </row>
        <row r="509">
          <cell r="A509" t="str">
            <v>9CUE9N-03R0XXXL</v>
          </cell>
          <cell r="B509" t="str">
            <v>9CUE9N</v>
          </cell>
          <cell r="C509">
            <v>12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</row>
        <row r="510">
          <cell r="A510" t="str">
            <v>YX-IUCY-518-BO-2XL</v>
          </cell>
          <cell r="B510" t="str">
            <v>YX-IUCY</v>
          </cell>
          <cell r="C510">
            <v>5</v>
          </cell>
          <cell r="D510">
            <v>0</v>
          </cell>
          <cell r="E510">
            <v>0</v>
          </cell>
          <cell r="F510">
            <v>0</v>
          </cell>
          <cell r="G510">
            <v>9</v>
          </cell>
        </row>
        <row r="511">
          <cell r="A511" t="str">
            <v>BYZBLANS90*90CM</v>
          </cell>
          <cell r="B511" t="str">
            <v>BYZBLANS</v>
          </cell>
          <cell r="C511">
            <v>2</v>
          </cell>
          <cell r="D511">
            <v>0</v>
          </cell>
          <cell r="E511">
            <v>0</v>
          </cell>
          <cell r="F511">
            <v>0</v>
          </cell>
          <cell r="G511">
            <v>12.99</v>
          </cell>
        </row>
        <row r="512">
          <cell r="A512" t="str">
            <v>YMQYQJISZMZM90*90CM</v>
          </cell>
          <cell r="B512" t="str">
            <v>YMQYQJISZM</v>
          </cell>
          <cell r="C512">
            <v>2</v>
          </cell>
          <cell r="D512">
            <v>0</v>
          </cell>
          <cell r="E512">
            <v>0</v>
          </cell>
          <cell r="F512">
            <v>0</v>
          </cell>
          <cell r="G512">
            <v>10.9</v>
          </cell>
        </row>
        <row r="513">
          <cell r="A513" t="str">
            <v>YMQYQXDHKF140*160CM</v>
          </cell>
          <cell r="B513" t="str">
            <v>YMQYQXDH</v>
          </cell>
          <cell r="C513">
            <v>2</v>
          </cell>
          <cell r="D513">
            <v>0</v>
          </cell>
          <cell r="E513">
            <v>0</v>
          </cell>
          <cell r="F513">
            <v>0</v>
          </cell>
          <cell r="G513">
            <v>21.99</v>
          </cell>
        </row>
        <row r="514">
          <cell r="A514" t="str">
            <v>YHJRBHIS-M</v>
          </cell>
          <cell r="B514" t="str">
            <v>YHJRB</v>
          </cell>
          <cell r="C514">
            <v>9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</row>
        <row r="515">
          <cell r="A515" t="str">
            <v>YHJRBHIS-XL</v>
          </cell>
          <cell r="B515" t="str">
            <v>YHJRB</v>
          </cell>
          <cell r="C515">
            <v>5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</row>
        <row r="516">
          <cell r="A516" t="str">
            <v>YHJRBDZS-S</v>
          </cell>
          <cell r="B516" t="str">
            <v>YHJRB</v>
          </cell>
          <cell r="C516">
            <v>3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</row>
        <row r="517">
          <cell r="A517" t="str">
            <v>YHJRBDZS-XL</v>
          </cell>
          <cell r="B517" t="str">
            <v>YHJRB</v>
          </cell>
          <cell r="C517">
            <v>6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</row>
        <row r="518">
          <cell r="A518" t="str">
            <v>YHJRBHS-M</v>
          </cell>
          <cell r="B518" t="str">
            <v>YHJRB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 t="e">
            <v>#DIV/0!</v>
          </cell>
        </row>
        <row r="519">
          <cell r="A519" t="str">
            <v>YHJRBDZS-M</v>
          </cell>
          <cell r="B519" t="str">
            <v>YHJRB</v>
          </cell>
          <cell r="C519">
            <v>3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</row>
        <row r="520">
          <cell r="A520" t="str">
            <v>ZC2138MRG-ZHONGS</v>
          </cell>
          <cell r="B520" t="str">
            <v>ZXXABO-M</v>
          </cell>
          <cell r="C520">
            <v>5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</row>
        <row r="521">
          <cell r="A521" t="str">
            <v>MZYSTYMM140*200CM</v>
          </cell>
          <cell r="B521" t="str">
            <v>MZYSTYMM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 t="e">
            <v>#DIV/0!</v>
          </cell>
        </row>
        <row r="522">
          <cell r="A522" t="str">
            <v>YHJRBDZS-L</v>
          </cell>
          <cell r="B522" t="str">
            <v>YHJRB</v>
          </cell>
          <cell r="C522">
            <v>5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</row>
        <row r="523">
          <cell r="A523" t="str">
            <v>YMQYQHCZQ140*250CM</v>
          </cell>
          <cell r="B523" t="str">
            <v>YMQYQHCZQ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 t="e">
            <v>#DIV/0!</v>
          </cell>
        </row>
        <row r="524">
          <cell r="A524" t="str">
            <v>LQXFMS1H90*90CM</v>
          </cell>
          <cell r="B524" t="str">
            <v>LQXFMS1H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 t="e">
            <v>#DIV/0!</v>
          </cell>
        </row>
        <row r="525">
          <cell r="A525" t="str">
            <v>YMQYZHUOBUJXXHB0140x200CM</v>
          </cell>
          <cell r="B525" t="str">
            <v>YMQYZHUOBUJXXH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 t="e">
            <v>#DIV/0!</v>
          </cell>
        </row>
        <row r="526">
          <cell r="A526" t="str">
            <v>YMQYQW011W0140*160CM</v>
          </cell>
          <cell r="B526" t="str">
            <v>YMQYQW011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 t="e">
            <v>#DIV/0!</v>
          </cell>
        </row>
        <row r="527">
          <cell r="A527" t="str">
            <v>AWFSNANKU-HBWYB5822BS-36</v>
          </cell>
          <cell r="B527" t="str">
            <v>AWFSNANKU-HBWYB5822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 t="e">
            <v>#DIV/0!</v>
          </cell>
        </row>
        <row r="528">
          <cell r="A528" t="str">
            <v>YMQYQJISZMZM140*220CM</v>
          </cell>
          <cell r="B528" t="str">
            <v>YMQYQJISZM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 t="e">
            <v>#DIV/0!</v>
          </cell>
        </row>
        <row r="529">
          <cell r="A529" t="str">
            <v>SWEATPETLAN10</v>
          </cell>
          <cell r="B529" t="str">
            <v>SWEATPET</v>
          </cell>
          <cell r="C529">
            <v>3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</row>
        <row r="530">
          <cell r="A530" t="str">
            <v>HUAPET-1LVS-L</v>
          </cell>
          <cell r="B530" t="str">
            <v>HUAPET-1B</v>
          </cell>
          <cell r="C530">
            <v>1</v>
          </cell>
          <cell r="D530">
            <v>0</v>
          </cell>
          <cell r="E530">
            <v>0</v>
          </cell>
          <cell r="F530">
            <v>0</v>
          </cell>
          <cell r="G530">
            <v>10.59</v>
          </cell>
        </row>
        <row r="531">
          <cell r="A531" t="str">
            <v>YY-IULCY-KS372-GN-L</v>
          </cell>
          <cell r="B531" t="str">
            <v>YY-IULCY-KS372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13.99</v>
          </cell>
        </row>
        <row r="532">
          <cell r="A532" t="str">
            <v>MTX-IULHY-W188-PP-35/37</v>
          </cell>
          <cell r="B532" t="str">
            <v>MTX-IULHY-W188</v>
          </cell>
          <cell r="C532">
            <v>1</v>
          </cell>
          <cell r="D532">
            <v>0</v>
          </cell>
          <cell r="E532">
            <v>0</v>
          </cell>
          <cell r="F532">
            <v>0</v>
          </cell>
          <cell r="G532">
            <v>11.99</v>
          </cell>
        </row>
        <row r="533">
          <cell r="A533" t="str">
            <v>YY-IULCY-KS377-ANCHOR-M</v>
          </cell>
          <cell r="B533" t="str">
            <v>YY-IULCY-KS377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10.99</v>
          </cell>
        </row>
        <row r="534">
          <cell r="A534" t="str">
            <v>YMQYQXDHY0140*220CM</v>
          </cell>
          <cell r="B534" t="str">
            <v>YMQYQXDH</v>
          </cell>
          <cell r="C534">
            <v>1</v>
          </cell>
          <cell r="D534">
            <v>0</v>
          </cell>
          <cell r="E534">
            <v>0</v>
          </cell>
          <cell r="F534">
            <v>0</v>
          </cell>
          <cell r="G534">
            <v>36.99</v>
          </cell>
        </row>
        <row r="535">
          <cell r="A535" t="str">
            <v>CWGQYS-BDK0XL</v>
          </cell>
          <cell r="B535" t="str">
            <v>CWGQYS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 t="e">
            <v>#DIV/0!</v>
          </cell>
        </row>
        <row r="536">
          <cell r="A536" t="str">
            <v>YY-IULCY-KS372-WT-L</v>
          </cell>
          <cell r="B536" t="str">
            <v>YY-IULCY-KS372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13.99</v>
          </cell>
        </row>
        <row r="537">
          <cell r="A537" t="str">
            <v>GMZYL-FLQ2013-YO-36</v>
          </cell>
          <cell r="B537" t="str">
            <v>GMZYL-FLQ2013</v>
          </cell>
          <cell r="C537">
            <v>1</v>
          </cell>
          <cell r="D537">
            <v>0</v>
          </cell>
          <cell r="E537">
            <v>0</v>
          </cell>
          <cell r="F537">
            <v>0</v>
          </cell>
          <cell r="G537">
            <v>14.99</v>
          </cell>
        </row>
        <row r="538">
          <cell r="A538" t="str">
            <v>ARDIANBS</v>
          </cell>
          <cell r="B538" t="str">
            <v>ARDIAN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11.59</v>
          </cell>
        </row>
        <row r="539">
          <cell r="A539" t="str">
            <v>GMSNT-LUHM001-HW</v>
          </cell>
          <cell r="B539" t="str">
            <v>GMSNT-LUHM001</v>
          </cell>
          <cell r="C539">
            <v>1</v>
          </cell>
          <cell r="D539">
            <v>0</v>
          </cell>
          <cell r="E539">
            <v>0</v>
          </cell>
          <cell r="F539">
            <v>0</v>
          </cell>
          <cell r="G539">
            <v>14.99</v>
          </cell>
        </row>
        <row r="540">
          <cell r="A540" t="str">
            <v>YY5100Y0XXL</v>
          </cell>
          <cell r="B540" t="str">
            <v>YY5100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13.99</v>
          </cell>
        </row>
        <row r="541">
          <cell r="A541" t="str">
            <v>GMSNH-LUHM001-G0</v>
          </cell>
          <cell r="B541" t="str">
            <v>GMSNH-LUHM001</v>
          </cell>
          <cell r="C541">
            <v>1</v>
          </cell>
          <cell r="D541">
            <v>0</v>
          </cell>
          <cell r="E541">
            <v>0</v>
          </cell>
          <cell r="F541">
            <v>0</v>
          </cell>
          <cell r="G541">
            <v>10</v>
          </cell>
        </row>
        <row r="542">
          <cell r="A542" t="str">
            <v>SB-100-R0</v>
          </cell>
          <cell r="B542" t="str">
            <v>SB-100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 t="e">
            <v>#DIV/0!</v>
          </cell>
        </row>
        <row r="543">
          <cell r="A543" t="str">
            <v>SJJJZHUOBUXTWB0100x140cm</v>
          </cell>
          <cell r="B543" t="str">
            <v>SJJJZHUOBUKTWB0</v>
          </cell>
          <cell r="C543">
            <v>1</v>
          </cell>
          <cell r="D543">
            <v>0</v>
          </cell>
          <cell r="E543">
            <v>0</v>
          </cell>
          <cell r="F543">
            <v>0</v>
          </cell>
          <cell r="G543">
            <v>16.7</v>
          </cell>
        </row>
        <row r="544">
          <cell r="A544" t="str">
            <v>YMQYQJISZMZM140*250CM</v>
          </cell>
          <cell r="B544" t="str">
            <v>YMQYQJISZM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 t="e">
            <v>#DIV/0!</v>
          </cell>
        </row>
        <row r="545">
          <cell r="A545" t="str">
            <v>ZXXBHO-M</v>
          </cell>
          <cell r="B545" t="str">
            <v>ZXXB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 t="e">
            <v>#DIV/0!</v>
          </cell>
        </row>
        <row r="546">
          <cell r="A546" t="str">
            <v>MIDUYD037K1M</v>
          </cell>
          <cell r="B546" t="str">
            <v>MIDUYD037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22.9</v>
          </cell>
        </row>
        <row r="547">
          <cell r="A547" t="str">
            <v>SND-IUYL222-BE</v>
          </cell>
          <cell r="B547" t="str">
            <v>SND-IUYL</v>
          </cell>
          <cell r="C547">
            <v>1</v>
          </cell>
          <cell r="D547">
            <v>0</v>
          </cell>
          <cell r="E547">
            <v>0</v>
          </cell>
          <cell r="F547">
            <v>0</v>
          </cell>
          <cell r="G547">
            <v>8.99</v>
          </cell>
        </row>
        <row r="548">
          <cell r="A548" t="str">
            <v>GMSNT-LUHM001-BS</v>
          </cell>
          <cell r="B548" t="str">
            <v>GMSNT-LUHM001</v>
          </cell>
          <cell r="C548">
            <v>1</v>
          </cell>
          <cell r="D548">
            <v>0</v>
          </cell>
          <cell r="E548">
            <v>0</v>
          </cell>
          <cell r="F548">
            <v>0</v>
          </cell>
          <cell r="G548">
            <v>14.99</v>
          </cell>
        </row>
        <row r="549">
          <cell r="A549" t="str">
            <v>GMSNH-LUHM001-W0</v>
          </cell>
          <cell r="B549" t="str">
            <v>GMSNH-LUHM001</v>
          </cell>
          <cell r="C549">
            <v>2</v>
          </cell>
          <cell r="D549">
            <v>0</v>
          </cell>
          <cell r="E549">
            <v>0</v>
          </cell>
          <cell r="F549">
            <v>0</v>
          </cell>
          <cell r="G549">
            <v>10</v>
          </cell>
        </row>
        <row r="550">
          <cell r="A550" t="str">
            <v>YMQYQJISZMSS140*220CM</v>
          </cell>
          <cell r="B550" t="str">
            <v>YMQYQJISZM</v>
          </cell>
          <cell r="C550">
            <v>1</v>
          </cell>
          <cell r="D550">
            <v>0</v>
          </cell>
          <cell r="E550">
            <v>0</v>
          </cell>
          <cell r="F550">
            <v>0</v>
          </cell>
          <cell r="G550">
            <v>26.9</v>
          </cell>
        </row>
        <row r="7437">
          <cell r="A7437" t="str">
            <v>TBYPRBONE-M</v>
          </cell>
        </row>
        <row r="7459">
          <cell r="A7459" t="str">
            <v>TBYPJBLACK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TBYPRBMRG</v>
          </cell>
          <cell r="B2">
            <v>23.1793642650013</v>
          </cell>
        </row>
        <row r="3">
          <cell r="A3" t="str">
            <v>SGZ-LULHY</v>
          </cell>
          <cell r="B3">
            <v>24.99</v>
          </cell>
        </row>
        <row r="4">
          <cell r="A4" t="str">
            <v>ZAKKA0589</v>
          </cell>
          <cell r="B4">
            <v>9.905625</v>
          </cell>
        </row>
        <row r="5">
          <cell r="A5" t="str">
            <v>YY1100</v>
          </cell>
          <cell r="B5">
            <v>22.9</v>
          </cell>
        </row>
        <row r="6">
          <cell r="A6" t="str">
            <v>MZYSZHUOBUD</v>
          </cell>
          <cell r="B6">
            <v>17.5486891385768</v>
          </cell>
        </row>
        <row r="7">
          <cell r="A7" t="str">
            <v>YY-IULCY-XZM100</v>
          </cell>
          <cell r="B7">
            <v>22.99</v>
          </cell>
        </row>
        <row r="8">
          <cell r="A8" t="str">
            <v>ZAKKA0631</v>
          </cell>
          <cell r="B8">
            <v>9.6255078125</v>
          </cell>
        </row>
        <row r="9">
          <cell r="A9" t="str">
            <v>ZAKKA0040</v>
          </cell>
          <cell r="B9">
            <v>14.277</v>
          </cell>
        </row>
        <row r="10">
          <cell r="A10" t="str">
            <v>ETYIMC</v>
          </cell>
          <cell r="B10">
            <v>10.9810843373494</v>
          </cell>
        </row>
        <row r="11">
          <cell r="A11" t="str">
            <v>YMQYQXDH</v>
          </cell>
          <cell r="B11">
            <v>19.3070634920635</v>
          </cell>
        </row>
        <row r="12">
          <cell r="A12" t="str">
            <v>SXHLYITAO1-LH-001</v>
          </cell>
          <cell r="B12">
            <v>10.7423214285714</v>
          </cell>
        </row>
        <row r="13">
          <cell r="A13" t="str">
            <v>YMQYQDZMZM</v>
          </cell>
          <cell r="B13">
            <v>16.7511111111111</v>
          </cell>
        </row>
        <row r="14">
          <cell r="A14" t="str">
            <v>ZB-IULCY</v>
          </cell>
          <cell r="B14">
            <v>21.99</v>
          </cell>
        </row>
        <row r="15">
          <cell r="A15" t="str">
            <v>YDYPFS</v>
          </cell>
          <cell r="B15">
            <v>15.99</v>
          </cell>
        </row>
        <row r="16">
          <cell r="A16" t="str">
            <v>YY-IULCY-XZM150</v>
          </cell>
          <cell r="B16">
            <v>22.99</v>
          </cell>
        </row>
        <row r="17">
          <cell r="A17" t="str">
            <v>YY-IULUY-KS374</v>
          </cell>
          <cell r="B17">
            <v>12.99</v>
          </cell>
        </row>
        <row r="18">
          <cell r="A18" t="str">
            <v>YY-IULCY-KS377</v>
          </cell>
          <cell r="B18">
            <v>10.9428571428571</v>
          </cell>
        </row>
        <row r="19">
          <cell r="A19" t="str">
            <v>LQXFLS</v>
          </cell>
          <cell r="B19">
            <v>9.9</v>
          </cell>
        </row>
        <row r="20">
          <cell r="A20" t="str">
            <v>DJSCZHUOBUCSAQHS</v>
          </cell>
          <cell r="B20">
            <v>22.03</v>
          </cell>
        </row>
        <row r="21">
          <cell r="A21" t="str">
            <v>ETYIYUANDIAN</v>
          </cell>
          <cell r="B21">
            <v>15.99</v>
          </cell>
        </row>
        <row r="22">
          <cell r="A22" t="str">
            <v>ETYIBLUE</v>
          </cell>
          <cell r="B22">
            <v>11.6632941176471</v>
          </cell>
        </row>
        <row r="23">
          <cell r="A23" t="str">
            <v>GMZYL-FLQ06</v>
          </cell>
          <cell r="B23">
            <v>16.0990909090909</v>
          </cell>
        </row>
        <row r="24">
          <cell r="A24" t="str">
            <v>YY-IULCY-HZYD100</v>
          </cell>
          <cell r="B24">
            <v>12.99</v>
          </cell>
        </row>
        <row r="25">
          <cell r="A25" t="str">
            <v>YY-IULCY-KS371</v>
          </cell>
          <cell r="B25">
            <v>13.9013924050633</v>
          </cell>
        </row>
        <row r="26">
          <cell r="A26" t="str">
            <v>9CUE9N</v>
          </cell>
          <cell r="B26">
            <v>8.99315789473684</v>
          </cell>
        </row>
        <row r="27">
          <cell r="A27" t="str">
            <v>DZ-IUYL210</v>
          </cell>
          <cell r="B27">
            <v>37.99</v>
          </cell>
        </row>
        <row r="28">
          <cell r="A28" t="str">
            <v>YMQYZBCSM</v>
          </cell>
          <cell r="B28">
            <v>21.2057142857143</v>
          </cell>
        </row>
        <row r="29">
          <cell r="A29" t="str">
            <v>YY-IULCY-HZYD200</v>
          </cell>
          <cell r="B29">
            <v>15.99</v>
          </cell>
        </row>
        <row r="30">
          <cell r="A30" t="str">
            <v>YMQYQJISZM</v>
          </cell>
          <cell r="B30">
            <v>15.5471212121212</v>
          </cell>
        </row>
        <row r="31">
          <cell r="A31" t="str">
            <v>YY5100</v>
          </cell>
          <cell r="B31">
            <v>4.97982456140351</v>
          </cell>
        </row>
        <row r="32">
          <cell r="A32" t="str">
            <v>YY2127</v>
          </cell>
          <cell r="B32">
            <v>5.10382978723404</v>
          </cell>
        </row>
        <row r="33">
          <cell r="A33" t="str">
            <v>DLJJZHUOBU-BGZW0</v>
          </cell>
          <cell r="B33">
            <v>5.39947368421053</v>
          </cell>
        </row>
        <row r="34">
          <cell r="A34" t="str">
            <v>FMHSGJH</v>
          </cell>
          <cell r="B34">
            <v>8.99</v>
          </cell>
        </row>
        <row r="35">
          <cell r="A35" t="str">
            <v>ZCGTZ-IUCY001</v>
          </cell>
          <cell r="B35">
            <v>44.9899999999999</v>
          </cell>
        </row>
        <row r="36">
          <cell r="A36" t="str">
            <v>ETYIYELLOW</v>
          </cell>
          <cell r="B36">
            <v>13.1682352941176</v>
          </cell>
        </row>
        <row r="37">
          <cell r="A37" t="str">
            <v>YY-IULCY-KS372</v>
          </cell>
          <cell r="B37">
            <v>13.99</v>
          </cell>
        </row>
        <row r="38">
          <cell r="A38" t="str">
            <v>D7-K3RX-7XQQ</v>
          </cell>
          <cell r="B38">
            <v>0.216626506024096</v>
          </cell>
        </row>
        <row r="39">
          <cell r="A39" t="str">
            <v>ZAKKA0633</v>
          </cell>
          <cell r="B39">
            <v>12.9</v>
          </cell>
        </row>
        <row r="40">
          <cell r="A40" t="str">
            <v>TM-IULCY-300</v>
          </cell>
          <cell r="B40">
            <v>25</v>
          </cell>
        </row>
        <row r="41">
          <cell r="A41" t="str">
            <v>YX-IUCY</v>
          </cell>
          <cell r="B41">
            <v>8.64406779661017</v>
          </cell>
        </row>
        <row r="42">
          <cell r="A42" t="str">
            <v>SND-IUYL</v>
          </cell>
          <cell r="B42">
            <v>8.99</v>
          </cell>
        </row>
        <row r="43">
          <cell r="A43" t="str">
            <v>SWEATPET</v>
          </cell>
          <cell r="B43">
            <v>3.1351724137931</v>
          </cell>
        </row>
        <row r="44">
          <cell r="A44" t="str">
            <v>ZAKKA0466</v>
          </cell>
          <cell r="B44">
            <v>9.91227272727273</v>
          </cell>
        </row>
        <row r="45">
          <cell r="A45" t="str">
            <v>TZ-IUYL240</v>
          </cell>
          <cell r="B45">
            <v>16.0669230769231</v>
          </cell>
        </row>
        <row r="46">
          <cell r="A46" t="str">
            <v>YY-IULCY-KS369</v>
          </cell>
          <cell r="B46">
            <v>10</v>
          </cell>
        </row>
        <row r="47">
          <cell r="A47" t="str">
            <v>SJJJZHUOBUKTWB0</v>
          </cell>
          <cell r="B47">
            <v>13.26</v>
          </cell>
        </row>
        <row r="48">
          <cell r="A48" t="str">
            <v>ETYIM</v>
          </cell>
          <cell r="B48">
            <v>19.188</v>
          </cell>
        </row>
        <row r="49">
          <cell r="A49" t="str">
            <v>YDWJQWHQWH</v>
          </cell>
          <cell r="B49">
            <v>15.99</v>
          </cell>
        </row>
        <row r="50">
          <cell r="A50" t="str">
            <v>MZYSM</v>
          </cell>
          <cell r="B50">
            <v>24.04</v>
          </cell>
        </row>
        <row r="51">
          <cell r="A51" t="str">
            <v>ZAKKA0630</v>
          </cell>
          <cell r="B51">
            <v>9.75310344827586</v>
          </cell>
        </row>
        <row r="52">
          <cell r="A52" t="str">
            <v>MID46-069</v>
          </cell>
          <cell r="B52">
            <v>19.8625</v>
          </cell>
        </row>
        <row r="53">
          <cell r="A53" t="str">
            <v>H5-F378</v>
          </cell>
          <cell r="B53">
            <v>9.9</v>
          </cell>
        </row>
        <row r="54">
          <cell r="A54" t="str">
            <v>BYZBFS</v>
          </cell>
          <cell r="B54">
            <v>20.4875</v>
          </cell>
        </row>
        <row r="55">
          <cell r="A55" t="str">
            <v>YY-IULCY-KS370</v>
          </cell>
          <cell r="B55">
            <v>14.99</v>
          </cell>
        </row>
        <row r="56">
          <cell r="A56" t="str">
            <v>ZPSD-LAHM-800</v>
          </cell>
          <cell r="B56">
            <v>20.0621428571429</v>
          </cell>
        </row>
        <row r="57">
          <cell r="A57" t="str">
            <v>GMSNH-LUHM001</v>
          </cell>
          <cell r="B57">
            <v>9.42285714285714</v>
          </cell>
        </row>
        <row r="58">
          <cell r="A58" t="str">
            <v>BYZBLANS</v>
          </cell>
          <cell r="B58">
            <v>18.79</v>
          </cell>
        </row>
        <row r="59">
          <cell r="A59" t="str">
            <v>SB-100</v>
          </cell>
          <cell r="B59">
            <v>18.5327272727273</v>
          </cell>
        </row>
        <row r="60">
          <cell r="A60" t="str">
            <v>DLJJZHUOBU-DSGZGZ</v>
          </cell>
          <cell r="B60">
            <v>23.5</v>
          </cell>
        </row>
        <row r="61">
          <cell r="A61" t="str">
            <v>SB-101</v>
          </cell>
          <cell r="B61">
            <v>18.6533333333333</v>
          </cell>
        </row>
        <row r="62">
          <cell r="A62" t="str">
            <v>BH-E628-EYEA</v>
          </cell>
          <cell r="B62">
            <v>1.90985294117647</v>
          </cell>
        </row>
        <row r="63">
          <cell r="A63" t="str">
            <v>FSFZB006</v>
          </cell>
          <cell r="B63">
            <v>23.9</v>
          </cell>
        </row>
        <row r="64">
          <cell r="A64" t="str">
            <v>GMSNH-CY001</v>
          </cell>
          <cell r="B64">
            <v>9.7475</v>
          </cell>
        </row>
        <row r="65">
          <cell r="A65" t="str">
            <v>BBSA</v>
          </cell>
          <cell r="B65">
            <v>18.99</v>
          </cell>
        </row>
        <row r="66">
          <cell r="A66" t="str">
            <v>YMQYZHUOBUJXXH</v>
          </cell>
          <cell r="B66">
            <v>15.99</v>
          </cell>
        </row>
        <row r="67">
          <cell r="A67" t="str">
            <v>MTX-IULHY-M1759</v>
          </cell>
          <cell r="B67">
            <v>15.99</v>
          </cell>
        </row>
        <row r="68">
          <cell r="A68" t="str">
            <v>GMSNT-CY001</v>
          </cell>
          <cell r="B68">
            <v>14.99</v>
          </cell>
        </row>
        <row r="69">
          <cell r="A69" t="str">
            <v>HATQHMZ</v>
          </cell>
          <cell r="B69">
            <v>0.713571428571429</v>
          </cell>
        </row>
        <row r="70">
          <cell r="A70" t="str">
            <v>MZYSWZ85</v>
          </cell>
          <cell r="B70">
            <v>23.9</v>
          </cell>
        </row>
        <row r="71">
          <cell r="A71" t="str">
            <v>YMQYZBJT</v>
          </cell>
          <cell r="B71">
            <v>21.25</v>
          </cell>
        </row>
        <row r="72">
          <cell r="A72" t="str">
            <v>YMQYQZBXHGSS</v>
          </cell>
          <cell r="B72">
            <v>10.9</v>
          </cell>
        </row>
        <row r="73">
          <cell r="A73" t="str">
            <v>MTX-IULHY-W1758</v>
          </cell>
          <cell r="B73">
            <v>16.99</v>
          </cell>
        </row>
        <row r="74">
          <cell r="A74" t="str">
            <v>MTX-IULHY-W1759</v>
          </cell>
          <cell r="B74">
            <v>15.99</v>
          </cell>
        </row>
        <row r="75">
          <cell r="A75" t="str">
            <v>MTX-IULHY-W188</v>
          </cell>
          <cell r="B75">
            <v>11.99</v>
          </cell>
        </row>
        <row r="76">
          <cell r="A76" t="str">
            <v>YMQYGZZBGZ</v>
          </cell>
          <cell r="B76">
            <v>16.9</v>
          </cell>
        </row>
        <row r="77">
          <cell r="A77" t="str">
            <v>FSFZB001</v>
          </cell>
          <cell r="B77">
            <v>17.9</v>
          </cell>
        </row>
        <row r="78">
          <cell r="A78" t="str">
            <v>YY-IULCY-C9002</v>
          </cell>
          <cell r="B78">
            <v>15.7233333333333</v>
          </cell>
        </row>
        <row r="79">
          <cell r="A79" t="str">
            <v>AWFSNANKU-2292</v>
          </cell>
          <cell r="B79">
            <v>1.11111111111111</v>
          </cell>
        </row>
        <row r="80">
          <cell r="A80" t="str">
            <v>6958140000000</v>
          </cell>
          <cell r="B80">
            <v>9.99</v>
          </cell>
        </row>
        <row r="81">
          <cell r="A81" t="str">
            <v>DZ-IUYL220</v>
          </cell>
          <cell r="B81">
            <v>6</v>
          </cell>
        </row>
        <row r="82">
          <cell r="A82" t="str">
            <v>ZXXB</v>
          </cell>
          <cell r="B82">
            <v>13.99</v>
          </cell>
        </row>
        <row r="83">
          <cell r="A83" t="str">
            <v>MJ-IUYL230</v>
          </cell>
          <cell r="B83">
            <v>7.795</v>
          </cell>
        </row>
        <row r="84">
          <cell r="A84" t="str">
            <v>SQ-XLEJ-496</v>
          </cell>
          <cell r="B84">
            <v>4.9</v>
          </cell>
        </row>
        <row r="85">
          <cell r="A85" t="str">
            <v>YMQYQZB05HS</v>
          </cell>
          <cell r="B85">
            <v>4.975</v>
          </cell>
        </row>
        <row r="86">
          <cell r="A86" t="str">
            <v>MIDUYD46-059</v>
          </cell>
          <cell r="B86">
            <v>22.7</v>
          </cell>
        </row>
        <row r="87">
          <cell r="A87" t="str">
            <v>YY-IULCY-XW100</v>
          </cell>
          <cell r="B87">
            <v>27.99</v>
          </cell>
        </row>
        <row r="88">
          <cell r="A88" t="str">
            <v>ZHUAPPP</v>
          </cell>
          <cell r="B88">
            <v>8.495</v>
          </cell>
        </row>
        <row r="89">
          <cell r="A89" t="str">
            <v>YHJRB</v>
          </cell>
          <cell r="B89">
            <v>0.151363636363636</v>
          </cell>
        </row>
        <row r="90">
          <cell r="A90" t="str">
            <v>YMQYZB4DHD</v>
          </cell>
          <cell r="B90">
            <v>18.9</v>
          </cell>
        </row>
        <row r="91">
          <cell r="A91" t="str">
            <v>ARDIAN</v>
          </cell>
          <cell r="B91">
            <v>11.59</v>
          </cell>
        </row>
        <row r="92">
          <cell r="A92" t="str">
            <v>GMZYL-FLQ2013</v>
          </cell>
          <cell r="B92">
            <v>14.99</v>
          </cell>
        </row>
        <row r="93">
          <cell r="A93" t="str">
            <v>MIDUQF46W0M</v>
          </cell>
          <cell r="B93" t="e">
            <v>#DIV/0!</v>
          </cell>
        </row>
        <row r="94">
          <cell r="A94" t="str">
            <v>MIDUQF46</v>
          </cell>
          <cell r="B94">
            <v>0</v>
          </cell>
        </row>
        <row r="95">
          <cell r="A95" t="str">
            <v>LMZJYUJIAK-17028</v>
          </cell>
          <cell r="B95">
            <v>0</v>
          </cell>
        </row>
        <row r="96">
          <cell r="A96" t="str">
            <v>ZBCSXMXM</v>
          </cell>
          <cell r="B96" t="e">
            <v>#DIV/0!</v>
          </cell>
        </row>
        <row r="97">
          <cell r="A97" t="str">
            <v>DDK2</v>
          </cell>
          <cell r="B97">
            <v>0</v>
          </cell>
        </row>
        <row r="98">
          <cell r="A98" t="str">
            <v>MZYSTYMM</v>
          </cell>
          <cell r="B98">
            <v>0</v>
          </cell>
        </row>
        <row r="99">
          <cell r="A99" t="str">
            <v>MIDUYD036</v>
          </cell>
          <cell r="B99">
            <v>0</v>
          </cell>
        </row>
        <row r="100">
          <cell r="A100" t="str">
            <v>YMQYQW011</v>
          </cell>
          <cell r="B100" t="e">
            <v>#DIV/0!</v>
          </cell>
        </row>
        <row r="101">
          <cell r="A101" t="str">
            <v>DL002-DX</v>
          </cell>
          <cell r="B101">
            <v>0</v>
          </cell>
        </row>
        <row r="102">
          <cell r="A102" t="str">
            <v>LQXFTY</v>
          </cell>
          <cell r="B102" t="e">
            <v>#DIV/0!</v>
          </cell>
        </row>
        <row r="103">
          <cell r="A103" t="str">
            <v>PUJIANGBAIMAMRG</v>
          </cell>
          <cell r="B103" t="e">
            <v>#DIV/0!</v>
          </cell>
        </row>
        <row r="104">
          <cell r="A104" t="str">
            <v>HUAPET-1B</v>
          </cell>
          <cell r="B104">
            <v>1.51285714285714</v>
          </cell>
        </row>
        <row r="105">
          <cell r="A105" t="str">
            <v>SNTG-CL</v>
          </cell>
          <cell r="B105">
            <v>0</v>
          </cell>
        </row>
        <row r="106">
          <cell r="A106" t="str">
            <v>JDDKLN</v>
          </cell>
          <cell r="B106">
            <v>0</v>
          </cell>
        </row>
        <row r="107">
          <cell r="A107" t="str">
            <v>LGQ-IUYL100</v>
          </cell>
          <cell r="B107">
            <v>0</v>
          </cell>
        </row>
        <row r="108">
          <cell r="A108" t="str">
            <v>BUDSNOW</v>
          </cell>
          <cell r="B108" t="e">
            <v>#DIV/0!</v>
          </cell>
        </row>
        <row r="109">
          <cell r="A109" t="str">
            <v>GS-IUYL280</v>
          </cell>
          <cell r="B109" t="e">
            <v>#DIV/0!</v>
          </cell>
        </row>
        <row r="110">
          <cell r="A110" t="str">
            <v>SZ-IUYL002</v>
          </cell>
          <cell r="B110" t="e">
            <v>#DIV/0!</v>
          </cell>
        </row>
        <row r="111">
          <cell r="A111" t="str">
            <v>CWGQYS</v>
          </cell>
          <cell r="B111">
            <v>0</v>
          </cell>
        </row>
        <row r="112">
          <cell r="A112" t="str">
            <v>XQ-IUYL260</v>
          </cell>
          <cell r="B112">
            <v>0</v>
          </cell>
        </row>
        <row r="113">
          <cell r="A113" t="str">
            <v>FREEQYS</v>
          </cell>
          <cell r="B113" t="e">
            <v>#DIV/0!</v>
          </cell>
        </row>
        <row r="114">
          <cell r="A114" t="str">
            <v>NEWCBLUE</v>
          </cell>
          <cell r="B114">
            <v>0</v>
          </cell>
        </row>
        <row r="115">
          <cell r="A115" t="str">
            <v>NEWZXXC</v>
          </cell>
          <cell r="B115">
            <v>0</v>
          </cell>
        </row>
        <row r="116">
          <cell r="A116" t="str">
            <v>NEWC</v>
          </cell>
          <cell r="B116">
            <v>0</v>
          </cell>
        </row>
        <row r="117">
          <cell r="A117" t="str">
            <v>YMQYCSCMRO</v>
          </cell>
          <cell r="B117" t="e">
            <v>#DIV/0!</v>
          </cell>
        </row>
        <row r="118">
          <cell r="A118" t="str">
            <v>HNJJBDW</v>
          </cell>
          <cell r="B118" t="e">
            <v>#DIV/0!</v>
          </cell>
        </row>
        <row r="119">
          <cell r="A119" t="str">
            <v>ZXXABO-M</v>
          </cell>
          <cell r="B119">
            <v>0</v>
          </cell>
        </row>
        <row r="120">
          <cell r="A120" t="str">
            <v>YMQYQHCZQ</v>
          </cell>
          <cell r="B120" t="e">
            <v>#DIV/0!</v>
          </cell>
        </row>
        <row r="121">
          <cell r="A121" t="str">
            <v>LQXFMS1H</v>
          </cell>
          <cell r="B121" t="e">
            <v>#DIV/0!</v>
          </cell>
        </row>
        <row r="122">
          <cell r="A122" t="str">
            <v>AWFSNANKU-HBWYB5822</v>
          </cell>
          <cell r="B122" t="e">
            <v>#DIV/0!</v>
          </cell>
        </row>
        <row r="123">
          <cell r="A123" t="str">
            <v>GMSNT-LUHM001</v>
          </cell>
          <cell r="B123">
            <v>14.99</v>
          </cell>
        </row>
        <row r="124">
          <cell r="A124" t="str">
            <v>MIDUYD037</v>
          </cell>
          <cell r="B124">
            <v>22.9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0A-OLK7-ZS6V</v>
          </cell>
          <cell r="B4" t="str">
            <v>0A-OLK7-ZS6V</v>
          </cell>
        </row>
        <row r="5">
          <cell r="A5" t="str">
            <v>1Q-F18P-MTNO</v>
          </cell>
          <cell r="B5" t="str">
            <v>1Q-F18P-MTNO</v>
          </cell>
        </row>
        <row r="6">
          <cell r="A6" t="str">
            <v>24-TKUP-1NJJ</v>
          </cell>
          <cell r="B6" t="str">
            <v>24-TKUP-1NJJ</v>
          </cell>
        </row>
        <row r="7">
          <cell r="A7" t="str">
            <v>6958140000000-21</v>
          </cell>
          <cell r="B7" t="str">
            <v>6958140000000</v>
          </cell>
        </row>
        <row r="8">
          <cell r="A8" t="str">
            <v>6958140000000-36</v>
          </cell>
          <cell r="B8" t="str">
            <v>6958140000000</v>
          </cell>
        </row>
        <row r="9">
          <cell r="A9" t="str">
            <v>8Y-T6OF-YUJY</v>
          </cell>
          <cell r="B9" t="str">
            <v>8Y-T6OF-YUJY</v>
          </cell>
        </row>
        <row r="10">
          <cell r="A10" t="str">
            <v>9CUE9N-00TLXXXL</v>
          </cell>
          <cell r="B10" t="str">
            <v>9CUE9N</v>
          </cell>
        </row>
        <row r="11">
          <cell r="A11" t="str">
            <v>9CUE9N-01SLXXXL</v>
          </cell>
          <cell r="B11" t="str">
            <v>9CUE9N</v>
          </cell>
        </row>
        <row r="12">
          <cell r="A12" t="str">
            <v>9CUE9N-03R0XXXL</v>
          </cell>
          <cell r="B12" t="str">
            <v>9CUE9N</v>
          </cell>
        </row>
        <row r="13">
          <cell r="A13" t="str">
            <v>9CUE9N-04Y0XXXL</v>
          </cell>
          <cell r="B13" t="str">
            <v>9CUE9N</v>
          </cell>
        </row>
        <row r="14">
          <cell r="A14" t="str">
            <v>9S-9NNT-31M9</v>
          </cell>
          <cell r="B14" t="str">
            <v>9S-9NNT-31M9</v>
          </cell>
        </row>
        <row r="15">
          <cell r="A15" t="str">
            <v>A7KKBX-01G0L</v>
          </cell>
          <cell r="B15" t="str">
            <v>A7KKBX-01</v>
          </cell>
        </row>
        <row r="16">
          <cell r="A16" t="str">
            <v>AQD-IUCY330-BK</v>
          </cell>
          <cell r="B16" t="str">
            <v>AQD-IUCY330</v>
          </cell>
        </row>
        <row r="17">
          <cell r="A17" t="str">
            <v>AQD-IUCY330-CF</v>
          </cell>
          <cell r="B17" t="str">
            <v>AQD-IUCY330</v>
          </cell>
        </row>
        <row r="18">
          <cell r="A18" t="str">
            <v>AQD-IUCY330-DB</v>
          </cell>
          <cell r="B18" t="str">
            <v>AQD-IUCY330</v>
          </cell>
        </row>
        <row r="19">
          <cell r="A19" t="str">
            <v>AQD-IUCY330-DP</v>
          </cell>
          <cell r="B19" t="str">
            <v>AQD-IUCY330</v>
          </cell>
        </row>
        <row r="20">
          <cell r="A20" t="str">
            <v>AQD-IUCY330-GR</v>
          </cell>
          <cell r="B20" t="str">
            <v>AQD-IUCY330</v>
          </cell>
        </row>
        <row r="21">
          <cell r="A21" t="str">
            <v>AQD-IUCY330-LB</v>
          </cell>
          <cell r="B21" t="str">
            <v>AQD-IUCY330</v>
          </cell>
        </row>
        <row r="22">
          <cell r="A22" t="str">
            <v>AQD-IUCY330-LP</v>
          </cell>
          <cell r="B22" t="str">
            <v>AQD-IUCY330</v>
          </cell>
        </row>
        <row r="23">
          <cell r="A23" t="str">
            <v>AQD-IUCY330-OR</v>
          </cell>
          <cell r="B23" t="str">
            <v>AQD-IUCY330</v>
          </cell>
        </row>
        <row r="24">
          <cell r="A24" t="str">
            <v>AQD-IUCY330-OR-2</v>
          </cell>
          <cell r="B24" t="str">
            <v>AQD-IUCY330</v>
          </cell>
        </row>
        <row r="25">
          <cell r="A25" t="str">
            <v>AQD-IUCY330-PK</v>
          </cell>
          <cell r="B25" t="str">
            <v>AQD-IUCY330</v>
          </cell>
        </row>
        <row r="26">
          <cell r="A26" t="str">
            <v>AQD-IUCY330-PK-2</v>
          </cell>
          <cell r="B26" t="str">
            <v>AQD-IUCY330</v>
          </cell>
        </row>
        <row r="27">
          <cell r="A27" t="str">
            <v>AQD-IUCY330-PP</v>
          </cell>
          <cell r="B27" t="str">
            <v>AQD-IUCY330</v>
          </cell>
        </row>
        <row r="28">
          <cell r="A28" t="str">
            <v>AQD-IUCY330-RD</v>
          </cell>
          <cell r="B28" t="str">
            <v>AQD-IUCY330</v>
          </cell>
        </row>
        <row r="29">
          <cell r="A29" t="str">
            <v>AQD-IUCY330-YL</v>
          </cell>
          <cell r="B29" t="str">
            <v>AQD-IUCY330</v>
          </cell>
        </row>
        <row r="30">
          <cell r="A30" t="str">
            <v>AQD-IUCY330-YL-2</v>
          </cell>
          <cell r="B30" t="str">
            <v>AQD-IUCY330</v>
          </cell>
        </row>
        <row r="31">
          <cell r="A31" t="str">
            <v>ARDIANBS</v>
          </cell>
          <cell r="B31" t="str">
            <v>ARDIAN</v>
          </cell>
        </row>
        <row r="32">
          <cell r="A32" t="str">
            <v>ARDIANCOF</v>
          </cell>
          <cell r="B32" t="str">
            <v>ARDIAN</v>
          </cell>
        </row>
        <row r="33">
          <cell r="A33" t="str">
            <v>ARDIANCOF-1</v>
          </cell>
          <cell r="B33" t="str">
            <v>ARDIAN</v>
          </cell>
        </row>
        <row r="34">
          <cell r="A34" t="str">
            <v>ARDIANGOLD</v>
          </cell>
          <cell r="B34" t="str">
            <v>ARDIAN</v>
          </cell>
        </row>
        <row r="35">
          <cell r="A35" t="str">
            <v>ARDIANKQS</v>
          </cell>
          <cell r="B35" t="str">
            <v>ARDIAN</v>
          </cell>
        </row>
        <row r="36">
          <cell r="A36" t="str">
            <v>ARDIANKQS-1</v>
          </cell>
          <cell r="B36" t="str">
            <v>ARDIAN</v>
          </cell>
        </row>
        <row r="37">
          <cell r="A37" t="str">
            <v>ARDIANYHUS</v>
          </cell>
          <cell r="B37" t="str">
            <v>ARDIAN</v>
          </cell>
        </row>
        <row r="38">
          <cell r="A38" t="str">
            <v>ARDIANYHUS-1</v>
          </cell>
          <cell r="B38" t="str">
            <v>ARDIAN</v>
          </cell>
        </row>
        <row r="39">
          <cell r="A39" t="str">
            <v>AWFSNANKU-2292B0-30</v>
          </cell>
          <cell r="B39" t="str">
            <v>AWFSNANKU-2292</v>
          </cell>
        </row>
        <row r="40">
          <cell r="A40" t="str">
            <v>AWFSNANKU-2292B0-31</v>
          </cell>
          <cell r="B40" t="str">
            <v>AWFSNANKU-2292</v>
          </cell>
        </row>
        <row r="41">
          <cell r="A41" t="str">
            <v>AWFSNANKU-2292B0-32</v>
          </cell>
          <cell r="B41" t="str">
            <v>AWFSNANKU-2292</v>
          </cell>
        </row>
        <row r="42">
          <cell r="A42" t="str">
            <v>AWFSNANKU-2292B0-34</v>
          </cell>
          <cell r="B42" t="str">
            <v>AWFSNANKU-2292</v>
          </cell>
        </row>
        <row r="43">
          <cell r="A43" t="str">
            <v>AWFSNANKU-2292B0-36</v>
          </cell>
          <cell r="B43" t="str">
            <v>AWFSNANKU-2292</v>
          </cell>
        </row>
        <row r="44">
          <cell r="A44" t="str">
            <v>AWFSNANKU-2292B0-38</v>
          </cell>
          <cell r="B44" t="str">
            <v>AWFSNANKU-2292</v>
          </cell>
        </row>
        <row r="45">
          <cell r="A45" t="str">
            <v>AWFSNANKU-2292B0-40</v>
          </cell>
          <cell r="B45" t="str">
            <v>AWFSNANKU-2292</v>
          </cell>
        </row>
        <row r="46">
          <cell r="A46" t="str">
            <v>AWFSNANKU-2292JLS-30</v>
          </cell>
          <cell r="B46" t="str">
            <v>AWFSNANKU-2292</v>
          </cell>
        </row>
        <row r="47">
          <cell r="A47" t="str">
            <v>AWFSNANKU-2292JLS-31</v>
          </cell>
          <cell r="B47" t="str">
            <v>AWFSNANKU-2292</v>
          </cell>
        </row>
        <row r="48">
          <cell r="A48" t="str">
            <v>AWFSNANKU-2292JLS-32</v>
          </cell>
          <cell r="B48" t="str">
            <v>AWFSNANKU-2292</v>
          </cell>
        </row>
        <row r="49">
          <cell r="A49" t="str">
            <v>AWFSNANKU-2292JLS-34</v>
          </cell>
          <cell r="B49" t="str">
            <v>AWFSNANKU-2292</v>
          </cell>
        </row>
        <row r="50">
          <cell r="A50" t="str">
            <v>AWFSNANKU-2292JLS-36</v>
          </cell>
          <cell r="B50" t="str">
            <v>AWFSNANKU-2292</v>
          </cell>
        </row>
        <row r="51">
          <cell r="A51" t="str">
            <v>AWFSNANKU-2292JLS-38</v>
          </cell>
          <cell r="B51" t="str">
            <v>AWFSNANKU-2292</v>
          </cell>
        </row>
        <row r="52">
          <cell r="A52" t="str">
            <v>AWFSNANKU-2292JLS-40</v>
          </cell>
          <cell r="B52" t="str">
            <v>AWFSNANKU-2292</v>
          </cell>
        </row>
        <row r="53">
          <cell r="A53" t="str">
            <v>AWFSNANKU2-HBWYB5822LS-38</v>
          </cell>
          <cell r="B53" t="str">
            <v>AWFSNANKU2-HBWYB5822</v>
          </cell>
        </row>
        <row r="54">
          <cell r="A54" t="str">
            <v>AWFSNANKU2-HBWYB5822ZQ-32</v>
          </cell>
          <cell r="B54" t="str">
            <v>AWFSNANKU2-HBWYB5822</v>
          </cell>
        </row>
        <row r="55">
          <cell r="A55" t="str">
            <v>AWFSNANKU2-JJ-G367-BHBMC-30</v>
          </cell>
          <cell r="B55" t="str">
            <v>AWFSNANKU2-JJ-G367-BHBMC</v>
          </cell>
        </row>
        <row r="56">
          <cell r="A56" t="str">
            <v>AWFSNANKU2-JJ-G367-BHBMC-31</v>
          </cell>
          <cell r="B56" t="str">
            <v>AWFSNANKU2-JJ-G367-BHBMC</v>
          </cell>
        </row>
        <row r="57">
          <cell r="A57" t="str">
            <v>AWFSNANKU2-JJ-G367-BHBMC-32</v>
          </cell>
          <cell r="B57" t="str">
            <v>AWFSNANKU2-JJ-G367-BHBMC</v>
          </cell>
        </row>
        <row r="58">
          <cell r="A58" t="str">
            <v>AWFSNANKU2-JJ-G367-BHBMC-34</v>
          </cell>
          <cell r="B58" t="str">
            <v>AWFSNANKU2-JJ-G367-BHBMC</v>
          </cell>
        </row>
        <row r="59">
          <cell r="A59" t="str">
            <v>AWFSNANKU2-JJ-G367-BHBMC-36</v>
          </cell>
          <cell r="B59" t="str">
            <v>AWFSNANKU2-JJ-G367-BHBMC</v>
          </cell>
        </row>
        <row r="60">
          <cell r="A60" t="str">
            <v>AWFSNANKU2-JJ-G367-BHBMC-38</v>
          </cell>
          <cell r="B60" t="str">
            <v>AWFSNANKU2-JJ-G367</v>
          </cell>
        </row>
        <row r="61">
          <cell r="A61" t="str">
            <v>AWFSNANKU2-JJ-G367-BLHMC-30</v>
          </cell>
          <cell r="B61" t="str">
            <v>AWFSNANKU2-JJ-G367</v>
          </cell>
        </row>
        <row r="62">
          <cell r="A62" t="str">
            <v>AWFSNANKU2-JJ-G367-BLHMC-32</v>
          </cell>
          <cell r="B62" t="str">
            <v>AWFSNANKU2-JJ-G367</v>
          </cell>
        </row>
        <row r="63">
          <cell r="A63" t="str">
            <v>AWFSNANKU-HBWYB5822BS-30</v>
          </cell>
          <cell r="B63" t="str">
            <v>AWFSNANKU-HBWYB5822</v>
          </cell>
        </row>
        <row r="64">
          <cell r="A64" t="str">
            <v>AWFSNANKU-HBWYB5822BS-31</v>
          </cell>
          <cell r="B64" t="str">
            <v>AWFSNANKU-HBWYB5822</v>
          </cell>
        </row>
        <row r="65">
          <cell r="A65" t="str">
            <v>AWFSNANKU-HBWYB5822BS-32</v>
          </cell>
          <cell r="B65" t="str">
            <v>AWFSNANKU-HBWYB5822</v>
          </cell>
        </row>
        <row r="66">
          <cell r="A66" t="str">
            <v>AWFSNANKU-HBWYB5822BS-34</v>
          </cell>
          <cell r="B66" t="str">
            <v>AWFSNANKU-HBWYB5822</v>
          </cell>
        </row>
        <row r="67">
          <cell r="A67" t="str">
            <v>AWFSNANKU-HBWYB5822BS-36</v>
          </cell>
          <cell r="B67" t="str">
            <v>AWFSNANKU-HBWYB5822</v>
          </cell>
        </row>
        <row r="68">
          <cell r="A68" t="str">
            <v>AWFSNANKU-HBWYB5822BS-36-1</v>
          </cell>
          <cell r="B68" t="str">
            <v>AWFSNANKU-HBWYB5822</v>
          </cell>
        </row>
        <row r="69">
          <cell r="A69" t="str">
            <v>AWFSNANKU-HBWYB5822BS-38</v>
          </cell>
          <cell r="B69" t="str">
            <v>AWFSNANKU-HBWYB5822</v>
          </cell>
        </row>
        <row r="70">
          <cell r="A70" t="str">
            <v>AWFSNANKU-HBWYB5822HS-29</v>
          </cell>
          <cell r="B70" t="str">
            <v>AWFSNANKU-HBWYB5822</v>
          </cell>
        </row>
        <row r="71">
          <cell r="A71" t="str">
            <v>AWFSNANKU-HBWYB5822HS-30</v>
          </cell>
          <cell r="B71" t="str">
            <v>AWFSNANKU-HBWYB5822</v>
          </cell>
        </row>
        <row r="72">
          <cell r="A72" t="str">
            <v>AWFSNANKU-HBWYB5822HS-31</v>
          </cell>
          <cell r="B72" t="str">
            <v>AWFSNANKU-HBWYB5822</v>
          </cell>
        </row>
        <row r="73">
          <cell r="A73" t="str">
            <v>AWFSNANKU-HBWYB5822HS-32</v>
          </cell>
          <cell r="B73" t="str">
            <v>AWFSNANKU-HBWYB5822</v>
          </cell>
        </row>
        <row r="74">
          <cell r="A74" t="str">
            <v>AWFSNANKU-HBWYB5822HS-34</v>
          </cell>
          <cell r="B74" t="str">
            <v>AWFSNANKU-HBWYB5822</v>
          </cell>
        </row>
        <row r="75">
          <cell r="A75" t="str">
            <v>AWFSNANKU-HBWYB5822HS-36</v>
          </cell>
          <cell r="B75" t="str">
            <v>AWFSNANKU-HBWYB5822</v>
          </cell>
        </row>
        <row r="76">
          <cell r="A76" t="str">
            <v>AWFSNANKU-HBWYB5822HS-38</v>
          </cell>
          <cell r="B76" t="str">
            <v>AWFSNANKU-HBWYB5822</v>
          </cell>
        </row>
        <row r="77">
          <cell r="A77" t="str">
            <v>AWFSNANKU-HBWYB5822HS-38-1</v>
          </cell>
          <cell r="B77" t="str">
            <v>AWFSNANKU-HBWYB5822</v>
          </cell>
        </row>
        <row r="78">
          <cell r="A78" t="str">
            <v>AWFSNANKU-HBWYB5822SJL-29</v>
          </cell>
          <cell r="B78" t="str">
            <v>AWFSNANKU-HBWYB5822</v>
          </cell>
        </row>
        <row r="79">
          <cell r="A79" t="str">
            <v>AWFSNANKU-HBWYB5822SJL-30</v>
          </cell>
          <cell r="B79" t="str">
            <v>AWFSNANKU-HBWYB5822SJL</v>
          </cell>
        </row>
        <row r="80">
          <cell r="A80" t="str">
            <v>AWFSNANKU-HBWYB5822SJL-31</v>
          </cell>
          <cell r="B80" t="str">
            <v>AWFSNANKU-HBWYB5822SJL</v>
          </cell>
        </row>
        <row r="81">
          <cell r="A81" t="str">
            <v>AWFSNANKU-HBWYB5822SJL-32</v>
          </cell>
          <cell r="B81" t="str">
            <v>AWFSNANKU-HBWYB5822SJL</v>
          </cell>
        </row>
        <row r="82">
          <cell r="A82" t="str">
            <v>AWFSNANKU-HBWYB5822SJL-34</v>
          </cell>
          <cell r="B82" t="str">
            <v>AWFSNANKU-HBWYB5822SJL</v>
          </cell>
        </row>
        <row r="83">
          <cell r="A83" t="str">
            <v>AWFSNANKU-HBWYB5822SJL-36</v>
          </cell>
          <cell r="B83" t="str">
            <v>AWFSNANKU-HBWYB5822SJL</v>
          </cell>
        </row>
        <row r="84">
          <cell r="A84" t="str">
            <v>AWFSNANKU-HBWYB5822SJL-38</v>
          </cell>
          <cell r="B84" t="str">
            <v>AWFSNANKU-HBWYB5822SJL</v>
          </cell>
        </row>
        <row r="85">
          <cell r="A85" t="str">
            <v>AWFSNANKU-HBWYB5822SJL-40</v>
          </cell>
          <cell r="B85" t="str">
            <v>AWFSNANKU-HBWYB5822SJL</v>
          </cell>
        </row>
        <row r="86">
          <cell r="A86" t="str">
            <v>AWFSNANKU-JJ-G367-BHMC-38</v>
          </cell>
          <cell r="B86" t="str">
            <v>AWFSNANKU-JJ-G367</v>
          </cell>
        </row>
        <row r="87">
          <cell r="A87" t="str">
            <v>AWFSNANKU-K19B0-30</v>
          </cell>
          <cell r="B87" t="str">
            <v>AWFSNANKU-K19</v>
          </cell>
        </row>
        <row r="88">
          <cell r="A88" t="str">
            <v>AWFSNANKU-K19B0-36</v>
          </cell>
          <cell r="B88" t="str">
            <v>AWFSNANKU-K19</v>
          </cell>
        </row>
        <row r="89">
          <cell r="A89" t="str">
            <v>AWFSNANKU-K19B0-38</v>
          </cell>
          <cell r="B89" t="str">
            <v>AWFSNANKU-K19</v>
          </cell>
        </row>
        <row r="90">
          <cell r="A90" t="str">
            <v>AWFSNANKU-K19E0-29</v>
          </cell>
          <cell r="B90" t="str">
            <v>AWFSNANKU-K19</v>
          </cell>
        </row>
        <row r="91">
          <cell r="A91" t="str">
            <v>AWFSNANKU-K19E0-30</v>
          </cell>
          <cell r="B91" t="str">
            <v>AWFSNANKU-K19</v>
          </cell>
        </row>
        <row r="92">
          <cell r="A92" t="str">
            <v>AWFSNANKU-K19E0-31</v>
          </cell>
          <cell r="B92" t="str">
            <v>AWFSNANKU-K19</v>
          </cell>
        </row>
        <row r="93">
          <cell r="A93" t="str">
            <v>AWFSNANKU-K19E0-36</v>
          </cell>
          <cell r="B93" t="str">
            <v>AWFSNANKU-K19</v>
          </cell>
        </row>
        <row r="94">
          <cell r="A94" t="str">
            <v>AWFSNANKU-K19E0-38</v>
          </cell>
          <cell r="B94" t="str">
            <v>AWFSNANKU-K19</v>
          </cell>
        </row>
        <row r="95">
          <cell r="A95" t="str">
            <v>AWFSNANKU-K19GL-38</v>
          </cell>
          <cell r="B95" t="str">
            <v>AWFSNANKU-K19</v>
          </cell>
        </row>
        <row r="96">
          <cell r="A96" t="str">
            <v>AWFSNANKU-K19K0-29</v>
          </cell>
          <cell r="B96" t="str">
            <v>AWFSNANKU-K19</v>
          </cell>
        </row>
        <row r="97">
          <cell r="A97" t="str">
            <v>AWFSNANKU-K19K0-30</v>
          </cell>
          <cell r="B97" t="str">
            <v>AWFSNANKU-K19</v>
          </cell>
        </row>
        <row r="98">
          <cell r="A98" t="str">
            <v>AWFSNANKU-K19K0-31</v>
          </cell>
          <cell r="B98" t="str">
            <v>AWFSNANKU-K19</v>
          </cell>
        </row>
        <row r="99">
          <cell r="A99" t="str">
            <v>AWFSNANKU-K19K0-32</v>
          </cell>
          <cell r="B99" t="str">
            <v>AWFSNANKU-K19</v>
          </cell>
        </row>
        <row r="100">
          <cell r="A100" t="str">
            <v>AWFSNANKU-K19K0-34</v>
          </cell>
          <cell r="B100" t="str">
            <v>AWFSNANKU-K19</v>
          </cell>
        </row>
        <row r="101">
          <cell r="A101" t="str">
            <v>AWFSNANKU-K19K0-36</v>
          </cell>
          <cell r="B101" t="str">
            <v>AWFSNANKU-K19</v>
          </cell>
        </row>
        <row r="102">
          <cell r="A102" t="str">
            <v>AWFSNANKU-K19K0-38</v>
          </cell>
          <cell r="B102" t="str">
            <v>AWFSNANKU-K19</v>
          </cell>
        </row>
        <row r="103">
          <cell r="A103" t="str">
            <v>AWFSNANKU-K19KQS-30</v>
          </cell>
          <cell r="B103" t="str">
            <v>AWFSNANKU-K19</v>
          </cell>
        </row>
        <row r="104">
          <cell r="A104" t="str">
            <v>AWFSNANKU-K19KQS-31</v>
          </cell>
          <cell r="B104" t="str">
            <v>AWFSNANKU-K19</v>
          </cell>
        </row>
        <row r="105">
          <cell r="A105" t="str">
            <v>AWFSNANKU-K19KQS-32</v>
          </cell>
          <cell r="B105" t="str">
            <v>AWFSNANKU-K19</v>
          </cell>
        </row>
        <row r="106">
          <cell r="A106" t="str">
            <v>AWFSNANKU-K19KQS-34</v>
          </cell>
          <cell r="B106" t="str">
            <v>AWFSNANKU-K19</v>
          </cell>
        </row>
        <row r="107">
          <cell r="A107" t="str">
            <v>AWFSNANKU-K19KQS-36</v>
          </cell>
          <cell r="B107" t="str">
            <v>AWFSNANKU-K19</v>
          </cell>
        </row>
        <row r="108">
          <cell r="A108" t="str">
            <v>AWFSNANKU-K19KQS-38</v>
          </cell>
          <cell r="B108" t="str">
            <v>AWFSNANKU-K19</v>
          </cell>
        </row>
        <row r="109">
          <cell r="A109" t="str">
            <v>AWFSNANKU-K19R0-31</v>
          </cell>
          <cell r="B109" t="str">
            <v>AWFSNANKU-K19</v>
          </cell>
        </row>
        <row r="110">
          <cell r="A110" t="str">
            <v>BBSA140*180CM</v>
          </cell>
          <cell r="B110" t="str">
            <v>BBSA</v>
          </cell>
        </row>
        <row r="111">
          <cell r="A111" t="str">
            <v>BBSA140*240CM</v>
          </cell>
          <cell r="B111" t="str">
            <v>BBSA</v>
          </cell>
        </row>
        <row r="112">
          <cell r="A112" t="str">
            <v>BBSA140*260CM</v>
          </cell>
          <cell r="B112" t="str">
            <v>BBSA</v>
          </cell>
        </row>
        <row r="113">
          <cell r="A113" t="str">
            <v>BBYIFS-2XL</v>
          </cell>
          <cell r="B113" t="str">
            <v>BBYIHS</v>
          </cell>
        </row>
        <row r="114">
          <cell r="A114" t="str">
            <v>BBYIHS-3XL</v>
          </cell>
          <cell r="B114" t="str">
            <v>BBYIHS</v>
          </cell>
        </row>
        <row r="115">
          <cell r="A115" t="str">
            <v>BBYIHS-M</v>
          </cell>
          <cell r="B115" t="str">
            <v>BBYIHS</v>
          </cell>
        </row>
        <row r="116">
          <cell r="A116" t="str">
            <v>BBYIHS-XL</v>
          </cell>
          <cell r="B116" t="str">
            <v>BBYIHS</v>
          </cell>
        </row>
        <row r="117">
          <cell r="A117" t="str">
            <v>BBYILS-2XL</v>
          </cell>
          <cell r="B117" t="str">
            <v>BBYILS</v>
          </cell>
        </row>
        <row r="118">
          <cell r="A118" t="str">
            <v>BBYILS-M</v>
          </cell>
          <cell r="B118" t="str">
            <v>BBYILS</v>
          </cell>
        </row>
        <row r="119">
          <cell r="A119" t="str">
            <v>BBYILS-XL</v>
          </cell>
          <cell r="B119" t="str">
            <v>BBYILS</v>
          </cell>
        </row>
        <row r="120">
          <cell r="A120" t="str">
            <v>BDB-001-B0</v>
          </cell>
          <cell r="B120" t="str">
            <v>BDB-001</v>
          </cell>
        </row>
        <row r="121">
          <cell r="A121" t="str">
            <v>BDB-001-G0</v>
          </cell>
          <cell r="B121" t="str">
            <v>BDB-001</v>
          </cell>
        </row>
        <row r="122">
          <cell r="A122" t="str">
            <v>BDB-001-K0</v>
          </cell>
          <cell r="B122" t="str">
            <v>BDB-001</v>
          </cell>
        </row>
        <row r="123">
          <cell r="A123" t="str">
            <v>BDB-001-R0</v>
          </cell>
          <cell r="B123" t="str">
            <v>BDB-001</v>
          </cell>
        </row>
        <row r="124">
          <cell r="A124" t="str">
            <v>BDB-001-Y0</v>
          </cell>
          <cell r="B124" t="str">
            <v>BDB-001</v>
          </cell>
        </row>
        <row r="125">
          <cell r="A125" t="str">
            <v>BDB-001-ZL</v>
          </cell>
          <cell r="B125" t="str">
            <v>BDB-001</v>
          </cell>
        </row>
        <row r="126">
          <cell r="A126" t="str">
            <v>BDB-LUHM001-B0</v>
          </cell>
          <cell r="B126" t="str">
            <v>BDB-LUHM001</v>
          </cell>
        </row>
        <row r="127">
          <cell r="A127" t="str">
            <v>BDB-LUHM001-G0</v>
          </cell>
          <cell r="B127" t="str">
            <v>BDB-LUHM001</v>
          </cell>
        </row>
        <row r="128">
          <cell r="A128" t="str">
            <v>BDB-LUHM001-K0</v>
          </cell>
          <cell r="B128" t="str">
            <v>BDB-LUHM001</v>
          </cell>
        </row>
        <row r="129">
          <cell r="A129" t="str">
            <v>BDB-LUHM001-R0</v>
          </cell>
          <cell r="B129" t="str">
            <v>BDB-LUHM001</v>
          </cell>
        </row>
        <row r="130">
          <cell r="A130" t="str">
            <v>BDB-LUHM001-Y0</v>
          </cell>
          <cell r="B130" t="str">
            <v>BDB-LUHM001</v>
          </cell>
        </row>
        <row r="131">
          <cell r="A131" t="str">
            <v>BDB-LUHM001-ZL</v>
          </cell>
          <cell r="B131" t="str">
            <v>BDB-LUHM001</v>
          </cell>
        </row>
        <row r="132">
          <cell r="A132" t="str">
            <v>BG-5CN8-7YYT</v>
          </cell>
          <cell r="B132" t="str">
            <v>BG-5CN8-7YYT</v>
          </cell>
        </row>
        <row r="133">
          <cell r="A133" t="str">
            <v>BH-E628-EYEA</v>
          </cell>
          <cell r="B133" t="str">
            <v>BH-E628-EYEA</v>
          </cell>
        </row>
        <row r="134">
          <cell r="A134" t="str">
            <v>BUDSNOWBO-L</v>
          </cell>
          <cell r="B134" t="str">
            <v>BUDSNOW</v>
          </cell>
        </row>
        <row r="135">
          <cell r="A135" t="str">
            <v>BUDSNOWBO-M</v>
          </cell>
          <cell r="B135" t="str">
            <v>BUDSNOW</v>
          </cell>
        </row>
        <row r="136">
          <cell r="A136" t="str">
            <v>BUDSNOWBO-S</v>
          </cell>
          <cell r="B136" t="str">
            <v>BUDSNOW</v>
          </cell>
        </row>
        <row r="137">
          <cell r="A137" t="str">
            <v>BUDSNOWBO-XL</v>
          </cell>
          <cell r="B137" t="str">
            <v>BUDSNOW</v>
          </cell>
        </row>
        <row r="138">
          <cell r="A138" t="str">
            <v>BUDSNOWBO-XXL</v>
          </cell>
          <cell r="B138" t="str">
            <v>BUDSNOW</v>
          </cell>
        </row>
        <row r="139">
          <cell r="A139" t="str">
            <v>BUDSNOWRO-L</v>
          </cell>
          <cell r="B139" t="str">
            <v>BUDSNOW</v>
          </cell>
        </row>
        <row r="140">
          <cell r="A140" t="str">
            <v>BUDSNOWRO-M</v>
          </cell>
          <cell r="B140" t="str">
            <v>BUDSNOW</v>
          </cell>
        </row>
        <row r="141">
          <cell r="A141" t="str">
            <v>BUDSNOWRO-S</v>
          </cell>
          <cell r="B141" t="str">
            <v>BUDSNOW</v>
          </cell>
        </row>
        <row r="142">
          <cell r="A142" t="str">
            <v>BUDSNOWRO-XL</v>
          </cell>
          <cell r="B142" t="str">
            <v>BUDSNOW</v>
          </cell>
        </row>
        <row r="143">
          <cell r="A143" t="str">
            <v>BUDSNOWRO-XXL</v>
          </cell>
          <cell r="B143" t="str">
            <v>BUDSNOW</v>
          </cell>
        </row>
        <row r="144">
          <cell r="A144" t="str">
            <v>BYZBFS140*140CM</v>
          </cell>
          <cell r="B144" t="str">
            <v>BYZBFS</v>
          </cell>
        </row>
        <row r="145">
          <cell r="A145" t="str">
            <v>BYZBFS140*180CM</v>
          </cell>
          <cell r="B145" t="str">
            <v>BYZBFS</v>
          </cell>
        </row>
        <row r="146">
          <cell r="A146" t="str">
            <v>BYZBFS140*200CM</v>
          </cell>
          <cell r="B146" t="str">
            <v>BYZBFS</v>
          </cell>
        </row>
        <row r="147">
          <cell r="A147" t="str">
            <v>BYZBFS140*220CM</v>
          </cell>
          <cell r="B147" t="str">
            <v>BYZBFS</v>
          </cell>
        </row>
        <row r="148">
          <cell r="A148" t="str">
            <v>BYZBFS140*250CM</v>
          </cell>
          <cell r="B148" t="str">
            <v>BYZBFS</v>
          </cell>
        </row>
        <row r="149">
          <cell r="A149" t="str">
            <v>BYZBFS60*60CM</v>
          </cell>
          <cell r="B149" t="str">
            <v>BYZBFS</v>
          </cell>
        </row>
        <row r="150">
          <cell r="A150" t="str">
            <v>BYZBFS90*140CM</v>
          </cell>
          <cell r="B150" t="str">
            <v>BYZBFS</v>
          </cell>
        </row>
        <row r="151">
          <cell r="A151" t="str">
            <v>BYZBFS90*90CM</v>
          </cell>
          <cell r="B151" t="str">
            <v>BYZBFS</v>
          </cell>
        </row>
        <row r="152">
          <cell r="A152" t="str">
            <v>BYZBLANS140*140CM</v>
          </cell>
          <cell r="B152" t="str">
            <v>BYZBLANS</v>
          </cell>
        </row>
        <row r="153">
          <cell r="A153" t="str">
            <v>BYZBLANS140*180CM</v>
          </cell>
          <cell r="B153" t="str">
            <v>BYZBLANS</v>
          </cell>
        </row>
        <row r="154">
          <cell r="A154" t="str">
            <v>BYZBLANS140*200CM</v>
          </cell>
          <cell r="B154" t="str">
            <v>BYZBLANS</v>
          </cell>
        </row>
        <row r="155">
          <cell r="A155" t="str">
            <v>BYZBLANS140*220CM</v>
          </cell>
          <cell r="B155" t="str">
            <v>BYZBLANS</v>
          </cell>
        </row>
        <row r="156">
          <cell r="A156" t="str">
            <v>BYZBLANS140*250CM</v>
          </cell>
          <cell r="B156" t="str">
            <v>BYZBLANS</v>
          </cell>
        </row>
        <row r="157">
          <cell r="A157" t="str">
            <v>BYZBLANS60*60CM</v>
          </cell>
          <cell r="B157" t="str">
            <v>BYZBLANS</v>
          </cell>
        </row>
        <row r="158">
          <cell r="A158" t="str">
            <v>BYZBLANS90*140CM</v>
          </cell>
          <cell r="B158" t="str">
            <v>BYZBLANS</v>
          </cell>
        </row>
        <row r="159">
          <cell r="A159" t="str">
            <v>BYZBLANS90*90CM</v>
          </cell>
          <cell r="B159" t="str">
            <v>BYZBLANS</v>
          </cell>
        </row>
        <row r="160">
          <cell r="A160" t="str">
            <v>BZXKHH628B</v>
          </cell>
          <cell r="B160" t="str">
            <v>BZXKHH628</v>
          </cell>
        </row>
        <row r="161">
          <cell r="A161" t="str">
            <v>BZXKHH628C</v>
          </cell>
          <cell r="B161" t="str">
            <v>BZXKHH628</v>
          </cell>
        </row>
        <row r="162">
          <cell r="A162" t="str">
            <v>BZXKHH628E</v>
          </cell>
          <cell r="B162" t="str">
            <v>BZXKHH628</v>
          </cell>
        </row>
        <row r="163">
          <cell r="A163" t="str">
            <v>CAGM9CUE9N-01SLXXXL</v>
          </cell>
          <cell r="B163" t="str">
            <v>CAGM9CUE9N-01</v>
          </cell>
        </row>
        <row r="164">
          <cell r="A164" t="str">
            <v>CAGM9CUE9N-04Y0XXXL</v>
          </cell>
          <cell r="B164" t="str">
            <v>CAGM9CUE9N-04</v>
          </cell>
        </row>
        <row r="165">
          <cell r="A165" t="str">
            <v>CAGMAWFSNANKU-2292B0-32</v>
          </cell>
          <cell r="B165" t="str">
            <v>CAGMAWFSNANKU-2292</v>
          </cell>
        </row>
        <row r="166">
          <cell r="A166" t="str">
            <v>CAGMAWFSNANKU-2292B0-34</v>
          </cell>
          <cell r="B166" t="str">
            <v>CAGMAWFSNANKU-2292</v>
          </cell>
        </row>
        <row r="167">
          <cell r="A167" t="str">
            <v>CAGMAWFSNANKU-2292B0-40</v>
          </cell>
          <cell r="B167" t="str">
            <v>CAGMAWFSNANKU-2292</v>
          </cell>
        </row>
        <row r="168">
          <cell r="A168" t="str">
            <v>CAGMAWFSNANKU2-JJ-G367-BHBMC-34</v>
          </cell>
          <cell r="B168" t="str">
            <v>CAGMAWFSNANKU2-JJ-G367</v>
          </cell>
        </row>
        <row r="169">
          <cell r="A169" t="str">
            <v>CAGMAWFSNANKU-HBWYB5822BS-31</v>
          </cell>
          <cell r="B169" t="str">
            <v>CAGMAWFSNANKU-HBWYB5822</v>
          </cell>
        </row>
        <row r="170">
          <cell r="A170" t="str">
            <v>CAGMAWFSNANKU-HBWYB5822BS-32</v>
          </cell>
          <cell r="B170" t="str">
            <v>CAGMAWFSNANKU-HBWYB5822</v>
          </cell>
        </row>
        <row r="171">
          <cell r="A171" t="str">
            <v>CAGMAWFSNANKU-HBWYB5822BS-34</v>
          </cell>
          <cell r="B171" t="str">
            <v>CAGMAWFSNANKU-HBWYB5822</v>
          </cell>
        </row>
        <row r="172">
          <cell r="A172" t="str">
            <v>CAGMAWFSNANKU-HBWYB5822BS-38</v>
          </cell>
          <cell r="B172" t="str">
            <v>CAGMAWFSNANKU-HBWYB5822</v>
          </cell>
        </row>
        <row r="173">
          <cell r="A173" t="str">
            <v>CAGMAWFSNANKU-HBWYB5822HS-31</v>
          </cell>
          <cell r="B173" t="str">
            <v>CAGMAWFSNANKU-HBWYB5822</v>
          </cell>
        </row>
        <row r="174">
          <cell r="A174" t="str">
            <v>CAGMAWFSNANKU-HBWYB5822HS-32</v>
          </cell>
          <cell r="B174" t="str">
            <v>CAGMAWFSNANKU-HBWYB5822</v>
          </cell>
        </row>
        <row r="175">
          <cell r="A175" t="str">
            <v>CAGMAWFSNANKU-HBWYB5822SJL-34</v>
          </cell>
          <cell r="B175" t="str">
            <v>CAGMAWFSNANKU-HBWYB5822</v>
          </cell>
        </row>
        <row r="176">
          <cell r="A176" t="str">
            <v>CAGMMIDUYD036G0M</v>
          </cell>
          <cell r="B176" t="str">
            <v>CAGMMIDUY</v>
          </cell>
        </row>
        <row r="177">
          <cell r="A177" t="str">
            <v>CAGMMZYSZHUOBUDTLEIS140*140CM</v>
          </cell>
          <cell r="B177" t="str">
            <v>CAGMMZYSZHUOBUDTLEIS</v>
          </cell>
        </row>
        <row r="178">
          <cell r="A178" t="str">
            <v>CAGMMZYSZHUOBUDTLEIS140*180CM</v>
          </cell>
          <cell r="B178" t="str">
            <v>CAGMMZYSZHUOBUDTLEIS</v>
          </cell>
        </row>
        <row r="179">
          <cell r="A179" t="str">
            <v>CAGMMZYSZHUOBUDTLEIS140*200CM</v>
          </cell>
          <cell r="B179" t="str">
            <v>CAGMMZYSZHUOBUDTLEIS</v>
          </cell>
        </row>
        <row r="180">
          <cell r="A180" t="str">
            <v>CAGMMZYSZHUOBUDTLEIS140*220CM</v>
          </cell>
          <cell r="B180" t="str">
            <v>CAGMMZYSZHUOBUDTLEIS</v>
          </cell>
        </row>
        <row r="181">
          <cell r="A181" t="str">
            <v>CAGMMZYSZHUOBUDTLEIS60*60CM</v>
          </cell>
          <cell r="B181" t="str">
            <v>CAGMMZYSZHUOBUDTLEIS</v>
          </cell>
        </row>
        <row r="182">
          <cell r="A182" t="str">
            <v>CAGMRSDXTXKZS12*10CM</v>
          </cell>
          <cell r="B182" t="str">
            <v>CAGMRSDXTXKZS</v>
          </cell>
        </row>
        <row r="183">
          <cell r="A183" t="str">
            <v>CAGMSXHLYITAO1-LH-001GO40x60CM</v>
          </cell>
          <cell r="B183" t="str">
            <v>CAGMSXHLYITAO1-LH-001</v>
          </cell>
        </row>
        <row r="184">
          <cell r="A184" t="str">
            <v>CAGMSXHLYITAO5-LH-001YHS40x60CM</v>
          </cell>
          <cell r="B184" t="str">
            <v>CAGMSXHLYITAO5-LH-001</v>
          </cell>
        </row>
        <row r="185">
          <cell r="A185" t="str">
            <v>CAGMYDY-YUNDONGK-8756BLS-L</v>
          </cell>
          <cell r="B185" t="str">
            <v>CAGMYDY-YUNDONGK-8756</v>
          </cell>
        </row>
        <row r="186">
          <cell r="A186" t="str">
            <v>CAGMYDY-YUNDONGK-8756BLS-M</v>
          </cell>
          <cell r="B186" t="str">
            <v>CAGMYDY-YUNDONGK-8756</v>
          </cell>
        </row>
        <row r="187">
          <cell r="A187" t="str">
            <v>CAGMYDY-YUNDONGK-8756BLS-XL</v>
          </cell>
          <cell r="B187" t="str">
            <v>CAGMYDY-YUNDONGK-8756</v>
          </cell>
        </row>
        <row r="188">
          <cell r="A188" t="str">
            <v>CAGMYDY-YUNDONGK-8756BLS-XXL</v>
          </cell>
          <cell r="B188" t="str">
            <v>CAGMYDY-YUNDONGK-8756</v>
          </cell>
        </row>
        <row r="189">
          <cell r="A189" t="str">
            <v>CAGMYDY-YUNDONGK-8756K0-L</v>
          </cell>
          <cell r="B189" t="str">
            <v>CAGMYDY-YUNDONGK-8756</v>
          </cell>
        </row>
        <row r="190">
          <cell r="A190" t="str">
            <v>CAGMYDY-YUNDONGK-8756K0-M</v>
          </cell>
          <cell r="B190" t="str">
            <v>CAGMYDY-YUNDONGK-8756</v>
          </cell>
        </row>
        <row r="191">
          <cell r="A191" t="str">
            <v>CAGMYDY-YUNDONGK-8756K0-XL</v>
          </cell>
          <cell r="B191" t="str">
            <v>CAGMYDY-YUNDONGK-8756</v>
          </cell>
        </row>
        <row r="192">
          <cell r="A192" t="str">
            <v>CAGMYMQYQZBBKSC140*160CM</v>
          </cell>
          <cell r="B192" t="str">
            <v>CAGMYMQYQZBBKSC</v>
          </cell>
        </row>
        <row r="193">
          <cell r="A193" t="str">
            <v>CAGMYY2009L</v>
          </cell>
          <cell r="B193" t="str">
            <v>CAGMYY</v>
          </cell>
        </row>
        <row r="194">
          <cell r="A194" t="str">
            <v>CAGMYY2127GRL</v>
          </cell>
          <cell r="B194" t="str">
            <v>CAGMYY</v>
          </cell>
        </row>
        <row r="195">
          <cell r="A195" t="str">
            <v>CAGMZAKKA0627B025*32CM</v>
          </cell>
          <cell r="B195" t="str">
            <v>CAGMZAKKA0627</v>
          </cell>
        </row>
        <row r="196">
          <cell r="A196" t="str">
            <v>CAGMZXXAFS-S</v>
          </cell>
          <cell r="B196" t="str">
            <v>CAGMZXXAFS</v>
          </cell>
        </row>
        <row r="197">
          <cell r="A197" t="str">
            <v>CL-UN1G-DNUH</v>
          </cell>
          <cell r="B197" t="str">
            <v>CL-UN1G-DNUH</v>
          </cell>
        </row>
        <row r="198">
          <cell r="A198" t="str">
            <v>CWGQYS-BDB0L</v>
          </cell>
          <cell r="B198" t="str">
            <v>CWGQYS</v>
          </cell>
        </row>
        <row r="199">
          <cell r="A199" t="str">
            <v>CWGQYS-BDB0M</v>
          </cell>
          <cell r="B199" t="str">
            <v>CWGQYS</v>
          </cell>
        </row>
        <row r="200">
          <cell r="A200" t="str">
            <v>CWGQYS-BDB0S</v>
          </cell>
          <cell r="B200" t="str">
            <v>CWGQYS</v>
          </cell>
        </row>
        <row r="201">
          <cell r="A201" t="str">
            <v>CWGQYS-BDB0XL</v>
          </cell>
          <cell r="B201" t="str">
            <v>CWGQYS</v>
          </cell>
        </row>
        <row r="202">
          <cell r="A202" t="str">
            <v>CWGQYS-BDG01L</v>
          </cell>
          <cell r="B202" t="str">
            <v>CWGQYS</v>
          </cell>
        </row>
        <row r="203">
          <cell r="A203" t="str">
            <v>CWGQYS-BDG01M</v>
          </cell>
          <cell r="B203" t="str">
            <v>CWGQYS</v>
          </cell>
        </row>
        <row r="204">
          <cell r="A204" t="str">
            <v>CWGQYS-BDG01S</v>
          </cell>
          <cell r="B204" t="str">
            <v>CWGQYS</v>
          </cell>
        </row>
        <row r="205">
          <cell r="A205" t="str">
            <v>CWGQYS-BDG01XL</v>
          </cell>
          <cell r="B205" t="str">
            <v>CWGQYS</v>
          </cell>
        </row>
        <row r="206">
          <cell r="A206" t="str">
            <v>CWGQYS-BDK0L</v>
          </cell>
          <cell r="B206" t="str">
            <v>CWGQYS</v>
          </cell>
        </row>
        <row r="207">
          <cell r="A207" t="str">
            <v>CWGQYS-BDK0M</v>
          </cell>
          <cell r="B207" t="str">
            <v>CWGQYS</v>
          </cell>
        </row>
        <row r="208">
          <cell r="A208" t="str">
            <v>CWGQYS-BDK0S</v>
          </cell>
          <cell r="B208" t="str">
            <v>CWGQYS</v>
          </cell>
        </row>
        <row r="209">
          <cell r="A209" t="str">
            <v>CWGQYS-BDK0XL</v>
          </cell>
          <cell r="B209" t="str">
            <v>CWGQYS</v>
          </cell>
        </row>
        <row r="210">
          <cell r="A210" t="str">
            <v>CWGQYS-BDR0L</v>
          </cell>
          <cell r="B210" t="str">
            <v>CWGQYS</v>
          </cell>
        </row>
        <row r="211">
          <cell r="A211" t="str">
            <v>CWGQYS-BDR0M</v>
          </cell>
          <cell r="B211" t="str">
            <v>CWGQYS</v>
          </cell>
        </row>
        <row r="212">
          <cell r="A212" t="str">
            <v>CWGQYS-BDR0S</v>
          </cell>
          <cell r="B212" t="str">
            <v>CWGQYS</v>
          </cell>
        </row>
        <row r="213">
          <cell r="A213" t="str">
            <v>CWGQYS-BDR0XL</v>
          </cell>
          <cell r="B213" t="str">
            <v>CWGQYS</v>
          </cell>
        </row>
        <row r="214">
          <cell r="A214" t="str">
            <v>CWGQYS-XSB0L</v>
          </cell>
          <cell r="B214" t="str">
            <v>CWGQYS</v>
          </cell>
        </row>
        <row r="215">
          <cell r="A215" t="str">
            <v>CWGQYS-XSB0M</v>
          </cell>
          <cell r="B215" t="str">
            <v>CWGQYS</v>
          </cell>
        </row>
        <row r="216">
          <cell r="A216" t="str">
            <v>CWGQYS-XSB0S</v>
          </cell>
          <cell r="B216" t="str">
            <v>CWGQYS</v>
          </cell>
        </row>
        <row r="217">
          <cell r="A217" t="str">
            <v>CWGQYS-XSB0XL</v>
          </cell>
          <cell r="B217" t="str">
            <v>CWGQYS</v>
          </cell>
        </row>
        <row r="218">
          <cell r="A218" t="str">
            <v>CWGQYS-XSK0L</v>
          </cell>
          <cell r="B218" t="str">
            <v>CWGQYS</v>
          </cell>
        </row>
        <row r="219">
          <cell r="A219" t="str">
            <v>CWGQYS-XSK0M</v>
          </cell>
          <cell r="B219" t="str">
            <v>CWGQYS</v>
          </cell>
        </row>
        <row r="220">
          <cell r="A220" t="str">
            <v>CWGQYS-XSK0S</v>
          </cell>
          <cell r="B220" t="str">
            <v>CWGQYS</v>
          </cell>
        </row>
        <row r="221">
          <cell r="A221" t="str">
            <v>CWGQYS-XSK0XL</v>
          </cell>
          <cell r="B221" t="str">
            <v>CWGQYS</v>
          </cell>
        </row>
        <row r="222">
          <cell r="A222" t="str">
            <v>CWGQYS-XSR0L</v>
          </cell>
          <cell r="B222" t="str">
            <v>CWGQYS</v>
          </cell>
        </row>
        <row r="223">
          <cell r="A223" t="str">
            <v>CWGQYS-XSR0M</v>
          </cell>
          <cell r="B223" t="str">
            <v>CWGQYS</v>
          </cell>
        </row>
        <row r="224">
          <cell r="A224" t="str">
            <v>CWGQYS-XSR0S</v>
          </cell>
          <cell r="B224" t="str">
            <v>CWGQYS</v>
          </cell>
        </row>
        <row r="225">
          <cell r="A225" t="str">
            <v>CWGQYS-XSR0XL</v>
          </cell>
          <cell r="B225" t="str">
            <v>CWGQYS</v>
          </cell>
        </row>
        <row r="226">
          <cell r="A226" t="str">
            <v>CWGWMB0M</v>
          </cell>
          <cell r="B226" t="str">
            <v>CWGWMB0</v>
          </cell>
        </row>
        <row r="227">
          <cell r="A227" t="str">
            <v>CWGWMB0S</v>
          </cell>
          <cell r="B227" t="str">
            <v>CWGWMB0</v>
          </cell>
        </row>
        <row r="228">
          <cell r="A228" t="str">
            <v>CWGWMB0XL</v>
          </cell>
          <cell r="B228" t="str">
            <v>CWGWMB0</v>
          </cell>
        </row>
        <row r="229">
          <cell r="A229" t="str">
            <v>CWGWM-HSCHM</v>
          </cell>
          <cell r="B229" t="str">
            <v>CWGWM-HS</v>
          </cell>
        </row>
        <row r="230">
          <cell r="A230" t="str">
            <v>CWGWM-HSCHS</v>
          </cell>
          <cell r="B230" t="str">
            <v>CWGWM-HS</v>
          </cell>
        </row>
        <row r="231">
          <cell r="A231" t="str">
            <v>CWGWM-HSG01L</v>
          </cell>
          <cell r="B231" t="str">
            <v>CWGWM-HS</v>
          </cell>
        </row>
        <row r="232">
          <cell r="A232" t="str">
            <v>CWGWMR0XL</v>
          </cell>
          <cell r="B232" t="str">
            <v>CWGWMR0</v>
          </cell>
        </row>
        <row r="233">
          <cell r="A233" t="str">
            <v>CWGWM-TDB0</v>
          </cell>
          <cell r="B233" t="str">
            <v>CWGWM-TD</v>
          </cell>
        </row>
        <row r="234">
          <cell r="A234" t="str">
            <v>CWGWM-TDE0</v>
          </cell>
          <cell r="B234" t="str">
            <v>CWGWM-TD</v>
          </cell>
        </row>
        <row r="235">
          <cell r="A235" t="str">
            <v>CWGWM-TDJS</v>
          </cell>
          <cell r="B235" t="str">
            <v>CWGWM-TD</v>
          </cell>
        </row>
        <row r="236">
          <cell r="A236" t="str">
            <v>CWGWM-TDZS</v>
          </cell>
          <cell r="B236" t="str">
            <v>CWGWM-TD</v>
          </cell>
        </row>
        <row r="237">
          <cell r="A237" t="str">
            <v>CWGWM-XJY0M</v>
          </cell>
          <cell r="B237" t="str">
            <v>CWGWM-XJ</v>
          </cell>
        </row>
        <row r="238">
          <cell r="A238" t="str">
            <v>CWYFYLRAXXL</v>
          </cell>
          <cell r="B238" t="str">
            <v>CWYFYLR-WY</v>
          </cell>
        </row>
        <row r="239">
          <cell r="A239" t="str">
            <v>CWYFYLRB0XS</v>
          </cell>
          <cell r="B239" t="str">
            <v>CWYFYLR-WY</v>
          </cell>
        </row>
        <row r="240">
          <cell r="A240" t="str">
            <v>CWYFYLRXHXL</v>
          </cell>
          <cell r="B240" t="str">
            <v>CWYFYLR-WY</v>
          </cell>
        </row>
        <row r="241">
          <cell r="A241" t="str">
            <v>CWYFYLRXHXXL</v>
          </cell>
          <cell r="B241" t="str">
            <v>CWYFYLR-WY</v>
          </cell>
        </row>
        <row r="242">
          <cell r="A242" t="str">
            <v>D7-K3RX-7XQQ</v>
          </cell>
          <cell r="B242" t="str">
            <v>D7-K3RX-7XQQ</v>
          </cell>
        </row>
        <row r="243">
          <cell r="A243" t="str">
            <v>DC-IULCY-001-BLNPK</v>
          </cell>
          <cell r="B243" t="str">
            <v>DC-IULCY-001</v>
          </cell>
        </row>
        <row r="244">
          <cell r="A244" t="str">
            <v>DC-IULCY-001-GRNRD</v>
          </cell>
          <cell r="B244" t="str">
            <v>DC-IULCY-001</v>
          </cell>
        </row>
        <row r="245">
          <cell r="A245" t="str">
            <v>DC-IULCY-001-LBNGD</v>
          </cell>
          <cell r="B245" t="str">
            <v>DC-IULCY-001</v>
          </cell>
        </row>
        <row r="246">
          <cell r="A246" t="str">
            <v>DC-IULCY-001-PKNGR</v>
          </cell>
          <cell r="B246" t="str">
            <v>DC-IULCY-001</v>
          </cell>
        </row>
        <row r="247">
          <cell r="A247" t="str">
            <v>DDK1DFS-XL</v>
          </cell>
          <cell r="B247" t="str">
            <v>DDK1</v>
          </cell>
        </row>
        <row r="248">
          <cell r="A248" t="str">
            <v>DDK1HI-M</v>
          </cell>
          <cell r="B248" t="str">
            <v>DDK1</v>
          </cell>
        </row>
        <row r="249">
          <cell r="A249" t="str">
            <v>DDK1KFS-XL</v>
          </cell>
          <cell r="B249" t="str">
            <v>DDK1</v>
          </cell>
        </row>
        <row r="250">
          <cell r="A250" t="str">
            <v>DDK1LS-L</v>
          </cell>
          <cell r="B250" t="str">
            <v>DDK1</v>
          </cell>
        </row>
        <row r="251">
          <cell r="A251" t="str">
            <v>DDK1LS-M</v>
          </cell>
          <cell r="B251" t="str">
            <v>DDK1</v>
          </cell>
        </row>
        <row r="252">
          <cell r="A252" t="str">
            <v>DDK1LS-XL</v>
          </cell>
          <cell r="B252" t="str">
            <v>DDK1</v>
          </cell>
        </row>
        <row r="253">
          <cell r="A253" t="str">
            <v>DDK2-L</v>
          </cell>
          <cell r="B253" t="str">
            <v>DDK2</v>
          </cell>
        </row>
        <row r="254">
          <cell r="A254" t="str">
            <v>DDK2-M</v>
          </cell>
          <cell r="B254" t="str">
            <v>DDK2</v>
          </cell>
        </row>
        <row r="255">
          <cell r="A255" t="str">
            <v>DDK2-S</v>
          </cell>
          <cell r="B255" t="str">
            <v>DDK2</v>
          </cell>
        </row>
        <row r="256">
          <cell r="A256" t="str">
            <v>DDK2-XL</v>
          </cell>
          <cell r="B256" t="str">
            <v>DDK2</v>
          </cell>
        </row>
        <row r="257">
          <cell r="A257" t="str">
            <v>DDK5FS-M</v>
          </cell>
          <cell r="B257" t="str">
            <v>DDK5</v>
          </cell>
        </row>
        <row r="258">
          <cell r="A258" t="str">
            <v>DDK5FS-XL</v>
          </cell>
          <cell r="B258" t="str">
            <v>DDK5</v>
          </cell>
        </row>
        <row r="259">
          <cell r="A259" t="str">
            <v>DDK5JH-L</v>
          </cell>
          <cell r="B259" t="str">
            <v>DDK5</v>
          </cell>
        </row>
        <row r="260">
          <cell r="A260" t="str">
            <v>DDK5JH-M</v>
          </cell>
          <cell r="B260" t="str">
            <v>DDK5</v>
          </cell>
        </row>
        <row r="261">
          <cell r="A261" t="str">
            <v>DDK5KQ-M</v>
          </cell>
          <cell r="B261" t="str">
            <v>DDK5</v>
          </cell>
        </row>
        <row r="262">
          <cell r="A262" t="str">
            <v>DDK5KQ-XL</v>
          </cell>
          <cell r="B262" t="str">
            <v>DDK5</v>
          </cell>
        </row>
        <row r="263">
          <cell r="A263" t="str">
            <v>DDZBMIS140*140CM</v>
          </cell>
          <cell r="B263" t="str">
            <v>DDZBMIS</v>
          </cell>
        </row>
        <row r="264">
          <cell r="A264" t="str">
            <v>DJSCZHUOBUCSAQHS110*140CM</v>
          </cell>
          <cell r="B264" t="str">
            <v>DJSCZHUOBUCSAQHS</v>
          </cell>
        </row>
        <row r="265">
          <cell r="A265" t="str">
            <v>DJSCZHUOBUCSAQHS140*140CM</v>
          </cell>
          <cell r="B265" t="str">
            <v>DJSCZHUOBUCSAQHS</v>
          </cell>
        </row>
        <row r="266">
          <cell r="A266" t="str">
            <v>DJSCZHUOBUCSAQHS140*180CM</v>
          </cell>
          <cell r="B266" t="str">
            <v>DJSCZHUOBUCSAQHS</v>
          </cell>
        </row>
        <row r="267">
          <cell r="A267" t="str">
            <v>DJSCZHUOBUCSAQHS140*200CM</v>
          </cell>
          <cell r="B267" t="str">
            <v>DJSCZHUOBUCSAQHS</v>
          </cell>
        </row>
        <row r="268">
          <cell r="A268" t="str">
            <v>DJSCZHUOBUCSAQHS140*220CM</v>
          </cell>
          <cell r="B268" t="str">
            <v>DJSCZHUOBUCSAQHS</v>
          </cell>
        </row>
        <row r="269">
          <cell r="A269" t="str">
            <v>DJSCZHUOBUCSHXHSHS140*140CM</v>
          </cell>
          <cell r="B269" t="str">
            <v>DJSCZHUOBUCSHXHSHS</v>
          </cell>
        </row>
        <row r="270">
          <cell r="A270" t="str">
            <v>DJSCZHUOBULKW0100*150CM</v>
          </cell>
          <cell r="B270" t="str">
            <v>DJSCZHUOBULKW0</v>
          </cell>
        </row>
        <row r="271">
          <cell r="A271" t="str">
            <v>DJSCZHUOBULKW0140*180CM</v>
          </cell>
          <cell r="B271" t="str">
            <v>DJSCZHUOBULKW0</v>
          </cell>
        </row>
        <row r="272">
          <cell r="A272" t="str">
            <v>DJSCZHUOBULKW0DIAMETER120CM</v>
          </cell>
          <cell r="B272" t="str">
            <v>DJSCZHUOBULKW0DIAMETER</v>
          </cell>
        </row>
        <row r="273">
          <cell r="A273" t="str">
            <v>DJSCZHUOBULKW0DIAMETER150CM</v>
          </cell>
          <cell r="B273" t="str">
            <v>DJSCZHUOBULKW0DIAMETER</v>
          </cell>
        </row>
        <row r="274">
          <cell r="A274" t="str">
            <v>DL002-DX</v>
          </cell>
          <cell r="B274" t="str">
            <v>DL002-DX</v>
          </cell>
        </row>
        <row r="275">
          <cell r="A275" t="str">
            <v>DLJJZHUOBU-BGZW0100x140CM</v>
          </cell>
          <cell r="B275" t="str">
            <v>DLJJZHUOBU-BGZW0</v>
          </cell>
        </row>
        <row r="276">
          <cell r="A276" t="str">
            <v>DLJJZHUOBU-BGZW0140x140CM</v>
          </cell>
          <cell r="B276" t="str">
            <v>DLJJZHUOBU-BGZW0</v>
          </cell>
        </row>
        <row r="277">
          <cell r="A277" t="str">
            <v>DLJJZHUOBU-BGZW0140x160CM</v>
          </cell>
          <cell r="B277" t="str">
            <v>DLJJZHUOBU-BGZW0</v>
          </cell>
        </row>
        <row r="278">
          <cell r="A278" t="str">
            <v>DLJJZHUOBU-BGZW0140x180CM</v>
          </cell>
          <cell r="B278" t="str">
            <v>DLJJZHUOBU-BGZW0</v>
          </cell>
        </row>
        <row r="279">
          <cell r="A279" t="str">
            <v>DLJJZHUOBU-BGZW0140x200CM</v>
          </cell>
          <cell r="B279" t="str">
            <v>DLJJZHUOBU-BGZW0</v>
          </cell>
        </row>
        <row r="280">
          <cell r="A280" t="str">
            <v>DLJJZHUOBU-BGZW0140x220CM</v>
          </cell>
          <cell r="B280" t="str">
            <v>DLJJZHUOBU-BGZW0</v>
          </cell>
        </row>
        <row r="281">
          <cell r="A281" t="str">
            <v>DLJJZHUOBU-BGZW0140x250CM</v>
          </cell>
          <cell r="B281" t="str">
            <v>DLJJZHUOBU-BGZW0</v>
          </cell>
        </row>
        <row r="282">
          <cell r="A282" t="str">
            <v>DLJJZHUOBU-BGZW070x70CM</v>
          </cell>
          <cell r="B282" t="str">
            <v>DLJJZHUOBU-BGZW0</v>
          </cell>
        </row>
        <row r="283">
          <cell r="A283" t="str">
            <v>DLJJZHUOBU-BLGZGZ140x280cm</v>
          </cell>
          <cell r="B283" t="str">
            <v>DLJJZHUOBU-BLGZGZ</v>
          </cell>
        </row>
        <row r="284">
          <cell r="A284" t="str">
            <v>DLJJZHUOBU-DSGZGZ100x100CM</v>
          </cell>
          <cell r="B284" t="str">
            <v>DLJJZHUOBU-DSGZGZ</v>
          </cell>
        </row>
        <row r="285">
          <cell r="A285" t="str">
            <v>DLJJZHUOBU-DSGZGZ100x140CM</v>
          </cell>
          <cell r="B285" t="str">
            <v>DLJJZHUOBU-DSGZGZ</v>
          </cell>
        </row>
        <row r="286">
          <cell r="A286" t="str">
            <v>DLJJZHUOBU-DSGZGZ140x140CM</v>
          </cell>
          <cell r="B286" t="str">
            <v>DLJJZHUOBU-DSGZGZ</v>
          </cell>
        </row>
        <row r="287">
          <cell r="A287" t="str">
            <v>DLJJZHUOBU-DSGZGZ140x180CM</v>
          </cell>
          <cell r="B287" t="str">
            <v>DLJJZHUOBU-DSGZGZ</v>
          </cell>
        </row>
        <row r="288">
          <cell r="A288" t="str">
            <v>DLJJZHUOBU-DSGZGZ140x220CM</v>
          </cell>
          <cell r="B288" t="str">
            <v>DLJJZHUOBU-DSGZGZ</v>
          </cell>
        </row>
        <row r="289">
          <cell r="A289" t="str">
            <v>DLJJZHUOBU-DSGZGZ140x250CM</v>
          </cell>
          <cell r="B289" t="str">
            <v>DLJJZHUOBU-DSGZGZ</v>
          </cell>
        </row>
        <row r="290">
          <cell r="A290" t="str">
            <v>DLJJZHUOBU-HGZE0140x160CM</v>
          </cell>
          <cell r="B290" t="str">
            <v>DLJJZHUOBU-HG</v>
          </cell>
        </row>
        <row r="291">
          <cell r="A291" t="str">
            <v>DLJJZHUOBU-HSGZK0140x140CM</v>
          </cell>
          <cell r="B291" t="str">
            <v>DLJJZHUOBU-HSGZK0</v>
          </cell>
        </row>
        <row r="292">
          <cell r="A292" t="str">
            <v>DLJJZHUOBU-YHYH130x180CM</v>
          </cell>
          <cell r="B292" t="str">
            <v>DLJJZHUOBU-YHYH</v>
          </cell>
        </row>
        <row r="293">
          <cell r="A293" t="str">
            <v>DZ-IUYL200-BK</v>
          </cell>
          <cell r="B293" t="str">
            <v>DZ-IUYL200</v>
          </cell>
        </row>
        <row r="294">
          <cell r="A294" t="str">
            <v>DZ-IUYL200-GR</v>
          </cell>
          <cell r="B294" t="str">
            <v>DZ-IUYL200</v>
          </cell>
        </row>
        <row r="295">
          <cell r="A295" t="str">
            <v>DZ-IUYL210-BK</v>
          </cell>
          <cell r="B295" t="str">
            <v>DZ-IUYL210</v>
          </cell>
        </row>
        <row r="296">
          <cell r="A296" t="str">
            <v>DZ-IUYL210-CF</v>
          </cell>
          <cell r="B296" t="str">
            <v>DZ-IUYL210</v>
          </cell>
        </row>
        <row r="297">
          <cell r="A297" t="str">
            <v>DZ-IUYL210-GR</v>
          </cell>
          <cell r="B297" t="str">
            <v>DZ-IUYL210</v>
          </cell>
        </row>
        <row r="298">
          <cell r="A298" t="str">
            <v>DZ-IUYL210-KK</v>
          </cell>
          <cell r="B298" t="str">
            <v>DZ-IUYL210</v>
          </cell>
        </row>
        <row r="299">
          <cell r="A299" t="str">
            <v>DZ-IUYL220-BK</v>
          </cell>
          <cell r="B299" t="str">
            <v>DZ-IUYL220</v>
          </cell>
        </row>
        <row r="300">
          <cell r="A300" t="str">
            <v>DZ-IUYL220-GR</v>
          </cell>
          <cell r="B300" t="str">
            <v>DZ-IUYL220</v>
          </cell>
        </row>
        <row r="301">
          <cell r="A301" t="str">
            <v>ETYIBLUE-L</v>
          </cell>
          <cell r="B301" t="str">
            <v>ETYIBLUE</v>
          </cell>
        </row>
        <row r="302">
          <cell r="A302" t="str">
            <v>ETYIBLUE-M</v>
          </cell>
          <cell r="B302" t="str">
            <v>ETYIBLUE</v>
          </cell>
        </row>
        <row r="303">
          <cell r="A303" t="str">
            <v>ETYIBLUE-M-2</v>
          </cell>
          <cell r="B303" t="str">
            <v>ETYIBLUE</v>
          </cell>
        </row>
        <row r="304">
          <cell r="A304" t="str">
            <v>ETYIBLUE-S</v>
          </cell>
          <cell r="B304" t="str">
            <v>ETYIBLUE</v>
          </cell>
        </row>
        <row r="305">
          <cell r="A305" t="str">
            <v>ETYIBLUE-S-2</v>
          </cell>
          <cell r="B305" t="str">
            <v>ETYIBLUE</v>
          </cell>
        </row>
        <row r="306">
          <cell r="A306" t="str">
            <v>ETYIBLUE-XL</v>
          </cell>
          <cell r="B306" t="str">
            <v>ETYIBLUE</v>
          </cell>
        </row>
        <row r="307">
          <cell r="A307" t="str">
            <v>ETYI-IUBLUE-S</v>
          </cell>
          <cell r="B307" t="str">
            <v>ETYI-IUBLUE</v>
          </cell>
        </row>
        <row r="308">
          <cell r="A308" t="str">
            <v>ETYIMC-L</v>
          </cell>
          <cell r="B308" t="str">
            <v>ETYIMC</v>
          </cell>
        </row>
        <row r="309">
          <cell r="A309" t="str">
            <v>ETYIMC-L-2</v>
          </cell>
          <cell r="B309" t="str">
            <v>ETYIMC</v>
          </cell>
        </row>
        <row r="310">
          <cell r="A310" t="str">
            <v>ETYIMC-L-3</v>
          </cell>
          <cell r="B310" t="str">
            <v>ETYIMC</v>
          </cell>
        </row>
        <row r="311">
          <cell r="A311" t="str">
            <v>ETYIMC-M</v>
          </cell>
          <cell r="B311" t="str">
            <v>ETYIMC</v>
          </cell>
        </row>
        <row r="312">
          <cell r="A312" t="str">
            <v>ETYIMC-M-2</v>
          </cell>
          <cell r="B312" t="str">
            <v>ETYIMC</v>
          </cell>
        </row>
        <row r="313">
          <cell r="A313" t="str">
            <v>ETYIMC-S</v>
          </cell>
          <cell r="B313" t="str">
            <v>ETYIMC</v>
          </cell>
        </row>
        <row r="314">
          <cell r="A314" t="str">
            <v>ETYIMC-XL</v>
          </cell>
          <cell r="B314" t="str">
            <v>ETYIMC</v>
          </cell>
        </row>
        <row r="315">
          <cell r="A315" t="str">
            <v>ETYIM-S-2</v>
          </cell>
          <cell r="B315" t="str">
            <v>ETYIM</v>
          </cell>
        </row>
        <row r="316">
          <cell r="A316" t="str">
            <v>ETYIYELLOW-L</v>
          </cell>
          <cell r="B316" t="str">
            <v>ETYIYELLOW</v>
          </cell>
        </row>
        <row r="317">
          <cell r="A317" t="str">
            <v>ETYIYELLOW-M</v>
          </cell>
          <cell r="B317" t="str">
            <v>ETYIYELLOW</v>
          </cell>
        </row>
        <row r="318">
          <cell r="A318" t="str">
            <v>ETYIYELLOW-S</v>
          </cell>
          <cell r="B318" t="str">
            <v>ETYIYELLOW</v>
          </cell>
        </row>
        <row r="319">
          <cell r="A319" t="str">
            <v>ETYIYELLOW-S-2</v>
          </cell>
          <cell r="B319" t="str">
            <v>ETYIYELLOW</v>
          </cell>
        </row>
        <row r="320">
          <cell r="A320" t="str">
            <v>ETYIYELLOW-XL</v>
          </cell>
          <cell r="B320" t="str">
            <v>ETYIYELLOW</v>
          </cell>
        </row>
        <row r="321">
          <cell r="A321" t="str">
            <v>ETYIYUANDIAN-L</v>
          </cell>
          <cell r="B321" t="str">
            <v>ETYIYUANDIAN</v>
          </cell>
        </row>
        <row r="322">
          <cell r="A322" t="str">
            <v>ETYIYUANDIAN-M</v>
          </cell>
          <cell r="B322" t="str">
            <v>ETYIYUANDIAN</v>
          </cell>
        </row>
        <row r="323">
          <cell r="A323" t="str">
            <v>ETYIYUANDIAN-S</v>
          </cell>
          <cell r="B323" t="str">
            <v>ETYIYUANDIAN</v>
          </cell>
        </row>
        <row r="324">
          <cell r="A324" t="str">
            <v>ETYIYUANDIAN-S-2</v>
          </cell>
          <cell r="B324" t="str">
            <v>ETYIYUANDIAN</v>
          </cell>
        </row>
        <row r="325">
          <cell r="A325" t="str">
            <v>ETYIYUANDIAN-XL</v>
          </cell>
          <cell r="B325" t="str">
            <v>ETYIYUANDIAN</v>
          </cell>
        </row>
        <row r="326">
          <cell r="A326" t="str">
            <v>ETYY-IUBHO-L</v>
          </cell>
          <cell r="B326" t="str">
            <v>ETYY-IUBHO</v>
          </cell>
        </row>
        <row r="327">
          <cell r="A327" t="str">
            <v>ETYY-IUBHO-M</v>
          </cell>
          <cell r="B327" t="str">
            <v>ETYY-IUBHO</v>
          </cell>
        </row>
        <row r="328">
          <cell r="A328" t="str">
            <v>ETYY-IUBHO-S</v>
          </cell>
          <cell r="B328" t="str">
            <v>ETYY-IUBHO</v>
          </cell>
        </row>
        <row r="329">
          <cell r="A329" t="str">
            <v>ETYY-IUBLUE-L</v>
          </cell>
          <cell r="B329" t="str">
            <v>ETYY-IUBLUE</v>
          </cell>
        </row>
        <row r="330">
          <cell r="A330" t="str">
            <v>ETYY-IUBLUE-M</v>
          </cell>
          <cell r="B330" t="str">
            <v>ETYY-IUBLUE</v>
          </cell>
        </row>
        <row r="331">
          <cell r="A331" t="str">
            <v>ETYY-IUCHONGQI-BOM</v>
          </cell>
          <cell r="B331" t="str">
            <v>ETYY-IUCHONGQI</v>
          </cell>
        </row>
        <row r="332">
          <cell r="A332" t="str">
            <v>ETYY-IUCHONGQI-BOXL</v>
          </cell>
          <cell r="B332" t="str">
            <v>ETYY-IUCHONGQI</v>
          </cell>
        </row>
        <row r="333">
          <cell r="A333" t="str">
            <v>ETYY-IUCHONGQI-P2XL</v>
          </cell>
          <cell r="B333" t="str">
            <v>ETYY-IUCHONGQI</v>
          </cell>
        </row>
        <row r="334">
          <cell r="A334" t="str">
            <v>ETYY-IUCHONGQI-R5L</v>
          </cell>
          <cell r="B334" t="str">
            <v>ETYY-IUCHONGQI</v>
          </cell>
        </row>
        <row r="335">
          <cell r="A335" t="str">
            <v>ETYY-IUCHONGQI-R5S</v>
          </cell>
          <cell r="B335" t="str">
            <v>ETYY-IUCHONGQI</v>
          </cell>
        </row>
        <row r="336">
          <cell r="A336" t="str">
            <v>ETYY-IUCHONGQI-R5XL</v>
          </cell>
          <cell r="B336" t="str">
            <v>ETYY-IUCHONGQI</v>
          </cell>
        </row>
        <row r="337">
          <cell r="A337" t="str">
            <v>ETYY-IUFS-L</v>
          </cell>
          <cell r="B337" t="str">
            <v>ETYY-IUFS</v>
          </cell>
        </row>
        <row r="338">
          <cell r="A338" t="str">
            <v>ETYY-IUFS-M</v>
          </cell>
          <cell r="B338" t="str">
            <v>ETYY-IUFS</v>
          </cell>
        </row>
        <row r="339">
          <cell r="A339" t="str">
            <v>ETYY-IUFS-XL</v>
          </cell>
          <cell r="B339" t="str">
            <v>ETYY-IUFS</v>
          </cell>
        </row>
        <row r="340">
          <cell r="A340" t="str">
            <v>ETYY-IUKONGLONG-BOL</v>
          </cell>
          <cell r="B340" t="str">
            <v>ETYY-IUKONGLONG</v>
          </cell>
        </row>
        <row r="341">
          <cell r="A341" t="str">
            <v>ETYY-IUKONGLONG-BOXL</v>
          </cell>
          <cell r="B341" t="str">
            <v>ETYY-IUKONGLONG</v>
          </cell>
        </row>
        <row r="342">
          <cell r="A342" t="str">
            <v>ETYY-IUKONGLONGLV-M</v>
          </cell>
          <cell r="B342" t="str">
            <v>ETYY-IUKONGLONGLV</v>
          </cell>
        </row>
        <row r="343">
          <cell r="A343" t="str">
            <v>ETYY-IUKONGLONGLV-XL</v>
          </cell>
          <cell r="B343" t="str">
            <v>ETYY-IUKONGLONGLV</v>
          </cell>
        </row>
        <row r="344">
          <cell r="A344" t="str">
            <v>ETYY-IUKONGLONG-XXL</v>
          </cell>
          <cell r="B344" t="str">
            <v>ETYY-IUKONGLONG</v>
          </cell>
        </row>
        <row r="345">
          <cell r="A345" t="str">
            <v>ETYY-IUKONGLONG-YOM</v>
          </cell>
          <cell r="B345" t="str">
            <v>ETYY-IUKONGLONG</v>
          </cell>
        </row>
        <row r="346">
          <cell r="A346" t="str">
            <v>ETYY-IUKONGLONGYO-XL</v>
          </cell>
          <cell r="B346" t="str">
            <v>ETYY-IUKONGLONGYO</v>
          </cell>
        </row>
        <row r="347">
          <cell r="A347" t="str">
            <v>ETYY-IULV-L</v>
          </cell>
          <cell r="B347" t="str">
            <v>ETYY-IULV</v>
          </cell>
        </row>
        <row r="348">
          <cell r="A348" t="str">
            <v>ETYY-IULV-M</v>
          </cell>
          <cell r="B348" t="str">
            <v>ETYY-IULV</v>
          </cell>
        </row>
        <row r="349">
          <cell r="A349" t="str">
            <v>ETYY-IULV-XL</v>
          </cell>
          <cell r="B349" t="str">
            <v>ETYY-IULV</v>
          </cell>
        </row>
        <row r="350">
          <cell r="A350" t="str">
            <v>ETYY-IUPP-XL</v>
          </cell>
          <cell r="B350" t="str">
            <v>ETYY-IUPP</v>
          </cell>
        </row>
        <row r="351">
          <cell r="A351" t="str">
            <v>ETYY-IUYELLOW-L</v>
          </cell>
          <cell r="B351" t="str">
            <v>ETYY-IUYELLOW</v>
          </cell>
        </row>
        <row r="352">
          <cell r="A352" t="str">
            <v>ETYY-IUYELLOW-M</v>
          </cell>
          <cell r="B352" t="str">
            <v>ETYY-IUYELLOW</v>
          </cell>
        </row>
        <row r="353">
          <cell r="A353" t="str">
            <v>ETYY-IUZS-L</v>
          </cell>
          <cell r="B353" t="str">
            <v>ETYY-IUZS</v>
          </cell>
        </row>
        <row r="354">
          <cell r="A354" t="str">
            <v>FMHSGJH67*20CM</v>
          </cell>
          <cell r="B354" t="str">
            <v>FMHSGJH</v>
          </cell>
        </row>
        <row r="355">
          <cell r="A355" t="str">
            <v>FREEQYS</v>
          </cell>
          <cell r="B355" t="str">
            <v>FREEQYS</v>
          </cell>
        </row>
        <row r="356">
          <cell r="A356" t="str">
            <v>FRPPYSCBB064CM*10K</v>
          </cell>
          <cell r="B356" t="str">
            <v>FRPPYSCBK</v>
          </cell>
        </row>
        <row r="357">
          <cell r="A357" t="str">
            <v>FRPPYSCBK064CM*10K</v>
          </cell>
          <cell r="B357" t="str">
            <v>FRPPYSCBK</v>
          </cell>
        </row>
        <row r="358">
          <cell r="A358" t="str">
            <v>FRPPYSCBKF64CM*10K</v>
          </cell>
          <cell r="B358" t="str">
            <v>FRPPYSCBK</v>
          </cell>
        </row>
        <row r="359">
          <cell r="A359" t="str">
            <v>FRPPYSCBP064CM*10K</v>
          </cell>
          <cell r="B359" t="str">
            <v>FRPPYSCBK</v>
          </cell>
        </row>
        <row r="360">
          <cell r="A360" t="str">
            <v>FRPPYSCBR064CM*10K</v>
          </cell>
          <cell r="B360" t="str">
            <v>FRPPYSCBK</v>
          </cell>
        </row>
        <row r="361">
          <cell r="A361" t="str">
            <v>FSFZB001BLRO160CM</v>
          </cell>
          <cell r="B361" t="str">
            <v>FSFZB001</v>
          </cell>
        </row>
        <row r="362">
          <cell r="A362" t="str">
            <v>FSFZB001BLRO180CM</v>
          </cell>
          <cell r="B362" t="str">
            <v>FSFZB001</v>
          </cell>
        </row>
        <row r="363">
          <cell r="A363" t="str">
            <v>FSFZB001BLRO200CM</v>
          </cell>
          <cell r="B363" t="str">
            <v>FSFZB001</v>
          </cell>
        </row>
        <row r="364">
          <cell r="A364" t="str">
            <v>FSFZB001BLRO220CM</v>
          </cell>
          <cell r="B364" t="str">
            <v>FSFZB001</v>
          </cell>
        </row>
        <row r="365">
          <cell r="A365" t="str">
            <v>FSFZB001JHRO160CM</v>
          </cell>
          <cell r="B365" t="str">
            <v>FSFZB001</v>
          </cell>
        </row>
        <row r="366">
          <cell r="A366" t="str">
            <v>FSFZB001JHRO180CM</v>
          </cell>
          <cell r="B366" t="str">
            <v>FSFZB001</v>
          </cell>
        </row>
        <row r="367">
          <cell r="A367" t="str">
            <v>FSFZB001JHRO200CM</v>
          </cell>
          <cell r="B367" t="str">
            <v>FSFZB001</v>
          </cell>
        </row>
        <row r="368">
          <cell r="A368" t="str">
            <v>FSFZB001JHRO220CM</v>
          </cell>
          <cell r="B368" t="str">
            <v>FSFZB001</v>
          </cell>
        </row>
        <row r="369">
          <cell r="A369" t="str">
            <v>FSFZB001W0RO160CM</v>
          </cell>
          <cell r="B369" t="str">
            <v>FSFZB001</v>
          </cell>
        </row>
        <row r="370">
          <cell r="A370" t="str">
            <v>FSFZB001W0RO180CM</v>
          </cell>
          <cell r="B370" t="str">
            <v>FSFZB001</v>
          </cell>
        </row>
        <row r="371">
          <cell r="A371" t="str">
            <v>FSFZB001W0RO200CM</v>
          </cell>
          <cell r="B371" t="str">
            <v>FSFZB001</v>
          </cell>
        </row>
        <row r="372">
          <cell r="A372" t="str">
            <v>FSFZB001W0RO220CM</v>
          </cell>
          <cell r="B372" t="str">
            <v>FSFZB001</v>
          </cell>
        </row>
        <row r="373">
          <cell r="A373" t="str">
            <v>FSFZB006J0RO160CM</v>
          </cell>
          <cell r="B373" t="str">
            <v>FSFZB006</v>
          </cell>
        </row>
        <row r="374">
          <cell r="A374" t="str">
            <v>FSFZB006J0RO180CM</v>
          </cell>
          <cell r="B374" t="str">
            <v>FSFZB006</v>
          </cell>
        </row>
        <row r="375">
          <cell r="A375" t="str">
            <v>FSFZB006J0RO220CM</v>
          </cell>
          <cell r="B375" t="str">
            <v>FSFZB006</v>
          </cell>
        </row>
        <row r="376">
          <cell r="A376" t="str">
            <v>FSFZB006J0RO280CM</v>
          </cell>
          <cell r="B376" t="str">
            <v>FSFZB006</v>
          </cell>
        </row>
        <row r="377">
          <cell r="A377" t="str">
            <v>FSFZB006J0RO320CM</v>
          </cell>
          <cell r="B377" t="str">
            <v>FSFZB006</v>
          </cell>
        </row>
        <row r="378">
          <cell r="A378" t="str">
            <v>FSFZB006QSRO160CM</v>
          </cell>
          <cell r="B378" t="str">
            <v>FSFZB006</v>
          </cell>
        </row>
        <row r="379">
          <cell r="A379" t="str">
            <v>FSFZB006QSRO180CM</v>
          </cell>
          <cell r="B379" t="str">
            <v>FSFZB006</v>
          </cell>
        </row>
        <row r="380">
          <cell r="A380" t="str">
            <v>FSFZB006QSRO200CM</v>
          </cell>
          <cell r="B380" t="str">
            <v>FSFZB006</v>
          </cell>
        </row>
        <row r="381">
          <cell r="A381" t="str">
            <v>FSFZB006QSRO220CM</v>
          </cell>
          <cell r="B381" t="str">
            <v>FSFZB006</v>
          </cell>
        </row>
        <row r="382">
          <cell r="A382" t="str">
            <v>FSFZB007KWRO160CM</v>
          </cell>
          <cell r="B382" t="str">
            <v>FSFZB007</v>
          </cell>
        </row>
        <row r="383">
          <cell r="A383" t="str">
            <v>FSFZB007KWRO180CM</v>
          </cell>
          <cell r="B383" t="str">
            <v>FSFZB007</v>
          </cell>
        </row>
        <row r="384">
          <cell r="A384" t="str">
            <v>FSFZB007KWRO200CM</v>
          </cell>
          <cell r="B384" t="str">
            <v>FSFZB007</v>
          </cell>
        </row>
        <row r="385">
          <cell r="A385" t="str">
            <v>FSFZB007KWRO220CM</v>
          </cell>
          <cell r="B385" t="str">
            <v>FSFZB007</v>
          </cell>
        </row>
        <row r="386">
          <cell r="A386" t="str">
            <v>G001D100R0</v>
          </cell>
          <cell r="B386" t="str">
            <v>G001D100</v>
          </cell>
        </row>
        <row r="387">
          <cell r="A387" t="str">
            <v>G001D100R5</v>
          </cell>
          <cell r="B387" t="str">
            <v>G001D100</v>
          </cell>
        </row>
        <row r="388">
          <cell r="A388" t="str">
            <v>GB-035-B0</v>
          </cell>
          <cell r="B388" t="str">
            <v>GB-035</v>
          </cell>
        </row>
        <row r="389">
          <cell r="A389" t="str">
            <v>GB-035-BE</v>
          </cell>
          <cell r="B389" t="str">
            <v>GB-035</v>
          </cell>
        </row>
        <row r="390">
          <cell r="A390" t="str">
            <v>GB-035-P0</v>
          </cell>
          <cell r="B390" t="str">
            <v>GB-035</v>
          </cell>
        </row>
        <row r="391">
          <cell r="A391" t="str">
            <v>GBMZYSMZ01140*140CM</v>
          </cell>
          <cell r="B391" t="str">
            <v>GBMZYSMZ01140</v>
          </cell>
        </row>
        <row r="392">
          <cell r="A392" t="str">
            <v>GBMZYSMZ01140*180CM</v>
          </cell>
          <cell r="B392" t="str">
            <v>GBMZYSMZ01140</v>
          </cell>
        </row>
        <row r="393">
          <cell r="A393" t="str">
            <v>GBMZYSMZ01140*200CM</v>
          </cell>
          <cell r="B393" t="str">
            <v>GBMZYSMZ01140</v>
          </cell>
        </row>
        <row r="394">
          <cell r="A394" t="str">
            <v>GBMZYSMZ01140*220CM</v>
          </cell>
          <cell r="B394" t="str">
            <v>GBMZYSMZ01140</v>
          </cell>
        </row>
        <row r="395">
          <cell r="A395" t="str">
            <v>GBMZYSSM140*140CM</v>
          </cell>
          <cell r="B395" t="str">
            <v>GBMZYSSM140</v>
          </cell>
        </row>
        <row r="396">
          <cell r="A396" t="str">
            <v>GBMZYSSM140*200CM</v>
          </cell>
          <cell r="B396" t="str">
            <v>GBMZYSSM140</v>
          </cell>
        </row>
        <row r="397">
          <cell r="A397" t="str">
            <v>GM HUAPET-1ROS-M</v>
          </cell>
          <cell r="B397" t="str">
            <v>GM HUAPET-1ROS</v>
          </cell>
        </row>
        <row r="398">
          <cell r="A398" t="str">
            <v>GM RAINBOWA-L</v>
          </cell>
          <cell r="B398" t="str">
            <v>GM RAINBOWA</v>
          </cell>
        </row>
        <row r="399">
          <cell r="A399" t="str">
            <v>GM TBYPRBFOUR-M</v>
          </cell>
          <cell r="B399" t="str">
            <v>GM TBYPRBFOUR-M</v>
          </cell>
        </row>
        <row r="400">
          <cell r="A400" t="str">
            <v>GM TBYY0ROINT</v>
          </cell>
          <cell r="B400" t="str">
            <v>GM TBYY0ROINT</v>
          </cell>
        </row>
        <row r="401">
          <cell r="A401" t="str">
            <v>GMAWFSNANKU-HBWYB5822SJL-38</v>
          </cell>
          <cell r="B401" t="str">
            <v>GMAWFSNANKU-HBWYB5822SJL</v>
          </cell>
        </row>
        <row r="402">
          <cell r="A402" t="str">
            <v>GMB074W5TPJ2</v>
          </cell>
          <cell r="B402" t="str">
            <v>GMB074W5TPJ2</v>
          </cell>
        </row>
        <row r="403">
          <cell r="A403" t="str">
            <v>GMBBSA140*180CM</v>
          </cell>
          <cell r="B403" t="str">
            <v>GMBBSA</v>
          </cell>
        </row>
        <row r="404">
          <cell r="A404" t="str">
            <v>GMBZKQM</v>
          </cell>
          <cell r="B404" t="str">
            <v>GMBZKQM</v>
          </cell>
        </row>
        <row r="405">
          <cell r="A405" t="str">
            <v>GMCWGQYS-XSB0S</v>
          </cell>
          <cell r="B405" t="str">
            <v>GMCWGQYS</v>
          </cell>
        </row>
        <row r="406">
          <cell r="A406" t="str">
            <v>GMCWGQYS-XSR0S</v>
          </cell>
          <cell r="B406" t="str">
            <v>GMCWGQYS</v>
          </cell>
        </row>
        <row r="407">
          <cell r="A407" t="str">
            <v>GMETYIYUANDIAN-L</v>
          </cell>
          <cell r="B407" t="str">
            <v>GMETYIYUANDIAN</v>
          </cell>
        </row>
        <row r="408">
          <cell r="A408" t="str">
            <v>GMETYIYUANDIAN-XL</v>
          </cell>
          <cell r="B408" t="str">
            <v>GMETYIYUANDIAN</v>
          </cell>
        </row>
        <row r="409">
          <cell r="A409" t="str">
            <v>GMH5-F378-ECJO</v>
          </cell>
          <cell r="B409" t="str">
            <v>GMH5-F378</v>
          </cell>
        </row>
        <row r="410">
          <cell r="A410" t="str">
            <v>GMHUAPET-1PPS-M</v>
          </cell>
          <cell r="B410" t="str">
            <v>GMHUAPET-1</v>
          </cell>
        </row>
        <row r="411">
          <cell r="A411" t="str">
            <v>GMHUAPET-1ROS-L</v>
          </cell>
          <cell r="B411" t="str">
            <v>GMHUAPET-1</v>
          </cell>
        </row>
        <row r="412">
          <cell r="A412" t="str">
            <v>GMHUAPET-1ROS-XL</v>
          </cell>
          <cell r="B412" t="str">
            <v>GMHUAPET-1</v>
          </cell>
        </row>
        <row r="413">
          <cell r="A413" t="str">
            <v>GMMID46-069-3XL</v>
          </cell>
          <cell r="B413" t="str">
            <v>GMMID46-069</v>
          </cell>
        </row>
        <row r="414">
          <cell r="A414" t="str">
            <v>GMMID46-069HSLX</v>
          </cell>
          <cell r="B414" t="str">
            <v>GMMID46-069</v>
          </cell>
        </row>
        <row r="415">
          <cell r="A415" t="str">
            <v>GMMID46-069HSM</v>
          </cell>
          <cell r="B415" t="str">
            <v>GMMID46-069</v>
          </cell>
        </row>
        <row r="416">
          <cell r="A416" t="str">
            <v>GMMID46-069HSS</v>
          </cell>
          <cell r="B416" t="str">
            <v>GMMID46-069</v>
          </cell>
        </row>
        <row r="417">
          <cell r="A417" t="str">
            <v>GMMIDUYD036G0M</v>
          </cell>
          <cell r="B417" t="str">
            <v>GMMIDUYD036</v>
          </cell>
        </row>
        <row r="418">
          <cell r="A418" t="str">
            <v>GMMIDUYD037K0L</v>
          </cell>
          <cell r="B418" t="str">
            <v>GMMIDUYD037</v>
          </cell>
        </row>
        <row r="419">
          <cell r="A419" t="str">
            <v>GMMIDUYD037K1M</v>
          </cell>
          <cell r="B419" t="str">
            <v>GMMIDUYD037</v>
          </cell>
        </row>
        <row r="420">
          <cell r="A420" t="str">
            <v>GMMZYSTYMM100*140CM</v>
          </cell>
          <cell r="B420" t="str">
            <v>GMMZYSTYMM</v>
          </cell>
        </row>
        <row r="421">
          <cell r="A421" t="str">
            <v>GMMZYSTYMM140*140CM</v>
          </cell>
          <cell r="B421" t="str">
            <v>GMMZYSTYMM</v>
          </cell>
        </row>
        <row r="422">
          <cell r="A422" t="str">
            <v>GMMZYSTYMM140*180CM</v>
          </cell>
          <cell r="B422" t="str">
            <v>GMMZYSTYMM</v>
          </cell>
        </row>
        <row r="423">
          <cell r="A423" t="str">
            <v>GMMZYSTYMM140*200CM</v>
          </cell>
          <cell r="B423" t="str">
            <v>GMMZYSTYMM</v>
          </cell>
        </row>
        <row r="424">
          <cell r="A424" t="str">
            <v>GMMZYSTYMM140*220CM</v>
          </cell>
          <cell r="B424" t="str">
            <v>GMMZYSTYMM</v>
          </cell>
        </row>
        <row r="425">
          <cell r="A425" t="str">
            <v>GMNEWZXXCFS-M</v>
          </cell>
          <cell r="B425" t="str">
            <v>GMNEWZXXCHO</v>
          </cell>
        </row>
        <row r="426">
          <cell r="A426" t="str">
            <v>GMNEWZXXCFS-S</v>
          </cell>
          <cell r="B426" t="str">
            <v>GMNEWZXXCHO</v>
          </cell>
        </row>
        <row r="427">
          <cell r="A427" t="str">
            <v>GMNEWZXXCHO-L</v>
          </cell>
          <cell r="B427" t="str">
            <v>GMNEWZXXCHO</v>
          </cell>
        </row>
        <row r="428">
          <cell r="A428" t="str">
            <v>GMNEWZXXCHO-M</v>
          </cell>
          <cell r="B428" t="str">
            <v>GMNEWZXXCHO</v>
          </cell>
        </row>
        <row r="429">
          <cell r="A429" t="str">
            <v>GMNEWZXXCZS-L</v>
          </cell>
          <cell r="B429" t="str">
            <v>GMNEWZXXCHO</v>
          </cell>
        </row>
        <row r="430">
          <cell r="A430" t="str">
            <v>GMNEWZXXCZS-M</v>
          </cell>
          <cell r="B430" t="str">
            <v>GMNEWZXXCHO</v>
          </cell>
        </row>
        <row r="431">
          <cell r="A431" t="str">
            <v>GMRAINBOWA-L</v>
          </cell>
          <cell r="B431" t="str">
            <v>GMRAINBOWA</v>
          </cell>
        </row>
        <row r="432">
          <cell r="A432" t="str">
            <v>GMRAINBOWA-M</v>
          </cell>
          <cell r="B432" t="str">
            <v>GMRAINBOWA</v>
          </cell>
        </row>
        <row r="433">
          <cell r="A433" t="str">
            <v>GMRAINBOWA-S</v>
          </cell>
          <cell r="B433" t="str">
            <v>GMRAINBOWA</v>
          </cell>
        </row>
        <row r="434">
          <cell r="A434" t="str">
            <v>GMRAINBOWA-XL</v>
          </cell>
          <cell r="B434" t="str">
            <v>GMRAINBOWA</v>
          </cell>
        </row>
        <row r="435">
          <cell r="A435" t="str">
            <v>GMRAINBOWDP-L</v>
          </cell>
          <cell r="B435" t="str">
            <v>GMRAINBOWDP</v>
          </cell>
        </row>
        <row r="436">
          <cell r="A436" t="str">
            <v>GMRAINBOWDP-M</v>
          </cell>
          <cell r="B436" t="str">
            <v>GMRAINBOWDP</v>
          </cell>
        </row>
        <row r="437">
          <cell r="A437" t="str">
            <v>GMRSDXTXKXX20*11CM</v>
          </cell>
          <cell r="B437" t="str">
            <v>GMRSDXTXKXX</v>
          </cell>
        </row>
        <row r="438">
          <cell r="A438" t="str">
            <v>GMSMHBZ</v>
          </cell>
          <cell r="B438" t="str">
            <v>GMSMHBZ</v>
          </cell>
        </row>
        <row r="439">
          <cell r="A439" t="str">
            <v>GMSNH-CY001-Y0</v>
          </cell>
          <cell r="B439" t="str">
            <v>GMSNH-CY001</v>
          </cell>
        </row>
        <row r="440">
          <cell r="A440" t="str">
            <v>GMSNH-LUHM001-E0</v>
          </cell>
          <cell r="B440" t="str">
            <v>GMSNH-LUHM001</v>
          </cell>
        </row>
        <row r="441">
          <cell r="A441" t="str">
            <v>GMSNH-LUHM001-G0</v>
          </cell>
          <cell r="B441" t="str">
            <v>GMSNH-LUHM001</v>
          </cell>
        </row>
        <row r="442">
          <cell r="A442" t="str">
            <v>GMSNH-LUHM001-K0</v>
          </cell>
          <cell r="B442" t="str">
            <v>GMSNH-LUHM001</v>
          </cell>
        </row>
        <row r="443">
          <cell r="A443" t="str">
            <v>GMSNH-LUHM001-W0</v>
          </cell>
          <cell r="B443" t="str">
            <v>GMSNH-LUHM001</v>
          </cell>
        </row>
        <row r="444">
          <cell r="A444" t="str">
            <v>GMSNT-CY001-DX</v>
          </cell>
          <cell r="B444" t="str">
            <v>GMSNT-CY001</v>
          </cell>
        </row>
        <row r="445">
          <cell r="A445" t="str">
            <v>GMSNTG-CLROS-L</v>
          </cell>
          <cell r="B445" t="str">
            <v>GMSNTG-CLROS</v>
          </cell>
        </row>
        <row r="446">
          <cell r="A446" t="str">
            <v>GMSNTG-CLROS-M</v>
          </cell>
          <cell r="B446" t="str">
            <v>GMSNTG-CLROS</v>
          </cell>
        </row>
        <row r="447">
          <cell r="A447" t="str">
            <v>GMSNTG-CLROS-S</v>
          </cell>
          <cell r="B447" t="str">
            <v>GMSNTG-CLROS</v>
          </cell>
        </row>
        <row r="448">
          <cell r="A448" t="str">
            <v>GMSNTG-CLROS-XS</v>
          </cell>
          <cell r="B448" t="str">
            <v>GMSNTG-CLROS</v>
          </cell>
        </row>
        <row r="449">
          <cell r="A449" t="str">
            <v>GMSNT-LUHM001-BS</v>
          </cell>
          <cell r="B449" t="str">
            <v>GMSNT-LUHM001</v>
          </cell>
        </row>
        <row r="450">
          <cell r="A450" t="str">
            <v>GMSNT-LUHM001-GQ</v>
          </cell>
          <cell r="B450" t="str">
            <v>GMSNT-LUHM001</v>
          </cell>
        </row>
        <row r="451">
          <cell r="A451" t="str">
            <v>GMSNT-LUHM001-HW</v>
          </cell>
          <cell r="B451" t="str">
            <v>GMSNT-LUHM001</v>
          </cell>
        </row>
        <row r="452">
          <cell r="A452" t="str">
            <v>GMSNT-LUHM001-KT</v>
          </cell>
          <cell r="B452" t="str">
            <v>GMSNT-LUHM001</v>
          </cell>
        </row>
        <row r="453">
          <cell r="A453" t="str">
            <v>GMSNT-LUHM001-WX</v>
          </cell>
          <cell r="B453" t="str">
            <v>GMSNT-LUHM001</v>
          </cell>
        </row>
        <row r="454">
          <cell r="A454" t="str">
            <v>GMSWEATPETJS14</v>
          </cell>
          <cell r="B454" t="str">
            <v>GMSWEATPET</v>
          </cell>
        </row>
        <row r="455">
          <cell r="A455" t="str">
            <v>GMSWEATPETJS16</v>
          </cell>
          <cell r="B455" t="str">
            <v>GMSWEATPET</v>
          </cell>
        </row>
        <row r="456">
          <cell r="A456" t="str">
            <v>GMSWEATPETJS20</v>
          </cell>
          <cell r="B456" t="str">
            <v>GMSWEATPET</v>
          </cell>
        </row>
        <row r="457">
          <cell r="A457" t="str">
            <v>GMSWEATPETJS24</v>
          </cell>
          <cell r="B457" t="str">
            <v>GMSWEATPET</v>
          </cell>
        </row>
        <row r="458">
          <cell r="A458" t="str">
            <v>GMSWEATPETJS28</v>
          </cell>
          <cell r="B458" t="str">
            <v>GMSWEATPET</v>
          </cell>
        </row>
        <row r="459">
          <cell r="A459" t="str">
            <v>GMSWEATPETLAN12</v>
          </cell>
          <cell r="B459" t="str">
            <v>GMSWEATPET</v>
          </cell>
        </row>
        <row r="460">
          <cell r="A460" t="str">
            <v>GMSWEATPETLAN14</v>
          </cell>
          <cell r="B460" t="str">
            <v>GMSWEATPET</v>
          </cell>
        </row>
        <row r="461">
          <cell r="A461" t="str">
            <v>GMSWEATPETLAN16</v>
          </cell>
          <cell r="B461" t="str">
            <v>GMSWEATPET</v>
          </cell>
        </row>
        <row r="462">
          <cell r="A462" t="str">
            <v>GMSWEATPETLAN20</v>
          </cell>
          <cell r="B462" t="str">
            <v>GMSWEATPET</v>
          </cell>
        </row>
        <row r="463">
          <cell r="A463" t="str">
            <v>GMSWEATPETLAN24</v>
          </cell>
          <cell r="B463" t="str">
            <v>GMSWEATPET</v>
          </cell>
        </row>
        <row r="464">
          <cell r="A464" t="str">
            <v>GMSWEATPETLAN28</v>
          </cell>
          <cell r="B464" t="str">
            <v>GMSWEATPET</v>
          </cell>
        </row>
        <row r="465">
          <cell r="A465" t="str">
            <v>GMSWEATPETRO14</v>
          </cell>
          <cell r="B465" t="str">
            <v>GMSWEATPET</v>
          </cell>
        </row>
        <row r="466">
          <cell r="A466" t="str">
            <v>GMSWEATPETRO16</v>
          </cell>
          <cell r="B466" t="str">
            <v>GMSWEATPET</v>
          </cell>
        </row>
        <row r="467">
          <cell r="A467" t="str">
            <v>GMSWEATPETRO20</v>
          </cell>
          <cell r="B467" t="str">
            <v>GMSWEATPET</v>
          </cell>
        </row>
        <row r="468">
          <cell r="A468" t="str">
            <v>GMSWEATPETRO24</v>
          </cell>
          <cell r="B468" t="str">
            <v>GMSWEATPET</v>
          </cell>
        </row>
        <row r="469">
          <cell r="A469" t="str">
            <v>GMSWEATPETRO28</v>
          </cell>
          <cell r="B469" t="str">
            <v>GMSWEATPET</v>
          </cell>
        </row>
        <row r="470">
          <cell r="A470" t="str">
            <v>GMSXHLYITAO1-LH-001BO40x60CM</v>
          </cell>
          <cell r="B470" t="str">
            <v>GMSXHLYITAO1</v>
          </cell>
        </row>
        <row r="471">
          <cell r="A471" t="str">
            <v>GMSXHLYITAO1-LH-001WI40x60CM</v>
          </cell>
          <cell r="B471" t="str">
            <v>GMSXHLYITAO1</v>
          </cell>
        </row>
        <row r="472">
          <cell r="A472" t="str">
            <v>GMSXHLYITAO4-LH-001DHS40x60CM</v>
          </cell>
          <cell r="B472" t="str">
            <v>GMSXHLYITAO4</v>
          </cell>
        </row>
        <row r="473">
          <cell r="A473" t="str">
            <v>GMTBYGREEN</v>
          </cell>
          <cell r="B473" t="str">
            <v>GMTBY</v>
          </cell>
        </row>
        <row r="474">
          <cell r="A474" t="str">
            <v>GMTBYPJBLACK</v>
          </cell>
          <cell r="B474" t="str">
            <v>GMTBY</v>
          </cell>
        </row>
        <row r="475">
          <cell r="A475" t="str">
            <v>GMTBYPJBOGO</v>
          </cell>
          <cell r="B475" t="str">
            <v>GMTBY</v>
          </cell>
        </row>
        <row r="476">
          <cell r="A476" t="str">
            <v>GMTBYPRBFOUR-M</v>
          </cell>
          <cell r="B476" t="str">
            <v>GMTBY</v>
          </cell>
        </row>
        <row r="477">
          <cell r="A477" t="str">
            <v>GMTBYPRBONE-M</v>
          </cell>
          <cell r="B477" t="str">
            <v>GMTBY</v>
          </cell>
        </row>
        <row r="478">
          <cell r="A478" t="str">
            <v>GMTBYPRBTHREE-M</v>
          </cell>
          <cell r="B478" t="str">
            <v>GMTBY</v>
          </cell>
        </row>
        <row r="479">
          <cell r="A479" t="str">
            <v>GMTBYPRBTWO-M</v>
          </cell>
          <cell r="B479" t="str">
            <v>GMTBY</v>
          </cell>
        </row>
        <row r="480">
          <cell r="A480" t="str">
            <v>GMTBYSTARBLUE</v>
          </cell>
          <cell r="B480" t="str">
            <v>GMTBY</v>
          </cell>
        </row>
        <row r="481">
          <cell r="A481" t="str">
            <v>GMTBYSTARRED</v>
          </cell>
          <cell r="B481" t="str">
            <v>GMTBY</v>
          </cell>
        </row>
        <row r="482">
          <cell r="A482" t="str">
            <v>GMTBYWHITE</v>
          </cell>
          <cell r="B482" t="str">
            <v>GMTBY</v>
          </cell>
        </row>
        <row r="483">
          <cell r="A483" t="str">
            <v>GMTBYY0POINT</v>
          </cell>
          <cell r="B483" t="str">
            <v>GMTBY</v>
          </cell>
        </row>
        <row r="484">
          <cell r="A484" t="str">
            <v>GMTBYY0ROINT</v>
          </cell>
          <cell r="B484" t="str">
            <v>GMTBY</v>
          </cell>
        </row>
        <row r="485">
          <cell r="A485" t="str">
            <v>GMTTCX36853</v>
          </cell>
          <cell r="B485" t="str">
            <v>GMTTCX36853</v>
          </cell>
        </row>
        <row r="486">
          <cell r="A486" t="str">
            <v>GMTZ-IUYL240-DOT-S</v>
          </cell>
          <cell r="B486" t="str">
            <v>GMTZ</v>
          </cell>
        </row>
        <row r="487">
          <cell r="A487" t="str">
            <v>GMYHJRBDZS-XL</v>
          </cell>
          <cell r="B487" t="str">
            <v>YHJRB</v>
          </cell>
        </row>
        <row r="488">
          <cell r="A488" t="str">
            <v>GMYI-IUYLTBH-Y0</v>
          </cell>
          <cell r="B488" t="str">
            <v>GMYI-IUYLTBY</v>
          </cell>
        </row>
        <row r="489">
          <cell r="A489" t="str">
            <v>GMYI-IUYLTBY-N5</v>
          </cell>
          <cell r="B489" t="str">
            <v>GMYI-IUYLTBY</v>
          </cell>
        </row>
        <row r="490">
          <cell r="A490" t="str">
            <v>GMYY1100G0L</v>
          </cell>
          <cell r="B490" t="str">
            <v>GMYY1100</v>
          </cell>
        </row>
        <row r="491">
          <cell r="A491" t="str">
            <v>GMYY1100PR</v>
          </cell>
          <cell r="B491" t="str">
            <v>GMYY1100</v>
          </cell>
        </row>
        <row r="492">
          <cell r="A492" t="str">
            <v>GMYY1100W0L</v>
          </cell>
          <cell r="B492" t="str">
            <v>GMYY1100</v>
          </cell>
        </row>
        <row r="493">
          <cell r="A493" t="str">
            <v>GMYY1100W0M</v>
          </cell>
          <cell r="B493" t="str">
            <v>GMYY1100</v>
          </cell>
        </row>
        <row r="494">
          <cell r="A494" t="str">
            <v>GMZAKKA0040B035*50CM</v>
          </cell>
          <cell r="B494" t="str">
            <v>GMZAKKA0040</v>
          </cell>
        </row>
        <row r="495">
          <cell r="A495" t="str">
            <v>GMZAKKA0589B035*50CM</v>
          </cell>
          <cell r="B495" t="str">
            <v>GMZAKKA0589</v>
          </cell>
        </row>
        <row r="496">
          <cell r="A496" t="str">
            <v>GMZAKKA0631R030*65CM</v>
          </cell>
          <cell r="B496" t="str">
            <v>GMZAKKA0631</v>
          </cell>
        </row>
        <row r="497">
          <cell r="A497" t="str">
            <v>GMZAKKA0633B035*50CM</v>
          </cell>
          <cell r="B497" t="str">
            <v>GMZAKKA0633</v>
          </cell>
        </row>
        <row r="498">
          <cell r="A498" t="str">
            <v>GMZCGTZ-IUCY001-AE</v>
          </cell>
          <cell r="B498" t="str">
            <v>GMZCGTZ-IUCY00</v>
          </cell>
        </row>
        <row r="499">
          <cell r="A499" t="str">
            <v>GMZDD-FLQ07-MC-28</v>
          </cell>
          <cell r="B499" t="str">
            <v>GMZDD-FLQ07</v>
          </cell>
        </row>
        <row r="500">
          <cell r="A500" t="str">
            <v>GMZDD-FLQ08-BO-28</v>
          </cell>
          <cell r="B500" t="str">
            <v>GMZDD-FLQ08</v>
          </cell>
        </row>
        <row r="501">
          <cell r="A501" t="str">
            <v>GMZDD-FLQ08-GR-28</v>
          </cell>
          <cell r="B501" t="str">
            <v>GMZDD-FLQ08</v>
          </cell>
        </row>
        <row r="502">
          <cell r="A502" t="str">
            <v>GMZDD-FLQ08-PO-28</v>
          </cell>
          <cell r="B502" t="str">
            <v>GMZDD-FLQ08</v>
          </cell>
        </row>
        <row r="503">
          <cell r="A503" t="str">
            <v>GMZDD-FLQ08-RO-28</v>
          </cell>
          <cell r="B503" t="str">
            <v>GMZDD-FLQ08</v>
          </cell>
        </row>
        <row r="504">
          <cell r="A504" t="str">
            <v>GMZXXABO-NS</v>
          </cell>
          <cell r="B504" t="str">
            <v>GMZXXA</v>
          </cell>
        </row>
        <row r="505">
          <cell r="A505" t="str">
            <v>GMZXXAFS-NM</v>
          </cell>
          <cell r="B505" t="str">
            <v>GMZXXA</v>
          </cell>
        </row>
        <row r="506">
          <cell r="A506" t="str">
            <v>GMZXXALV-L</v>
          </cell>
          <cell r="B506" t="str">
            <v>GMZXXA</v>
          </cell>
        </row>
        <row r="507">
          <cell r="A507" t="str">
            <v>GMZXXAZS-NM</v>
          </cell>
          <cell r="B507" t="str">
            <v>GMZXXA</v>
          </cell>
        </row>
        <row r="508">
          <cell r="A508" t="str">
            <v>GMZXXAZS-XL</v>
          </cell>
          <cell r="B508" t="str">
            <v>GMZXXA</v>
          </cell>
        </row>
        <row r="509">
          <cell r="A509" t="str">
            <v>GMZYL-06-BG-40</v>
          </cell>
          <cell r="B509" t="str">
            <v>GMZYL-06</v>
          </cell>
        </row>
        <row r="510">
          <cell r="A510" t="str">
            <v>GMZYL-06-BY-40</v>
          </cell>
          <cell r="B510" t="str">
            <v>GMZYL-06</v>
          </cell>
        </row>
        <row r="511">
          <cell r="A511" t="str">
            <v>GMZYL-06-WZ-40</v>
          </cell>
          <cell r="B511" t="str">
            <v>GMZYL-06</v>
          </cell>
        </row>
        <row r="512">
          <cell r="A512" t="str">
            <v>GMZYL-FLQ06-BF-40</v>
          </cell>
          <cell r="B512" t="str">
            <v>GMZYL-FLQ06</v>
          </cell>
        </row>
        <row r="513">
          <cell r="A513" t="str">
            <v>GMZYL-FLQ06-BG-40</v>
          </cell>
          <cell r="B513" t="str">
            <v>GMZYL-FLQ06</v>
          </cell>
        </row>
        <row r="514">
          <cell r="A514" t="str">
            <v>GMZYL-FLQ06-HG-40</v>
          </cell>
          <cell r="B514" t="str">
            <v>GMZYL-FLQ06</v>
          </cell>
        </row>
        <row r="515">
          <cell r="A515" t="str">
            <v>GMZYL-FLQ06-TZ-40</v>
          </cell>
          <cell r="B515" t="str">
            <v>GMZYL-FLQ06</v>
          </cell>
        </row>
        <row r="516">
          <cell r="A516" t="str">
            <v>GMZYL-FLQ2013-DX-36</v>
          </cell>
          <cell r="B516" t="str">
            <v>GMZYL-FLQ2013</v>
          </cell>
        </row>
        <row r="517">
          <cell r="A517" t="str">
            <v>GMZYL-FLQ2013-RO-36</v>
          </cell>
          <cell r="B517" t="str">
            <v>GMZYL-FLQ2013</v>
          </cell>
        </row>
        <row r="518">
          <cell r="A518" t="str">
            <v>GMZYL-FLQ2013-YO-36</v>
          </cell>
          <cell r="B518" t="str">
            <v>GMZYL-FLQ2013</v>
          </cell>
        </row>
        <row r="519">
          <cell r="A519" t="str">
            <v>GMZYL-FLQ59-BF-32</v>
          </cell>
          <cell r="B519" t="str">
            <v>GMZYL-FLQ59</v>
          </cell>
        </row>
        <row r="520">
          <cell r="A520" t="str">
            <v>GMZYL-FLQ59-BY-32</v>
          </cell>
          <cell r="B520" t="str">
            <v>GMZYL-FLQ59</v>
          </cell>
        </row>
        <row r="521">
          <cell r="A521" t="str">
            <v>GMZYL-FLQ59-TW-32</v>
          </cell>
          <cell r="B521" t="str">
            <v>GMZYL-FLQ59</v>
          </cell>
        </row>
        <row r="522">
          <cell r="A522" t="str">
            <v>GMZYL-FLQ59-TZ-32</v>
          </cell>
          <cell r="B522" t="str">
            <v>GMZYL-FLQ59</v>
          </cell>
        </row>
        <row r="523">
          <cell r="A523" t="str">
            <v>GMZYL-FLQ59-YD-32</v>
          </cell>
          <cell r="B523" t="str">
            <v>GMZYL-FLQ59</v>
          </cell>
        </row>
        <row r="524">
          <cell r="A524" t="str">
            <v>GS-IUYL270</v>
          </cell>
          <cell r="B524" t="str">
            <v>GS-IUYL280</v>
          </cell>
        </row>
        <row r="525">
          <cell r="A525" t="str">
            <v>GS-IUYL280-1</v>
          </cell>
          <cell r="B525" t="str">
            <v>GS-IUYL280</v>
          </cell>
        </row>
        <row r="526">
          <cell r="A526" t="str">
            <v>GS-IUYL280-2</v>
          </cell>
          <cell r="B526" t="str">
            <v>GS-IUYL280</v>
          </cell>
        </row>
        <row r="527">
          <cell r="A527" t="str">
            <v>GS-IUYL280-3</v>
          </cell>
          <cell r="B527" t="str">
            <v>GS-IUYL280</v>
          </cell>
        </row>
        <row r="528">
          <cell r="A528" t="str">
            <v>GZPET-1BOS-XL</v>
          </cell>
          <cell r="B528" t="str">
            <v>GZPET-1</v>
          </cell>
        </row>
        <row r="529">
          <cell r="A529" t="str">
            <v>GZPET-1RED-L</v>
          </cell>
          <cell r="B529" t="str">
            <v>GZPET-1</v>
          </cell>
        </row>
        <row r="530">
          <cell r="A530" t="str">
            <v>GZQ2RED-L</v>
          </cell>
          <cell r="B530" t="str">
            <v>GZQ2RED</v>
          </cell>
        </row>
        <row r="531">
          <cell r="A531" t="str">
            <v>GZQ2RED-M</v>
          </cell>
          <cell r="B531" t="str">
            <v>GZQ2RED</v>
          </cell>
        </row>
        <row r="532">
          <cell r="A532" t="str">
            <v>GZQ2RED-NXL</v>
          </cell>
          <cell r="B532" t="str">
            <v>GZQ2RED</v>
          </cell>
        </row>
        <row r="533">
          <cell r="A533" t="str">
            <v>GZQ2RED-S</v>
          </cell>
          <cell r="B533" t="str">
            <v>GZQ2RED</v>
          </cell>
        </row>
        <row r="534">
          <cell r="A534" t="str">
            <v>H5-F378-ECJO</v>
          </cell>
          <cell r="B534" t="str">
            <v>H5-F378</v>
          </cell>
        </row>
        <row r="535">
          <cell r="A535" t="str">
            <v>HATQHMZ</v>
          </cell>
          <cell r="B535" t="str">
            <v>HATQHMZ</v>
          </cell>
        </row>
        <row r="536">
          <cell r="A536" t="str">
            <v>HDQHS-S</v>
          </cell>
          <cell r="B536" t="str">
            <v>HDQHS</v>
          </cell>
        </row>
        <row r="537">
          <cell r="A537" t="str">
            <v>HDYI-L</v>
          </cell>
          <cell r="B537" t="str">
            <v>HDYI</v>
          </cell>
        </row>
        <row r="538">
          <cell r="A538" t="str">
            <v>HDYI-M</v>
          </cell>
          <cell r="B538" t="str">
            <v>HDYI</v>
          </cell>
        </row>
        <row r="539">
          <cell r="A539" t="str">
            <v>HDYI-XXL</v>
          </cell>
          <cell r="B539" t="str">
            <v>HDYI</v>
          </cell>
        </row>
        <row r="540">
          <cell r="A540" t="str">
            <v>HMVARM-00TLL</v>
          </cell>
          <cell r="B540" t="str">
            <v>HMVARM-00T</v>
          </cell>
        </row>
        <row r="541">
          <cell r="A541" t="str">
            <v>HNJ4DWCJLX45*45CM</v>
          </cell>
          <cell r="B541" t="str">
            <v>HNJ4DW</v>
          </cell>
        </row>
        <row r="542">
          <cell r="A542" t="str">
            <v>HNJ4DWDAXX45*45CM</v>
          </cell>
          <cell r="B542" t="str">
            <v>HNJ4DW</v>
          </cell>
        </row>
        <row r="543">
          <cell r="A543" t="str">
            <v>HNJ4DWOWL45*45CM</v>
          </cell>
          <cell r="B543" t="str">
            <v>HNJ4DW</v>
          </cell>
        </row>
        <row r="544">
          <cell r="A544" t="str">
            <v>HNJ4DWOWLN45*45CM</v>
          </cell>
          <cell r="B544" t="str">
            <v>HNJ4DWOWLN</v>
          </cell>
        </row>
        <row r="545">
          <cell r="A545" t="str">
            <v>HNJ4DWXG145*45CM</v>
          </cell>
          <cell r="B545" t="str">
            <v>HNJ4DW</v>
          </cell>
        </row>
        <row r="546">
          <cell r="A546" t="str">
            <v>HNJAX2SK045*45CM</v>
          </cell>
          <cell r="B546" t="str">
            <v>HNJAX2S</v>
          </cell>
        </row>
        <row r="547">
          <cell r="A547" t="str">
            <v>HNJAX2SW045*45CM</v>
          </cell>
          <cell r="B547" t="str">
            <v>HNJAX2S</v>
          </cell>
        </row>
        <row r="548">
          <cell r="A548" t="str">
            <v>HNJDZAMS45*45CM</v>
          </cell>
          <cell r="B548" t="str">
            <v>HNJDZAMS</v>
          </cell>
        </row>
        <row r="549">
          <cell r="A549" t="str">
            <v>HNJDZBSB45*45CM</v>
          </cell>
          <cell r="B549" t="str">
            <v>HNJDZBSB</v>
          </cell>
        </row>
        <row r="550">
          <cell r="A550" t="str">
            <v>HNJDZLUD45*45CM</v>
          </cell>
          <cell r="B550" t="str">
            <v>HNJDZLUD</v>
          </cell>
        </row>
        <row r="551">
          <cell r="A551" t="str">
            <v>HNJDZLUM45*45CM</v>
          </cell>
          <cell r="B551" t="str">
            <v>HNJDZLUM</v>
          </cell>
        </row>
        <row r="552">
          <cell r="A552" t="str">
            <v>HNJDZMSK45*45CM</v>
          </cell>
          <cell r="B552" t="str">
            <v>HNJDZMSK</v>
          </cell>
        </row>
        <row r="553">
          <cell r="A553" t="str">
            <v>HNJDZYSB45*45CM</v>
          </cell>
          <cell r="B553" t="str">
            <v>HNJDZYSB</v>
          </cell>
        </row>
        <row r="554">
          <cell r="A554" t="str">
            <v>HNJJBDWBZXS45*45CM</v>
          </cell>
          <cell r="B554" t="str">
            <v>HNJJBDW</v>
          </cell>
        </row>
        <row r="555">
          <cell r="A555" t="str">
            <v>HNJJBDWCJLX45*45CM</v>
          </cell>
          <cell r="B555" t="str">
            <v>HNJJBDW</v>
          </cell>
        </row>
        <row r="556">
          <cell r="A556" t="str">
            <v>HNJJBDWHXXS45*45CM</v>
          </cell>
          <cell r="B556" t="str">
            <v>HNJJBDW</v>
          </cell>
        </row>
        <row r="557">
          <cell r="A557" t="str">
            <v>HNJJBDWKLXS45*45CM</v>
          </cell>
          <cell r="B557" t="str">
            <v>HNJJBDW</v>
          </cell>
        </row>
        <row r="558">
          <cell r="A558" t="str">
            <v>HNJJBDWMAXS45*45CM</v>
          </cell>
          <cell r="B558" t="str">
            <v>HNJJBDW</v>
          </cell>
        </row>
        <row r="559">
          <cell r="A559" t="str">
            <v>HNJJBDWYAXS45*45CM</v>
          </cell>
          <cell r="B559" t="str">
            <v>HNJJBDW</v>
          </cell>
        </row>
        <row r="560">
          <cell r="A560" t="str">
            <v>HNJJBDWYDHX45*45CM</v>
          </cell>
          <cell r="B560" t="str">
            <v>HNJJBDW</v>
          </cell>
        </row>
        <row r="561">
          <cell r="A561" t="str">
            <v>HNJJBZSDJSDH45*45CM</v>
          </cell>
          <cell r="B561" t="str">
            <v>HNJJBZSDJSD</v>
          </cell>
        </row>
        <row r="562">
          <cell r="A562" t="str">
            <v>HNJJBZSDJSDS45*45CM</v>
          </cell>
          <cell r="B562" t="str">
            <v>HNJJBZSDJSD</v>
          </cell>
        </row>
        <row r="563">
          <cell r="A563" t="str">
            <v>HNJJKLQCKL45*45CM</v>
          </cell>
          <cell r="B563" t="str">
            <v>HNJJKLQCK</v>
          </cell>
        </row>
        <row r="564">
          <cell r="A564" t="str">
            <v>HNJSDSWBM45*45CM</v>
          </cell>
          <cell r="B564" t="str">
            <v>HNJJBDW</v>
          </cell>
        </row>
        <row r="565">
          <cell r="A565" t="str">
            <v>HNJSDSWSZ45*45CM</v>
          </cell>
          <cell r="B565" t="str">
            <v>HNJJBDW</v>
          </cell>
        </row>
        <row r="566">
          <cell r="A566" t="str">
            <v>HNJZDCGSDS245*45CM</v>
          </cell>
          <cell r="B566" t="str">
            <v>HNJZDCGSDS</v>
          </cell>
        </row>
        <row r="567">
          <cell r="A567" t="str">
            <v>HNJZDCGSDS345*45CM</v>
          </cell>
          <cell r="B567" t="str">
            <v>HNJZDCGSDS</v>
          </cell>
        </row>
        <row r="568">
          <cell r="A568" t="str">
            <v>HUAPET-1JS-2XL</v>
          </cell>
          <cell r="B568" t="str">
            <v>HUAPET-1B</v>
          </cell>
        </row>
        <row r="569">
          <cell r="A569" t="str">
            <v>HUAPET-1JS-3XL</v>
          </cell>
          <cell r="B569" t="str">
            <v>HUAPET-1B</v>
          </cell>
        </row>
        <row r="570">
          <cell r="A570" t="str">
            <v>HUAPET-1JS-4XL</v>
          </cell>
          <cell r="B570" t="str">
            <v>HUAPET-1B</v>
          </cell>
        </row>
        <row r="571">
          <cell r="A571" t="str">
            <v>HUAPET-1JS-5XL</v>
          </cell>
          <cell r="B571" t="str">
            <v>HUAPET-1B</v>
          </cell>
        </row>
        <row r="572">
          <cell r="A572" t="str">
            <v>HUAPET-1JS-L</v>
          </cell>
          <cell r="B572" t="str">
            <v>HUAPET-1B</v>
          </cell>
        </row>
        <row r="573">
          <cell r="A573" t="str">
            <v>HUAPET-1JS-M</v>
          </cell>
          <cell r="B573" t="str">
            <v>HUAPET-1B</v>
          </cell>
        </row>
        <row r="574">
          <cell r="A574" t="str">
            <v>HUAPET-1JS-S</v>
          </cell>
          <cell r="B574" t="str">
            <v>HUAPET-1B</v>
          </cell>
        </row>
        <row r="575">
          <cell r="A575" t="str">
            <v>HUAPET-1JS-XL</v>
          </cell>
          <cell r="B575" t="str">
            <v>HUAPET-1B</v>
          </cell>
        </row>
        <row r="576">
          <cell r="A576" t="str">
            <v>HUAPET-1LVS-3XL</v>
          </cell>
          <cell r="B576" t="str">
            <v>HUAPET-1B</v>
          </cell>
        </row>
        <row r="577">
          <cell r="A577" t="str">
            <v>HUAPET-1LVS-4XL</v>
          </cell>
          <cell r="B577" t="str">
            <v>HUAPET-1B</v>
          </cell>
        </row>
        <row r="578">
          <cell r="A578" t="str">
            <v>HUAPET-1LVS-5XL</v>
          </cell>
          <cell r="B578" t="str">
            <v>HUAPET-1B</v>
          </cell>
        </row>
        <row r="579">
          <cell r="A579" t="str">
            <v>HUAPET-1LVS-L</v>
          </cell>
          <cell r="B579" t="str">
            <v>HUAPET-1B</v>
          </cell>
        </row>
        <row r="580">
          <cell r="A580" t="str">
            <v>HUAPET-1LVS-M</v>
          </cell>
          <cell r="B580" t="str">
            <v>HUAPET-1B</v>
          </cell>
        </row>
        <row r="581">
          <cell r="A581" t="str">
            <v>HUAPET-1LVS-S</v>
          </cell>
          <cell r="B581" t="str">
            <v>HUAPET-1B</v>
          </cell>
        </row>
        <row r="582">
          <cell r="A582" t="str">
            <v>HUAPET-1LVS-XL</v>
          </cell>
          <cell r="B582" t="str">
            <v>HUAPET-1B</v>
          </cell>
        </row>
        <row r="583">
          <cell r="A583" t="str">
            <v>HUAPET-1PKS-2XL</v>
          </cell>
          <cell r="B583" t="str">
            <v>HUAPET-1B</v>
          </cell>
        </row>
        <row r="584">
          <cell r="A584" t="str">
            <v>HUAPET-1PKS-3XL</v>
          </cell>
          <cell r="B584" t="str">
            <v>HUAPET-1B</v>
          </cell>
        </row>
        <row r="585">
          <cell r="A585" t="str">
            <v>HUAPET-1PKS-4XL</v>
          </cell>
          <cell r="B585" t="str">
            <v>HUAPET-1B</v>
          </cell>
        </row>
        <row r="586">
          <cell r="A586" t="str">
            <v>HUAPET-1PKS-5XL</v>
          </cell>
          <cell r="B586" t="str">
            <v>HUAPET-1B</v>
          </cell>
        </row>
        <row r="587">
          <cell r="A587" t="str">
            <v>HUAPET-1PKS-L</v>
          </cell>
          <cell r="B587" t="str">
            <v>HUAPET-1B</v>
          </cell>
        </row>
        <row r="588">
          <cell r="A588" t="str">
            <v>HUAPET-1PKS-M</v>
          </cell>
          <cell r="B588" t="str">
            <v>HUAPET-1B</v>
          </cell>
        </row>
        <row r="589">
          <cell r="A589" t="str">
            <v>HUAPET-1PKS-S</v>
          </cell>
          <cell r="B589" t="str">
            <v>HUAPET-1B</v>
          </cell>
        </row>
        <row r="590">
          <cell r="A590" t="str">
            <v>HUAPET-1PKS-XL</v>
          </cell>
          <cell r="B590" t="str">
            <v>HUAPET-1B</v>
          </cell>
        </row>
        <row r="591">
          <cell r="A591" t="str">
            <v>HUAPET-1PPS-2XL</v>
          </cell>
          <cell r="B591" t="str">
            <v>HUAPET-1B</v>
          </cell>
        </row>
        <row r="592">
          <cell r="A592" t="str">
            <v>HUAPET-1PPS-4XL</v>
          </cell>
          <cell r="B592" t="str">
            <v>HUAPET-1B</v>
          </cell>
        </row>
        <row r="593">
          <cell r="A593" t="str">
            <v>HUAPET-1PPS-5XL</v>
          </cell>
          <cell r="B593" t="str">
            <v>HUAPET-1B</v>
          </cell>
        </row>
        <row r="594">
          <cell r="A594" t="str">
            <v>HUAPET-1PPS-L</v>
          </cell>
          <cell r="B594" t="str">
            <v>HUAPET-1B</v>
          </cell>
        </row>
        <row r="595">
          <cell r="A595" t="str">
            <v>HUAPET-1PPS-M</v>
          </cell>
          <cell r="B595" t="str">
            <v>HUAPET-1B</v>
          </cell>
        </row>
        <row r="596">
          <cell r="A596" t="str">
            <v>HUAPET-1PPS-S</v>
          </cell>
          <cell r="B596" t="str">
            <v>HUAPET-1B</v>
          </cell>
        </row>
        <row r="597">
          <cell r="A597" t="str">
            <v>HUAPET-1PPS-XL</v>
          </cell>
          <cell r="B597" t="str">
            <v>HUAPET-1B</v>
          </cell>
        </row>
        <row r="598">
          <cell r="A598" t="str">
            <v>HUAPET-1PS-3XL</v>
          </cell>
          <cell r="B598" t="str">
            <v>HUAPET-1B</v>
          </cell>
        </row>
        <row r="599">
          <cell r="A599" t="str">
            <v>HUAPET-1ROS-2XL</v>
          </cell>
          <cell r="B599" t="str">
            <v>HUAPET-1B</v>
          </cell>
        </row>
        <row r="600">
          <cell r="A600" t="str">
            <v>HUAPET-1ROS-3XL</v>
          </cell>
          <cell r="B600" t="str">
            <v>HUAPET-1B</v>
          </cell>
        </row>
        <row r="601">
          <cell r="A601" t="str">
            <v>HUAPET-1ROS-4XL</v>
          </cell>
          <cell r="B601" t="str">
            <v>HUAPET-1B</v>
          </cell>
        </row>
        <row r="602">
          <cell r="A602" t="str">
            <v>HUAPET-1ROS-5XL</v>
          </cell>
          <cell r="B602" t="str">
            <v>HUAPET-1B</v>
          </cell>
        </row>
        <row r="603">
          <cell r="A603" t="str">
            <v>HUAPET-1ROS-L</v>
          </cell>
          <cell r="B603" t="str">
            <v>HUAPET-1B</v>
          </cell>
        </row>
        <row r="604">
          <cell r="A604" t="str">
            <v>HUAPET-1ROS-M</v>
          </cell>
          <cell r="B604" t="str">
            <v>HUAPET-1B</v>
          </cell>
        </row>
        <row r="605">
          <cell r="A605" t="str">
            <v>HUAPET-1ROS-S</v>
          </cell>
          <cell r="B605" t="str">
            <v>HUAPET-1B</v>
          </cell>
        </row>
        <row r="606">
          <cell r="A606" t="str">
            <v>HUAPET-1ROS-XL</v>
          </cell>
          <cell r="B606" t="str">
            <v>HUAPET-1B</v>
          </cell>
        </row>
        <row r="607">
          <cell r="A607" t="str">
            <v>HUAPET-1TLVS-2XL</v>
          </cell>
          <cell r="B607" t="str">
            <v>HUAPET-1B</v>
          </cell>
        </row>
        <row r="608">
          <cell r="A608" t="str">
            <v>HUAPETPKS-3XL</v>
          </cell>
          <cell r="B608" t="str">
            <v>HUAPET</v>
          </cell>
        </row>
        <row r="609">
          <cell r="A609" t="str">
            <v>HUAPETPPS-XL</v>
          </cell>
          <cell r="B609" t="str">
            <v>HUAPET</v>
          </cell>
        </row>
        <row r="610">
          <cell r="A610" t="str">
            <v>HZB-QJTZ-IUYL300310</v>
          </cell>
          <cell r="B610" t="str">
            <v>HZB-QJTZ-IUYL300310</v>
          </cell>
        </row>
        <row r="611">
          <cell r="A611" t="str">
            <v>HZ-SILVER</v>
          </cell>
          <cell r="B611" t="str">
            <v>HZ-SILVER</v>
          </cell>
        </row>
        <row r="612">
          <cell r="A612" t="str">
            <v>I8-T4T6-3HUJ</v>
          </cell>
          <cell r="B612" t="str">
            <v>I8-T4T6</v>
          </cell>
        </row>
        <row r="613">
          <cell r="A613" t="str">
            <v>JAURANYMRG-HL</v>
          </cell>
          <cell r="B613" t="str">
            <v>JAURANYMRG</v>
          </cell>
        </row>
        <row r="614">
          <cell r="A614" t="str">
            <v>JAURANYMRG-HM</v>
          </cell>
          <cell r="B614" t="str">
            <v>JAURANYMRG</v>
          </cell>
        </row>
        <row r="615">
          <cell r="A615" t="str">
            <v>JAURANYMRG-HS</v>
          </cell>
          <cell r="B615" t="str">
            <v>JAURANYMRG</v>
          </cell>
        </row>
        <row r="616">
          <cell r="A616" t="str">
            <v>JAURANYMRG-HXL</v>
          </cell>
          <cell r="B616" t="str">
            <v>JAURANYMRG</v>
          </cell>
        </row>
        <row r="617">
          <cell r="A617" t="str">
            <v>JCHOME-AXLEIS100*140CM</v>
          </cell>
          <cell r="B617" t="str">
            <v>JCHOME-AX</v>
          </cell>
        </row>
        <row r="618">
          <cell r="A618" t="str">
            <v>JCHOME-AXLEIS140*140CM</v>
          </cell>
          <cell r="B618" t="str">
            <v>JCHOME-AX</v>
          </cell>
        </row>
        <row r="619">
          <cell r="A619" t="str">
            <v>JCHOME-AXLEIS140*160CM</v>
          </cell>
          <cell r="B619" t="str">
            <v>JCHOME-AX</v>
          </cell>
        </row>
        <row r="620">
          <cell r="A620" t="str">
            <v>JCHOME-AXLEIS140*180CM</v>
          </cell>
          <cell r="B620" t="str">
            <v>JCHOME-AX</v>
          </cell>
        </row>
        <row r="621">
          <cell r="A621" t="str">
            <v>JCHOME-AXLEIS140*200CM</v>
          </cell>
          <cell r="B621" t="str">
            <v>JCHOME-AX</v>
          </cell>
        </row>
        <row r="622">
          <cell r="A622" t="str">
            <v>JCHOME-AXLEIS140*220CM</v>
          </cell>
          <cell r="B622" t="str">
            <v>JCHOME-AX</v>
          </cell>
        </row>
        <row r="623">
          <cell r="A623" t="str">
            <v>JCHOME-AXLEIS140*250CM</v>
          </cell>
          <cell r="B623" t="str">
            <v>JCHOME-AX</v>
          </cell>
        </row>
        <row r="624">
          <cell r="A624" t="str">
            <v>JCHOME-AXLEIS60*60CM</v>
          </cell>
          <cell r="B624" t="str">
            <v>JCHOME-AX</v>
          </cell>
        </row>
        <row r="625">
          <cell r="A625" t="str">
            <v>JCHOME-AXLEIS90*90CM</v>
          </cell>
          <cell r="B625" t="str">
            <v>JCHOME-AX</v>
          </cell>
        </row>
        <row r="626">
          <cell r="A626" t="str">
            <v>JCHOME-AXW100*140CM</v>
          </cell>
          <cell r="B626" t="str">
            <v>JCHOME-AX</v>
          </cell>
        </row>
        <row r="627">
          <cell r="A627" t="str">
            <v>JCHOME-AXW140*140CM</v>
          </cell>
          <cell r="B627" t="str">
            <v>JCHOME-AX</v>
          </cell>
        </row>
        <row r="628">
          <cell r="A628" t="str">
            <v>JCHOME-AXW140*160CM</v>
          </cell>
          <cell r="B628" t="str">
            <v>JCHOME-AX</v>
          </cell>
        </row>
        <row r="629">
          <cell r="A629" t="str">
            <v>JCHOME-AXW140*180CM</v>
          </cell>
          <cell r="B629" t="str">
            <v>JCHOME-AX</v>
          </cell>
        </row>
        <row r="630">
          <cell r="A630" t="str">
            <v>JCHOME-AXW140*200CM</v>
          </cell>
          <cell r="B630" t="str">
            <v>JCHOME-AX</v>
          </cell>
        </row>
        <row r="631">
          <cell r="A631" t="str">
            <v>JCHOME-AXW140*220CM</v>
          </cell>
          <cell r="B631" t="str">
            <v>JCHOME-AX</v>
          </cell>
        </row>
        <row r="632">
          <cell r="A632" t="str">
            <v>JCHOME-AXW140*250CM</v>
          </cell>
          <cell r="B632" t="str">
            <v>JCHOME-AX</v>
          </cell>
        </row>
        <row r="633">
          <cell r="A633" t="str">
            <v>JCHOME-AXW60*60CM</v>
          </cell>
          <cell r="B633" t="str">
            <v>JCHOME-AX</v>
          </cell>
        </row>
        <row r="634">
          <cell r="A634" t="str">
            <v>JCHOME-AXW90*90CM</v>
          </cell>
          <cell r="B634" t="str">
            <v>JCHOME-AX</v>
          </cell>
        </row>
        <row r="635">
          <cell r="A635" t="str">
            <v>JCHOMES140*140CM</v>
          </cell>
          <cell r="B635" t="str">
            <v>JCHOMES</v>
          </cell>
        </row>
        <row r="636">
          <cell r="A636" t="str">
            <v>JCHOMES140*160CM</v>
          </cell>
          <cell r="B636" t="str">
            <v>JCHOMES</v>
          </cell>
        </row>
        <row r="637">
          <cell r="A637" t="str">
            <v>JCHOMES60*60CM</v>
          </cell>
          <cell r="B637" t="str">
            <v>JCHOMES</v>
          </cell>
        </row>
        <row r="638">
          <cell r="A638" t="str">
            <v>JCHOMETBOS140*140CM</v>
          </cell>
          <cell r="B638" t="str">
            <v>JCHOMETBOS</v>
          </cell>
        </row>
        <row r="639">
          <cell r="A639" t="str">
            <v>JCHOMETBOS140*220CM</v>
          </cell>
          <cell r="B639" t="str">
            <v>JCHOMETBOS</v>
          </cell>
        </row>
        <row r="640">
          <cell r="A640" t="str">
            <v>JCHOMETHI100*140CM</v>
          </cell>
          <cell r="B640" t="str">
            <v>JCHOMETHI</v>
          </cell>
        </row>
        <row r="641">
          <cell r="A641" t="str">
            <v>JCHOMETHI140*200CM</v>
          </cell>
          <cell r="B641" t="str">
            <v>JCHOMETHI</v>
          </cell>
        </row>
        <row r="642">
          <cell r="A642" t="str">
            <v>JCHOMETHI140*220CM</v>
          </cell>
          <cell r="B642" t="str">
            <v>JCHOMETHI</v>
          </cell>
        </row>
        <row r="643">
          <cell r="A643" t="str">
            <v>JCSTPHLS140*140CM</v>
          </cell>
          <cell r="B643" t="str">
            <v>JCSTPHLS</v>
          </cell>
        </row>
        <row r="644">
          <cell r="A644" t="str">
            <v>JDDKLNBOS-L</v>
          </cell>
          <cell r="B644" t="str">
            <v>JDDKLN</v>
          </cell>
        </row>
        <row r="645">
          <cell r="A645" t="str">
            <v>JDDKLNBOS-M</v>
          </cell>
          <cell r="B645" t="str">
            <v>JDDKLN</v>
          </cell>
        </row>
        <row r="646">
          <cell r="A646" t="str">
            <v>JDDKLNBOS-S</v>
          </cell>
          <cell r="B646" t="str">
            <v>JDDKLN</v>
          </cell>
        </row>
        <row r="647">
          <cell r="A647" t="str">
            <v>JDDKLNBOS-XL</v>
          </cell>
          <cell r="B647" t="str">
            <v>JDDKLN</v>
          </cell>
        </row>
        <row r="648">
          <cell r="A648" t="str">
            <v>JDDKLNBOS-XXL</v>
          </cell>
          <cell r="B648" t="str">
            <v>JDDKLN</v>
          </cell>
        </row>
        <row r="649">
          <cell r="A649" t="str">
            <v>JDDKLNFS-L</v>
          </cell>
          <cell r="B649" t="str">
            <v>JDDKLN</v>
          </cell>
        </row>
        <row r="650">
          <cell r="A650" t="str">
            <v>JDDKLNFS-M</v>
          </cell>
          <cell r="B650" t="str">
            <v>JDDKLN</v>
          </cell>
        </row>
        <row r="651">
          <cell r="A651" t="str">
            <v>JDDKLNFS-S</v>
          </cell>
          <cell r="B651" t="str">
            <v>JDDKLN</v>
          </cell>
        </row>
        <row r="652">
          <cell r="A652" t="str">
            <v>JDDKLNFS-XL</v>
          </cell>
          <cell r="B652" t="str">
            <v>JDDKLN</v>
          </cell>
        </row>
        <row r="653">
          <cell r="A653" t="str">
            <v>JDDKLNFS-XXL</v>
          </cell>
          <cell r="B653" t="str">
            <v>JDDKLN</v>
          </cell>
        </row>
        <row r="654">
          <cell r="A654" t="str">
            <v>JDDKLNKQS-L</v>
          </cell>
          <cell r="B654" t="str">
            <v>JDDKLN</v>
          </cell>
        </row>
        <row r="655">
          <cell r="A655" t="str">
            <v>JDDKLNKQS-M</v>
          </cell>
          <cell r="B655" t="str">
            <v>JDDKLN</v>
          </cell>
        </row>
        <row r="656">
          <cell r="A656" t="str">
            <v>JDDKLNKQS-S</v>
          </cell>
          <cell r="B656" t="str">
            <v>JDDKLN</v>
          </cell>
        </row>
        <row r="657">
          <cell r="A657" t="str">
            <v>JDDKLNKQS-XL</v>
          </cell>
          <cell r="B657" t="str">
            <v>JDDKLN</v>
          </cell>
        </row>
        <row r="658">
          <cell r="A658" t="str">
            <v>JDDKLNKQS-XXL</v>
          </cell>
          <cell r="B658" t="str">
            <v>JDDKLN</v>
          </cell>
        </row>
        <row r="659">
          <cell r="A659" t="str">
            <v>JDYUYI</v>
          </cell>
          <cell r="B659" t="str">
            <v>JDYUYI</v>
          </cell>
        </row>
        <row r="660">
          <cell r="A660" t="str">
            <v>JRD44FUS</v>
          </cell>
          <cell r="B660" t="str">
            <v>JRD44FUS</v>
          </cell>
        </row>
        <row r="661">
          <cell r="A661" t="str">
            <v>JU-KMXB-RXGB</v>
          </cell>
          <cell r="B661" t="str">
            <v>JU-KMXB</v>
          </cell>
        </row>
        <row r="662">
          <cell r="A662" t="str">
            <v>JZWL-YUNDK-K24LB1599K0-M</v>
          </cell>
          <cell r="B662" t="str">
            <v>JZWL-YUNDK-K24LB1599</v>
          </cell>
        </row>
        <row r="663">
          <cell r="A663" t="str">
            <v>KALIPTKFS-L</v>
          </cell>
          <cell r="B663" t="str">
            <v>KALIPTKFS</v>
          </cell>
        </row>
        <row r="664">
          <cell r="A664" t="str">
            <v>KALIPTXS-L</v>
          </cell>
          <cell r="B664" t="str">
            <v>KALIPTXS</v>
          </cell>
        </row>
        <row r="665">
          <cell r="A665" t="str">
            <v>KLN-1720HUIS-L</v>
          </cell>
          <cell r="B665" t="str">
            <v>KLN-1720HUIS</v>
          </cell>
        </row>
        <row r="666">
          <cell r="A666" t="str">
            <v>KLN-1720HUIS-M</v>
          </cell>
          <cell r="B666" t="str">
            <v>KLN-1720HUIS</v>
          </cell>
        </row>
        <row r="667">
          <cell r="A667" t="str">
            <v>KY-3EVG-5P8J</v>
          </cell>
          <cell r="B667" t="str">
            <v>KY-3EVG-5P8J</v>
          </cell>
        </row>
        <row r="668">
          <cell r="A668" t="str">
            <v>KZ-IUYLKTX-E0-L</v>
          </cell>
          <cell r="B668" t="str">
            <v>KZ-IUYLKTX</v>
          </cell>
        </row>
        <row r="669">
          <cell r="A669" t="str">
            <v>KZ-IUYLKTX-K0-L</v>
          </cell>
          <cell r="B669" t="str">
            <v>KZ-IUYLKTX</v>
          </cell>
        </row>
        <row r="670">
          <cell r="A670" t="str">
            <v>KZ-IUYLKTX-W0-L</v>
          </cell>
          <cell r="B670" t="str">
            <v>KZ-IUYLKTX</v>
          </cell>
        </row>
        <row r="671">
          <cell r="A671" t="str">
            <v>KZ-IUYLKTX-W0-M</v>
          </cell>
          <cell r="B671" t="str">
            <v>KZ-IUYLKTX</v>
          </cell>
        </row>
        <row r="672">
          <cell r="A672" t="str">
            <v>KZ-IUYLKTX-Y0-M</v>
          </cell>
          <cell r="B672" t="str">
            <v>KZ-IUYLKTX</v>
          </cell>
        </row>
        <row r="673">
          <cell r="A673" t="str">
            <v>LGQ-IUYL100-BL</v>
          </cell>
          <cell r="B673" t="str">
            <v>LGQ-IUYL100</v>
          </cell>
        </row>
        <row r="674">
          <cell r="A674" t="str">
            <v>LGQ-IUYL100-GN</v>
          </cell>
          <cell r="B674" t="str">
            <v>LGQ-IUYL100</v>
          </cell>
        </row>
        <row r="675">
          <cell r="A675" t="str">
            <v>LGQ-IUYL100-PK</v>
          </cell>
          <cell r="B675" t="str">
            <v>LGQ-IUYL100</v>
          </cell>
        </row>
        <row r="676">
          <cell r="A676" t="str">
            <v>LGQ-IUYL100-RD</v>
          </cell>
          <cell r="B676" t="str">
            <v>LGQ-IUYL100</v>
          </cell>
        </row>
        <row r="677">
          <cell r="A677" t="str">
            <v>LGQ-IUYL100-WT</v>
          </cell>
          <cell r="B677" t="str">
            <v>LGQ-IUYL100</v>
          </cell>
        </row>
        <row r="678">
          <cell r="A678" t="str">
            <v>LGQ-IUYL100-YL</v>
          </cell>
          <cell r="B678" t="str">
            <v>LGQ-IUYL100</v>
          </cell>
        </row>
        <row r="679">
          <cell r="A679" t="str">
            <v>LMZJYUJIAK-17028-E0-L</v>
          </cell>
          <cell r="B679" t="str">
            <v>LMZJYUJIAK-17028</v>
          </cell>
        </row>
        <row r="680">
          <cell r="A680" t="str">
            <v>LMZJYUJIAK-17028-E0-XS</v>
          </cell>
          <cell r="B680" t="str">
            <v>LMZJYUJIAK-17028</v>
          </cell>
        </row>
        <row r="681">
          <cell r="A681" t="str">
            <v>LMZJYUJIAK-17028-K0-L</v>
          </cell>
          <cell r="B681" t="str">
            <v>LMZJYUJIAK-17028</v>
          </cell>
        </row>
        <row r="682">
          <cell r="A682" t="str">
            <v>LMZJYUJIAK-86011-P0-XL</v>
          </cell>
          <cell r="B682" t="str">
            <v>LMZJYUJIAK-86011</v>
          </cell>
        </row>
        <row r="683">
          <cell r="A683" t="str">
            <v>LQXFLS105*105CM</v>
          </cell>
          <cell r="B683" t="str">
            <v>LQXFLS</v>
          </cell>
        </row>
        <row r="684">
          <cell r="A684" t="str">
            <v>LQXFLS130*130CM</v>
          </cell>
          <cell r="B684" t="str">
            <v>LQXFLS</v>
          </cell>
        </row>
        <row r="685">
          <cell r="A685" t="str">
            <v>LQXFLS135*135CM</v>
          </cell>
          <cell r="B685" t="str">
            <v>LQXFLS</v>
          </cell>
        </row>
        <row r="686">
          <cell r="A686" t="str">
            <v>LQXFLS85*85CM</v>
          </cell>
          <cell r="B686" t="str">
            <v>LQXFLS</v>
          </cell>
        </row>
        <row r="687">
          <cell r="A687" t="str">
            <v>LQXFLS92*92CM</v>
          </cell>
          <cell r="B687" t="str">
            <v>LQXFLS</v>
          </cell>
        </row>
        <row r="688">
          <cell r="A688" t="str">
            <v>LQXFLSRO130CM</v>
          </cell>
          <cell r="B688" t="str">
            <v>LQXFLS</v>
          </cell>
        </row>
        <row r="689">
          <cell r="A689" t="str">
            <v>LQXFMBS85*85CM</v>
          </cell>
          <cell r="B689" t="str">
            <v>LQXFMBS</v>
          </cell>
        </row>
        <row r="690">
          <cell r="A690" t="str">
            <v>LQXFMS1H100*140CM</v>
          </cell>
          <cell r="B690" t="str">
            <v>LQXFMS1H</v>
          </cell>
        </row>
        <row r="691">
          <cell r="A691" t="str">
            <v>LQXFMS1H100*160CM</v>
          </cell>
          <cell r="B691" t="str">
            <v>LQXFMS1H</v>
          </cell>
        </row>
        <row r="692">
          <cell r="A692" t="str">
            <v>LQXFMS1H140*200CM</v>
          </cell>
          <cell r="B692" t="str">
            <v>LQXFMS1H</v>
          </cell>
        </row>
        <row r="693">
          <cell r="A693" t="str">
            <v>LQXFMS1H80*140</v>
          </cell>
          <cell r="B693" t="str">
            <v>LQXFMS1H</v>
          </cell>
        </row>
        <row r="694">
          <cell r="A694" t="str">
            <v>LQXFMS1H90*90CM</v>
          </cell>
          <cell r="B694" t="str">
            <v>LQXFMS1H</v>
          </cell>
        </row>
        <row r="695">
          <cell r="A695" t="str">
            <v>LQXFMSCX85*85CM</v>
          </cell>
          <cell r="B695" t="str">
            <v>LQXFMSCX</v>
          </cell>
        </row>
        <row r="696">
          <cell r="A696" t="str">
            <v>LQXFTY132*132CM</v>
          </cell>
          <cell r="B696" t="str">
            <v>LQXFTY</v>
          </cell>
        </row>
        <row r="697">
          <cell r="A697" t="str">
            <v>LQXFTY135*175CM</v>
          </cell>
          <cell r="B697" t="str">
            <v>LQXFTY</v>
          </cell>
        </row>
        <row r="698">
          <cell r="A698" t="str">
            <v>LUXGW-PBOWL-1</v>
          </cell>
          <cell r="B698" t="str">
            <v>LUXGW-PBOWL</v>
          </cell>
        </row>
        <row r="699">
          <cell r="A699" t="str">
            <v>LUXGW-PBOWL-2</v>
          </cell>
          <cell r="B699" t="str">
            <v>LUXGW-PBOWL</v>
          </cell>
        </row>
        <row r="700">
          <cell r="A700" t="str">
            <v>LUXGW-PBOWL-3</v>
          </cell>
          <cell r="B700" t="str">
            <v>LUXGW-PBOWL</v>
          </cell>
        </row>
        <row r="701">
          <cell r="A701" t="str">
            <v>M3-5JVK-FJF5</v>
          </cell>
          <cell r="B701" t="str">
            <v>M3-5JVK-FJF5</v>
          </cell>
        </row>
        <row r="702">
          <cell r="A702" t="str">
            <v>MANGAMRG-FREESIZE-mermaid</v>
          </cell>
          <cell r="B702" t="str">
            <v>MANGAMRG-FREESIZE-mermaid</v>
          </cell>
        </row>
        <row r="703">
          <cell r="A703" t="str">
            <v>mfs3black</v>
          </cell>
          <cell r="B703" t="str">
            <v>mfs3</v>
          </cell>
        </row>
        <row r="704">
          <cell r="A704" t="str">
            <v>mfs3blue</v>
          </cell>
          <cell r="B704" t="str">
            <v>mfs3</v>
          </cell>
        </row>
        <row r="705">
          <cell r="A705" t="str">
            <v>mfs3clear</v>
          </cell>
          <cell r="B705" t="str">
            <v>mfs3</v>
          </cell>
        </row>
        <row r="706">
          <cell r="A706" t="str">
            <v>mfs3pink</v>
          </cell>
          <cell r="B706" t="str">
            <v>mfs3</v>
          </cell>
        </row>
        <row r="707">
          <cell r="A707" t="str">
            <v>MID46-069-2XL</v>
          </cell>
          <cell r="B707" t="str">
            <v>MID46-069</v>
          </cell>
        </row>
        <row r="708">
          <cell r="A708" t="str">
            <v>MID46-069-3XL</v>
          </cell>
          <cell r="B708" t="str">
            <v>MID46-069</v>
          </cell>
        </row>
        <row r="709">
          <cell r="A709" t="str">
            <v>MID46-069HSLX</v>
          </cell>
          <cell r="B709" t="str">
            <v>MID46-069</v>
          </cell>
        </row>
        <row r="710">
          <cell r="A710" t="str">
            <v>MID46-069HSM</v>
          </cell>
          <cell r="B710" t="str">
            <v>MID46-069</v>
          </cell>
        </row>
        <row r="711">
          <cell r="A711" t="str">
            <v>MID46-069HSS</v>
          </cell>
          <cell r="B711" t="str">
            <v>MID46-069</v>
          </cell>
        </row>
        <row r="712">
          <cell r="A712" t="str">
            <v>MID46-069-XL</v>
          </cell>
          <cell r="B712" t="str">
            <v>MID46-069</v>
          </cell>
        </row>
        <row r="713">
          <cell r="A713" t="str">
            <v>MIDTREEA-M</v>
          </cell>
          <cell r="B713" t="str">
            <v>MIDTREEA</v>
          </cell>
        </row>
        <row r="714">
          <cell r="A714" t="str">
            <v>MIDTREE-L</v>
          </cell>
          <cell r="B714" t="str">
            <v>MIDTREE</v>
          </cell>
        </row>
        <row r="715">
          <cell r="A715" t="str">
            <v>MIDTREE-M</v>
          </cell>
          <cell r="B715" t="str">
            <v>MIDTREE</v>
          </cell>
        </row>
        <row r="716">
          <cell r="A716" t="str">
            <v>MIDULOKOE0L</v>
          </cell>
          <cell r="B716" t="str">
            <v>MIDULOKO</v>
          </cell>
        </row>
        <row r="717">
          <cell r="A717" t="str">
            <v>MIDULOKOE0M</v>
          </cell>
          <cell r="B717" t="str">
            <v>MIDULOKO</v>
          </cell>
        </row>
        <row r="718">
          <cell r="A718" t="str">
            <v>MIDULOKOE0S</v>
          </cell>
          <cell r="B718" t="str">
            <v>MIDULOKO</v>
          </cell>
        </row>
        <row r="719">
          <cell r="A719" t="str">
            <v>MIDULOKOE0XL</v>
          </cell>
          <cell r="B719" t="str">
            <v>MIDULOKO</v>
          </cell>
        </row>
        <row r="720">
          <cell r="A720" t="str">
            <v>MIDUOYBF-BG0M</v>
          </cell>
          <cell r="B720" t="str">
            <v>MIDUOYBF</v>
          </cell>
        </row>
        <row r="721">
          <cell r="A721" t="str">
            <v>MIDUOYBF-BJSM</v>
          </cell>
          <cell r="B721" t="str">
            <v>MIDUOYBF</v>
          </cell>
        </row>
        <row r="722">
          <cell r="A722" t="str">
            <v>MIDUOYBF-BMHL</v>
          </cell>
          <cell r="B722" t="str">
            <v>MIDUOYBF</v>
          </cell>
        </row>
        <row r="723">
          <cell r="A723" t="str">
            <v>MIDUQF46W0L</v>
          </cell>
          <cell r="B723" t="str">
            <v>MIDUQF46W0L</v>
          </cell>
        </row>
        <row r="724">
          <cell r="A724" t="str">
            <v>MIDUQF46W0M</v>
          </cell>
          <cell r="B724" t="str">
            <v>MIDUQF46W0M</v>
          </cell>
        </row>
        <row r="725">
          <cell r="A725" t="str">
            <v>MIDUQF46W0SX</v>
          </cell>
          <cell r="B725" t="str">
            <v>MIDUQF46</v>
          </cell>
        </row>
        <row r="726">
          <cell r="A726" t="str">
            <v>MIDUSYBRTZL</v>
          </cell>
          <cell r="B726" t="str">
            <v>MIDUSYBRT</v>
          </cell>
        </row>
        <row r="727">
          <cell r="A727" t="str">
            <v>MIDUSYBRTZM</v>
          </cell>
          <cell r="B727" t="str">
            <v>MIDUSYBRT</v>
          </cell>
        </row>
        <row r="728">
          <cell r="A728" t="str">
            <v>MIDUSYBRTZS</v>
          </cell>
          <cell r="B728" t="str">
            <v>MIDUSYBRT</v>
          </cell>
        </row>
        <row r="729">
          <cell r="A729" t="str">
            <v>MIDUSYBRTZXL</v>
          </cell>
          <cell r="B729" t="str">
            <v>MIDUSYBRT</v>
          </cell>
        </row>
        <row r="730">
          <cell r="A730" t="str">
            <v>MIDUY046-018KZL</v>
          </cell>
          <cell r="B730" t="str">
            <v>MIDUY046</v>
          </cell>
        </row>
        <row r="731">
          <cell r="A731" t="str">
            <v>MIDUY046-018KZM</v>
          </cell>
          <cell r="B731" t="str">
            <v>MIDUY046</v>
          </cell>
        </row>
        <row r="732">
          <cell r="A732" t="str">
            <v>MIDUY046-018KZS</v>
          </cell>
          <cell r="B732" t="str">
            <v>MIDUY046</v>
          </cell>
        </row>
        <row r="733">
          <cell r="A733" t="str">
            <v>MIDUY046KZL</v>
          </cell>
          <cell r="B733" t="str">
            <v>MIDUY046</v>
          </cell>
        </row>
        <row r="734">
          <cell r="A734" t="str">
            <v>MIDUYBLK0L</v>
          </cell>
          <cell r="B734" t="str">
            <v>MIDUYBLK0L</v>
          </cell>
        </row>
        <row r="735">
          <cell r="A735" t="str">
            <v>MIDUYBLK0L.MISSING</v>
          </cell>
          <cell r="B735" t="str">
            <v>MIDUYBLK0L.MISSING</v>
          </cell>
        </row>
        <row r="736">
          <cell r="A736" t="str">
            <v>MIDUYBLK0M</v>
          </cell>
          <cell r="B736" t="str">
            <v>MIDUYBLK0M</v>
          </cell>
        </row>
        <row r="737">
          <cell r="A737" t="str">
            <v>MIDUYBLK0S</v>
          </cell>
          <cell r="B737" t="str">
            <v>MIDUYBLK0S</v>
          </cell>
        </row>
        <row r="738">
          <cell r="A738" t="str">
            <v>MIDUYCEKZL</v>
          </cell>
          <cell r="B738" t="str">
            <v>MIDUYCE</v>
          </cell>
        </row>
        <row r="739">
          <cell r="A739" t="str">
            <v>MIDUYCEKZM</v>
          </cell>
          <cell r="B739" t="str">
            <v>MIDUYCE</v>
          </cell>
        </row>
        <row r="740">
          <cell r="A740" t="str">
            <v>MIDUYCGQHSL</v>
          </cell>
          <cell r="B740" t="str">
            <v>MIDUYCGQH</v>
          </cell>
        </row>
        <row r="741">
          <cell r="A741" t="str">
            <v>MIDUYCI004KZJM</v>
          </cell>
          <cell r="B741" t="str">
            <v>MIDUYCI004</v>
          </cell>
        </row>
        <row r="742">
          <cell r="A742" t="str">
            <v>MIDUYD036G0L</v>
          </cell>
          <cell r="B742" t="str">
            <v>MIDUYD036</v>
          </cell>
        </row>
        <row r="743">
          <cell r="A743" t="str">
            <v>MIDUYD036G0M</v>
          </cell>
          <cell r="B743" t="str">
            <v>MIDUYD036</v>
          </cell>
        </row>
        <row r="744">
          <cell r="A744" t="str">
            <v>MIDUYD036G0SX</v>
          </cell>
          <cell r="B744" t="str">
            <v>MIDUYD036</v>
          </cell>
        </row>
        <row r="745">
          <cell r="A745" t="str">
            <v>MIDUYD037BZYS</v>
          </cell>
          <cell r="B745" t="str">
            <v>MIDUYD037</v>
          </cell>
        </row>
        <row r="746">
          <cell r="A746" t="str">
            <v>MIDUYD037K0L</v>
          </cell>
          <cell r="B746" t="str">
            <v>MIDUYD037</v>
          </cell>
        </row>
        <row r="747">
          <cell r="A747" t="str">
            <v>MIDUYD037K0MX</v>
          </cell>
          <cell r="B747" t="str">
            <v>MIDUYD037</v>
          </cell>
        </row>
        <row r="748">
          <cell r="A748" t="str">
            <v>MIDUYD037K0S</v>
          </cell>
          <cell r="B748" t="str">
            <v>MIDUYD037</v>
          </cell>
        </row>
        <row r="749">
          <cell r="A749" t="str">
            <v>MIDUYD037K0XL</v>
          </cell>
          <cell r="B749" t="str">
            <v>MIDUYD037</v>
          </cell>
        </row>
        <row r="750">
          <cell r="A750" t="str">
            <v>MIDUYD037K1M</v>
          </cell>
          <cell r="B750" t="str">
            <v>MIDUYD037</v>
          </cell>
        </row>
        <row r="751">
          <cell r="A751" t="str">
            <v>MIDUYD038K0M</v>
          </cell>
          <cell r="B751" t="str">
            <v>MIDUYD038</v>
          </cell>
        </row>
        <row r="752">
          <cell r="A752" t="str">
            <v>MIDUYD046W0L</v>
          </cell>
          <cell r="B752" t="str">
            <v>MIDUYD046</v>
          </cell>
        </row>
        <row r="753">
          <cell r="A753" t="str">
            <v>MIDUYD046W0MX</v>
          </cell>
          <cell r="B753" t="str">
            <v>MIDUYD046</v>
          </cell>
        </row>
        <row r="754">
          <cell r="A754" t="str">
            <v>MIDUYD046W0S</v>
          </cell>
          <cell r="B754" t="str">
            <v>MIDUYD046</v>
          </cell>
        </row>
        <row r="755">
          <cell r="A755" t="str">
            <v>MIDUYD070W0L</v>
          </cell>
          <cell r="B755" t="str">
            <v>MIDUYD070</v>
          </cell>
        </row>
        <row r="756">
          <cell r="A756" t="str">
            <v>MIDUYD070W0M</v>
          </cell>
          <cell r="B756" t="str">
            <v>MIDUYD070</v>
          </cell>
        </row>
        <row r="757">
          <cell r="A757" t="str">
            <v>MIDUYD070W0S</v>
          </cell>
          <cell r="B757" t="str">
            <v>MIDUYD070</v>
          </cell>
        </row>
        <row r="758">
          <cell r="A758" t="str">
            <v>MIDUYD070W0XL</v>
          </cell>
          <cell r="B758" t="str">
            <v>MIDUYD070</v>
          </cell>
        </row>
        <row r="759">
          <cell r="A759" t="str">
            <v>MIDUYD46-059KZL</v>
          </cell>
          <cell r="B759" t="str">
            <v>MIDUYD46-059</v>
          </cell>
        </row>
        <row r="760">
          <cell r="A760" t="str">
            <v>MIDUYD46-059KZM</v>
          </cell>
          <cell r="B760" t="str">
            <v>MIDUYD46-059</v>
          </cell>
        </row>
        <row r="761">
          <cell r="A761" t="str">
            <v>MIDUYD46-059KZS</v>
          </cell>
          <cell r="B761" t="str">
            <v>MIDUYD46-059</v>
          </cell>
        </row>
        <row r="762">
          <cell r="A762" t="str">
            <v>MIDUYD46-063KZS</v>
          </cell>
          <cell r="B762" t="str">
            <v>MIDUYD46-063</v>
          </cell>
        </row>
        <row r="763">
          <cell r="A763" t="str">
            <v>MIDUYD46-HDK0L</v>
          </cell>
          <cell r="B763" t="str">
            <v>MIDUYD46-HDK</v>
          </cell>
        </row>
        <row r="764">
          <cell r="A764" t="str">
            <v>MIDUYD46-HDK0MX</v>
          </cell>
          <cell r="B764" t="str">
            <v>MIDUYD46-HDK</v>
          </cell>
        </row>
        <row r="765">
          <cell r="A765" t="str">
            <v>MIDUYD46-HDK0S</v>
          </cell>
          <cell r="B765" t="str">
            <v>MIDUYD46-HDK</v>
          </cell>
        </row>
        <row r="766">
          <cell r="A766" t="str">
            <v>MJ-IUYL230-BL-L</v>
          </cell>
          <cell r="B766" t="str">
            <v>MJ-IUYL230</v>
          </cell>
        </row>
        <row r="767">
          <cell r="A767" t="str">
            <v>MJ-IUYL230-BL-S</v>
          </cell>
          <cell r="B767" t="str">
            <v>MJ-IUYL230</v>
          </cell>
        </row>
        <row r="768">
          <cell r="A768" t="str">
            <v>MJ-IUYL230-CF-L</v>
          </cell>
          <cell r="B768" t="str">
            <v>MJ-IUYL230</v>
          </cell>
        </row>
        <row r="769">
          <cell r="A769" t="str">
            <v>MJ-IUYL230-CF-S</v>
          </cell>
          <cell r="B769" t="str">
            <v>MJ-IUYL230</v>
          </cell>
        </row>
        <row r="770">
          <cell r="A770" t="str">
            <v>MJ-IUYL230-PK-L</v>
          </cell>
          <cell r="B770" t="str">
            <v>MJ-IUYL230</v>
          </cell>
        </row>
        <row r="771">
          <cell r="A771" t="str">
            <v>MJ-IUYL230-PK-S</v>
          </cell>
          <cell r="B771" t="str">
            <v>MJ-IUYL230</v>
          </cell>
        </row>
        <row r="772">
          <cell r="A772" t="str">
            <v>MLABO100*140CM</v>
          </cell>
          <cell r="B772" t="str">
            <v>MLABO</v>
          </cell>
        </row>
        <row r="773">
          <cell r="A773" t="str">
            <v>MLABOH100*140CM</v>
          </cell>
          <cell r="B773" t="str">
            <v>MLABO</v>
          </cell>
        </row>
        <row r="774">
          <cell r="A774" t="str">
            <v>MLABOH140*180CM</v>
          </cell>
          <cell r="B774" t="str">
            <v>MLABO</v>
          </cell>
        </row>
        <row r="775">
          <cell r="A775" t="str">
            <v>MTFSNANKU-YY3630JLS-34</v>
          </cell>
          <cell r="B775" t="str">
            <v>MTFSNANKU-YY3630</v>
          </cell>
        </row>
        <row r="776">
          <cell r="A776" t="str">
            <v>MTFSNANKU-YY3630JLS-38</v>
          </cell>
          <cell r="B776" t="str">
            <v>MTFSNANKU-YY3630</v>
          </cell>
        </row>
        <row r="777">
          <cell r="A777" t="str">
            <v>MTX-IULHY-DBW8022-PK-25</v>
          </cell>
          <cell r="B777" t="str">
            <v>MTX-IULHY-DBW8022</v>
          </cell>
        </row>
        <row r="778">
          <cell r="A778" t="str">
            <v>MTX-IULHY-DBW8022-PK-26</v>
          </cell>
          <cell r="B778" t="str">
            <v>MTX-IULHY-DBW8022</v>
          </cell>
        </row>
        <row r="779">
          <cell r="A779" t="str">
            <v>MTX-IULHY-DBW8022-PK-27</v>
          </cell>
          <cell r="B779" t="str">
            <v>MTX-IULHY-DBW8022</v>
          </cell>
        </row>
        <row r="780">
          <cell r="A780" t="str">
            <v>MTX-IULHY-DBW8022-PP-25</v>
          </cell>
          <cell r="B780" t="str">
            <v>MTX-IULHY-DBW8022</v>
          </cell>
        </row>
        <row r="781">
          <cell r="A781" t="str">
            <v>MTX-IULHY-DBW8022-PP-26</v>
          </cell>
          <cell r="B781" t="str">
            <v>MTX-IULHY-DBW8022</v>
          </cell>
        </row>
        <row r="782">
          <cell r="A782" t="str">
            <v>MTX-IULHY-DBW8022-PP-27</v>
          </cell>
          <cell r="B782" t="str">
            <v>MTX-IULHY-DBW8022</v>
          </cell>
        </row>
        <row r="783">
          <cell r="A783" t="str">
            <v>MTX-IULHY-DBW8022-WT-25</v>
          </cell>
          <cell r="B783" t="str">
            <v>MTX-IULHY-DBW8022</v>
          </cell>
        </row>
        <row r="784">
          <cell r="A784" t="str">
            <v>MTX-IULHY-DBW8022-WT-26</v>
          </cell>
          <cell r="B784" t="str">
            <v>MTX-IULHY-DBW8022</v>
          </cell>
        </row>
        <row r="785">
          <cell r="A785" t="str">
            <v>MTX-IULHY-DBW8022-WT-27</v>
          </cell>
          <cell r="B785" t="str">
            <v>MTX-IULHY-DBW8022</v>
          </cell>
        </row>
        <row r="786">
          <cell r="A786" t="str">
            <v>MTX-IULHY-DBWS90-GR-25</v>
          </cell>
          <cell r="B786" t="str">
            <v>MTX-IULHY-DBWS90</v>
          </cell>
        </row>
        <row r="787">
          <cell r="A787" t="str">
            <v>MTX-IULHY-DBWS90-GR-26</v>
          </cell>
          <cell r="B787" t="str">
            <v>MTX-IULHY-DBWS90</v>
          </cell>
        </row>
        <row r="788">
          <cell r="A788" t="str">
            <v>MTX-IULHY-DBWS90-GR-27</v>
          </cell>
          <cell r="B788" t="str">
            <v>MTX-IULHY-DBWS90</v>
          </cell>
        </row>
        <row r="789">
          <cell r="A789" t="str">
            <v>MTX-IULHY-DBWS90-KK-25</v>
          </cell>
          <cell r="B789" t="str">
            <v>MTX-IULHY-DBWS90</v>
          </cell>
        </row>
        <row r="790">
          <cell r="A790" t="str">
            <v>MTX-IULHY-DBWS90-KK-26</v>
          </cell>
          <cell r="B790" t="str">
            <v>MTX-IULHY-DBWS90</v>
          </cell>
        </row>
        <row r="791">
          <cell r="A791" t="str">
            <v>MTX-IULHY-DBWS90-KK-27</v>
          </cell>
          <cell r="B791" t="str">
            <v>MTX-IULHY-DBWS90</v>
          </cell>
        </row>
        <row r="792">
          <cell r="A792" t="str">
            <v>MTX-IULHY-DBWS90-PK-25</v>
          </cell>
          <cell r="B792" t="str">
            <v>MTX-IULHY-DBWS90</v>
          </cell>
        </row>
        <row r="793">
          <cell r="A793" t="str">
            <v>MTX-IULHY-DBWS90-PK-26</v>
          </cell>
          <cell r="B793" t="str">
            <v>MTX-IULHY-DBWS90</v>
          </cell>
        </row>
        <row r="794">
          <cell r="A794" t="str">
            <v>MTX-IULHY-DBWS90-PK-27</v>
          </cell>
          <cell r="B794" t="str">
            <v>MTX-IULHY-DBWS90</v>
          </cell>
        </row>
        <row r="795">
          <cell r="A795" t="str">
            <v>MTX-IULHY-GBW8022-PK-25</v>
          </cell>
          <cell r="B795" t="str">
            <v>MTX-IULHY-GBW8022</v>
          </cell>
        </row>
        <row r="796">
          <cell r="A796" t="str">
            <v>MTX-IULHY-GBW8022-PK-26</v>
          </cell>
          <cell r="B796" t="str">
            <v>MTX-IULHY-GBW8022</v>
          </cell>
        </row>
        <row r="797">
          <cell r="A797" t="str">
            <v>MTX-IULHY-GBW8022-PK-27</v>
          </cell>
          <cell r="B797" t="str">
            <v>MTX-IULHY-GBW8022</v>
          </cell>
        </row>
        <row r="798">
          <cell r="A798" t="str">
            <v>MTX-IULHY-GBW8022-PP-25</v>
          </cell>
          <cell r="B798" t="str">
            <v>MTX-IULHY-GBW8022</v>
          </cell>
        </row>
        <row r="799">
          <cell r="A799" t="str">
            <v>MTX-IULHY-GBW8022-PP-26</v>
          </cell>
          <cell r="B799" t="str">
            <v>MTX-IULHY-GBW8022</v>
          </cell>
        </row>
        <row r="800">
          <cell r="A800" t="str">
            <v>MTX-IULHY-GBW8022-PP-27</v>
          </cell>
          <cell r="B800" t="str">
            <v>MTX-IULHY-GBW8022</v>
          </cell>
        </row>
        <row r="801">
          <cell r="A801" t="str">
            <v>MTX-IULHY-GBW8022-WT-25</v>
          </cell>
          <cell r="B801" t="str">
            <v>MTX-IULHY-GBW8022</v>
          </cell>
        </row>
        <row r="802">
          <cell r="A802" t="str">
            <v>MTX-IULHY-GBW8022-WT-26</v>
          </cell>
          <cell r="B802" t="str">
            <v>MTX-IULHY-GBW8022</v>
          </cell>
        </row>
        <row r="803">
          <cell r="A803" t="str">
            <v>MTX-IULHY-GBW8022-WT-27</v>
          </cell>
          <cell r="B803" t="str">
            <v>MTX-IULHY-GBW8022</v>
          </cell>
        </row>
        <row r="804">
          <cell r="A804" t="str">
            <v>MTX-IULHY-GBWS90-GR-25</v>
          </cell>
          <cell r="B804" t="str">
            <v>MTX-IULHY-GBWS90</v>
          </cell>
        </row>
        <row r="805">
          <cell r="A805" t="str">
            <v>MTX-IULHY-GBWS90-GR-26</v>
          </cell>
          <cell r="B805" t="str">
            <v>MTX-IULHY-GBWS90</v>
          </cell>
        </row>
        <row r="806">
          <cell r="A806" t="str">
            <v>MTX-IULHY-GBWS90-GR-27</v>
          </cell>
          <cell r="B806" t="str">
            <v>MTX-IULHY-GBWS90</v>
          </cell>
        </row>
        <row r="807">
          <cell r="A807" t="str">
            <v>MTX-IULHY-GBWS90-KK-25</v>
          </cell>
          <cell r="B807" t="str">
            <v>MTX-IULHY-GBWS90</v>
          </cell>
        </row>
        <row r="808">
          <cell r="A808" t="str">
            <v>MTX-IULHY-GBWS90-KK-26</v>
          </cell>
          <cell r="B808" t="str">
            <v>MTX-IULHY-GBWS90</v>
          </cell>
        </row>
        <row r="809">
          <cell r="A809" t="str">
            <v>MTX-IULHY-GBWS90-KK-27</v>
          </cell>
          <cell r="B809" t="str">
            <v>MTX-IULHY-GBWS90</v>
          </cell>
        </row>
        <row r="810">
          <cell r="A810" t="str">
            <v>MTX-IULHY-GBWS90-PK-25</v>
          </cell>
          <cell r="B810" t="str">
            <v>MTX-IULHY-GBWS90</v>
          </cell>
        </row>
        <row r="811">
          <cell r="A811" t="str">
            <v>MTX-IULHY-GBWS90-PK-26</v>
          </cell>
          <cell r="B811" t="str">
            <v>MTX-IULHY-GBWS90</v>
          </cell>
        </row>
        <row r="812">
          <cell r="A812" t="str">
            <v>MTX-IULHY-GBWS90-PK-27</v>
          </cell>
          <cell r="B812" t="str">
            <v>MTX-IULHY-GBWS90</v>
          </cell>
        </row>
        <row r="813">
          <cell r="A813" t="str">
            <v>MTX-IULHY-M1759-DB-27</v>
          </cell>
          <cell r="B813" t="str">
            <v>MTX-IULHY-M1759</v>
          </cell>
        </row>
        <row r="814">
          <cell r="A814" t="str">
            <v>MTX-IULHY-M1759-DB-28</v>
          </cell>
          <cell r="B814" t="str">
            <v>MTX-IULHY-M1759</v>
          </cell>
        </row>
        <row r="815">
          <cell r="A815" t="str">
            <v>MTX-IULHY-M1759-DB-29</v>
          </cell>
          <cell r="B815" t="str">
            <v>MTX-IULHY-M1759</v>
          </cell>
        </row>
        <row r="816">
          <cell r="A816" t="str">
            <v>MTX-IULHY-M1759-GR-27</v>
          </cell>
          <cell r="B816" t="str">
            <v>MTX-IULHY-M1759</v>
          </cell>
        </row>
        <row r="817">
          <cell r="A817" t="str">
            <v>MTX-IULHY-M1759-GR-28</v>
          </cell>
          <cell r="B817" t="str">
            <v>MTX-IULHY-M1759</v>
          </cell>
        </row>
        <row r="818">
          <cell r="A818" t="str">
            <v>MTX-IULHY-M1759-GR-29</v>
          </cell>
          <cell r="B818" t="str">
            <v>MTX-IULHY-M1759</v>
          </cell>
        </row>
        <row r="819">
          <cell r="A819" t="str">
            <v>MTX-IULHY-W1758-GN-25</v>
          </cell>
          <cell r="B819" t="str">
            <v>MTX-IULHY-W1758</v>
          </cell>
        </row>
        <row r="820">
          <cell r="A820" t="str">
            <v>MTX-IULHY-W1758-GN-26</v>
          </cell>
          <cell r="B820" t="str">
            <v>MTX-IULHY-W1758</v>
          </cell>
        </row>
        <row r="821">
          <cell r="A821" t="str">
            <v>MTX-IULHY-W1758-GN-27</v>
          </cell>
          <cell r="B821" t="str">
            <v>MTX-IULHY-W1758</v>
          </cell>
        </row>
        <row r="822">
          <cell r="A822" t="str">
            <v>MTX-IULHY-W1758-OR-25</v>
          </cell>
          <cell r="B822" t="str">
            <v>MTX-IULHY-W1758</v>
          </cell>
        </row>
        <row r="823">
          <cell r="A823" t="str">
            <v>MTX-IULHY-W1758-OR-26</v>
          </cell>
          <cell r="B823" t="str">
            <v>MTX-IULHY-W1758</v>
          </cell>
        </row>
        <row r="824">
          <cell r="A824" t="str">
            <v>MTX-IULHY-W1758-OR-27</v>
          </cell>
          <cell r="B824" t="str">
            <v>MTX-IULHY-W1758</v>
          </cell>
        </row>
        <row r="825">
          <cell r="A825" t="str">
            <v>MTX-IULHY-W1758-PK-25</v>
          </cell>
          <cell r="B825" t="str">
            <v>MTX-IULHY-W1758</v>
          </cell>
        </row>
        <row r="826">
          <cell r="A826" t="str">
            <v>MTX-IULHY-W1758-PK-26</v>
          </cell>
          <cell r="B826" t="str">
            <v>MTX-IULHY-W1758</v>
          </cell>
        </row>
        <row r="827">
          <cell r="A827" t="str">
            <v>MTX-IULHY-W1758-PK-27</v>
          </cell>
          <cell r="B827" t="str">
            <v>MTX-IULHY-W1758</v>
          </cell>
        </row>
        <row r="828">
          <cell r="A828" t="str">
            <v>MTX-IULHY-W1759-GN-25</v>
          </cell>
          <cell r="B828" t="str">
            <v>MTX-IULHY-W1759</v>
          </cell>
        </row>
        <row r="829">
          <cell r="A829" t="str">
            <v>MTX-IULHY-W1759-GN-26</v>
          </cell>
          <cell r="B829" t="str">
            <v>MTX-IULHY-W1759</v>
          </cell>
        </row>
        <row r="830">
          <cell r="A830" t="str">
            <v>MTX-IULHY-W1759-GN-27</v>
          </cell>
          <cell r="B830" t="str">
            <v>MTX-IULHY-W1759</v>
          </cell>
        </row>
        <row r="831">
          <cell r="A831" t="str">
            <v>MTX-IULHY-W1759-OR-25</v>
          </cell>
          <cell r="B831" t="str">
            <v>MTX-IULHY-W1759</v>
          </cell>
        </row>
        <row r="832">
          <cell r="A832" t="str">
            <v>MTX-IULHY-W1759-OR-26</v>
          </cell>
          <cell r="B832" t="str">
            <v>MTX-IULHY-W1759</v>
          </cell>
        </row>
        <row r="833">
          <cell r="A833" t="str">
            <v>MTX-IULHY-W1759-OR-27</v>
          </cell>
          <cell r="B833" t="str">
            <v>MTX-IULHY-W1759</v>
          </cell>
        </row>
        <row r="834">
          <cell r="A834" t="str">
            <v>MTX-IULHY-W1759-PK-25</v>
          </cell>
          <cell r="B834" t="str">
            <v>MTX-IULHY-W1759</v>
          </cell>
        </row>
        <row r="835">
          <cell r="A835" t="str">
            <v>MTX-IULHY-W1759-PK-26</v>
          </cell>
          <cell r="B835" t="str">
            <v>MTX-IULHY-W1759</v>
          </cell>
        </row>
        <row r="836">
          <cell r="A836" t="str">
            <v>MTX-IULHY-W1759-PK-27</v>
          </cell>
          <cell r="B836" t="str">
            <v>MTX-IULHY-W1759</v>
          </cell>
        </row>
        <row r="837">
          <cell r="A837" t="str">
            <v>MTX-IULHY-W1798-GN-25</v>
          </cell>
          <cell r="B837" t="str">
            <v>MTX-IULHY-W1798</v>
          </cell>
        </row>
        <row r="838">
          <cell r="A838" t="str">
            <v>MTX-IULHY-W1798-GN-26</v>
          </cell>
          <cell r="B838" t="str">
            <v>MTX-IULHY-W1798</v>
          </cell>
        </row>
        <row r="839">
          <cell r="A839" t="str">
            <v>MTX-IULHY-W1798-GN-27</v>
          </cell>
          <cell r="B839" t="str">
            <v>MTX-IULHY-W1798</v>
          </cell>
        </row>
        <row r="840">
          <cell r="A840" t="str">
            <v>MTX-IULHY-W1798-OR-25</v>
          </cell>
          <cell r="B840" t="str">
            <v>MTX-IULHY-W1798</v>
          </cell>
        </row>
        <row r="841">
          <cell r="A841" t="str">
            <v>MTX-IULHY-W1798-OR-26</v>
          </cell>
          <cell r="B841" t="str">
            <v>MTX-IULHY-W1798</v>
          </cell>
        </row>
        <row r="842">
          <cell r="A842" t="str">
            <v>MTX-IULHY-W1798-OR-27</v>
          </cell>
          <cell r="B842" t="str">
            <v>MTX-IULHY-W1798</v>
          </cell>
        </row>
        <row r="843">
          <cell r="A843" t="str">
            <v>MTX-IULHY-W1798-PK-25</v>
          </cell>
          <cell r="B843" t="str">
            <v>MTX-IULHY-W1798</v>
          </cell>
        </row>
        <row r="844">
          <cell r="A844" t="str">
            <v>MTX-IULHY-W1798-PK-26</v>
          </cell>
          <cell r="B844" t="str">
            <v>MTX-IULHY-W1798</v>
          </cell>
        </row>
        <row r="845">
          <cell r="A845" t="str">
            <v>MTX-IULHY-W1798-PK-27</v>
          </cell>
          <cell r="B845" t="str">
            <v>MTX-IULHY-W1798</v>
          </cell>
        </row>
        <row r="846">
          <cell r="A846" t="str">
            <v>MTX-IULHY-W1798-RD-25</v>
          </cell>
          <cell r="B846" t="str">
            <v>MTX-IULHY-W1798</v>
          </cell>
        </row>
        <row r="847">
          <cell r="A847" t="str">
            <v>MTX-IULHY-W1798-RD-26</v>
          </cell>
          <cell r="B847" t="str">
            <v>MTX-IULHY-W1798</v>
          </cell>
        </row>
        <row r="848">
          <cell r="A848" t="str">
            <v>MTX-IULHY-W1798-RD-27</v>
          </cell>
          <cell r="B848" t="str">
            <v>MTX-IULHY-W1798</v>
          </cell>
        </row>
        <row r="849">
          <cell r="A849" t="str">
            <v>MTX-IULHY-W188-GN-35/37</v>
          </cell>
          <cell r="B849" t="str">
            <v>MTX-IULHY-W188</v>
          </cell>
        </row>
        <row r="850">
          <cell r="A850" t="str">
            <v>MTX-IULHY-W188-GN-38/39</v>
          </cell>
          <cell r="B850" t="str">
            <v>MTX-IULHY-W188</v>
          </cell>
        </row>
        <row r="851">
          <cell r="A851" t="str">
            <v>MTX-IULHY-W188-PK-35/37</v>
          </cell>
          <cell r="B851" t="str">
            <v>MTX-IULHY-W188</v>
          </cell>
        </row>
        <row r="852">
          <cell r="A852" t="str">
            <v>MTX-IULHY-W188-PK-38/39</v>
          </cell>
          <cell r="B852" t="str">
            <v>MTX-IULHY-W188</v>
          </cell>
        </row>
        <row r="853">
          <cell r="A853" t="str">
            <v>MTX-IULHY-W188-PP-35/37</v>
          </cell>
          <cell r="B853" t="str">
            <v>MTX-IULHY-W188</v>
          </cell>
        </row>
        <row r="854">
          <cell r="A854" t="str">
            <v>MTX-IULHY-W188-PP-38/39</v>
          </cell>
          <cell r="B854" t="str">
            <v>MTX-IULHY-W188</v>
          </cell>
        </row>
        <row r="855">
          <cell r="A855" t="str">
            <v>MTX-IULHY-W8001-DPK-25</v>
          </cell>
          <cell r="B855" t="str">
            <v>MTX-IULHY-W8001</v>
          </cell>
        </row>
        <row r="856">
          <cell r="A856" t="str">
            <v>MTX-IULHY-W8001-DPK-26</v>
          </cell>
          <cell r="B856" t="str">
            <v>MTX-IULHY-W8001</v>
          </cell>
        </row>
        <row r="857">
          <cell r="A857" t="str">
            <v>MTX-IULHY-W8001-DPK-27</v>
          </cell>
          <cell r="B857" t="str">
            <v>MTX-IULHY-W8001</v>
          </cell>
        </row>
        <row r="858">
          <cell r="A858" t="str">
            <v>MTX-IULHY-W8001-LB-25</v>
          </cell>
          <cell r="B858" t="str">
            <v>MTX-IULHY-W8001</v>
          </cell>
        </row>
        <row r="859">
          <cell r="A859" t="str">
            <v>MTX-IULHY-W8001-LB-26</v>
          </cell>
          <cell r="B859" t="str">
            <v>MTX-IULHY-W8001</v>
          </cell>
        </row>
        <row r="860">
          <cell r="A860" t="str">
            <v>MTX-IULHY-W8001-LB-27</v>
          </cell>
          <cell r="B860" t="str">
            <v>MTX-IULHY-W8001</v>
          </cell>
        </row>
        <row r="861">
          <cell r="A861" t="str">
            <v>MTX-IULHY-W8001-LPK-25</v>
          </cell>
          <cell r="B861" t="str">
            <v>MTX-IULHY-W8001</v>
          </cell>
        </row>
        <row r="862">
          <cell r="A862" t="str">
            <v>MTX-IULHY-W8001-LPK-26</v>
          </cell>
          <cell r="B862" t="str">
            <v>MTX-IULHY-W8001</v>
          </cell>
        </row>
        <row r="863">
          <cell r="A863" t="str">
            <v>MTX-IULHY-W8001-LPK-27</v>
          </cell>
          <cell r="B863" t="str">
            <v>MTX-IULHY-W8001</v>
          </cell>
        </row>
        <row r="864">
          <cell r="A864" t="str">
            <v>MTX-IULHY-W8003-BK-25</v>
          </cell>
          <cell r="B864" t="str">
            <v>MTX-IULHY-W8003</v>
          </cell>
        </row>
        <row r="865">
          <cell r="A865" t="str">
            <v>MTX-IULHY-W8003-BK-26</v>
          </cell>
          <cell r="B865" t="str">
            <v>MTX-IULHY-W8003</v>
          </cell>
        </row>
        <row r="866">
          <cell r="A866" t="str">
            <v>MTX-IULHY-W8003-BK-27</v>
          </cell>
          <cell r="B866" t="str">
            <v>MTX-IULHY-W8003</v>
          </cell>
        </row>
        <row r="867">
          <cell r="A867" t="str">
            <v>MTX-IULHY-W8003-PK-25</v>
          </cell>
          <cell r="B867" t="str">
            <v>MTX-IULHY-W8003</v>
          </cell>
        </row>
        <row r="868">
          <cell r="A868" t="str">
            <v>MTX-IULHY-W8003-PK-26</v>
          </cell>
          <cell r="B868" t="str">
            <v>MTX-IULHY-W8003</v>
          </cell>
        </row>
        <row r="869">
          <cell r="A869" t="str">
            <v>MTX-IULHY-W8003-PK-27</v>
          </cell>
          <cell r="B869" t="str">
            <v>MTX-IULHY-W8003</v>
          </cell>
        </row>
        <row r="870">
          <cell r="A870" t="str">
            <v>MTX-IULHY-W8003-RD-25</v>
          </cell>
          <cell r="B870" t="str">
            <v>MTX-IULHY-W8003</v>
          </cell>
        </row>
        <row r="871">
          <cell r="A871" t="str">
            <v>MTX-IULHY-W8003-RD-26</v>
          </cell>
          <cell r="B871" t="str">
            <v>MTX-IULHY-W8003</v>
          </cell>
        </row>
        <row r="872">
          <cell r="A872" t="str">
            <v>MTX-IULHY-W8003-RD-27</v>
          </cell>
          <cell r="B872" t="str">
            <v>MTX-IULHY-W8003</v>
          </cell>
        </row>
        <row r="873">
          <cell r="A873" t="str">
            <v>MTX-IULHY-WA86-GR-37</v>
          </cell>
          <cell r="B873" t="str">
            <v>MTX-IULHY-WA86</v>
          </cell>
        </row>
        <row r="874">
          <cell r="A874" t="str">
            <v>MTX-IULHY-WA86-GR-39</v>
          </cell>
          <cell r="B874" t="str">
            <v>MTX-IULHY-WA86</v>
          </cell>
        </row>
        <row r="875">
          <cell r="A875" t="str">
            <v>MTX-IULHY-WA86-KK-37</v>
          </cell>
          <cell r="B875" t="str">
            <v>MTX-IULHY-WA86</v>
          </cell>
        </row>
        <row r="876">
          <cell r="A876" t="str">
            <v>MTX-IULHY-WA86-KK-39</v>
          </cell>
          <cell r="B876" t="str">
            <v>MTX-IULHY-WA86</v>
          </cell>
        </row>
        <row r="877">
          <cell r="A877" t="str">
            <v>MTX-IULHY-WA86-PK-37</v>
          </cell>
          <cell r="B877" t="str">
            <v>MTX-IULHY-WA86</v>
          </cell>
        </row>
        <row r="878">
          <cell r="A878" t="str">
            <v>MTX-IULHY-WA86-PK-39</v>
          </cell>
          <cell r="B878" t="str">
            <v>MTX-IULHY-WA86</v>
          </cell>
        </row>
        <row r="879">
          <cell r="A879" t="str">
            <v>MTX-IULHY-WA89-GR-37</v>
          </cell>
          <cell r="B879" t="str">
            <v>MTX-IULHY-WA89</v>
          </cell>
        </row>
        <row r="880">
          <cell r="A880" t="str">
            <v>MTX-IULHY-WA89-GR-39</v>
          </cell>
          <cell r="B880" t="str">
            <v>MTX-IULHY-WA89</v>
          </cell>
        </row>
        <row r="881">
          <cell r="A881" t="str">
            <v>MTX-IULHY-WA89-KK-37</v>
          </cell>
          <cell r="B881" t="str">
            <v>MTX-IULHY-WA89</v>
          </cell>
        </row>
        <row r="882">
          <cell r="A882" t="str">
            <v>MTX-IULHY-WA89-KK-39</v>
          </cell>
          <cell r="B882" t="str">
            <v>MTX-IULHY-WA89</v>
          </cell>
        </row>
        <row r="883">
          <cell r="A883" t="str">
            <v>MTX-IULHY-WA89-PK-37</v>
          </cell>
          <cell r="B883" t="str">
            <v>MTX-IULHY-WA89</v>
          </cell>
        </row>
        <row r="884">
          <cell r="A884" t="str">
            <v>MTX-IULHY-WA89-PK-39</v>
          </cell>
          <cell r="B884" t="str">
            <v>MTX-IULHY-WA89</v>
          </cell>
        </row>
        <row r="885">
          <cell r="A885" t="str">
            <v>MTX-IULHY-WT836-GN-25</v>
          </cell>
          <cell r="B885" t="str">
            <v>MTX-IULHY-WT836</v>
          </cell>
        </row>
        <row r="886">
          <cell r="A886" t="str">
            <v>MTX-IULHY-WT836-GN-26</v>
          </cell>
          <cell r="B886" t="str">
            <v>MTX-IULHY-WT836</v>
          </cell>
        </row>
        <row r="887">
          <cell r="A887" t="str">
            <v>MTX-IULHY-WT836-GN-27</v>
          </cell>
          <cell r="B887" t="str">
            <v>MTX-IULHY-WT836</v>
          </cell>
        </row>
        <row r="888">
          <cell r="A888" t="str">
            <v>MTX-IULHY-WT836-PK-25</v>
          </cell>
          <cell r="B888" t="str">
            <v>MTX-IULHY-WT836</v>
          </cell>
        </row>
        <row r="889">
          <cell r="A889" t="str">
            <v>MTX-IULHY-WT836-PK-26</v>
          </cell>
          <cell r="B889" t="str">
            <v>MTX-IULHY-WT836</v>
          </cell>
        </row>
        <row r="890">
          <cell r="A890" t="str">
            <v>MTX-IULHY-WT836-PK-27</v>
          </cell>
          <cell r="B890" t="str">
            <v>MTX-IULHY-WT836</v>
          </cell>
        </row>
        <row r="891">
          <cell r="A891" t="str">
            <v>MTX-IULHY-WT836-PP-25</v>
          </cell>
          <cell r="B891" t="str">
            <v>MTX-IULHY-WT836</v>
          </cell>
        </row>
        <row r="892">
          <cell r="A892" t="str">
            <v>MTX-IULHY-WT836-PP-26</v>
          </cell>
          <cell r="B892" t="str">
            <v>MTX-IULHY-WT836</v>
          </cell>
        </row>
        <row r="893">
          <cell r="A893" t="str">
            <v>MTX-IULHY-WT836-PP-27</v>
          </cell>
          <cell r="B893" t="str">
            <v>MTX-IULHY-WT836</v>
          </cell>
        </row>
        <row r="894">
          <cell r="A894" t="str">
            <v>MYFSYTMRG-XL</v>
          </cell>
          <cell r="B894" t="str">
            <v>MYFSYTMRG</v>
          </cell>
        </row>
        <row r="895">
          <cell r="A895" t="str">
            <v>MYUYBLUE-XL</v>
          </cell>
          <cell r="B895" t="str">
            <v>MYUYBLUE</v>
          </cell>
        </row>
        <row r="896">
          <cell r="A896" t="str">
            <v>MYUYBLUE-XXL</v>
          </cell>
          <cell r="B896" t="str">
            <v>MYUYBLUE</v>
          </cell>
        </row>
        <row r="897">
          <cell r="A897" t="str">
            <v>MYUYHUAS-M</v>
          </cell>
          <cell r="B897" t="str">
            <v>MYUYHUAS</v>
          </cell>
        </row>
        <row r="898">
          <cell r="A898" t="str">
            <v>MYUYPINK-M</v>
          </cell>
          <cell r="B898" t="str">
            <v>MYUYPINK</v>
          </cell>
        </row>
        <row r="899">
          <cell r="A899" t="str">
            <v>MYUYPINK-XL</v>
          </cell>
          <cell r="B899" t="str">
            <v>MYUYPINK</v>
          </cell>
        </row>
        <row r="900">
          <cell r="A900" t="str">
            <v>MZXKDZKF</v>
          </cell>
          <cell r="B900" t="str">
            <v>MZXKDZKF</v>
          </cell>
        </row>
        <row r="901">
          <cell r="A901" t="str">
            <v>MZYSLHY140*140CM</v>
          </cell>
          <cell r="B901" t="str">
            <v>MZYSLHY</v>
          </cell>
        </row>
        <row r="902">
          <cell r="A902" t="str">
            <v>MZYSLHY140*180CM</v>
          </cell>
          <cell r="B902" t="str">
            <v>MZYSLHY</v>
          </cell>
        </row>
        <row r="903">
          <cell r="A903" t="str">
            <v>MZYSLHY140*200CM</v>
          </cell>
          <cell r="B903" t="str">
            <v>MZYSLHY</v>
          </cell>
        </row>
        <row r="904">
          <cell r="A904" t="str">
            <v>MZYSLHY140*220CM</v>
          </cell>
          <cell r="B904" t="str">
            <v>MZYSLHY</v>
          </cell>
        </row>
        <row r="905">
          <cell r="A905" t="str">
            <v>MZYSLHY60*60CM</v>
          </cell>
          <cell r="B905" t="str">
            <v>MZYSLHY</v>
          </cell>
        </row>
        <row r="906">
          <cell r="A906" t="str">
            <v>MZYSLHY90*90CM</v>
          </cell>
          <cell r="B906" t="str">
            <v>MZYSLHY</v>
          </cell>
        </row>
        <row r="907">
          <cell r="A907" t="str">
            <v>MZYSMMSX140*140CM</v>
          </cell>
          <cell r="B907" t="str">
            <v>MZYSM</v>
          </cell>
        </row>
        <row r="908">
          <cell r="A908" t="str">
            <v>MZYSMMSX140*180CM</v>
          </cell>
          <cell r="B908" t="str">
            <v>MZYSM</v>
          </cell>
        </row>
        <row r="909">
          <cell r="A909" t="str">
            <v>MZYSMMSX140*200CM</v>
          </cell>
          <cell r="B909" t="str">
            <v>MZYSM</v>
          </cell>
        </row>
        <row r="910">
          <cell r="A910" t="str">
            <v>MZYSMTYMT140*140cm</v>
          </cell>
          <cell r="B910" t="str">
            <v>MZYSM</v>
          </cell>
        </row>
        <row r="911">
          <cell r="A911" t="str">
            <v>MZYSMTYMT140*180cm</v>
          </cell>
          <cell r="B911" t="str">
            <v>MZYSM</v>
          </cell>
        </row>
        <row r="912">
          <cell r="A912" t="str">
            <v>MZYSMTYMT140*200cm</v>
          </cell>
          <cell r="B912" t="str">
            <v>MZYSM</v>
          </cell>
        </row>
        <row r="913">
          <cell r="A913" t="str">
            <v>MZYSMTYMT140*220CM</v>
          </cell>
          <cell r="B913" t="str">
            <v>MZYSM</v>
          </cell>
        </row>
        <row r="914">
          <cell r="A914" t="str">
            <v>MZYSMTYMT90*90cm</v>
          </cell>
          <cell r="B914" t="str">
            <v>MZYSM</v>
          </cell>
        </row>
        <row r="915">
          <cell r="A915" t="str">
            <v>MZYSMZ01140*140cm</v>
          </cell>
          <cell r="B915" t="str">
            <v>MZYSM</v>
          </cell>
        </row>
        <row r="916">
          <cell r="A916" t="str">
            <v>MZYSMZ01140*210cm</v>
          </cell>
          <cell r="B916" t="str">
            <v>MZYSM</v>
          </cell>
        </row>
        <row r="917">
          <cell r="A917" t="str">
            <v>MZYSMZ0170*140cm</v>
          </cell>
          <cell r="B917" t="str">
            <v>MZYSM</v>
          </cell>
        </row>
        <row r="918">
          <cell r="A918" t="str">
            <v>MZYSMZF100*140CM</v>
          </cell>
          <cell r="B918" t="str">
            <v>MZYSM</v>
          </cell>
        </row>
        <row r="919">
          <cell r="A919" t="str">
            <v>MZYSMZF140*180CM</v>
          </cell>
          <cell r="B919" t="str">
            <v>MZYSM</v>
          </cell>
        </row>
        <row r="920">
          <cell r="A920" t="str">
            <v>MZYSMZF140*200CM</v>
          </cell>
          <cell r="B920" t="str">
            <v>MZYSM</v>
          </cell>
        </row>
        <row r="921">
          <cell r="A921" t="str">
            <v>MZYSMZF140*220CM</v>
          </cell>
          <cell r="B921" t="str">
            <v>MZYSM</v>
          </cell>
        </row>
        <row r="922">
          <cell r="A922" t="str">
            <v>MZYSMZF60*60CM</v>
          </cell>
          <cell r="B922" t="str">
            <v>MZYSM</v>
          </cell>
        </row>
        <row r="923">
          <cell r="A923" t="str">
            <v>MZYSMZF90*90CM</v>
          </cell>
          <cell r="B923" t="str">
            <v>MZYSM</v>
          </cell>
        </row>
        <row r="924">
          <cell r="A924" t="str">
            <v>MZYSTYMM100*140CM</v>
          </cell>
          <cell r="B924" t="str">
            <v>MZYSTYMM</v>
          </cell>
        </row>
        <row r="925">
          <cell r="A925" t="str">
            <v>MZYSTYMM140*140CM</v>
          </cell>
          <cell r="B925" t="str">
            <v>MZYSTYMM</v>
          </cell>
        </row>
        <row r="926">
          <cell r="A926" t="str">
            <v>MZYSTYMM140*180CM</v>
          </cell>
          <cell r="B926" t="str">
            <v>MZYSTYMM</v>
          </cell>
        </row>
        <row r="927">
          <cell r="A927" t="str">
            <v>MZYSTYMM140*200CM</v>
          </cell>
          <cell r="B927" t="str">
            <v>MZYSTYMM</v>
          </cell>
        </row>
        <row r="928">
          <cell r="A928" t="str">
            <v>MZYSTYMM140*220CM</v>
          </cell>
          <cell r="B928" t="str">
            <v>MZYSTYMM</v>
          </cell>
        </row>
        <row r="929">
          <cell r="A929" t="str">
            <v>MZYSTYMM60*60CM</v>
          </cell>
          <cell r="B929" t="str">
            <v>MZYSTYMM</v>
          </cell>
        </row>
        <row r="930">
          <cell r="A930" t="str">
            <v>MZYSTYMM90*90CM</v>
          </cell>
          <cell r="B930" t="str">
            <v>MZYSTYMM</v>
          </cell>
        </row>
        <row r="931">
          <cell r="A931" t="str">
            <v>MZYSWZ8590*90CM</v>
          </cell>
          <cell r="B931" t="str">
            <v>MZYSWZ85</v>
          </cell>
        </row>
        <row r="932">
          <cell r="A932" t="str">
            <v>MZYSZHUOBUDTLEIS100*140CM</v>
          </cell>
          <cell r="B932" t="str">
            <v>MZYSZHUOBUD</v>
          </cell>
        </row>
        <row r="933">
          <cell r="A933" t="str">
            <v>MZYSZHUOBUDTLEIS140*140CM</v>
          </cell>
          <cell r="B933" t="str">
            <v>MZYSZHUOBUD</v>
          </cell>
        </row>
        <row r="934">
          <cell r="A934" t="str">
            <v>MZYSZHUOBUDTLEIS140*180CM</v>
          </cell>
          <cell r="B934" t="str">
            <v>MZYSZHUOBUD</v>
          </cell>
        </row>
        <row r="935">
          <cell r="A935" t="str">
            <v>MZYSZHUOBUDTLEIS140*200CM</v>
          </cell>
          <cell r="B935" t="str">
            <v>MZYSZHUOBUD</v>
          </cell>
        </row>
        <row r="936">
          <cell r="A936" t="str">
            <v>MZYSZHUOBUDTLEIS140*220CM</v>
          </cell>
          <cell r="B936" t="str">
            <v>MZYSZHUOBUD</v>
          </cell>
        </row>
        <row r="937">
          <cell r="A937" t="str">
            <v>MZYSZHUOBUDTLEIS140*250CM</v>
          </cell>
          <cell r="B937" t="str">
            <v>MZYSZHUOBUD</v>
          </cell>
        </row>
        <row r="938">
          <cell r="A938" t="str">
            <v>MZYSZHUOBUDTLEIS60*60CM</v>
          </cell>
          <cell r="B938" t="str">
            <v>MZYSZHUOBUD</v>
          </cell>
        </row>
        <row r="939">
          <cell r="A939" t="str">
            <v>MZYSZHUOBUDTLEIS90*90CM</v>
          </cell>
          <cell r="B939" t="str">
            <v>MZYSZHUOBUD</v>
          </cell>
        </row>
        <row r="940">
          <cell r="A940" t="str">
            <v>MZYSZHUOBUDTMAP100*140CM</v>
          </cell>
          <cell r="B940" t="str">
            <v>MZYSZHUOBUD</v>
          </cell>
        </row>
        <row r="941">
          <cell r="A941" t="str">
            <v>MZYSZHUOBUDTMAP140*140CM</v>
          </cell>
          <cell r="B941" t="str">
            <v>MZYSZHUOBUD</v>
          </cell>
        </row>
        <row r="942">
          <cell r="A942" t="str">
            <v>MZYSZHUOBUDTMAP140*180CM</v>
          </cell>
          <cell r="B942" t="str">
            <v>MZYSZHUOBUD</v>
          </cell>
        </row>
        <row r="943">
          <cell r="A943" t="str">
            <v>MZYSZHUOBUDTMAP140*200CM</v>
          </cell>
          <cell r="B943" t="str">
            <v>MZYSZHUOBUD</v>
          </cell>
        </row>
        <row r="944">
          <cell r="A944" t="str">
            <v>MZYSZHUOBUDTMAP140*220CM</v>
          </cell>
          <cell r="B944" t="str">
            <v>MZYSZHUOBUD</v>
          </cell>
        </row>
        <row r="945">
          <cell r="A945" t="str">
            <v>MZYSZHUOBUDTMAP140*250CM</v>
          </cell>
          <cell r="B945" t="str">
            <v>MZYSZHUOBUD</v>
          </cell>
        </row>
        <row r="946">
          <cell r="A946" t="str">
            <v>MZYSZHUOBUDTMAP60*60CM</v>
          </cell>
          <cell r="B946" t="str">
            <v>MZYSZHUOBUD</v>
          </cell>
        </row>
        <row r="947">
          <cell r="A947" t="str">
            <v>MZYSZHUOBUDTMAP90*90CM</v>
          </cell>
          <cell r="B947" t="str">
            <v>MZYSZHUOBUD</v>
          </cell>
        </row>
        <row r="948">
          <cell r="A948" t="str">
            <v>MZYSZHUOBUQXPURE140*180CM</v>
          </cell>
          <cell r="B948" t="str">
            <v>MZYSZHUOBUD</v>
          </cell>
        </row>
        <row r="949">
          <cell r="A949" t="str">
            <v>MZYSZHUOBUQXPURE140*220CM</v>
          </cell>
          <cell r="B949" t="str">
            <v>MZYSZHUOBUD</v>
          </cell>
        </row>
        <row r="950">
          <cell r="A950" t="str">
            <v>NB003D100HF</v>
          </cell>
          <cell r="B950" t="str">
            <v>NB003</v>
          </cell>
        </row>
        <row r="951">
          <cell r="A951" t="str">
            <v>NEWCBLUE-L</v>
          </cell>
          <cell r="B951" t="str">
            <v>NEWC</v>
          </cell>
        </row>
        <row r="952">
          <cell r="A952" t="str">
            <v>NEWCBLUE-M</v>
          </cell>
          <cell r="B952" t="str">
            <v>NEWC</v>
          </cell>
        </row>
        <row r="953">
          <cell r="A953" t="str">
            <v>NEWCBLUE-S</v>
          </cell>
          <cell r="B953" t="str">
            <v>NEWCBLUE</v>
          </cell>
        </row>
        <row r="954">
          <cell r="A954" t="str">
            <v>NEWCBLUE-XL</v>
          </cell>
          <cell r="B954" t="str">
            <v>NEWCBLUE</v>
          </cell>
        </row>
        <row r="955">
          <cell r="A955" t="str">
            <v>NEWZXXCFS-L</v>
          </cell>
          <cell r="B955" t="str">
            <v>NEWCBLUE</v>
          </cell>
        </row>
        <row r="956">
          <cell r="A956" t="str">
            <v>NEWZXXCFS-M</v>
          </cell>
          <cell r="B956" t="str">
            <v>NEWZXXC</v>
          </cell>
        </row>
        <row r="957">
          <cell r="A957" t="str">
            <v>NEWZXXCFS-S</v>
          </cell>
          <cell r="B957" t="str">
            <v>NEWZXXC</v>
          </cell>
        </row>
        <row r="958">
          <cell r="A958" t="str">
            <v>NEWZXXCFS-XL</v>
          </cell>
          <cell r="B958" t="str">
            <v>NEWZXXC</v>
          </cell>
        </row>
        <row r="959">
          <cell r="A959" t="str">
            <v>NEWZXXCHO-L</v>
          </cell>
          <cell r="B959" t="str">
            <v>NEWZXXC</v>
          </cell>
        </row>
        <row r="960">
          <cell r="A960" t="str">
            <v>NEWZXXCHO-M</v>
          </cell>
          <cell r="B960" t="str">
            <v>NEWZXXC</v>
          </cell>
        </row>
        <row r="961">
          <cell r="A961" t="str">
            <v>NEWZXXCHO-S</v>
          </cell>
          <cell r="B961" t="str">
            <v>NEWZXXC</v>
          </cell>
        </row>
        <row r="962">
          <cell r="A962" t="str">
            <v>NEWZXXCHO-XL</v>
          </cell>
          <cell r="B962" t="str">
            <v>NEWZXXC</v>
          </cell>
        </row>
        <row r="963">
          <cell r="A963" t="str">
            <v>NEWZXXCLV-L</v>
          </cell>
          <cell r="B963" t="str">
            <v>NEWZXXC</v>
          </cell>
        </row>
        <row r="964">
          <cell r="A964" t="str">
            <v>NEWZXXCLV-M</v>
          </cell>
          <cell r="B964" t="str">
            <v>NEWZXXC</v>
          </cell>
        </row>
        <row r="965">
          <cell r="A965" t="str">
            <v>NEWZXXCLV-S</v>
          </cell>
          <cell r="B965" t="str">
            <v>NEWZXXC</v>
          </cell>
        </row>
        <row r="966">
          <cell r="A966" t="str">
            <v>NEWZXXCLV-XL</v>
          </cell>
          <cell r="B966" t="str">
            <v>NEWZXXC</v>
          </cell>
        </row>
        <row r="967">
          <cell r="A967" t="str">
            <v>NEWZXXCZS-L</v>
          </cell>
          <cell r="B967" t="str">
            <v>NEWZXXC</v>
          </cell>
        </row>
        <row r="968">
          <cell r="A968" t="str">
            <v>NEWZXXCZS-M</v>
          </cell>
          <cell r="B968" t="str">
            <v>NEWZXXC</v>
          </cell>
        </row>
        <row r="969">
          <cell r="A969" t="str">
            <v>NEWZXXCZS-S</v>
          </cell>
          <cell r="B969" t="str">
            <v>NEWZXXC</v>
          </cell>
        </row>
        <row r="970">
          <cell r="A970" t="str">
            <v>NEWZXXCZS-XL</v>
          </cell>
          <cell r="B970" t="str">
            <v>NEWZXXC</v>
          </cell>
        </row>
        <row r="971">
          <cell r="A971" t="str">
            <v>NG002XCD100</v>
          </cell>
          <cell r="B971" t="str">
            <v>NG002XCD</v>
          </cell>
        </row>
        <row r="972">
          <cell r="A972" t="str">
            <v>NS-QVCB-H5MC</v>
          </cell>
          <cell r="B972" t="str">
            <v>NS-QVCB-H5MC</v>
          </cell>
        </row>
        <row r="973">
          <cell r="A973" t="str">
            <v>P6XB6X-00MHL</v>
          </cell>
          <cell r="B973" t="str">
            <v>P6XB6X</v>
          </cell>
        </row>
        <row r="974">
          <cell r="A974" t="str">
            <v>P6XB6X-01G0L</v>
          </cell>
          <cell r="B974" t="str">
            <v>P6XB6X</v>
          </cell>
        </row>
        <row r="975">
          <cell r="A975" t="str">
            <v>P6XB6X-03K0</v>
          </cell>
          <cell r="B975" t="str">
            <v>P6XB6X</v>
          </cell>
        </row>
        <row r="976">
          <cell r="A976" t="str">
            <v>P6XB6X-03Y0L</v>
          </cell>
          <cell r="B976" t="str">
            <v>P6XB6X</v>
          </cell>
        </row>
        <row r="977">
          <cell r="A977" t="str">
            <v>PCZGOUGHWH140*140CM</v>
          </cell>
          <cell r="B977" t="str">
            <v>PCZGOUGHWH</v>
          </cell>
        </row>
        <row r="978">
          <cell r="A978" t="str">
            <v>PETY0XL</v>
          </cell>
          <cell r="B978" t="str">
            <v>PETY0</v>
          </cell>
        </row>
        <row r="979">
          <cell r="A979" t="str">
            <v>PETY0XXL</v>
          </cell>
          <cell r="B979" t="str">
            <v>PETY0</v>
          </cell>
        </row>
        <row r="980">
          <cell r="A980" t="str">
            <v>PUJIANGBAIMAMRG-COFFEE</v>
          </cell>
          <cell r="B980" t="str">
            <v>PUJIANGBAIMAMRG</v>
          </cell>
        </row>
        <row r="981">
          <cell r="A981" t="str">
            <v>PUJIANGBAIMAMRG-COFFEE-XXXL</v>
          </cell>
          <cell r="B981" t="str">
            <v>PUJIANGBAIMAMRG</v>
          </cell>
        </row>
        <row r="982">
          <cell r="A982" t="str">
            <v>PUJIANGBAIMAMRG-White polka dot</v>
          </cell>
          <cell r="B982" t="str">
            <v>PUJIANGBAIMAMRG</v>
          </cell>
        </row>
        <row r="983">
          <cell r="A983" t="str">
            <v>PUJJBAIDIXL-XL</v>
          </cell>
          <cell r="B983" t="str">
            <v>PUJJBAIDIXL</v>
          </cell>
        </row>
        <row r="984">
          <cell r="A984" t="str">
            <v>PUQBQBOS-S</v>
          </cell>
          <cell r="B984" t="str">
            <v>PUQBQBOS</v>
          </cell>
        </row>
        <row r="985">
          <cell r="A985" t="str">
            <v>PUQBQBOS-XL</v>
          </cell>
          <cell r="B985" t="str">
            <v>PUQBQBOS</v>
          </cell>
        </row>
        <row r="986">
          <cell r="A986" t="str">
            <v>PUQBQJS-M</v>
          </cell>
          <cell r="B986" t="str">
            <v>PUQBQJS</v>
          </cell>
        </row>
        <row r="987">
          <cell r="A987" t="str">
            <v>PUQBQJS-XL</v>
          </cell>
          <cell r="B987" t="str">
            <v>PUQBQJS</v>
          </cell>
        </row>
        <row r="988">
          <cell r="A988" t="str">
            <v>QB-DQP6-WSCP</v>
          </cell>
          <cell r="B988" t="str">
            <v>QB-DQP6-WSCP</v>
          </cell>
        </row>
        <row r="989">
          <cell r="A989" t="str">
            <v>QYWLNANKU-13k15COFFEE-29</v>
          </cell>
          <cell r="B989" t="str">
            <v>QYWLNANKU-13k15</v>
          </cell>
        </row>
        <row r="990">
          <cell r="A990" t="str">
            <v>QYWLNANKU-13k15COFFEE-30</v>
          </cell>
          <cell r="B990" t="str">
            <v>QYWLNANKU-13k15</v>
          </cell>
        </row>
        <row r="991">
          <cell r="A991" t="str">
            <v>QYWLNANKU-13k15COFFEE-32</v>
          </cell>
          <cell r="B991" t="str">
            <v>QYWLNANKU-13k15</v>
          </cell>
        </row>
        <row r="992">
          <cell r="A992" t="str">
            <v>QYWLNANKU-13k15COFFEE-34</v>
          </cell>
          <cell r="B992" t="str">
            <v>QYWLNANKU-13k15</v>
          </cell>
        </row>
        <row r="993">
          <cell r="A993" t="str">
            <v>QYWLNANKU-13k15COFFEE-36</v>
          </cell>
          <cell r="B993" t="str">
            <v>QYWLNANKU-13k15</v>
          </cell>
        </row>
        <row r="994">
          <cell r="A994" t="str">
            <v>QYWLNANKU-13k15COFFEE-38</v>
          </cell>
          <cell r="B994" t="str">
            <v>QYWLNANKU-13k15</v>
          </cell>
        </row>
        <row r="995">
          <cell r="A995" t="str">
            <v>QYWLNANKU-13k15COFFEE-40</v>
          </cell>
          <cell r="B995" t="str">
            <v>QYWLNANKU-13k15</v>
          </cell>
        </row>
        <row r="996">
          <cell r="A996" t="str">
            <v>QYWLNANKU-13k15JLS-29</v>
          </cell>
          <cell r="B996" t="str">
            <v>QYWLNANKU-13k15</v>
          </cell>
        </row>
        <row r="997">
          <cell r="A997" t="str">
            <v>QYWLNANKU-13k15JLS-30</v>
          </cell>
          <cell r="B997" t="str">
            <v>QYWLNANKU-13k15</v>
          </cell>
        </row>
        <row r="998">
          <cell r="A998" t="str">
            <v>QYWLNANKU-13k15JLS-32</v>
          </cell>
          <cell r="B998" t="str">
            <v>QYWLNANKU-13k15</v>
          </cell>
        </row>
        <row r="999">
          <cell r="A999" t="str">
            <v>QYWLNANKU-13k15JLS-34</v>
          </cell>
          <cell r="B999" t="str">
            <v>QYWLNANKU-13k15</v>
          </cell>
        </row>
        <row r="1000">
          <cell r="A1000" t="str">
            <v>QYWLNANKU-13k15JLS-36</v>
          </cell>
          <cell r="B1000" t="str">
            <v>QYWLNANKU-13k15</v>
          </cell>
        </row>
        <row r="1001">
          <cell r="A1001" t="str">
            <v>QYWLNANKU-13k15JLS-38</v>
          </cell>
          <cell r="B1001" t="str">
            <v>QYWLNANKU-13k15</v>
          </cell>
        </row>
        <row r="1002">
          <cell r="A1002" t="str">
            <v>QYWLNANKU-13k15JLS-40</v>
          </cell>
          <cell r="B1002" t="str">
            <v>QYWLNANKU-13k15</v>
          </cell>
        </row>
        <row r="1003">
          <cell r="A1003" t="str">
            <v>QYWLNANKU-13k15MBS-29</v>
          </cell>
          <cell r="B1003" t="str">
            <v>QYWLNANKU-13k15</v>
          </cell>
        </row>
        <row r="1004">
          <cell r="A1004" t="str">
            <v>QYWLNANKU-13k15MBS-30</v>
          </cell>
          <cell r="B1004" t="str">
            <v>QYWLNANKU-13k15</v>
          </cell>
        </row>
        <row r="1005">
          <cell r="A1005" t="str">
            <v>QYWLNANKU-13k15MBS-32</v>
          </cell>
          <cell r="B1005" t="str">
            <v>QYWLNANKU-13k15</v>
          </cell>
        </row>
        <row r="1006">
          <cell r="A1006" t="str">
            <v>QYWLNANKU-13k15MBS-34</v>
          </cell>
          <cell r="B1006" t="str">
            <v>QYWLNANKU-13k15</v>
          </cell>
        </row>
        <row r="1007">
          <cell r="A1007" t="str">
            <v>QYWLNANKU-13k15MBS-36</v>
          </cell>
          <cell r="B1007" t="str">
            <v>QYWLNANKU-13k15</v>
          </cell>
        </row>
        <row r="1008">
          <cell r="A1008" t="str">
            <v>QYWLNANKU-13k15MBS-38</v>
          </cell>
          <cell r="B1008" t="str">
            <v>QYWLNANKU-13k15</v>
          </cell>
        </row>
        <row r="1009">
          <cell r="A1009" t="str">
            <v>QYWLNANKU-13k15MBS-40</v>
          </cell>
          <cell r="B1009" t="str">
            <v>QYWLNANKU-13k15</v>
          </cell>
        </row>
        <row r="1010">
          <cell r="A1010" t="str">
            <v>QYWLNANKU-13k15QL-29</v>
          </cell>
          <cell r="B1010" t="str">
            <v>QYWLNANKU-13k15</v>
          </cell>
        </row>
        <row r="1011">
          <cell r="A1011" t="str">
            <v>QYWLNANKU-13k15QL-30</v>
          </cell>
          <cell r="B1011" t="str">
            <v>QYWLNANKU-13k15</v>
          </cell>
        </row>
        <row r="1012">
          <cell r="A1012" t="str">
            <v>QYWLNANKU-13k15QL-32</v>
          </cell>
          <cell r="B1012" t="str">
            <v>QYWLNANKU-13k15</v>
          </cell>
        </row>
        <row r="1013">
          <cell r="A1013" t="str">
            <v>QYWLNANKU-13k15QL-34</v>
          </cell>
          <cell r="B1013" t="str">
            <v>QYWLNANKU-13k15</v>
          </cell>
        </row>
        <row r="1014">
          <cell r="A1014" t="str">
            <v>QYWLNANKU-13k15QL-36</v>
          </cell>
          <cell r="B1014" t="str">
            <v>QYWLNANKU-13k15</v>
          </cell>
        </row>
        <row r="1015">
          <cell r="A1015" t="str">
            <v>QYWLNANKU-13k15QL-38</v>
          </cell>
          <cell r="B1015" t="str">
            <v>QYWLNANKU-13k15</v>
          </cell>
        </row>
        <row r="1016">
          <cell r="A1016" t="str">
            <v>QYWLNANKU-13k15QL-40</v>
          </cell>
          <cell r="B1016" t="str">
            <v>QYWLNANKU-13k15</v>
          </cell>
        </row>
        <row r="1017">
          <cell r="A1017" t="str">
            <v>R6-P04F-QRWI</v>
          </cell>
          <cell r="B1017" t="str">
            <v>R6-P04F-QRWI</v>
          </cell>
        </row>
        <row r="1018">
          <cell r="A1018" t="str">
            <v>RAINBOWA-L</v>
          </cell>
          <cell r="B1018" t="str">
            <v>RAINBOWA</v>
          </cell>
        </row>
        <row r="1019">
          <cell r="A1019" t="str">
            <v>RAINBOWA-M</v>
          </cell>
          <cell r="B1019" t="str">
            <v>RAINBOWA</v>
          </cell>
        </row>
        <row r="1020">
          <cell r="A1020" t="str">
            <v>RAINBOWA-S</v>
          </cell>
          <cell r="B1020" t="str">
            <v>RAINBOWA</v>
          </cell>
        </row>
        <row r="1021">
          <cell r="A1021" t="str">
            <v>RAINBOWA-XL</v>
          </cell>
          <cell r="B1021" t="str">
            <v>RAINBOWA</v>
          </cell>
        </row>
        <row r="1022">
          <cell r="A1022" t="str">
            <v>RAINBOWDP-L</v>
          </cell>
          <cell r="B1022" t="str">
            <v>RAINBOWDP</v>
          </cell>
        </row>
        <row r="1023">
          <cell r="A1023" t="str">
            <v>RAINBOWDP-M</v>
          </cell>
          <cell r="B1023" t="str">
            <v>RAINBOWDP</v>
          </cell>
        </row>
        <row r="1024">
          <cell r="A1024" t="str">
            <v>RAINBOWDP-S</v>
          </cell>
          <cell r="B1024" t="str">
            <v>RAINBOWDP</v>
          </cell>
        </row>
        <row r="1025">
          <cell r="A1025" t="str">
            <v>RAINBOWDP-XL</v>
          </cell>
          <cell r="B1025" t="str">
            <v>RAINBOWDP</v>
          </cell>
        </row>
        <row r="1026">
          <cell r="A1026" t="str">
            <v>RSDXT777KQS</v>
          </cell>
          <cell r="B1026" t="str">
            <v>RSDXT77</v>
          </cell>
        </row>
        <row r="1027">
          <cell r="A1027" t="str">
            <v>RSDXTXKXX12*10CM</v>
          </cell>
          <cell r="B1027" t="str">
            <v>RSDXTXK</v>
          </cell>
        </row>
        <row r="1028">
          <cell r="A1028" t="str">
            <v>RSDXTXKXX20*11CM</v>
          </cell>
          <cell r="B1028" t="str">
            <v>RSDXTXK</v>
          </cell>
        </row>
        <row r="1029">
          <cell r="A1029" t="str">
            <v>RSDXTXKXX20*11CM-1</v>
          </cell>
          <cell r="B1029" t="str">
            <v>RSDXTXKXX</v>
          </cell>
        </row>
        <row r="1030">
          <cell r="A1030" t="str">
            <v>RSDXTXKXX20*11CM-2</v>
          </cell>
          <cell r="B1030" t="str">
            <v>RSDXTXKXX</v>
          </cell>
        </row>
        <row r="1031">
          <cell r="A1031" t="str">
            <v>RSDXTXKXZ12*10CM</v>
          </cell>
          <cell r="B1031" t="str">
            <v>RSDXTXK</v>
          </cell>
        </row>
        <row r="1032">
          <cell r="A1032" t="str">
            <v>RSDXTXKZS12*10CM</v>
          </cell>
          <cell r="B1032" t="str">
            <v>RSDXTXK</v>
          </cell>
        </row>
        <row r="1033">
          <cell r="A1033" t="str">
            <v>RSDZSJH27*16CM</v>
          </cell>
          <cell r="B1033" t="str">
            <v>RSDZSJH</v>
          </cell>
        </row>
        <row r="1034">
          <cell r="A1034" t="str">
            <v>RV-540G-G6I9</v>
          </cell>
          <cell r="B1034" t="str">
            <v>RV-540G-G6I9</v>
          </cell>
        </row>
        <row r="1035">
          <cell r="A1035" t="str">
            <v>SB-100-G0</v>
          </cell>
          <cell r="B1035" t="str">
            <v>SB-100</v>
          </cell>
        </row>
        <row r="1036">
          <cell r="A1036" t="str">
            <v>SB-100-K0</v>
          </cell>
          <cell r="B1036" t="str">
            <v>SB-100</v>
          </cell>
        </row>
        <row r="1037">
          <cell r="A1037" t="str">
            <v>SB-100-R0</v>
          </cell>
          <cell r="B1037" t="str">
            <v>SB-100</v>
          </cell>
        </row>
        <row r="1038">
          <cell r="A1038" t="str">
            <v>SB-101-B0</v>
          </cell>
          <cell r="B1038" t="str">
            <v>SB-101</v>
          </cell>
        </row>
        <row r="1039">
          <cell r="A1039" t="str">
            <v>SEXIBKQS-2XL</v>
          </cell>
          <cell r="B1039" t="str">
            <v>SEXIBKQS</v>
          </cell>
        </row>
        <row r="1040">
          <cell r="A1040" t="str">
            <v>SEXIBKQS-L</v>
          </cell>
          <cell r="B1040" t="str">
            <v>SEXIBKQS</v>
          </cell>
        </row>
        <row r="1041">
          <cell r="A1041" t="str">
            <v>SEXIBKQS-XL</v>
          </cell>
          <cell r="B1041" t="str">
            <v>SEXIBKQS</v>
          </cell>
        </row>
        <row r="1042">
          <cell r="A1042" t="str">
            <v>SEXIFHIS-XL</v>
          </cell>
          <cell r="B1042" t="str">
            <v>SEXIBKQS</v>
          </cell>
        </row>
        <row r="1043">
          <cell r="A1043" t="str">
            <v>SEXIGKQS-XL</v>
          </cell>
          <cell r="B1043" t="str">
            <v>SEXIBKQS</v>
          </cell>
        </row>
        <row r="1044">
          <cell r="A1044" t="str">
            <v>SG-050-K0</v>
          </cell>
          <cell r="B1044" t="str">
            <v>SG-050</v>
          </cell>
        </row>
        <row r="1045">
          <cell r="A1045" t="str">
            <v>SG-100-K0</v>
          </cell>
          <cell r="B1045" t="str">
            <v>SG-100</v>
          </cell>
        </row>
        <row r="1046">
          <cell r="A1046" t="str">
            <v>SGZ-LULHY-001</v>
          </cell>
          <cell r="B1046" t="str">
            <v>SGZ-LULHY</v>
          </cell>
        </row>
        <row r="1047">
          <cell r="A1047" t="str">
            <v>SHIKUANSOMRG-light grey-M</v>
          </cell>
          <cell r="B1047" t="str">
            <v>SHIKUANSOMRG</v>
          </cell>
        </row>
        <row r="1048">
          <cell r="A1048" t="str">
            <v>SJJJZHUOBUKTWB0100x140cm</v>
          </cell>
          <cell r="B1048" t="str">
            <v>SJJJZHUOBUKTWB0</v>
          </cell>
        </row>
        <row r="1049">
          <cell r="A1049" t="str">
            <v>SJJJZHUOBUKTWB0140x140cm</v>
          </cell>
          <cell r="B1049" t="str">
            <v>SJJJZHUOBUKTWB0</v>
          </cell>
        </row>
        <row r="1050">
          <cell r="A1050" t="str">
            <v>SJJJZHUOBUKTWB0140x160cm</v>
          </cell>
          <cell r="B1050" t="str">
            <v>SJJJZHUOBUKTWB0</v>
          </cell>
        </row>
        <row r="1051">
          <cell r="A1051" t="str">
            <v>SJJJZHUOBUKTWB0140x180cm</v>
          </cell>
          <cell r="B1051" t="str">
            <v>SJJJZHUOBUKTWB0</v>
          </cell>
        </row>
        <row r="1052">
          <cell r="A1052" t="str">
            <v>SJJJZHUOBUKTWB0140x200cm</v>
          </cell>
          <cell r="B1052" t="str">
            <v>SJJJZHUOBUKTWB0</v>
          </cell>
        </row>
        <row r="1053">
          <cell r="A1053" t="str">
            <v>SJJJZHUOBUKTWB0140x220cm</v>
          </cell>
          <cell r="B1053" t="str">
            <v>SJJJZHUOBUKTWB0</v>
          </cell>
        </row>
        <row r="1054">
          <cell r="A1054" t="str">
            <v>SJJJZHUOBUKTWB090x90cm</v>
          </cell>
          <cell r="B1054" t="str">
            <v>SJJJZHUOBUKTWB0</v>
          </cell>
        </row>
        <row r="1055">
          <cell r="A1055" t="str">
            <v>SJJJZHUOBUXTWB0100x140cm</v>
          </cell>
          <cell r="B1055" t="str">
            <v>SJJJZHUOBUKTWB0</v>
          </cell>
        </row>
        <row r="1056">
          <cell r="A1056" t="str">
            <v>SJJJZHUOBUXTWB0140x140cm</v>
          </cell>
          <cell r="B1056" t="str">
            <v>SJJJZHUOBUKTWB0</v>
          </cell>
        </row>
        <row r="1057">
          <cell r="A1057" t="str">
            <v>SJJJZHUOBUXTWB0140x160cm</v>
          </cell>
          <cell r="B1057" t="str">
            <v>SJJJZHUOBUKTWB0</v>
          </cell>
        </row>
        <row r="1058">
          <cell r="A1058" t="str">
            <v>SJJJZHUOBUXTWB0140x180cm</v>
          </cell>
          <cell r="B1058" t="str">
            <v>SJJJZHUOBUKTWB0</v>
          </cell>
        </row>
        <row r="1059">
          <cell r="A1059" t="str">
            <v>SJJJZHUOBUXTWB0140x200cm</v>
          </cell>
          <cell r="B1059" t="str">
            <v>SJJJZHUOBUKTWB0</v>
          </cell>
        </row>
        <row r="1060">
          <cell r="A1060" t="str">
            <v>SJJJZHUOBUXTWB0140x220cm</v>
          </cell>
          <cell r="B1060" t="str">
            <v>SJJJZHUOBUKTWB0</v>
          </cell>
        </row>
        <row r="1061">
          <cell r="A1061" t="str">
            <v>SJJJZHUOBUXTWB090x90cm</v>
          </cell>
          <cell r="B1061" t="str">
            <v>SJJJZHUOBUKTWB0</v>
          </cell>
        </row>
        <row r="1062">
          <cell r="A1062" t="str">
            <v>SLCYX-SSKB0147*147CM</v>
          </cell>
          <cell r="B1062" t="str">
            <v>SJJJZHUOBUKTWB0</v>
          </cell>
        </row>
        <row r="1063">
          <cell r="A1063" t="str">
            <v>SND-IUYL00B-W0</v>
          </cell>
          <cell r="B1063" t="str">
            <v>SND-IUYL</v>
          </cell>
        </row>
        <row r="1064">
          <cell r="A1064" t="str">
            <v>SND-IUYL111-BE</v>
          </cell>
          <cell r="B1064" t="str">
            <v>SND-IUYL</v>
          </cell>
        </row>
        <row r="1065">
          <cell r="A1065" t="str">
            <v>SND-IUYL222-BE</v>
          </cell>
          <cell r="B1065" t="str">
            <v>SND-IUYL</v>
          </cell>
        </row>
        <row r="1066">
          <cell r="A1066" t="str">
            <v>SND-IUYLZAK-BE</v>
          </cell>
          <cell r="B1066" t="str">
            <v>SND-IUYL</v>
          </cell>
        </row>
        <row r="1067">
          <cell r="A1067" t="str">
            <v>SNOWKY-09BOS-L</v>
          </cell>
          <cell r="B1067" t="str">
            <v>SNOWKY-09</v>
          </cell>
        </row>
        <row r="1068">
          <cell r="A1068" t="str">
            <v>SNOWKY-09FS-XL</v>
          </cell>
          <cell r="B1068" t="str">
            <v>SNOWKY-09</v>
          </cell>
        </row>
        <row r="1069">
          <cell r="A1069" t="str">
            <v>SNTG-CLBOS-L</v>
          </cell>
          <cell r="B1069" t="str">
            <v>SNTG-CL</v>
          </cell>
        </row>
        <row r="1070">
          <cell r="A1070" t="str">
            <v>SNTG-CLBOS-M</v>
          </cell>
          <cell r="B1070" t="str">
            <v>SNTG-CL</v>
          </cell>
        </row>
        <row r="1071">
          <cell r="A1071" t="str">
            <v>SNTG-CLBOS-S</v>
          </cell>
          <cell r="B1071" t="str">
            <v>SNTG-CL</v>
          </cell>
        </row>
        <row r="1072">
          <cell r="A1072" t="str">
            <v>SNTG-CLBOS-XL</v>
          </cell>
          <cell r="B1072" t="str">
            <v>SNTG-CL</v>
          </cell>
        </row>
        <row r="1073">
          <cell r="A1073" t="str">
            <v>SNTG-CLBOS-XS</v>
          </cell>
          <cell r="B1073" t="str">
            <v>SNTG-CL</v>
          </cell>
        </row>
        <row r="1074">
          <cell r="A1074" t="str">
            <v>SNTG-CLROS-L</v>
          </cell>
          <cell r="B1074" t="str">
            <v>SNTG-CL</v>
          </cell>
        </row>
        <row r="1075">
          <cell r="A1075" t="str">
            <v>SNTG-CLROS-M</v>
          </cell>
          <cell r="B1075" t="str">
            <v>SNTG-CL</v>
          </cell>
        </row>
        <row r="1076">
          <cell r="A1076" t="str">
            <v>SNTG-CLROS-S</v>
          </cell>
          <cell r="B1076" t="str">
            <v>SNTG-CL</v>
          </cell>
        </row>
        <row r="1077">
          <cell r="A1077" t="str">
            <v>SNTG-CLROS-XL</v>
          </cell>
          <cell r="B1077" t="str">
            <v>SNTG-CL</v>
          </cell>
        </row>
        <row r="1078">
          <cell r="A1078" t="str">
            <v>SNTG-CLROS-XS</v>
          </cell>
          <cell r="B1078" t="str">
            <v>SNTG-CL</v>
          </cell>
        </row>
        <row r="1079">
          <cell r="A1079" t="str">
            <v>SQ-XLEJ-496F</v>
          </cell>
          <cell r="B1079" t="str">
            <v>SQ-XLEJ-496</v>
          </cell>
        </row>
        <row r="1080">
          <cell r="A1080" t="str">
            <v>SSJGREYJHSJH140*180CM</v>
          </cell>
          <cell r="B1080" t="str">
            <v>SSJGREYJHSJH</v>
          </cell>
        </row>
        <row r="1081">
          <cell r="A1081" t="str">
            <v>SSJGREYJHSJH140*200CM</v>
          </cell>
          <cell r="B1081" t="str">
            <v>SSJGREYJHSJH</v>
          </cell>
        </row>
        <row r="1082">
          <cell r="A1082" t="str">
            <v>SSJGREYJHSJH140*220CM</v>
          </cell>
          <cell r="B1082" t="str">
            <v>SSJGREYJHSJH</v>
          </cell>
        </row>
        <row r="1083">
          <cell r="A1083" t="str">
            <v>SSJGREYSJHSJH100*140CM</v>
          </cell>
          <cell r="B1083" t="str">
            <v>SSJGREYSJHSJH</v>
          </cell>
        </row>
        <row r="1084">
          <cell r="A1084" t="str">
            <v>SSJGREYSJHSJH140*140CM</v>
          </cell>
          <cell r="B1084" t="str">
            <v>SSJGREYSJHSJH</v>
          </cell>
        </row>
        <row r="1085">
          <cell r="A1085" t="str">
            <v>STD-IULCY-001-BLNGR</v>
          </cell>
          <cell r="B1085" t="str">
            <v>STD-IULCY</v>
          </cell>
        </row>
        <row r="1086">
          <cell r="A1086" t="str">
            <v>STD-IULCY-001-LBNBL</v>
          </cell>
          <cell r="B1086" t="str">
            <v>STD-IULCY</v>
          </cell>
        </row>
        <row r="1087">
          <cell r="A1087" t="str">
            <v>STD-IULCY-001-LBNGR</v>
          </cell>
          <cell r="B1087" t="str">
            <v>STD-IULCY</v>
          </cell>
        </row>
        <row r="1088">
          <cell r="A1088" t="str">
            <v>STD-IULCY-001-LGNGN</v>
          </cell>
          <cell r="B1088" t="str">
            <v>STD-IULCY</v>
          </cell>
        </row>
        <row r="1089">
          <cell r="A1089" t="str">
            <v>SWEATPETJS10</v>
          </cell>
          <cell r="B1089" t="str">
            <v>SWEATPET</v>
          </cell>
        </row>
        <row r="1090">
          <cell r="A1090" t="str">
            <v>SWEATPETJS12</v>
          </cell>
          <cell r="B1090" t="str">
            <v>SWEATPET</v>
          </cell>
        </row>
        <row r="1091">
          <cell r="A1091" t="str">
            <v>SWEATPETJS14</v>
          </cell>
          <cell r="B1091" t="str">
            <v>SWEATPET</v>
          </cell>
        </row>
        <row r="1092">
          <cell r="A1092" t="str">
            <v>SWEATPETJS16</v>
          </cell>
          <cell r="B1092" t="str">
            <v>SWEATPET</v>
          </cell>
        </row>
        <row r="1093">
          <cell r="A1093" t="str">
            <v>SWEATPETJS20</v>
          </cell>
          <cell r="B1093" t="str">
            <v>SWEATPET</v>
          </cell>
        </row>
        <row r="1094">
          <cell r="A1094" t="str">
            <v>SWEATPETJS24</v>
          </cell>
          <cell r="B1094" t="str">
            <v>SWEATPET</v>
          </cell>
        </row>
        <row r="1095">
          <cell r="A1095" t="str">
            <v>SWEATPETJS28</v>
          </cell>
          <cell r="B1095" t="str">
            <v>SWEATPET</v>
          </cell>
        </row>
        <row r="1096">
          <cell r="A1096" t="str">
            <v>SWEATPETJS8</v>
          </cell>
          <cell r="B1096" t="str">
            <v>SWEATPET</v>
          </cell>
        </row>
        <row r="1097">
          <cell r="A1097" t="str">
            <v>SWEATPETLAN10</v>
          </cell>
          <cell r="B1097" t="str">
            <v>SWEATPET</v>
          </cell>
        </row>
        <row r="1098">
          <cell r="A1098" t="str">
            <v>SWEATPETLAN12</v>
          </cell>
          <cell r="B1098" t="str">
            <v>SWEATPET</v>
          </cell>
        </row>
        <row r="1099">
          <cell r="A1099" t="str">
            <v>SWEATPETLAN14</v>
          </cell>
          <cell r="B1099" t="str">
            <v>SWEATPET</v>
          </cell>
        </row>
        <row r="1100">
          <cell r="A1100" t="str">
            <v>SWEATPETLAN16</v>
          </cell>
          <cell r="B1100" t="str">
            <v>SWEATPET</v>
          </cell>
        </row>
        <row r="1101">
          <cell r="A1101" t="str">
            <v>SWEATPETLAN20</v>
          </cell>
          <cell r="B1101" t="str">
            <v>SWEATPET</v>
          </cell>
        </row>
        <row r="1102">
          <cell r="A1102" t="str">
            <v>SWEATPETLAN24</v>
          </cell>
          <cell r="B1102" t="str">
            <v>SWEATPET</v>
          </cell>
        </row>
        <row r="1103">
          <cell r="A1103" t="str">
            <v>SWEATPETLAN28</v>
          </cell>
          <cell r="B1103" t="str">
            <v>SWEATPET</v>
          </cell>
        </row>
        <row r="1104">
          <cell r="A1104" t="str">
            <v>SWEATPETLAN8</v>
          </cell>
          <cell r="B1104" t="str">
            <v>SWEATPET</v>
          </cell>
        </row>
        <row r="1105">
          <cell r="A1105" t="str">
            <v>SWEATPETRO10</v>
          </cell>
          <cell r="B1105" t="str">
            <v>SWEATPET</v>
          </cell>
        </row>
        <row r="1106">
          <cell r="A1106" t="str">
            <v>SWEATPETRO12</v>
          </cell>
          <cell r="B1106" t="str">
            <v>SWEATPET</v>
          </cell>
        </row>
        <row r="1107">
          <cell r="A1107" t="str">
            <v>SWEATPETRO14</v>
          </cell>
          <cell r="B1107" t="str">
            <v>SWEATPET</v>
          </cell>
        </row>
        <row r="1108">
          <cell r="A1108" t="str">
            <v>SWEATPETRO16</v>
          </cell>
          <cell r="B1108" t="str">
            <v>SWEATPET</v>
          </cell>
        </row>
        <row r="1109">
          <cell r="A1109" t="str">
            <v>SWEATPETRO20</v>
          </cell>
          <cell r="B1109" t="str">
            <v>SWEATPET</v>
          </cell>
        </row>
        <row r="1110">
          <cell r="A1110" t="str">
            <v>SWEATPETRO24</v>
          </cell>
          <cell r="B1110" t="str">
            <v>SWEATPET</v>
          </cell>
        </row>
        <row r="1111">
          <cell r="A1111" t="str">
            <v>SWEATPETRO28</v>
          </cell>
          <cell r="B1111" t="str">
            <v>SWEATPET</v>
          </cell>
        </row>
        <row r="1112">
          <cell r="A1112" t="str">
            <v>SWEATPETRO8</v>
          </cell>
          <cell r="B1112" t="str">
            <v>SWEATPET</v>
          </cell>
        </row>
        <row r="1113">
          <cell r="A1113" t="str">
            <v>SXHLYITAO1-LH-001BO40x60CM</v>
          </cell>
          <cell r="B1113" t="str">
            <v>SXHLYITAO1-LH-001</v>
          </cell>
        </row>
        <row r="1114">
          <cell r="A1114" t="str">
            <v>SXHLYITAO1-LH-001GO40x60CM</v>
          </cell>
          <cell r="B1114" t="str">
            <v>SXHLYITAO1-LH-001</v>
          </cell>
        </row>
        <row r="1115">
          <cell r="A1115" t="str">
            <v>SXHLYITAO1-LH-001MHS40x60CM</v>
          </cell>
          <cell r="B1115" t="str">
            <v>SXHLYITAO1-LH-001</v>
          </cell>
        </row>
        <row r="1116">
          <cell r="A1116" t="str">
            <v>SXHLYITAO1-LH-001WI40x60CM</v>
          </cell>
          <cell r="B1116" t="str">
            <v>SXHLYITAO1-LH-001</v>
          </cell>
        </row>
        <row r="1117">
          <cell r="A1117" t="str">
            <v>SXHLYITAO2-LH-001SKFS40x60CM</v>
          </cell>
          <cell r="B1117" t="str">
            <v>SXHLYITAO1-LH-001</v>
          </cell>
        </row>
        <row r="1118">
          <cell r="A1118" t="str">
            <v>SXHLYITAO2-LH-001SKFS40x60CM-1</v>
          </cell>
          <cell r="B1118" t="str">
            <v>SXHLYITAO2-LH-001</v>
          </cell>
        </row>
        <row r="1119">
          <cell r="A1119" t="str">
            <v>SXHLYITAO2-LH-001SKFS40x60CM-2</v>
          </cell>
          <cell r="B1119" t="str">
            <v>SXHLYITAO2-LH-001</v>
          </cell>
        </row>
        <row r="1120">
          <cell r="A1120" t="str">
            <v>SXHLYITAO3-LH-001QLS40x60CM</v>
          </cell>
          <cell r="B1120" t="str">
            <v>SXHLYITAO1-LH-001</v>
          </cell>
        </row>
        <row r="1121">
          <cell r="A1121" t="str">
            <v>SXHLYITAO4-LH-001DHS40x60CM</v>
          </cell>
          <cell r="B1121" t="str">
            <v>SXHLYITAO1-LH-001</v>
          </cell>
        </row>
        <row r="1122">
          <cell r="A1122" t="str">
            <v>SXHLYITAO4-LH-001SZS40x60CM</v>
          </cell>
          <cell r="B1122" t="str">
            <v>SXHLYITAO1-LH-001</v>
          </cell>
        </row>
        <row r="1123">
          <cell r="A1123" t="str">
            <v>SXHLYITAO5-LH-001QKS40x60CM</v>
          </cell>
          <cell r="B1123" t="str">
            <v>SXHLYITAO1-LH-001</v>
          </cell>
        </row>
        <row r="1124">
          <cell r="A1124" t="str">
            <v>SXHLYITAO5-LH-001YHS40x60CM</v>
          </cell>
          <cell r="B1124" t="str">
            <v>SXHLYITAO1-LH-001</v>
          </cell>
        </row>
        <row r="1125">
          <cell r="A1125" t="str">
            <v>SZ-IUYL002</v>
          </cell>
          <cell r="B1125" t="str">
            <v>SZ-IUYL002</v>
          </cell>
        </row>
        <row r="1126">
          <cell r="A1126" t="str">
            <v>SZXSCHUANGLQQB0100x200CM</v>
          </cell>
          <cell r="B1126" t="str">
            <v>SZXSCHUANGLQQB0100x200CM</v>
          </cell>
        </row>
        <row r="1127">
          <cell r="A1127" t="str">
            <v>TBYGREEN</v>
          </cell>
          <cell r="B1127" t="str">
            <v>TBYPRBMRG</v>
          </cell>
        </row>
        <row r="1128">
          <cell r="A1128" t="str">
            <v>TBYPJBLACK</v>
          </cell>
          <cell r="B1128" t="str">
            <v>TBYPRBMRG</v>
          </cell>
        </row>
        <row r="1129">
          <cell r="A1129" t="str">
            <v>TBYPJBOGO</v>
          </cell>
          <cell r="B1129" t="str">
            <v>TBYPRBMRG</v>
          </cell>
        </row>
        <row r="1130">
          <cell r="A1130" t="str">
            <v>TBYPRBFOUR-M</v>
          </cell>
          <cell r="B1130" t="str">
            <v>TBYPRBMRG</v>
          </cell>
        </row>
        <row r="1131">
          <cell r="A1131" t="str">
            <v>TBYPRBONE-M</v>
          </cell>
          <cell r="B1131" t="str">
            <v>TBYPRBMRG</v>
          </cell>
        </row>
        <row r="1132">
          <cell r="A1132" t="str">
            <v>TBYPRB-PJ</v>
          </cell>
          <cell r="B1132" t="str">
            <v>TBYPRB</v>
          </cell>
        </row>
        <row r="1133">
          <cell r="A1133" t="str">
            <v>TBYPRB-RED</v>
          </cell>
          <cell r="B1133" t="str">
            <v>TBYPRB</v>
          </cell>
        </row>
        <row r="1134">
          <cell r="A1134" t="str">
            <v>TBYPRBTHREE-M</v>
          </cell>
          <cell r="B1134" t="str">
            <v>TBYPRBMRG</v>
          </cell>
        </row>
        <row r="1135">
          <cell r="A1135" t="str">
            <v>TBYPRBTWO-M</v>
          </cell>
          <cell r="B1135" t="str">
            <v>TBYPRBMRG</v>
          </cell>
        </row>
        <row r="1136">
          <cell r="A1136" t="str">
            <v>TBYSTARBLUE</v>
          </cell>
          <cell r="B1136" t="str">
            <v>TBYPRBMRG</v>
          </cell>
        </row>
        <row r="1137">
          <cell r="A1137" t="str">
            <v>TBYSTARRED</v>
          </cell>
          <cell r="B1137" t="str">
            <v>TBYPRBMRG</v>
          </cell>
        </row>
        <row r="1138">
          <cell r="A1138" t="str">
            <v>TBYWHITE</v>
          </cell>
          <cell r="B1138" t="str">
            <v>TBYPRBMRG</v>
          </cell>
        </row>
        <row r="1139">
          <cell r="A1139" t="str">
            <v>TBYY0POINT</v>
          </cell>
          <cell r="B1139" t="str">
            <v>TBYPRBMRG</v>
          </cell>
        </row>
        <row r="1140">
          <cell r="A1140" t="str">
            <v>TBYY0ROINT</v>
          </cell>
          <cell r="B1140" t="str">
            <v>TBYPRBMRG</v>
          </cell>
        </row>
        <row r="1141">
          <cell r="A1141" t="str">
            <v>TM-IULCY-300-AG</v>
          </cell>
          <cell r="B1141" t="str">
            <v>TM-IULCY-300</v>
          </cell>
        </row>
        <row r="1142">
          <cell r="A1142" t="str">
            <v>TM-IULCY-300-LB</v>
          </cell>
          <cell r="B1142" t="str">
            <v>TM-IULCY-300</v>
          </cell>
        </row>
        <row r="1143">
          <cell r="A1143" t="str">
            <v>TM-IULCY-300-LG</v>
          </cell>
          <cell r="B1143" t="str">
            <v>TM-IULCY-300</v>
          </cell>
        </row>
        <row r="1144">
          <cell r="A1144" t="str">
            <v>TTDNKJ-01SLM</v>
          </cell>
          <cell r="B1144" t="str">
            <v>TTDNKJ</v>
          </cell>
        </row>
        <row r="1145">
          <cell r="A1145" t="str">
            <v>TTDNKJ-02W0M</v>
          </cell>
          <cell r="B1145" t="str">
            <v>TTDNKJ</v>
          </cell>
        </row>
        <row r="1146">
          <cell r="A1146" t="str">
            <v>TTDNKJ-03R2M</v>
          </cell>
          <cell r="B1146" t="str">
            <v>TTDNKJ</v>
          </cell>
        </row>
        <row r="1147">
          <cell r="A1147" t="str">
            <v>TTDNKJ-04P0M</v>
          </cell>
          <cell r="B1147" t="str">
            <v>TTDNKJ</v>
          </cell>
        </row>
        <row r="1148">
          <cell r="A1148" t="str">
            <v>TTDNKJ-07SLL</v>
          </cell>
          <cell r="B1148" t="str">
            <v>TTDNKJ</v>
          </cell>
        </row>
        <row r="1149">
          <cell r="A1149" t="str">
            <v>TTDNKJ-08W0L</v>
          </cell>
          <cell r="B1149" t="str">
            <v>TTDNKJ</v>
          </cell>
        </row>
        <row r="1150">
          <cell r="A1150" t="str">
            <v>TTDNKJ-09R2L</v>
          </cell>
          <cell r="B1150" t="str">
            <v>TTDNKJ</v>
          </cell>
        </row>
        <row r="1151">
          <cell r="A1151" t="str">
            <v>TTDNKJ-10P0L</v>
          </cell>
          <cell r="B1151" t="str">
            <v>TTDNKJ</v>
          </cell>
        </row>
        <row r="1152">
          <cell r="A1152" t="str">
            <v>TTDNKJ-13SLXL</v>
          </cell>
          <cell r="B1152" t="str">
            <v>TTDNKJ</v>
          </cell>
        </row>
        <row r="1153">
          <cell r="A1153" t="str">
            <v>TTDNKJ-14W0XL</v>
          </cell>
          <cell r="B1153" t="str">
            <v>TTDNKJ</v>
          </cell>
        </row>
        <row r="1154">
          <cell r="A1154" t="str">
            <v>TTDNKJ-15R2XL</v>
          </cell>
          <cell r="B1154" t="str">
            <v>TTDNKJ</v>
          </cell>
        </row>
        <row r="1155">
          <cell r="A1155" t="str">
            <v>TTDNKJ-16P0XL</v>
          </cell>
          <cell r="B1155" t="str">
            <v>TTDNKJ</v>
          </cell>
        </row>
        <row r="1156">
          <cell r="A1156" t="str">
            <v>TXYY02-1MHXL</v>
          </cell>
          <cell r="B1156" t="str">
            <v>TXYY02-1</v>
          </cell>
        </row>
        <row r="1157">
          <cell r="A1157" t="str">
            <v>TXYY-1B0JM</v>
          </cell>
          <cell r="B1157" t="str">
            <v>TXYY-1</v>
          </cell>
        </row>
        <row r="1158">
          <cell r="A1158" t="str">
            <v>TXYY-1R0JM</v>
          </cell>
          <cell r="B1158" t="str">
            <v>TXYY-1</v>
          </cell>
        </row>
        <row r="1159">
          <cell r="A1159" t="str">
            <v>TXYYG0JM</v>
          </cell>
          <cell r="B1159" t="str">
            <v>TXYYG0</v>
          </cell>
        </row>
        <row r="1160">
          <cell r="A1160" t="str">
            <v>TXYYK0JM</v>
          </cell>
          <cell r="B1160" t="str">
            <v>TXYYK0</v>
          </cell>
        </row>
        <row r="1161">
          <cell r="A1161" t="str">
            <v>TXYYP0JM</v>
          </cell>
          <cell r="B1161" t="str">
            <v>TXYYP0</v>
          </cell>
        </row>
        <row r="1162">
          <cell r="A1162" t="str">
            <v>TXYYW0JM</v>
          </cell>
          <cell r="B1162" t="str">
            <v>TXYYW0</v>
          </cell>
        </row>
        <row r="1163">
          <cell r="A1163" t="str">
            <v>TXYYY0JM</v>
          </cell>
          <cell r="B1163" t="str">
            <v>TXYYY0</v>
          </cell>
        </row>
        <row r="1164">
          <cell r="A1164" t="str">
            <v>TXZBBOS110*160CM</v>
          </cell>
          <cell r="B1164" t="str">
            <v>TXZBBOS</v>
          </cell>
        </row>
        <row r="1165">
          <cell r="A1165" t="str">
            <v>TXZBBOS130*130CM</v>
          </cell>
          <cell r="B1165" t="str">
            <v>TXZBBOS</v>
          </cell>
        </row>
        <row r="1166">
          <cell r="A1166" t="str">
            <v>TXZBBOS130*180CM</v>
          </cell>
          <cell r="B1166" t="str">
            <v>TXZBBOS</v>
          </cell>
        </row>
        <row r="1167">
          <cell r="A1167" t="str">
            <v>TXZBBOS80*80CM</v>
          </cell>
          <cell r="B1167" t="str">
            <v>TXZBBOS</v>
          </cell>
        </row>
        <row r="1168">
          <cell r="A1168" t="str">
            <v>TZ-IUYL240-BONE-L</v>
          </cell>
          <cell r="B1168" t="str">
            <v>TZ-IUYL240</v>
          </cell>
        </row>
        <row r="1169">
          <cell r="A1169" t="str">
            <v>TZ-IUYL240-BONE-M</v>
          </cell>
          <cell r="B1169" t="str">
            <v>TZ-IUYL240</v>
          </cell>
        </row>
        <row r="1170">
          <cell r="A1170" t="str">
            <v>TZ-IUYL240-BONE-S</v>
          </cell>
          <cell r="B1170" t="str">
            <v>TZ-IUYL240</v>
          </cell>
        </row>
        <row r="1171">
          <cell r="A1171" t="str">
            <v>TZ-IUYL240-DOT-L</v>
          </cell>
          <cell r="B1171" t="str">
            <v>TZ-IUYL240</v>
          </cell>
        </row>
        <row r="1172">
          <cell r="A1172" t="str">
            <v>TZ-IUYL240-DOT-M</v>
          </cell>
          <cell r="B1172" t="str">
            <v>TZ-IUYL240</v>
          </cell>
        </row>
        <row r="1173">
          <cell r="A1173" t="str">
            <v>TZ-IUYL240-DOT-S</v>
          </cell>
          <cell r="B1173" t="str">
            <v>TZ-IUYL240</v>
          </cell>
        </row>
        <row r="1174">
          <cell r="A1174" t="str">
            <v>TZ-IUYL240-ELPH-L</v>
          </cell>
          <cell r="B1174" t="str">
            <v>TZ-IUYL240</v>
          </cell>
        </row>
        <row r="1175">
          <cell r="A1175" t="str">
            <v>TZ-IUYL240-ELPH-M</v>
          </cell>
          <cell r="B1175" t="str">
            <v>TZ-IUYL240</v>
          </cell>
        </row>
        <row r="1176">
          <cell r="A1176" t="str">
            <v>TZ-IUYL240-ELPH-S</v>
          </cell>
          <cell r="B1176" t="str">
            <v>TZ-IUYL240</v>
          </cell>
        </row>
        <row r="1177">
          <cell r="A1177" t="str">
            <v>TZ-IUYL240-PAW-L</v>
          </cell>
          <cell r="B1177" t="str">
            <v>TZ-IUYL240</v>
          </cell>
        </row>
        <row r="1178">
          <cell r="A1178" t="str">
            <v>TZ-IUYL240-PAW-M</v>
          </cell>
          <cell r="B1178" t="str">
            <v>TZ-IUYL240</v>
          </cell>
        </row>
        <row r="1179">
          <cell r="A1179" t="str">
            <v>TZ-IUYL240-PAW-S</v>
          </cell>
          <cell r="B1179" t="str">
            <v>TZ-IUYL240</v>
          </cell>
        </row>
        <row r="1180">
          <cell r="A1180" t="str">
            <v>TZ-IUYL240-STAR-L</v>
          </cell>
          <cell r="B1180" t="str">
            <v>TZ-IUYL240</v>
          </cell>
        </row>
        <row r="1181">
          <cell r="A1181" t="str">
            <v>TZ-IUYL240-STAR-M</v>
          </cell>
          <cell r="B1181" t="str">
            <v>TZ-IUYL240</v>
          </cell>
        </row>
        <row r="1182">
          <cell r="A1182" t="str">
            <v>TZ-IUYL240-STAR-S</v>
          </cell>
          <cell r="B1182" t="str">
            <v>TZ-IUYL240</v>
          </cell>
        </row>
        <row r="1183">
          <cell r="A1183" t="str">
            <v>TZ-IUYL240-STRAWBERRY-L</v>
          </cell>
          <cell r="B1183" t="str">
            <v>TZ-IUYL240</v>
          </cell>
        </row>
        <row r="1184">
          <cell r="A1184" t="str">
            <v>TZ-IUYL240-STRAWBERRY-M</v>
          </cell>
          <cell r="B1184" t="str">
            <v>TZ-IUYL240</v>
          </cell>
        </row>
        <row r="1185">
          <cell r="A1185" t="str">
            <v>TZ-IUYL240-STRAWBERRY-S</v>
          </cell>
          <cell r="B1185" t="str">
            <v>TZ-IUYL240</v>
          </cell>
        </row>
        <row r="1186">
          <cell r="A1186" t="str">
            <v>UB-QE6E-7WVE</v>
          </cell>
          <cell r="B1186" t="str">
            <v>UB-QE6E-7WVE</v>
          </cell>
        </row>
        <row r="1187">
          <cell r="A1187" t="str">
            <v>WB-002-B0</v>
          </cell>
          <cell r="B1187" t="str">
            <v>WB-002</v>
          </cell>
        </row>
        <row r="1188">
          <cell r="A1188" t="str">
            <v>WB-002-E0</v>
          </cell>
          <cell r="B1188" t="str">
            <v>WB-002</v>
          </cell>
        </row>
        <row r="1189">
          <cell r="A1189" t="str">
            <v>WB-002-G0</v>
          </cell>
          <cell r="B1189" t="str">
            <v>WB-002</v>
          </cell>
        </row>
        <row r="1190">
          <cell r="A1190" t="str">
            <v>WB-002-R0</v>
          </cell>
          <cell r="B1190" t="str">
            <v>WB-002</v>
          </cell>
        </row>
        <row r="1191">
          <cell r="A1191" t="str">
            <v>WB-LUHM002-B0</v>
          </cell>
          <cell r="B1191" t="str">
            <v>WB-LUHM002</v>
          </cell>
        </row>
        <row r="1192">
          <cell r="A1192" t="str">
            <v>WB-LUHM002-E0</v>
          </cell>
          <cell r="B1192" t="str">
            <v>WB-LUHM002</v>
          </cell>
        </row>
        <row r="1193">
          <cell r="A1193" t="str">
            <v>WB-LUHM002-G0</v>
          </cell>
          <cell r="B1193" t="str">
            <v>WB-LUHM002</v>
          </cell>
        </row>
        <row r="1194">
          <cell r="A1194" t="str">
            <v>WB-LUHM002-R0</v>
          </cell>
          <cell r="B1194" t="str">
            <v>WB-LUHM002</v>
          </cell>
        </row>
        <row r="1195">
          <cell r="A1195" t="str">
            <v>WEMIUCLANS</v>
          </cell>
          <cell r="B1195" t="str">
            <v>WEMIUCLAN</v>
          </cell>
        </row>
        <row r="1196">
          <cell r="A1196" t="str">
            <v>WEMIUHIS</v>
          </cell>
          <cell r="B1196" t="str">
            <v>WEMIUHI</v>
          </cell>
        </row>
        <row r="1197">
          <cell r="A1197" t="str">
            <v>WEMIUSLANS</v>
          </cell>
          <cell r="B1197" t="str">
            <v>WEMIUHSLAN</v>
          </cell>
        </row>
        <row r="1198">
          <cell r="A1198" t="str">
            <v>WJ-CUTA-8NLH</v>
          </cell>
          <cell r="B1198" t="str">
            <v>WJ-CUTA-8NLH</v>
          </cell>
        </row>
        <row r="1199">
          <cell r="A1199" t="str">
            <v>WLZBHL-0033MBRO200CM</v>
          </cell>
          <cell r="B1199" t="str">
            <v>WLZBHL-0033MB</v>
          </cell>
        </row>
        <row r="1200">
          <cell r="A1200" t="str">
            <v>WUIIIN-01QLL</v>
          </cell>
          <cell r="B1200" t="str">
            <v>WUIIIN-01Q</v>
          </cell>
        </row>
        <row r="1201">
          <cell r="A1201" t="str">
            <v>X001D65BXH</v>
          </cell>
          <cell r="B1201" t="str">
            <v>X001</v>
          </cell>
        </row>
        <row r="1202">
          <cell r="A1202" t="str">
            <v>X001DAKZLB</v>
          </cell>
          <cell r="B1202" t="str">
            <v>X001</v>
          </cell>
        </row>
        <row r="1203">
          <cell r="A1203" t="str">
            <v>X001LPKBIZ</v>
          </cell>
          <cell r="B1203" t="str">
            <v>X001</v>
          </cell>
        </row>
        <row r="1204">
          <cell r="A1204" t="str">
            <v>X001LQ5O13</v>
          </cell>
          <cell r="B1204" t="str">
            <v>X001</v>
          </cell>
        </row>
        <row r="1205">
          <cell r="A1205" t="str">
            <v>X001LQ5T4Z</v>
          </cell>
          <cell r="B1205" t="str">
            <v>X001</v>
          </cell>
        </row>
        <row r="1206">
          <cell r="A1206" t="str">
            <v>X001LQ5VPR</v>
          </cell>
          <cell r="B1206" t="str">
            <v>X001</v>
          </cell>
        </row>
        <row r="1207">
          <cell r="A1207" t="str">
            <v>X001LQ5VQ1</v>
          </cell>
          <cell r="B1207" t="str">
            <v>X001</v>
          </cell>
        </row>
        <row r="1208">
          <cell r="A1208" t="str">
            <v>X001LQ6NI1</v>
          </cell>
          <cell r="B1208" t="str">
            <v>X001</v>
          </cell>
        </row>
        <row r="1209">
          <cell r="A1209" t="str">
            <v>XD-QXG5-P78H</v>
          </cell>
          <cell r="B1209" t="str">
            <v>XD-QXG5</v>
          </cell>
        </row>
        <row r="1210">
          <cell r="A1210" t="str">
            <v>XM-5POH-W2RY</v>
          </cell>
          <cell r="B1210" t="str">
            <v>XM-5POH</v>
          </cell>
        </row>
        <row r="1211">
          <cell r="A1211" t="str">
            <v>XQ-IUYL260-BK-M</v>
          </cell>
          <cell r="B1211" t="str">
            <v>XQ-IUYL260</v>
          </cell>
        </row>
        <row r="1212">
          <cell r="A1212" t="str">
            <v>XQ-IUYL260-BK-S</v>
          </cell>
          <cell r="B1212" t="str">
            <v>XQ-IUYL260</v>
          </cell>
        </row>
        <row r="1213">
          <cell r="A1213" t="str">
            <v>XQ-IUYL260-BL1-M</v>
          </cell>
          <cell r="B1213" t="str">
            <v>XQ-IUYL260</v>
          </cell>
        </row>
        <row r="1214">
          <cell r="A1214" t="str">
            <v>XQ-IUYL260-BL1-S</v>
          </cell>
          <cell r="B1214" t="str">
            <v>XQ-IUYL260</v>
          </cell>
        </row>
        <row r="1215">
          <cell r="A1215" t="str">
            <v>XQ-IUYL260-BL2-M</v>
          </cell>
          <cell r="B1215" t="str">
            <v>XQ-IUYL260</v>
          </cell>
        </row>
        <row r="1216">
          <cell r="A1216" t="str">
            <v>XQ-IUYL260-BL2-S</v>
          </cell>
          <cell r="B1216" t="str">
            <v>XQ-IUYL260</v>
          </cell>
        </row>
        <row r="1217">
          <cell r="A1217" t="str">
            <v>XQ-IUYL260-GN-M</v>
          </cell>
          <cell r="B1217" t="str">
            <v>XQ-IUYL260</v>
          </cell>
        </row>
        <row r="1218">
          <cell r="A1218" t="str">
            <v>XQ-IUYL260-GN-S</v>
          </cell>
          <cell r="B1218" t="str">
            <v>XQ-IUYL260</v>
          </cell>
        </row>
        <row r="1219">
          <cell r="A1219" t="str">
            <v>XQ-IUYL260-PK-M</v>
          </cell>
          <cell r="B1219" t="str">
            <v>XQ-IUYL260</v>
          </cell>
        </row>
        <row r="1220">
          <cell r="A1220" t="str">
            <v>XQ-IUYL260-PK-S</v>
          </cell>
          <cell r="B1220" t="str">
            <v>XQ-IUYL260</v>
          </cell>
        </row>
        <row r="1221">
          <cell r="A1221" t="str">
            <v>XQ-IUYL260-PP-M</v>
          </cell>
          <cell r="B1221" t="str">
            <v>XQ-IUYL260</v>
          </cell>
        </row>
        <row r="1222">
          <cell r="A1222" t="str">
            <v>XQ-IUYL260-PP-S</v>
          </cell>
          <cell r="B1222" t="str">
            <v>XQ-IUYL260</v>
          </cell>
        </row>
        <row r="1223">
          <cell r="A1223" t="str">
            <v>XQ-IUYL260-RD-M</v>
          </cell>
          <cell r="B1223" t="str">
            <v>XQ-IUYL260</v>
          </cell>
        </row>
        <row r="1224">
          <cell r="A1224" t="str">
            <v>XQ-IUYL260-RD-S</v>
          </cell>
          <cell r="B1224" t="str">
            <v>XQ-IUYL260</v>
          </cell>
        </row>
        <row r="1225">
          <cell r="A1225" t="str">
            <v>XQ-IUYL260-YL-M</v>
          </cell>
          <cell r="B1225" t="str">
            <v>XQ-IUYL260</v>
          </cell>
        </row>
        <row r="1226">
          <cell r="A1226" t="str">
            <v>XQ-IUYL260-YL-S</v>
          </cell>
          <cell r="B1226" t="str">
            <v>XQ-IUYL260</v>
          </cell>
        </row>
        <row r="1227">
          <cell r="A1227" t="str">
            <v>XQ-IUYL320-BK-L</v>
          </cell>
          <cell r="B1227" t="str">
            <v>XQ-IUYL320</v>
          </cell>
        </row>
        <row r="1228">
          <cell r="A1228" t="str">
            <v>XQ-IUYL320-BK-M</v>
          </cell>
          <cell r="B1228" t="str">
            <v>XQ-IUYL320</v>
          </cell>
        </row>
        <row r="1229">
          <cell r="A1229" t="str">
            <v>XQ-IUYL320-BK-S</v>
          </cell>
          <cell r="B1229" t="str">
            <v>XQ-IUYL320</v>
          </cell>
        </row>
        <row r="1230">
          <cell r="A1230" t="str">
            <v>XQ-IUYL320-BK-XL</v>
          </cell>
          <cell r="B1230" t="str">
            <v>XQ-IUYL320</v>
          </cell>
        </row>
        <row r="1231">
          <cell r="A1231" t="str">
            <v>XQ-IUYL320-BL-L</v>
          </cell>
          <cell r="B1231" t="str">
            <v>XQ-IUYL320</v>
          </cell>
        </row>
        <row r="1232">
          <cell r="A1232" t="str">
            <v>XQ-IUYL320-BL-M</v>
          </cell>
          <cell r="B1232" t="str">
            <v>XQ-IUYL320</v>
          </cell>
        </row>
        <row r="1233">
          <cell r="A1233" t="str">
            <v>XQ-IUYL320-BL-S</v>
          </cell>
          <cell r="B1233" t="str">
            <v>XQ-IUYL320</v>
          </cell>
        </row>
        <row r="1234">
          <cell r="A1234" t="str">
            <v>XQ-IUYL320-BL-XL</v>
          </cell>
          <cell r="B1234" t="str">
            <v>XQ-IUYL320</v>
          </cell>
        </row>
        <row r="1235">
          <cell r="A1235" t="str">
            <v>XQ-IUYL320-CF-L</v>
          </cell>
          <cell r="B1235" t="str">
            <v>XQ-IUYL320</v>
          </cell>
        </row>
        <row r="1236">
          <cell r="A1236" t="str">
            <v>XQ-IUYL320-CF-M</v>
          </cell>
          <cell r="B1236" t="str">
            <v>XQ-IUYL320</v>
          </cell>
        </row>
        <row r="1237">
          <cell r="A1237" t="str">
            <v>XQ-IUYL320-CF-S</v>
          </cell>
          <cell r="B1237" t="str">
            <v>XQ-IUYL320</v>
          </cell>
        </row>
        <row r="1238">
          <cell r="A1238" t="str">
            <v>XQ-IUYL320-CF-XL</v>
          </cell>
          <cell r="B1238" t="str">
            <v>XQ-IUYL320</v>
          </cell>
        </row>
        <row r="1239">
          <cell r="A1239" t="str">
            <v>XQ-IUYL320-DB-L</v>
          </cell>
          <cell r="B1239" t="str">
            <v>XQ-IUYL320</v>
          </cell>
        </row>
        <row r="1240">
          <cell r="A1240" t="str">
            <v>XQ-IUYL320-DB-M</v>
          </cell>
          <cell r="B1240" t="str">
            <v>XQ-IUYL320</v>
          </cell>
        </row>
        <row r="1241">
          <cell r="A1241" t="str">
            <v>XQ-IUYL320-DB-S</v>
          </cell>
          <cell r="B1241" t="str">
            <v>XQ-IUYL320</v>
          </cell>
        </row>
        <row r="1242">
          <cell r="A1242" t="str">
            <v>XQ-IUYL320-DB-XL</v>
          </cell>
          <cell r="B1242" t="str">
            <v>XQ-IUYL320</v>
          </cell>
        </row>
        <row r="1243">
          <cell r="A1243" t="str">
            <v>XQ-IUYL320-GN-L</v>
          </cell>
          <cell r="B1243" t="str">
            <v>XQ-IUYL320</v>
          </cell>
        </row>
        <row r="1244">
          <cell r="A1244" t="str">
            <v>XQ-IUYL320-GN-M</v>
          </cell>
          <cell r="B1244" t="str">
            <v>XQ-IUYL320</v>
          </cell>
        </row>
        <row r="1245">
          <cell r="A1245" t="str">
            <v>XQ-IUYL320-GN-S</v>
          </cell>
          <cell r="B1245" t="str">
            <v>XQ-IUYL320</v>
          </cell>
        </row>
        <row r="1246">
          <cell r="A1246" t="str">
            <v>XQ-IUYL320-GN-XL</v>
          </cell>
          <cell r="B1246" t="str">
            <v>XQ-IUYL320</v>
          </cell>
        </row>
        <row r="1247">
          <cell r="A1247" t="str">
            <v>XQ-IUYL320-PK-L</v>
          </cell>
          <cell r="B1247" t="str">
            <v>XQ-IUYL320</v>
          </cell>
        </row>
        <row r="1248">
          <cell r="A1248" t="str">
            <v>XQ-IUYL320-PK-M</v>
          </cell>
          <cell r="B1248" t="str">
            <v>XQ-IUYL320</v>
          </cell>
        </row>
        <row r="1249">
          <cell r="A1249" t="str">
            <v>XQ-IUYL320-PK-S</v>
          </cell>
          <cell r="B1249" t="str">
            <v>XQ-IUYL320</v>
          </cell>
        </row>
        <row r="1250">
          <cell r="A1250" t="str">
            <v>XQ-IUYL320-PK-XL</v>
          </cell>
          <cell r="B1250" t="str">
            <v>XQ-IUYL320</v>
          </cell>
        </row>
        <row r="1251">
          <cell r="A1251" t="str">
            <v>XQ-IUYL320-PP-L</v>
          </cell>
          <cell r="B1251" t="str">
            <v>XQ-IUYL320</v>
          </cell>
        </row>
        <row r="1252">
          <cell r="A1252" t="str">
            <v>XQ-IUYL320-PP-M</v>
          </cell>
          <cell r="B1252" t="str">
            <v>XQ-IUYL320</v>
          </cell>
        </row>
        <row r="1253">
          <cell r="A1253" t="str">
            <v>XQ-IUYL320-PP-S</v>
          </cell>
          <cell r="B1253" t="str">
            <v>XQ-IUYL320</v>
          </cell>
        </row>
        <row r="1254">
          <cell r="A1254" t="str">
            <v>XQ-IUYL320-PP-XL</v>
          </cell>
          <cell r="B1254" t="str">
            <v>XQ-IUYL320</v>
          </cell>
        </row>
        <row r="1255">
          <cell r="A1255" t="str">
            <v>XQ-IUYL320-RD-L</v>
          </cell>
          <cell r="B1255" t="str">
            <v>XQ-IUYL320</v>
          </cell>
        </row>
        <row r="1256">
          <cell r="A1256" t="str">
            <v>XQ-IUYL320-RD-M</v>
          </cell>
          <cell r="B1256" t="str">
            <v>XQ-IUYL320</v>
          </cell>
        </row>
        <row r="1257">
          <cell r="A1257" t="str">
            <v>XQ-IUYL320-RD-S</v>
          </cell>
          <cell r="B1257" t="str">
            <v>XQ-IUYL320</v>
          </cell>
        </row>
        <row r="1258">
          <cell r="A1258" t="str">
            <v>XQ-IUYL320-RD-XL</v>
          </cell>
          <cell r="B1258" t="str">
            <v>XQ-IUYL320</v>
          </cell>
        </row>
        <row r="1259">
          <cell r="A1259" t="str">
            <v>XQ-IUYL320-YL-L</v>
          </cell>
          <cell r="B1259" t="str">
            <v>XQ-IUYL320</v>
          </cell>
        </row>
        <row r="1260">
          <cell r="A1260" t="str">
            <v>XQ-IUYL320-YL-M</v>
          </cell>
          <cell r="B1260" t="str">
            <v>XQ-IUYL320</v>
          </cell>
        </row>
        <row r="1261">
          <cell r="A1261" t="str">
            <v>XQ-IUYL320-YL-S</v>
          </cell>
          <cell r="B1261" t="str">
            <v>XQ-IUYL320</v>
          </cell>
        </row>
        <row r="1262">
          <cell r="A1262" t="str">
            <v>XQ-IUYL320-YL-XL</v>
          </cell>
          <cell r="B1262" t="str">
            <v>XQ-IUYL320</v>
          </cell>
        </row>
        <row r="1263">
          <cell r="A1263" t="str">
            <v>XTTXW02XL</v>
          </cell>
          <cell r="B1263" t="str">
            <v>XTTXW0</v>
          </cell>
        </row>
        <row r="1264">
          <cell r="A1264" t="str">
            <v>XTTXW0L</v>
          </cell>
          <cell r="B1264" t="str">
            <v>XTTXW0</v>
          </cell>
        </row>
        <row r="1265">
          <cell r="A1265" t="str">
            <v>XTTXW0M</v>
          </cell>
          <cell r="B1265" t="str">
            <v>XTTXW0</v>
          </cell>
        </row>
        <row r="1266">
          <cell r="A1266" t="str">
            <v>XTTXW0XL</v>
          </cell>
          <cell r="B1266" t="str">
            <v>XTTXW0</v>
          </cell>
        </row>
        <row r="1267">
          <cell r="A1267" t="str">
            <v>XXCHO-S</v>
          </cell>
          <cell r="B1267" t="str">
            <v>XXCHO</v>
          </cell>
        </row>
        <row r="1268">
          <cell r="A1268" t="str">
            <v>XXYPBOS-M</v>
          </cell>
          <cell r="B1268" t="str">
            <v>XXYPBOS</v>
          </cell>
        </row>
        <row r="1269">
          <cell r="A1269" t="str">
            <v>XXYPBOS-XL</v>
          </cell>
          <cell r="B1269" t="str">
            <v>XXYPBOS</v>
          </cell>
        </row>
        <row r="1270">
          <cell r="A1270" t="str">
            <v>XXYPFS-M</v>
          </cell>
          <cell r="B1270" t="str">
            <v>XXYPFS</v>
          </cell>
        </row>
        <row r="1271">
          <cell r="A1271" t="str">
            <v>XXYPFS-XL</v>
          </cell>
          <cell r="B1271" t="str">
            <v>XXYPFS</v>
          </cell>
        </row>
        <row r="1272">
          <cell r="A1272" t="str">
            <v>YCBY312Z01ZZX45*45CM</v>
          </cell>
          <cell r="B1272" t="str">
            <v>YCBY312Z01ZZX</v>
          </cell>
        </row>
        <row r="1273">
          <cell r="A1273" t="str">
            <v>YCBYZ02-4CRYZ45*45CM</v>
          </cell>
          <cell r="B1273" t="str">
            <v>YCBYZ02</v>
          </cell>
        </row>
        <row r="1274">
          <cell r="A1274" t="str">
            <v>YCBYZ02-5Batman45*45CM</v>
          </cell>
          <cell r="B1274" t="str">
            <v>YCBYZ02</v>
          </cell>
        </row>
        <row r="1275">
          <cell r="A1275" t="str">
            <v>YCJF5CATB040x60CM</v>
          </cell>
          <cell r="B1275" t="str">
            <v>YCJF5CATB040x60CM</v>
          </cell>
        </row>
        <row r="1276">
          <cell r="A1276" t="str">
            <v>YCXZBYD108*108CM</v>
          </cell>
          <cell r="B1276" t="str">
            <v>YCXZBYD</v>
          </cell>
        </row>
        <row r="1277">
          <cell r="A1277" t="str">
            <v>YDBGZLVS-2XL</v>
          </cell>
          <cell r="B1277" t="str">
            <v>YDBGZLVS</v>
          </cell>
        </row>
        <row r="1278">
          <cell r="A1278" t="str">
            <v>YDBGZROS-L</v>
          </cell>
          <cell r="B1278" t="str">
            <v>YDBGZROS</v>
          </cell>
        </row>
        <row r="1279">
          <cell r="A1279" t="str">
            <v>YDBGZROS-M</v>
          </cell>
          <cell r="B1279" t="str">
            <v>YDBGZROS</v>
          </cell>
        </row>
        <row r="1280">
          <cell r="A1280" t="str">
            <v>YDWJQWHQWH120*120CM</v>
          </cell>
          <cell r="B1280" t="str">
            <v>YDWJQWHQWH</v>
          </cell>
        </row>
        <row r="1281">
          <cell r="A1281" t="str">
            <v>YDWJQWHQWH150*200CM</v>
          </cell>
          <cell r="B1281" t="str">
            <v>YDWJQWHQWH</v>
          </cell>
        </row>
        <row r="1282">
          <cell r="A1282" t="str">
            <v>YDWJQWHQWH60*60CM</v>
          </cell>
          <cell r="B1282" t="str">
            <v>YDWJQWHQWH</v>
          </cell>
        </row>
        <row r="1283">
          <cell r="A1283" t="str">
            <v>YDYPBOS-L</v>
          </cell>
          <cell r="B1283" t="str">
            <v>YDYPB</v>
          </cell>
        </row>
        <row r="1284">
          <cell r="A1284" t="str">
            <v>YDYPFS-L</v>
          </cell>
          <cell r="B1284" t="str">
            <v>YDYPFS</v>
          </cell>
        </row>
        <row r="1285">
          <cell r="A1285" t="str">
            <v>YDYPFS-M</v>
          </cell>
          <cell r="B1285" t="str">
            <v>YDYPFS</v>
          </cell>
        </row>
        <row r="1286">
          <cell r="A1286" t="str">
            <v>YDYPFS-M-2</v>
          </cell>
          <cell r="B1286" t="str">
            <v>YDYPFS</v>
          </cell>
        </row>
        <row r="1287">
          <cell r="A1287" t="str">
            <v>YDYPFS-S</v>
          </cell>
          <cell r="B1287" t="str">
            <v>YDYPFS</v>
          </cell>
        </row>
        <row r="1288">
          <cell r="A1288" t="str">
            <v>YDYPFS-XL</v>
          </cell>
          <cell r="B1288" t="str">
            <v>YDYPFS</v>
          </cell>
        </row>
        <row r="1289">
          <cell r="A1289" t="str">
            <v>YDY-YUNDONGK2-8755HH-L</v>
          </cell>
          <cell r="B1289" t="str">
            <v>YDY-YUNDONGK2-8755</v>
          </cell>
        </row>
        <row r="1290">
          <cell r="A1290" t="str">
            <v>YDY-YUNDONGK2-8755HL-4XL</v>
          </cell>
          <cell r="B1290" t="str">
            <v>YDY-YUNDONGK2-8755</v>
          </cell>
        </row>
        <row r="1291">
          <cell r="A1291" t="str">
            <v>YDY-YUNDONGK2-8755HQH-L</v>
          </cell>
          <cell r="B1291" t="str">
            <v>YDY-YUNDONGK2-8755</v>
          </cell>
        </row>
        <row r="1292">
          <cell r="A1292" t="str">
            <v>YDY-YUNDONGK2-8755QHL-M</v>
          </cell>
          <cell r="B1292" t="str">
            <v>YDY-YUNDONGK2-8755</v>
          </cell>
        </row>
        <row r="1293">
          <cell r="A1293" t="str">
            <v>YDY-YUNDONGK-8755K0-L</v>
          </cell>
          <cell r="B1293" t="str">
            <v>YDY-YUNDONGK-8755</v>
          </cell>
        </row>
        <row r="1294">
          <cell r="A1294" t="str">
            <v>YDY-YUNDONGK-8755K0-XL</v>
          </cell>
          <cell r="B1294" t="str">
            <v>YDY-YUNDONGK-8755</v>
          </cell>
        </row>
        <row r="1295">
          <cell r="A1295" t="str">
            <v>YDY-YUNDONGK-8755W0-L</v>
          </cell>
          <cell r="B1295" t="str">
            <v>YDY-YUNDONGK-8755</v>
          </cell>
        </row>
        <row r="1296">
          <cell r="A1296" t="str">
            <v>YDY-YUNDONGK-8756BLS-L</v>
          </cell>
          <cell r="B1296" t="str">
            <v>YDY-YUNDONGK-8756</v>
          </cell>
        </row>
        <row r="1297">
          <cell r="A1297" t="str">
            <v>YDY-YUNDONGK-8756BLS-M</v>
          </cell>
          <cell r="B1297" t="str">
            <v>YDY-YUNDONGK-8756</v>
          </cell>
        </row>
        <row r="1298">
          <cell r="A1298" t="str">
            <v>YDY-YUNDONGK-8756BLS-XL</v>
          </cell>
          <cell r="B1298" t="str">
            <v>YDY-YUNDONGK-8756</v>
          </cell>
        </row>
        <row r="1299">
          <cell r="A1299" t="str">
            <v>YDY-YUNDONGK-8756BLS-XXL</v>
          </cell>
          <cell r="B1299" t="str">
            <v>YDY-YUNDONGK-8756</v>
          </cell>
        </row>
        <row r="1300">
          <cell r="A1300" t="str">
            <v>YDY-YUNDONGK-8756K0-L</v>
          </cell>
          <cell r="B1300" t="str">
            <v>YDY-YUNDONGK-8756</v>
          </cell>
        </row>
        <row r="1301">
          <cell r="A1301" t="str">
            <v>YDY-YUNDONGK-8756K0-M</v>
          </cell>
          <cell r="B1301" t="str">
            <v>YDY-YUNDONGK-8756</v>
          </cell>
        </row>
        <row r="1302">
          <cell r="A1302" t="str">
            <v>YDY-YUNDONGK-8756K0-XL</v>
          </cell>
          <cell r="B1302" t="str">
            <v>YDY-YUNDONGK-8756</v>
          </cell>
        </row>
        <row r="1303">
          <cell r="A1303" t="str">
            <v>YDY-YUNDONGK-8756K0-XXL</v>
          </cell>
          <cell r="B1303" t="str">
            <v>YDY-YUNDONGK-8756</v>
          </cell>
        </row>
        <row r="1304">
          <cell r="A1304" t="str">
            <v>YDY-YUNDONGK-8756QHS-L</v>
          </cell>
          <cell r="B1304" t="str">
            <v>YDY-YUNDONGK-8756</v>
          </cell>
        </row>
        <row r="1305">
          <cell r="A1305" t="str">
            <v>YDY-YUNDONGK-8756QHS-M</v>
          </cell>
          <cell r="B1305" t="str">
            <v>YDY-YUNDONGK-8756</v>
          </cell>
        </row>
        <row r="1306">
          <cell r="A1306" t="str">
            <v>YDY-YUNDONGK-8756QHS-XL</v>
          </cell>
          <cell r="B1306" t="str">
            <v>YDY-YUNDONGK-8756</v>
          </cell>
        </row>
        <row r="1307">
          <cell r="A1307" t="str">
            <v>YDY-YUNDONGK-8756QHS-XXL</v>
          </cell>
          <cell r="B1307" t="str">
            <v>YDY-YUNDONGK-8756</v>
          </cell>
        </row>
        <row r="1308">
          <cell r="A1308" t="str">
            <v>YDY-YUNDONGK-NK01SY-L</v>
          </cell>
          <cell r="B1308" t="str">
            <v>YDY-YUNDONGK-NK01</v>
          </cell>
        </row>
        <row r="1309">
          <cell r="A1309" t="str">
            <v>YDY-YUNDONGK-NK01SY-M</v>
          </cell>
          <cell r="B1309" t="str">
            <v>YDY-YUNDONGK-NK01</v>
          </cell>
        </row>
        <row r="1310">
          <cell r="A1310" t="str">
            <v>YDY-YUNDONGK-NK01SY-XL</v>
          </cell>
          <cell r="B1310" t="str">
            <v>YDY-YUNDONGK-NK01</v>
          </cell>
        </row>
        <row r="1311">
          <cell r="A1311" t="str">
            <v>YDY-YUNDONGK-NK03KQ-L</v>
          </cell>
          <cell r="B1311" t="str">
            <v>YDY-YUNDONGK-NK03</v>
          </cell>
        </row>
        <row r="1312">
          <cell r="A1312" t="str">
            <v>YDY-YUNDONGK-NK03KQ-M</v>
          </cell>
          <cell r="B1312" t="str">
            <v>YDY-YUNDONGK-NK03</v>
          </cell>
        </row>
        <row r="1313">
          <cell r="A1313" t="str">
            <v>YDY-YUNDONGK-NK03KQ-S</v>
          </cell>
          <cell r="B1313" t="str">
            <v>YDY-YUNDONGK-NK03</v>
          </cell>
        </row>
        <row r="1314">
          <cell r="A1314" t="str">
            <v>YDY-YUNDONGK-NK03KQ-XL</v>
          </cell>
          <cell r="B1314" t="str">
            <v>YDY-YUNDONGK-NK03</v>
          </cell>
        </row>
        <row r="1315">
          <cell r="A1315" t="str">
            <v>YDY-YUNDONGK-NK04LTA-L</v>
          </cell>
          <cell r="B1315" t="str">
            <v>YDY-YUNDONGK-NK04</v>
          </cell>
        </row>
        <row r="1316">
          <cell r="A1316" t="str">
            <v>YDY-YUNDONGK-NK04LTA-M</v>
          </cell>
          <cell r="B1316" t="str">
            <v>YDY-YUNDONGK-NK04</v>
          </cell>
        </row>
        <row r="1317">
          <cell r="A1317" t="str">
            <v>YDY-YUNDONGK-NK04LTA-S</v>
          </cell>
          <cell r="B1317" t="str">
            <v>YDY-YUNDONGK-NK04</v>
          </cell>
        </row>
        <row r="1318">
          <cell r="A1318" t="str">
            <v>YDY-YUNDONGK-NK04LTA-XL</v>
          </cell>
          <cell r="B1318" t="str">
            <v>YDY-YUNDONGK-NK04</v>
          </cell>
        </row>
        <row r="1319">
          <cell r="A1319" t="str">
            <v>YDY-YUNDONGK-NK07YTA-XL</v>
          </cell>
          <cell r="B1319" t="str">
            <v>YDY-YUNDONGK-NK07</v>
          </cell>
        </row>
        <row r="1320">
          <cell r="A1320" t="str">
            <v>YDY-YUNDONGK-NK08SM-XL</v>
          </cell>
          <cell r="B1320" t="str">
            <v>YDY-YUNDONGK-NK08</v>
          </cell>
        </row>
        <row r="1321">
          <cell r="A1321" t="str">
            <v>YHDDDKBHI-L</v>
          </cell>
          <cell r="B1321" t="str">
            <v>YHDDDKBHI</v>
          </cell>
        </row>
        <row r="1322">
          <cell r="A1322" t="str">
            <v>YHDSIX-1MC-L</v>
          </cell>
          <cell r="B1322" t="str">
            <v>YHDSIX</v>
          </cell>
        </row>
        <row r="1323">
          <cell r="A1323" t="str">
            <v>YHDSIX-1MC-M</v>
          </cell>
          <cell r="B1323" t="str">
            <v>YHDSIX</v>
          </cell>
        </row>
        <row r="1324">
          <cell r="A1324" t="str">
            <v>YHDSIX-1MC-S</v>
          </cell>
          <cell r="B1324" t="str">
            <v>YHDSIX</v>
          </cell>
        </row>
        <row r="1325">
          <cell r="A1325" t="str">
            <v>YHJRBBS-L</v>
          </cell>
          <cell r="B1325" t="str">
            <v>YHJRB</v>
          </cell>
        </row>
        <row r="1326">
          <cell r="A1326" t="str">
            <v>YHJRBBS-M</v>
          </cell>
          <cell r="B1326" t="str">
            <v>YHJRB</v>
          </cell>
        </row>
        <row r="1327">
          <cell r="A1327" t="str">
            <v>YHJRBBS-S</v>
          </cell>
          <cell r="B1327" t="str">
            <v>YHJRB</v>
          </cell>
        </row>
        <row r="1328">
          <cell r="A1328" t="str">
            <v>YHJRBBS-XL</v>
          </cell>
          <cell r="B1328" t="str">
            <v>YHJRB</v>
          </cell>
        </row>
        <row r="1329">
          <cell r="A1329" t="str">
            <v>YHJRBDZS-L</v>
          </cell>
          <cell r="B1329" t="str">
            <v>YHJRB</v>
          </cell>
        </row>
        <row r="1330">
          <cell r="A1330" t="str">
            <v>YHJRBDZS-M</v>
          </cell>
          <cell r="B1330" t="str">
            <v>YHJRB</v>
          </cell>
        </row>
        <row r="1331">
          <cell r="A1331" t="str">
            <v>YHJRBDZS-S</v>
          </cell>
          <cell r="B1331" t="str">
            <v>YHJRB</v>
          </cell>
        </row>
        <row r="1332">
          <cell r="A1332" t="str">
            <v>YHJRBDZS-XL</v>
          </cell>
          <cell r="B1332" t="str">
            <v>YHJRB</v>
          </cell>
        </row>
        <row r="1333">
          <cell r="A1333" t="str">
            <v>YHJRBHIS-L</v>
          </cell>
          <cell r="B1333" t="str">
            <v>YHJRB</v>
          </cell>
        </row>
        <row r="1334">
          <cell r="A1334" t="str">
            <v>YHJRBHIS-M</v>
          </cell>
          <cell r="B1334" t="str">
            <v>YHJRB</v>
          </cell>
        </row>
        <row r="1335">
          <cell r="A1335" t="str">
            <v>YHJRBHIS-S</v>
          </cell>
          <cell r="B1335" t="str">
            <v>YHJRB</v>
          </cell>
        </row>
        <row r="1336">
          <cell r="A1336" t="str">
            <v>YHJRBHIS-XL</v>
          </cell>
          <cell r="B1336" t="str">
            <v>YHJRB</v>
          </cell>
        </row>
        <row r="1337">
          <cell r="A1337" t="str">
            <v>YHJRBHS-L</v>
          </cell>
          <cell r="B1337" t="str">
            <v>YHJRB</v>
          </cell>
        </row>
        <row r="1338">
          <cell r="A1338" t="str">
            <v>YHJRBHS-M</v>
          </cell>
          <cell r="B1338" t="str">
            <v>YHJRB</v>
          </cell>
        </row>
        <row r="1339">
          <cell r="A1339" t="str">
            <v>YHJRBHS-S</v>
          </cell>
          <cell r="B1339" t="str">
            <v>YHJRB</v>
          </cell>
        </row>
        <row r="1340">
          <cell r="A1340" t="str">
            <v>YHJRBHS-XL</v>
          </cell>
          <cell r="B1340" t="str">
            <v>YHJRB</v>
          </cell>
        </row>
        <row r="1341">
          <cell r="A1341" t="str">
            <v>YHJRBJS-L</v>
          </cell>
          <cell r="B1341" t="str">
            <v>YHJRB</v>
          </cell>
        </row>
        <row r="1342">
          <cell r="A1342" t="str">
            <v>YHJRBJS-M</v>
          </cell>
          <cell r="B1342" t="str">
            <v>YHJRB</v>
          </cell>
        </row>
        <row r="1343">
          <cell r="A1343" t="str">
            <v>YHJRBJS-S</v>
          </cell>
          <cell r="B1343" t="str">
            <v>YHJRB</v>
          </cell>
        </row>
        <row r="1344">
          <cell r="A1344" t="str">
            <v>YHJRBJS-XL</v>
          </cell>
          <cell r="B1344" t="str">
            <v>YHJRB</v>
          </cell>
        </row>
        <row r="1345">
          <cell r="A1345" t="str">
            <v>YHJRBMHS-L</v>
          </cell>
          <cell r="B1345" t="str">
            <v>YHJRB</v>
          </cell>
        </row>
        <row r="1346">
          <cell r="A1346" t="str">
            <v>YHJRBMHS-M</v>
          </cell>
          <cell r="B1346" t="str">
            <v>YHJRB</v>
          </cell>
        </row>
        <row r="1347">
          <cell r="A1347" t="str">
            <v>YHJRBMHS-S</v>
          </cell>
          <cell r="B1347" t="str">
            <v>YHJRB</v>
          </cell>
        </row>
        <row r="1348">
          <cell r="A1348" t="str">
            <v>YHJRBMHS-XL</v>
          </cell>
          <cell r="B1348" t="str">
            <v>YHJRB</v>
          </cell>
        </row>
        <row r="1349">
          <cell r="A1349" t="str">
            <v>YHJRBZLS-L</v>
          </cell>
          <cell r="B1349" t="str">
            <v>YHJRB</v>
          </cell>
        </row>
        <row r="1350">
          <cell r="A1350" t="str">
            <v>YHJRBZLS-M</v>
          </cell>
          <cell r="B1350" t="str">
            <v>YHJRB</v>
          </cell>
        </row>
        <row r="1351">
          <cell r="A1351" t="str">
            <v>YHJRBZLS-S</v>
          </cell>
          <cell r="B1351" t="str">
            <v>YHJRB</v>
          </cell>
        </row>
        <row r="1352">
          <cell r="A1352" t="str">
            <v>YHJRBZLS-XL</v>
          </cell>
          <cell r="B1352" t="str">
            <v>YHJRB</v>
          </cell>
        </row>
        <row r="1353">
          <cell r="A1353" t="str">
            <v>YHJRBZS-L</v>
          </cell>
          <cell r="B1353" t="str">
            <v>YHJRB</v>
          </cell>
        </row>
        <row r="1354">
          <cell r="A1354" t="str">
            <v>YHJRBZS-M</v>
          </cell>
          <cell r="B1354" t="str">
            <v>YHJRB</v>
          </cell>
        </row>
        <row r="1355">
          <cell r="A1355" t="str">
            <v>YHJRBZS-S</v>
          </cell>
          <cell r="B1355" t="str">
            <v>YHJRB</v>
          </cell>
        </row>
        <row r="1356">
          <cell r="A1356" t="str">
            <v>YHJRBZS-XL</v>
          </cell>
          <cell r="B1356" t="str">
            <v>YHJRB</v>
          </cell>
        </row>
        <row r="1357">
          <cell r="A1357" t="str">
            <v>YIDIFSQZQ100*140CM</v>
          </cell>
          <cell r="B1357" t="str">
            <v>YIDIFSQZQ</v>
          </cell>
        </row>
        <row r="1358">
          <cell r="A1358" t="str">
            <v>YIDIFSQZQ140*140CM</v>
          </cell>
          <cell r="B1358" t="str">
            <v>YIDIFSQZQ</v>
          </cell>
        </row>
        <row r="1359">
          <cell r="A1359" t="str">
            <v>YIDIFSQZQ140*180CM</v>
          </cell>
          <cell r="B1359" t="str">
            <v>YIDIFSQZQ</v>
          </cell>
        </row>
        <row r="1360">
          <cell r="A1360" t="str">
            <v>YIDIFSQZQ140*200CM</v>
          </cell>
          <cell r="B1360" t="str">
            <v>YIDIFSQZQ</v>
          </cell>
        </row>
        <row r="1361">
          <cell r="A1361" t="str">
            <v>YIDIFSQZQ140*220CM</v>
          </cell>
          <cell r="B1361" t="str">
            <v>YIDIFSQZQ</v>
          </cell>
        </row>
        <row r="1362">
          <cell r="A1362" t="str">
            <v>YIDIFSQZQ140*250CM</v>
          </cell>
          <cell r="B1362" t="str">
            <v>YIDIFSQZQ</v>
          </cell>
        </row>
        <row r="1363">
          <cell r="A1363" t="str">
            <v>YIDIFSQZQ90*90CM</v>
          </cell>
          <cell r="B1363" t="str">
            <v>YIDIFSQZQ</v>
          </cell>
        </row>
        <row r="1364">
          <cell r="A1364" t="str">
            <v>YI-IUYLTBH-Y0</v>
          </cell>
          <cell r="B1364" t="str">
            <v>TBYPRBMRG</v>
          </cell>
        </row>
        <row r="1365">
          <cell r="A1365" t="str">
            <v>YI-IUYLTBY-N5</v>
          </cell>
          <cell r="B1365" t="str">
            <v>TBYPRBMRG</v>
          </cell>
        </row>
        <row r="1366">
          <cell r="A1366" t="str">
            <v>YINSELD1931S140*200cm</v>
          </cell>
          <cell r="B1366" t="str">
            <v>YINSELD1931</v>
          </cell>
        </row>
        <row r="1367">
          <cell r="A1367" t="str">
            <v>YINSELD1931S140*220cm</v>
          </cell>
          <cell r="B1367" t="str">
            <v>YINSELD1931</v>
          </cell>
        </row>
        <row r="1368">
          <cell r="A1368" t="str">
            <v>YIWURTMRG-XL</v>
          </cell>
          <cell r="B1368" t="str">
            <v>YIWURTMRG</v>
          </cell>
        </row>
        <row r="1369">
          <cell r="A1369" t="str">
            <v>YIWURTMRG-XXL</v>
          </cell>
          <cell r="B1369" t="str">
            <v>YIWURTMRG</v>
          </cell>
        </row>
        <row r="1370">
          <cell r="A1370" t="str">
            <v>YL-RADV-3HZQ</v>
          </cell>
          <cell r="B1370" t="str">
            <v>YL-RADV-3HZQ</v>
          </cell>
        </row>
        <row r="1371">
          <cell r="A1371" t="str">
            <v>YMQYCSCMR0140*160CM</v>
          </cell>
          <cell r="B1371" t="str">
            <v>YMQYCSCMRO</v>
          </cell>
        </row>
        <row r="1372">
          <cell r="A1372" t="str">
            <v>YMQYCSCMR0140*180CM</v>
          </cell>
          <cell r="B1372" t="str">
            <v>YMQYCSCMRO</v>
          </cell>
        </row>
        <row r="1373">
          <cell r="A1373" t="str">
            <v>YMQYCSCMR0140*220CM</v>
          </cell>
          <cell r="B1373" t="str">
            <v>YMQYCSCMRO</v>
          </cell>
        </row>
        <row r="1374">
          <cell r="A1374" t="str">
            <v>YMQYGZZBGZ100*140CM</v>
          </cell>
          <cell r="B1374" t="str">
            <v>YMQYGZZBGZ</v>
          </cell>
        </row>
        <row r="1375">
          <cell r="A1375" t="str">
            <v>YMQYGZZBGZ140*140CM</v>
          </cell>
          <cell r="B1375" t="str">
            <v>YMQYGZZBGZ</v>
          </cell>
        </row>
        <row r="1376">
          <cell r="A1376" t="str">
            <v>YMQYGZZBGZ140*180CM</v>
          </cell>
          <cell r="B1376" t="str">
            <v>YMQYGZZBGZ</v>
          </cell>
        </row>
        <row r="1377">
          <cell r="A1377" t="str">
            <v>YMQYGZZBGZ140*200CM</v>
          </cell>
          <cell r="B1377" t="str">
            <v>YMQYGZZBGZ</v>
          </cell>
        </row>
        <row r="1378">
          <cell r="A1378" t="str">
            <v>YMQYGZZBGZ140*220CM</v>
          </cell>
          <cell r="B1378" t="str">
            <v>YMQYGZZBGZ</v>
          </cell>
        </row>
        <row r="1379">
          <cell r="A1379" t="str">
            <v>YMQYGZZBGZ140*250CM</v>
          </cell>
          <cell r="B1379" t="str">
            <v>YMQYGZZBGZ</v>
          </cell>
        </row>
        <row r="1380">
          <cell r="A1380" t="str">
            <v>YMQYGZZBGZ60*60CM</v>
          </cell>
          <cell r="B1380" t="str">
            <v>YMQYGZZBGZ</v>
          </cell>
        </row>
        <row r="1381">
          <cell r="A1381" t="str">
            <v>YMQYGZZBGZ90*90CM</v>
          </cell>
          <cell r="B1381" t="str">
            <v>YMQYGZZBGZ</v>
          </cell>
        </row>
        <row r="1382">
          <cell r="A1382" t="str">
            <v>YMQYHLMCGGZ100*140CM</v>
          </cell>
          <cell r="B1382" t="str">
            <v>YMQYHLMCGG</v>
          </cell>
        </row>
        <row r="1383">
          <cell r="A1383" t="str">
            <v>YMQYHLMCGGZ140*140CM</v>
          </cell>
          <cell r="B1383" t="str">
            <v>YMQYHLMCGG</v>
          </cell>
        </row>
        <row r="1384">
          <cell r="A1384" t="str">
            <v>YMQYHLMCGGZ140*160CM</v>
          </cell>
          <cell r="B1384" t="str">
            <v>YMQYHLMCGG</v>
          </cell>
        </row>
        <row r="1385">
          <cell r="A1385" t="str">
            <v>YMQYHLMCGGZ140*180CM</v>
          </cell>
          <cell r="B1385" t="str">
            <v>YMQYHLMCGG</v>
          </cell>
        </row>
        <row r="1386">
          <cell r="A1386" t="str">
            <v>YMQYHLMCGGZ140*200CM</v>
          </cell>
          <cell r="B1386" t="str">
            <v>YMQYHLMCGG</v>
          </cell>
        </row>
        <row r="1387">
          <cell r="A1387" t="str">
            <v>YMQYHLMCGGZ140*220CM</v>
          </cell>
          <cell r="B1387" t="str">
            <v>YMQYHLMCGG</v>
          </cell>
        </row>
        <row r="1388">
          <cell r="A1388" t="str">
            <v>YMQYHLMCGGZ140*250CM</v>
          </cell>
          <cell r="B1388" t="str">
            <v>YMQYHLMCGG</v>
          </cell>
        </row>
        <row r="1389">
          <cell r="A1389" t="str">
            <v>YMQYHLMCGGZ90*90CM</v>
          </cell>
          <cell r="B1389" t="str">
            <v>YMQYHLMCGG</v>
          </cell>
        </row>
        <row r="1390">
          <cell r="A1390" t="str">
            <v>YMQYOZHLMCGGZ140*220CM</v>
          </cell>
          <cell r="B1390" t="str">
            <v>YMQYOZHLMCGGZ</v>
          </cell>
        </row>
        <row r="1391">
          <cell r="A1391" t="str">
            <v>YMQYQDZMZM100*140CM</v>
          </cell>
          <cell r="B1391" t="str">
            <v>YMQYQDZMZM</v>
          </cell>
        </row>
        <row r="1392">
          <cell r="A1392" t="str">
            <v>YMQYQDZMZM140*140CM</v>
          </cell>
          <cell r="B1392" t="str">
            <v>YMQYQDZMZM</v>
          </cell>
        </row>
        <row r="1393">
          <cell r="A1393" t="str">
            <v>YMQYQDZMZM140*160CM</v>
          </cell>
          <cell r="B1393" t="str">
            <v>YMQYQDZMZM</v>
          </cell>
        </row>
        <row r="1394">
          <cell r="A1394" t="str">
            <v>YMQYQDZMZM140*180CM</v>
          </cell>
          <cell r="B1394" t="str">
            <v>YMQYQDZMZM</v>
          </cell>
        </row>
        <row r="1395">
          <cell r="A1395" t="str">
            <v>YMQYQDZMZM140*200CM</v>
          </cell>
          <cell r="B1395" t="str">
            <v>YMQYQDZMZM</v>
          </cell>
        </row>
        <row r="1396">
          <cell r="A1396" t="str">
            <v>YMQYQDZMZM140*220CM</v>
          </cell>
          <cell r="B1396" t="str">
            <v>YMQYQDZMZM</v>
          </cell>
        </row>
        <row r="1397">
          <cell r="A1397" t="str">
            <v>YMQYQDZMZM140*250CM</v>
          </cell>
          <cell r="B1397" t="str">
            <v>YMQYQDZMZM</v>
          </cell>
        </row>
        <row r="1398">
          <cell r="A1398" t="str">
            <v>YMQYQDZMZM60*60CM</v>
          </cell>
          <cell r="B1398" t="str">
            <v>YMQYQDZMZM</v>
          </cell>
        </row>
        <row r="1399">
          <cell r="A1399" t="str">
            <v>YMQYQDZMZM90*90CM</v>
          </cell>
          <cell r="B1399" t="str">
            <v>YMQYQDZMZM</v>
          </cell>
        </row>
        <row r="1400">
          <cell r="A1400" t="str">
            <v>YMQYQHCZQ100*140CM</v>
          </cell>
          <cell r="B1400" t="str">
            <v>YMQYQHCZQ</v>
          </cell>
        </row>
        <row r="1401">
          <cell r="A1401" t="str">
            <v>YMQYQHCZQ140*140CM</v>
          </cell>
          <cell r="B1401" t="str">
            <v>YMQYQHCZQ</v>
          </cell>
        </row>
        <row r="1402">
          <cell r="A1402" t="str">
            <v>YMQYQHCZQ140*180CM</v>
          </cell>
          <cell r="B1402" t="str">
            <v>YMQYQHCZQ</v>
          </cell>
        </row>
        <row r="1403">
          <cell r="A1403" t="str">
            <v>YMQYQHCZQ140*220CM</v>
          </cell>
          <cell r="B1403" t="str">
            <v>YMQYQHCZQ</v>
          </cell>
        </row>
        <row r="1404">
          <cell r="A1404" t="str">
            <v>YMQYQHCZQ140*250CM</v>
          </cell>
          <cell r="B1404" t="str">
            <v>YMQYQHCZQ</v>
          </cell>
        </row>
        <row r="1405">
          <cell r="A1405" t="str">
            <v>YMQYQHCZQ90*90CM</v>
          </cell>
          <cell r="B1405" t="str">
            <v>YMQYQHCZQ</v>
          </cell>
        </row>
        <row r="1406">
          <cell r="A1406" t="str">
            <v>YMQYQJISZMSS100*140CM</v>
          </cell>
          <cell r="B1406" t="str">
            <v>YMQYQJISZM</v>
          </cell>
        </row>
        <row r="1407">
          <cell r="A1407" t="str">
            <v>YMQYQJISZMSS140*140CM</v>
          </cell>
          <cell r="B1407" t="str">
            <v>YMQYQJISZM</v>
          </cell>
        </row>
        <row r="1408">
          <cell r="A1408" t="str">
            <v>YMQYQJISZMSS140*180CM</v>
          </cell>
          <cell r="B1408" t="str">
            <v>YMQYQJISZM</v>
          </cell>
        </row>
        <row r="1409">
          <cell r="A1409" t="str">
            <v>YMQYQJISZMSS140*200CM</v>
          </cell>
          <cell r="B1409" t="str">
            <v>YMQYQJISZM</v>
          </cell>
        </row>
        <row r="1410">
          <cell r="A1410" t="str">
            <v>YMQYQJISZMSS140*220CM</v>
          </cell>
          <cell r="B1410" t="str">
            <v>YMQYQJISZM</v>
          </cell>
        </row>
        <row r="1411">
          <cell r="A1411" t="str">
            <v>YMQYQJISZMSS140*250CM</v>
          </cell>
          <cell r="B1411" t="str">
            <v>YMQYQJISZM</v>
          </cell>
        </row>
        <row r="1412">
          <cell r="A1412" t="str">
            <v>YMQYQJISZMSS60*60CM</v>
          </cell>
          <cell r="B1412" t="str">
            <v>YMQYQJISZM</v>
          </cell>
        </row>
        <row r="1413">
          <cell r="A1413" t="str">
            <v>YMQYQJISZMSS90*90CM</v>
          </cell>
          <cell r="B1413" t="str">
            <v>YMQYQJISZM</v>
          </cell>
        </row>
        <row r="1414">
          <cell r="A1414" t="str">
            <v>YMQYQJISZMZM100*140CM</v>
          </cell>
          <cell r="B1414" t="str">
            <v>YMQYQJISZM</v>
          </cell>
        </row>
        <row r="1415">
          <cell r="A1415" t="str">
            <v>YMQYQJISZMZM140*140CM</v>
          </cell>
          <cell r="B1415" t="str">
            <v>YMQYQJISZM</v>
          </cell>
        </row>
        <row r="1416">
          <cell r="A1416" t="str">
            <v>YMQYQJISZMZM140*180CM</v>
          </cell>
          <cell r="B1416" t="str">
            <v>YMQYQJISZM</v>
          </cell>
        </row>
        <row r="1417">
          <cell r="A1417" t="str">
            <v>YMQYQJISZMZM140*200CM</v>
          </cell>
          <cell r="B1417" t="str">
            <v>YMQYQJISZM</v>
          </cell>
        </row>
        <row r="1418">
          <cell r="A1418" t="str">
            <v>YMQYQJISZMZM140*220CM</v>
          </cell>
          <cell r="B1418" t="str">
            <v>YMQYQJISZM</v>
          </cell>
        </row>
        <row r="1419">
          <cell r="A1419" t="str">
            <v>YMQYQJISZMZM140*250CM</v>
          </cell>
          <cell r="B1419" t="str">
            <v>YMQYQJISZM</v>
          </cell>
        </row>
        <row r="1420">
          <cell r="A1420" t="str">
            <v>YMQYQJISZMZM60*60CM</v>
          </cell>
          <cell r="B1420" t="str">
            <v>YMQYQJISZM</v>
          </cell>
        </row>
        <row r="1421">
          <cell r="A1421" t="str">
            <v>YMQYQJISZMZM90*90CM</v>
          </cell>
          <cell r="B1421" t="str">
            <v>YMQYQJISZM</v>
          </cell>
        </row>
        <row r="1422">
          <cell r="A1422" t="str">
            <v>YMQYQW011W0100*140CM</v>
          </cell>
          <cell r="B1422" t="str">
            <v>YMQYQW011</v>
          </cell>
        </row>
        <row r="1423">
          <cell r="A1423" t="str">
            <v>YMQYQW011W0140*160CM</v>
          </cell>
          <cell r="B1423" t="str">
            <v>YMQYQW011</v>
          </cell>
        </row>
        <row r="1424">
          <cell r="A1424" t="str">
            <v>YMQYQW011W0140*200CM</v>
          </cell>
          <cell r="B1424" t="str">
            <v>YMQYQW011</v>
          </cell>
        </row>
        <row r="1425">
          <cell r="A1425" t="str">
            <v>YMQYQW011W0140*250CM</v>
          </cell>
          <cell r="B1425" t="str">
            <v>YMQYQW011</v>
          </cell>
        </row>
        <row r="1426">
          <cell r="A1426" t="str">
            <v>YMQYQW011W090*90CM</v>
          </cell>
          <cell r="B1426" t="str">
            <v>YMQYQW011</v>
          </cell>
        </row>
        <row r="1427">
          <cell r="A1427" t="str">
            <v>YMQYQXDHG0100*140CM</v>
          </cell>
          <cell r="B1427" t="str">
            <v>YMQYQXDH</v>
          </cell>
        </row>
        <row r="1428">
          <cell r="A1428" t="str">
            <v>YMQYQXDHG0140*140CM</v>
          </cell>
          <cell r="B1428" t="str">
            <v>YMQYQXDH</v>
          </cell>
        </row>
        <row r="1429">
          <cell r="A1429" t="str">
            <v>YMQYQXDHG0140*180CM</v>
          </cell>
          <cell r="B1429" t="str">
            <v>YMQYQXDH</v>
          </cell>
        </row>
        <row r="1430">
          <cell r="A1430" t="str">
            <v>YMQYQXDHG0140*200CM</v>
          </cell>
          <cell r="B1430" t="str">
            <v>YMQYQXDH</v>
          </cell>
        </row>
        <row r="1431">
          <cell r="A1431" t="str">
            <v>YMQYQXDHG0140*220CM</v>
          </cell>
          <cell r="B1431" t="str">
            <v>YMQYQXDH</v>
          </cell>
        </row>
        <row r="1432">
          <cell r="A1432" t="str">
            <v>YMQYQXDHG0140*250CM</v>
          </cell>
          <cell r="B1432" t="str">
            <v>YMQYQXDH</v>
          </cell>
        </row>
        <row r="1433">
          <cell r="A1433" t="str">
            <v>YMQYQXDHG060*60CM</v>
          </cell>
          <cell r="B1433" t="str">
            <v>YMQYQXDH</v>
          </cell>
        </row>
        <row r="1434">
          <cell r="A1434" t="str">
            <v>YMQYQXDHG090*90CM</v>
          </cell>
          <cell r="B1434" t="str">
            <v>YMQYQXDH</v>
          </cell>
        </row>
        <row r="1435">
          <cell r="A1435" t="str">
            <v>YMQYQXDHKF100*140CM</v>
          </cell>
          <cell r="B1435" t="str">
            <v>YMQYQXDH</v>
          </cell>
        </row>
        <row r="1436">
          <cell r="A1436" t="str">
            <v>YMQYQXDHKF140*140CM</v>
          </cell>
          <cell r="B1436" t="str">
            <v>YMQYQXDH</v>
          </cell>
        </row>
        <row r="1437">
          <cell r="A1437" t="str">
            <v>YMQYQXDHKF140*160CM</v>
          </cell>
          <cell r="B1437" t="str">
            <v>YMQYQXDH</v>
          </cell>
        </row>
        <row r="1438">
          <cell r="A1438" t="str">
            <v>YMQYQXDHKF140*180CM</v>
          </cell>
          <cell r="B1438" t="str">
            <v>YMQYQXDH</v>
          </cell>
        </row>
        <row r="1439">
          <cell r="A1439" t="str">
            <v>YMQYQXDHKF140*200CM</v>
          </cell>
          <cell r="B1439" t="str">
            <v>YMQYQXDH</v>
          </cell>
        </row>
        <row r="1440">
          <cell r="A1440" t="str">
            <v>YMQYQXDHKF140*220CM</v>
          </cell>
          <cell r="B1440" t="str">
            <v>YMQYQXDH</v>
          </cell>
        </row>
        <row r="1441">
          <cell r="A1441" t="str">
            <v>YMQYQXDHKF140*250CM</v>
          </cell>
          <cell r="B1441" t="str">
            <v>YMQYQXDH</v>
          </cell>
        </row>
        <row r="1442">
          <cell r="A1442" t="str">
            <v>YMQYQXDHKF60*60CM</v>
          </cell>
          <cell r="B1442" t="str">
            <v>YMQYQXDH</v>
          </cell>
        </row>
        <row r="1443">
          <cell r="A1443" t="str">
            <v>YMQYQXDHKF90*90CM</v>
          </cell>
          <cell r="B1443" t="str">
            <v>YMQYQXDH</v>
          </cell>
        </row>
        <row r="1444">
          <cell r="A1444" t="str">
            <v>YMQYQXDHMAT40*35CM</v>
          </cell>
          <cell r="B1444" t="str">
            <v>YMQYQXDH</v>
          </cell>
        </row>
        <row r="1445">
          <cell r="A1445" t="str">
            <v>YMQYQXDHPO100*140CM</v>
          </cell>
          <cell r="B1445" t="str">
            <v>YMQYQXDH</v>
          </cell>
        </row>
        <row r="1446">
          <cell r="A1446" t="str">
            <v>YMQYQXDHPO140*140CM</v>
          </cell>
          <cell r="B1446" t="str">
            <v>YMQYQXDH</v>
          </cell>
        </row>
        <row r="1447">
          <cell r="A1447" t="str">
            <v>YMQYQXDHPO140*160CM</v>
          </cell>
          <cell r="B1447" t="str">
            <v>YMQYQXDH</v>
          </cell>
        </row>
        <row r="1448">
          <cell r="A1448" t="str">
            <v>YMQYQXDHPO140*180CM</v>
          </cell>
          <cell r="B1448" t="str">
            <v>YMQYQXDH</v>
          </cell>
        </row>
        <row r="1449">
          <cell r="A1449" t="str">
            <v>YMQYQXDHPO140*200CM</v>
          </cell>
          <cell r="B1449" t="str">
            <v>YMQYQXDH</v>
          </cell>
        </row>
        <row r="1450">
          <cell r="A1450" t="str">
            <v>YMQYQXDHPO140*220CM</v>
          </cell>
          <cell r="B1450" t="str">
            <v>YMQYQXDH</v>
          </cell>
        </row>
        <row r="1451">
          <cell r="A1451" t="str">
            <v>YMQYQXDHPO140*250CM</v>
          </cell>
          <cell r="B1451" t="str">
            <v>YMQYQXDH</v>
          </cell>
        </row>
        <row r="1452">
          <cell r="A1452" t="str">
            <v>YMQYQXDHPO60*60CM</v>
          </cell>
          <cell r="B1452" t="str">
            <v>YMQYQXDH</v>
          </cell>
        </row>
        <row r="1453">
          <cell r="A1453" t="str">
            <v>YMQYQXDHPO90*90CM</v>
          </cell>
          <cell r="B1453" t="str">
            <v>YMQYQXDH</v>
          </cell>
        </row>
        <row r="1454">
          <cell r="A1454" t="str">
            <v>YMQYQXDHW0100*140CM</v>
          </cell>
          <cell r="B1454" t="str">
            <v>YMQYQXDH</v>
          </cell>
        </row>
        <row r="1455">
          <cell r="A1455" t="str">
            <v>YMQYQXDHW0140*140CM</v>
          </cell>
          <cell r="B1455" t="str">
            <v>YMQYQXDH</v>
          </cell>
        </row>
        <row r="1456">
          <cell r="A1456" t="str">
            <v>YMQYQXDHW0140*160CM</v>
          </cell>
          <cell r="B1456" t="str">
            <v>YMQYQXDH</v>
          </cell>
        </row>
        <row r="1457">
          <cell r="A1457" t="str">
            <v>YMQYQXDHW0140*180CM</v>
          </cell>
          <cell r="B1457" t="str">
            <v>YMQYQXDH</v>
          </cell>
        </row>
        <row r="1458">
          <cell r="A1458" t="str">
            <v>YMQYQXDHW0140*200CM</v>
          </cell>
          <cell r="B1458" t="str">
            <v>YMQYQXDH</v>
          </cell>
        </row>
        <row r="1459">
          <cell r="A1459" t="str">
            <v>YMQYQXDHW0140*220CM</v>
          </cell>
          <cell r="B1459" t="str">
            <v>YMQYQXDH</v>
          </cell>
        </row>
        <row r="1460">
          <cell r="A1460" t="str">
            <v>YMQYQXDHW0140*250CM</v>
          </cell>
          <cell r="B1460" t="str">
            <v>YMQYQXDH</v>
          </cell>
        </row>
        <row r="1461">
          <cell r="A1461" t="str">
            <v>YMQYQXDHW060*60CM</v>
          </cell>
          <cell r="B1461" t="str">
            <v>YMQYQXDH</v>
          </cell>
        </row>
        <row r="1462">
          <cell r="A1462" t="str">
            <v>YMQYQXDHW090*90CM</v>
          </cell>
          <cell r="B1462" t="str">
            <v>YMQYQXDH</v>
          </cell>
        </row>
        <row r="1463">
          <cell r="A1463" t="str">
            <v>YMQYQXDHY0100*140CM</v>
          </cell>
          <cell r="B1463" t="str">
            <v>YMQYQXDH</v>
          </cell>
        </row>
        <row r="1464">
          <cell r="A1464" t="str">
            <v>YMQYQXDHY0140*140CM</v>
          </cell>
          <cell r="B1464" t="str">
            <v>YMQYQXDH</v>
          </cell>
        </row>
        <row r="1465">
          <cell r="A1465" t="str">
            <v>YMQYQXDHY0140*180CM</v>
          </cell>
          <cell r="B1465" t="str">
            <v>YMQYQXDH</v>
          </cell>
        </row>
        <row r="1466">
          <cell r="A1466" t="str">
            <v>YMQYQXDHY0140*200CM</v>
          </cell>
          <cell r="B1466" t="str">
            <v>YMQYQXDH</v>
          </cell>
        </row>
        <row r="1467">
          <cell r="A1467" t="str">
            <v>YMQYQXDHY0140*220CM</v>
          </cell>
          <cell r="B1467" t="str">
            <v>YMQYQXDH</v>
          </cell>
        </row>
        <row r="1468">
          <cell r="A1468" t="str">
            <v>YMQYQXDHY0140*250CM</v>
          </cell>
          <cell r="B1468" t="str">
            <v>YMQYQXDH</v>
          </cell>
        </row>
        <row r="1469">
          <cell r="A1469" t="str">
            <v>YMQYQXDHY060*60CM</v>
          </cell>
          <cell r="B1469" t="str">
            <v>YMQYQXDH</v>
          </cell>
        </row>
        <row r="1470">
          <cell r="A1470" t="str">
            <v>YMQYQXDHY090*90CM</v>
          </cell>
          <cell r="B1470" t="str">
            <v>YMQYQXDH</v>
          </cell>
        </row>
        <row r="1471">
          <cell r="A1471" t="str">
            <v>YMQYQZB05HS100*140CM</v>
          </cell>
          <cell r="B1471" t="str">
            <v>YMQYQZB05HS</v>
          </cell>
        </row>
        <row r="1472">
          <cell r="A1472" t="str">
            <v>YMQYQZB05HS140*180CM</v>
          </cell>
          <cell r="B1472" t="str">
            <v>YMQYQZB05HS</v>
          </cell>
        </row>
        <row r="1473">
          <cell r="A1473" t="str">
            <v>YMQYQZB05HS140*200CM</v>
          </cell>
          <cell r="B1473" t="str">
            <v>YMQYQZB05HS</v>
          </cell>
        </row>
        <row r="1474">
          <cell r="A1474" t="str">
            <v>YMQYQZB05HS140*220CM</v>
          </cell>
          <cell r="B1474" t="str">
            <v>YMQYQZB05HS</v>
          </cell>
        </row>
        <row r="1475">
          <cell r="A1475" t="str">
            <v>YMQYQZB05HS140*250CM</v>
          </cell>
          <cell r="B1475" t="str">
            <v>YMQYQZB05HS</v>
          </cell>
        </row>
        <row r="1476">
          <cell r="A1476" t="str">
            <v>YMQYQZB05HS60*60CM</v>
          </cell>
          <cell r="B1476" t="str">
            <v>YMQYQZB05HS</v>
          </cell>
        </row>
        <row r="1477">
          <cell r="A1477" t="str">
            <v>YMQYQZB11ZQ140*180CM</v>
          </cell>
          <cell r="B1477" t="str">
            <v>YMQYQZB11ZQ</v>
          </cell>
        </row>
        <row r="1478">
          <cell r="A1478" t="str">
            <v>YMQYQZB11ZQ140*200CM</v>
          </cell>
          <cell r="B1478" t="str">
            <v>YMQYQZB11ZQ</v>
          </cell>
        </row>
        <row r="1479">
          <cell r="A1479" t="str">
            <v>YMQYQZB11ZQ140*220CM</v>
          </cell>
          <cell r="B1479" t="str">
            <v>YMQYQZB11ZQ</v>
          </cell>
        </row>
        <row r="1480">
          <cell r="A1480" t="str">
            <v>YMQYQZB11ZQ140*250CM</v>
          </cell>
          <cell r="B1480" t="str">
            <v>YMQYQZB11ZQ</v>
          </cell>
        </row>
        <row r="1481">
          <cell r="A1481" t="str">
            <v>YMQYQZBBKSC100*140CM</v>
          </cell>
          <cell r="B1481" t="str">
            <v>YMQYQZBBKSC</v>
          </cell>
        </row>
        <row r="1482">
          <cell r="A1482" t="str">
            <v>YMQYQZBBKSC140*160CM</v>
          </cell>
          <cell r="B1482" t="str">
            <v>YMQYQZBBKSC</v>
          </cell>
        </row>
        <row r="1483">
          <cell r="A1483" t="str">
            <v>YMQYQZBBKSC140*180CM</v>
          </cell>
          <cell r="B1483" t="str">
            <v>YMQYQZBBKSC</v>
          </cell>
        </row>
        <row r="1484">
          <cell r="A1484" t="str">
            <v>YMQYQZBBKSC140*200CM</v>
          </cell>
          <cell r="B1484" t="str">
            <v>YMQYQZBBKSC</v>
          </cell>
        </row>
        <row r="1485">
          <cell r="A1485" t="str">
            <v>YMQYQZBBKSC140*220CM</v>
          </cell>
          <cell r="B1485" t="str">
            <v>YMQYQZBBKSC</v>
          </cell>
        </row>
        <row r="1486">
          <cell r="A1486" t="str">
            <v>YMQYQZBBKSC140*250CM</v>
          </cell>
          <cell r="B1486" t="str">
            <v>YMQYQZBBKSC</v>
          </cell>
        </row>
        <row r="1487">
          <cell r="A1487" t="str">
            <v>YMQYQZBBKSC90*90CM</v>
          </cell>
          <cell r="B1487" t="str">
            <v>YMQYQZBBKSC</v>
          </cell>
        </row>
        <row r="1488">
          <cell r="A1488" t="str">
            <v>YMQYQZBXHGSS140*140CM</v>
          </cell>
          <cell r="B1488" t="str">
            <v>YMQYQZBXHGSS</v>
          </cell>
        </row>
        <row r="1489">
          <cell r="A1489" t="str">
            <v>YMQYQZBXHGSS140*160CM</v>
          </cell>
          <cell r="B1489" t="str">
            <v>YMQYQZBXHGSS</v>
          </cell>
        </row>
        <row r="1490">
          <cell r="A1490" t="str">
            <v>YMQYQZBXHGSS140*180CM</v>
          </cell>
          <cell r="B1490" t="str">
            <v>YMQYQZBXHGSS</v>
          </cell>
        </row>
        <row r="1491">
          <cell r="A1491" t="str">
            <v>YMQYQZBXHGSS140*200CM</v>
          </cell>
          <cell r="B1491" t="str">
            <v>YMQYQZBXHGSS</v>
          </cell>
        </row>
        <row r="1492">
          <cell r="A1492" t="str">
            <v>YMQYQZBXHGSS140*250CM</v>
          </cell>
          <cell r="B1492" t="str">
            <v>YMQYQZBXHGSS</v>
          </cell>
        </row>
        <row r="1493">
          <cell r="A1493" t="str">
            <v>YMQYQZBXHGSS90*90CM</v>
          </cell>
          <cell r="B1493" t="str">
            <v>YMQYQZBXHGSS</v>
          </cell>
        </row>
        <row r="1494">
          <cell r="A1494" t="str">
            <v>YMQYQZBXSHSS100*140CM</v>
          </cell>
          <cell r="B1494" t="str">
            <v>YMQYQZBXSHSS</v>
          </cell>
        </row>
        <row r="1495">
          <cell r="A1495" t="str">
            <v>YMQYQZBXSHSS140*200CM</v>
          </cell>
          <cell r="B1495" t="str">
            <v>YMQYQZBXSHSS</v>
          </cell>
        </row>
        <row r="1496">
          <cell r="A1496" t="str">
            <v>YMQYQZBXSHSS140*220CM</v>
          </cell>
          <cell r="B1496" t="str">
            <v>YMQYQZBXSHSS</v>
          </cell>
        </row>
        <row r="1497">
          <cell r="A1497" t="str">
            <v>YMQYQZBXSHSS140*250CM</v>
          </cell>
          <cell r="B1497" t="str">
            <v>YMQYQZBXSHSS</v>
          </cell>
        </row>
        <row r="1498">
          <cell r="A1498" t="str">
            <v>YMQYZB4DHD100*140CM</v>
          </cell>
          <cell r="B1498" t="str">
            <v>YMQYZB4DHD</v>
          </cell>
        </row>
        <row r="1499">
          <cell r="A1499" t="str">
            <v>YMQYZB4DHD140*140CM</v>
          </cell>
          <cell r="B1499" t="str">
            <v>YMQYZB4DHD</v>
          </cell>
        </row>
        <row r="1500">
          <cell r="A1500" t="str">
            <v>YMQYZB4DHD140*180CM</v>
          </cell>
          <cell r="B1500" t="str">
            <v>YMQYZB4DHD</v>
          </cell>
        </row>
        <row r="1501">
          <cell r="A1501" t="str">
            <v>YMQYZB4DHD140*220CM</v>
          </cell>
          <cell r="B1501" t="str">
            <v>YMQYZB4DHD</v>
          </cell>
        </row>
        <row r="1502">
          <cell r="A1502" t="str">
            <v>YMQYZB4DHD60*60CM</v>
          </cell>
          <cell r="B1502" t="str">
            <v>YMQYZB4DHD</v>
          </cell>
        </row>
        <row r="1503">
          <cell r="A1503" t="str">
            <v>YMQYZB756NY100*140</v>
          </cell>
          <cell r="B1503" t="str">
            <v>YMQYZB756N</v>
          </cell>
        </row>
        <row r="1504">
          <cell r="A1504" t="str">
            <v>YMQYZBCMCM100*140</v>
          </cell>
          <cell r="B1504" t="str">
            <v>YMQYZBCMCM</v>
          </cell>
        </row>
        <row r="1505">
          <cell r="A1505" t="str">
            <v>YMQYZBCMCM140*140</v>
          </cell>
          <cell r="B1505" t="str">
            <v>YMQYZBCMCM</v>
          </cell>
        </row>
        <row r="1506">
          <cell r="A1506" t="str">
            <v>YMQYZBCMCM140*160</v>
          </cell>
          <cell r="B1506" t="str">
            <v>YMQYZBCMCM</v>
          </cell>
        </row>
        <row r="1507">
          <cell r="A1507" t="str">
            <v>YMQYZBCMCM140*200</v>
          </cell>
          <cell r="B1507" t="str">
            <v>YMQYZBCMCM</v>
          </cell>
        </row>
        <row r="1508">
          <cell r="A1508" t="str">
            <v>YMQYZBCMCM140*250</v>
          </cell>
          <cell r="B1508" t="str">
            <v>YMQYZBCMCM</v>
          </cell>
        </row>
        <row r="1509">
          <cell r="A1509" t="str">
            <v>YMQYZBCSMS100*140CM</v>
          </cell>
          <cell r="B1509" t="str">
            <v>YMQYZBCSM</v>
          </cell>
        </row>
        <row r="1510">
          <cell r="A1510" t="str">
            <v>YMQYZBCSMS14*16CM</v>
          </cell>
          <cell r="B1510" t="str">
            <v>YMQYZBCSM</v>
          </cell>
        </row>
        <row r="1511">
          <cell r="A1511" t="str">
            <v>YMQYZBCSMS140*140CM</v>
          </cell>
          <cell r="B1511" t="str">
            <v>YMQYZBCSM</v>
          </cell>
        </row>
        <row r="1512">
          <cell r="A1512" t="str">
            <v>YMQYZBCSMS140*180CM</v>
          </cell>
          <cell r="B1512" t="str">
            <v>YMQYZBCSM</v>
          </cell>
        </row>
        <row r="1513">
          <cell r="A1513" t="str">
            <v>YMQYZBCSMS140*200CM</v>
          </cell>
          <cell r="B1513" t="str">
            <v>YMQYZBCSM</v>
          </cell>
        </row>
        <row r="1514">
          <cell r="A1514" t="str">
            <v>YMQYZBCSMS140*220CM</v>
          </cell>
          <cell r="B1514" t="str">
            <v>YMQYZBCSM</v>
          </cell>
        </row>
        <row r="1515">
          <cell r="A1515" t="str">
            <v>YMQYZBCSMS140*250CM</v>
          </cell>
          <cell r="B1515" t="str">
            <v>YMQYZBCSM</v>
          </cell>
        </row>
        <row r="1516">
          <cell r="A1516" t="str">
            <v>YMQYZBCSMS60*60CM</v>
          </cell>
          <cell r="B1516" t="str">
            <v>YMQYZBCSM</v>
          </cell>
        </row>
        <row r="1517">
          <cell r="A1517" t="str">
            <v>YMQYZBCSMS90*90CM</v>
          </cell>
          <cell r="B1517" t="str">
            <v>YMQYZBCSM</v>
          </cell>
        </row>
        <row r="1518">
          <cell r="A1518" t="str">
            <v>YMQYZBJTE0100*140CM</v>
          </cell>
          <cell r="B1518" t="str">
            <v>YMQYZBJT</v>
          </cell>
        </row>
        <row r="1519">
          <cell r="A1519" t="str">
            <v>YMQYZBJTE0140*140CM</v>
          </cell>
          <cell r="B1519" t="str">
            <v>YMQYZBJT</v>
          </cell>
        </row>
        <row r="1520">
          <cell r="A1520" t="str">
            <v>YMQYZBJTE0140*180CM</v>
          </cell>
          <cell r="B1520" t="str">
            <v>YMQYZBJT</v>
          </cell>
        </row>
        <row r="1521">
          <cell r="A1521" t="str">
            <v>YMQYZBJTE0140*200CM</v>
          </cell>
          <cell r="B1521" t="str">
            <v>YMQYZBJT</v>
          </cell>
        </row>
        <row r="1522">
          <cell r="A1522" t="str">
            <v>YMQYZBJTE0140*220CM</v>
          </cell>
          <cell r="B1522" t="str">
            <v>YMQYZBJT</v>
          </cell>
        </row>
        <row r="1523">
          <cell r="A1523" t="str">
            <v>YMQYZBJTE0140*250CM</v>
          </cell>
          <cell r="B1523" t="str">
            <v>YMQYZBJT</v>
          </cell>
        </row>
        <row r="1524">
          <cell r="A1524" t="str">
            <v>YMQYZBJTE059*59CM</v>
          </cell>
          <cell r="B1524" t="str">
            <v>YMQYZBJT</v>
          </cell>
        </row>
        <row r="1525">
          <cell r="A1525" t="str">
            <v>YMQYZBJTE060*60CM</v>
          </cell>
          <cell r="B1525" t="str">
            <v>YMQYZBJT</v>
          </cell>
        </row>
        <row r="1526">
          <cell r="A1526" t="str">
            <v>YMQYZBJTE090*90CM</v>
          </cell>
          <cell r="B1526" t="str">
            <v>YMQYZBJT</v>
          </cell>
        </row>
        <row r="1527">
          <cell r="A1527" t="str">
            <v>YMQYZBTZGY0100*140CM</v>
          </cell>
          <cell r="B1527" t="str">
            <v>YMQYZBTZG</v>
          </cell>
        </row>
        <row r="1528">
          <cell r="A1528" t="str">
            <v>YMQYZBTZGY0140*140CM</v>
          </cell>
          <cell r="B1528" t="str">
            <v>YMQYZBTZG</v>
          </cell>
        </row>
        <row r="1529">
          <cell r="A1529" t="str">
            <v>YMQYZBTZGY0140*180CM</v>
          </cell>
          <cell r="B1529" t="str">
            <v>YMQYZBTZG</v>
          </cell>
        </row>
        <row r="1530">
          <cell r="A1530" t="str">
            <v>YMQYZBTZGY0140*200CM</v>
          </cell>
          <cell r="B1530" t="str">
            <v>YMQYZBTZG</v>
          </cell>
        </row>
        <row r="1531">
          <cell r="A1531" t="str">
            <v>YMQYZBTZGY0140*220CM</v>
          </cell>
          <cell r="B1531" t="str">
            <v>YMQYZBTZG</v>
          </cell>
        </row>
        <row r="1532">
          <cell r="A1532" t="str">
            <v>YMQYZBTZGY0140*250CM</v>
          </cell>
          <cell r="B1532" t="str">
            <v>YMQYZBTZG</v>
          </cell>
        </row>
        <row r="1533">
          <cell r="A1533" t="str">
            <v>YMQYZBTZGY060*60CM</v>
          </cell>
          <cell r="B1533" t="str">
            <v>YMQYZBTZG</v>
          </cell>
        </row>
        <row r="1534">
          <cell r="A1534" t="str">
            <v>YMQYZBTZGY090*90CM</v>
          </cell>
          <cell r="B1534" t="str">
            <v>YMQYZBTZG</v>
          </cell>
        </row>
        <row r="1535">
          <cell r="A1535" t="str">
            <v>YMQYZHUOBUJXXHB0100x140CM</v>
          </cell>
          <cell r="B1535" t="str">
            <v>YMQYZHUOBUJXXH</v>
          </cell>
        </row>
        <row r="1536">
          <cell r="A1536" t="str">
            <v>YMQYZHUOBUJXXHB0140x140CM</v>
          </cell>
          <cell r="B1536" t="str">
            <v>YMQYZHUOBUJXXH</v>
          </cell>
        </row>
        <row r="1537">
          <cell r="A1537" t="str">
            <v>YMQYZHUOBUJXXHB0140x160CM</v>
          </cell>
          <cell r="B1537" t="str">
            <v>YMQYZHUOBUJXXH</v>
          </cell>
        </row>
        <row r="1538">
          <cell r="A1538" t="str">
            <v>YMQYZHUOBUJXXHB0140x180CM</v>
          </cell>
          <cell r="B1538" t="str">
            <v>YMQYZHUOBUJXXH</v>
          </cell>
        </row>
        <row r="1539">
          <cell r="A1539" t="str">
            <v>YMQYZHUOBUJXXHB0140x200CM</v>
          </cell>
          <cell r="B1539" t="str">
            <v>YMQYZHUOBUJXXH</v>
          </cell>
        </row>
        <row r="1540">
          <cell r="A1540" t="str">
            <v>YMQYZHUOBUJXXHB0140x220CM</v>
          </cell>
          <cell r="B1540" t="str">
            <v>YMQYZHUOBUJXXH</v>
          </cell>
        </row>
        <row r="1541">
          <cell r="A1541" t="str">
            <v>YMQYZHUOBUJXXHB0140x250CM</v>
          </cell>
          <cell r="B1541" t="str">
            <v>YMQYZHUOBUJXXH</v>
          </cell>
        </row>
        <row r="1542">
          <cell r="A1542" t="str">
            <v>YMQYZHUOBUJXXHB060x60CM</v>
          </cell>
          <cell r="B1542" t="str">
            <v>YMQYZHUOBUJXXH</v>
          </cell>
        </row>
        <row r="1543">
          <cell r="A1543" t="str">
            <v>YMQYZHUOBUJXXHB090x90CM</v>
          </cell>
          <cell r="B1543" t="str">
            <v>YMQYZHUOBUJXXH</v>
          </cell>
        </row>
        <row r="1544">
          <cell r="A1544" t="str">
            <v>YMQYZTZM45*45CM</v>
          </cell>
          <cell r="B1544" t="str">
            <v>YMQYZTZM</v>
          </cell>
        </row>
        <row r="1545">
          <cell r="A1545" t="str">
            <v>YT-IUGOLDEN-40*60CM</v>
          </cell>
          <cell r="B1545" t="str">
            <v>YT-IUGOLDEN</v>
          </cell>
        </row>
        <row r="1546">
          <cell r="A1546" t="str">
            <v>YT-IUPURPLE-40*60CM</v>
          </cell>
          <cell r="B1546" t="str">
            <v>YT-IUPURPLE</v>
          </cell>
        </row>
        <row r="1547">
          <cell r="A1547" t="str">
            <v>YXB813G0</v>
          </cell>
          <cell r="B1547" t="str">
            <v>YXB813</v>
          </cell>
        </row>
        <row r="1548">
          <cell r="A1548" t="str">
            <v>YXB813KQ</v>
          </cell>
          <cell r="B1548" t="str">
            <v>YXB813</v>
          </cell>
        </row>
        <row r="1549">
          <cell r="A1549" t="str">
            <v>YXB813KR36</v>
          </cell>
          <cell r="B1549" t="str">
            <v>YXB813</v>
          </cell>
        </row>
        <row r="1550">
          <cell r="A1550" t="str">
            <v>YXB813XS39</v>
          </cell>
          <cell r="B1550" t="str">
            <v>YXB813</v>
          </cell>
        </row>
        <row r="1551">
          <cell r="A1551" t="str">
            <v>YX-IUCY-102-AE-2XL</v>
          </cell>
          <cell r="B1551" t="str">
            <v>YX-IUCY</v>
          </cell>
        </row>
        <row r="1552">
          <cell r="A1552" t="str">
            <v>YX-IUCY-102-AE-L</v>
          </cell>
          <cell r="B1552" t="str">
            <v>YX-IUCY</v>
          </cell>
        </row>
        <row r="1553">
          <cell r="A1553" t="str">
            <v>YX-IUCY-102-AE-XL</v>
          </cell>
          <cell r="B1553" t="str">
            <v>YX-IUCY</v>
          </cell>
        </row>
        <row r="1554">
          <cell r="A1554" t="str">
            <v>YX-IUCY-102-KO-L</v>
          </cell>
          <cell r="B1554" t="str">
            <v>YX-IUCY</v>
          </cell>
        </row>
        <row r="1555">
          <cell r="A1555" t="str">
            <v>YX-IUCY-102-KO-X-2XL</v>
          </cell>
          <cell r="B1555" t="str">
            <v>YX-IUCY</v>
          </cell>
        </row>
        <row r="1556">
          <cell r="A1556" t="str">
            <v>YX-IUCY-102-KO-XL</v>
          </cell>
          <cell r="B1556" t="str">
            <v>YX-IUCY</v>
          </cell>
        </row>
        <row r="1557">
          <cell r="A1557" t="str">
            <v>YX-IUCY-102-WO-2XL</v>
          </cell>
          <cell r="B1557" t="str">
            <v>YX-IUCY</v>
          </cell>
        </row>
        <row r="1558">
          <cell r="A1558" t="str">
            <v>YX-IUCY-102-WO-L</v>
          </cell>
          <cell r="B1558" t="str">
            <v>YX-IUCY</v>
          </cell>
        </row>
        <row r="1559">
          <cell r="A1559" t="str">
            <v>YX-IUCY-102-WO-XL</v>
          </cell>
          <cell r="B1559" t="str">
            <v>YX-IUCY</v>
          </cell>
        </row>
        <row r="1560">
          <cell r="A1560" t="str">
            <v>YX-IUCY-518-BO-2XL</v>
          </cell>
          <cell r="B1560" t="str">
            <v>YX-IUCY</v>
          </cell>
        </row>
        <row r="1561">
          <cell r="A1561" t="str">
            <v>YX-IUCY-518-BO-L</v>
          </cell>
          <cell r="B1561" t="str">
            <v>YX-IUCY</v>
          </cell>
        </row>
        <row r="1562">
          <cell r="A1562" t="str">
            <v>YX-IUCY-518-BO-XL</v>
          </cell>
          <cell r="B1562" t="str">
            <v>YX-IUCY</v>
          </cell>
        </row>
        <row r="1563">
          <cell r="A1563" t="str">
            <v>YX-IUCY-518-N5-2XL</v>
          </cell>
          <cell r="B1563" t="str">
            <v>YX-IUCY</v>
          </cell>
        </row>
        <row r="1564">
          <cell r="A1564" t="str">
            <v>YX-IUCY-518-N5-L</v>
          </cell>
          <cell r="B1564" t="str">
            <v>YX-IUCY</v>
          </cell>
        </row>
        <row r="1565">
          <cell r="A1565" t="str">
            <v>YX-IUCY-518-N5-XL</v>
          </cell>
          <cell r="B1565" t="str">
            <v>YX-IUCY</v>
          </cell>
        </row>
        <row r="1566">
          <cell r="A1566" t="str">
            <v>YX-IUCY-518-WO-2XL</v>
          </cell>
          <cell r="B1566" t="str">
            <v>YX-IUCY</v>
          </cell>
        </row>
        <row r="1567">
          <cell r="A1567" t="str">
            <v>YX-IUCY-518-WO-L</v>
          </cell>
          <cell r="B1567" t="str">
            <v>YX-IUCY</v>
          </cell>
        </row>
        <row r="1568">
          <cell r="A1568" t="str">
            <v>YX-IUCY-518-WO-XL</v>
          </cell>
          <cell r="B1568" t="str">
            <v>YX-IUCY</v>
          </cell>
        </row>
        <row r="1569">
          <cell r="A1569" t="str">
            <v>YX-IUCY-819-N5-2XL</v>
          </cell>
          <cell r="B1569" t="str">
            <v>YX-IUCY</v>
          </cell>
        </row>
        <row r="1570">
          <cell r="A1570" t="str">
            <v>YX-IUCY-819-N5-L</v>
          </cell>
          <cell r="B1570" t="str">
            <v>YX-IUCY</v>
          </cell>
        </row>
        <row r="1571">
          <cell r="A1571" t="str">
            <v>YX-IUCY-819-N5-XL</v>
          </cell>
          <cell r="B1571" t="str">
            <v>YX-IUCY</v>
          </cell>
        </row>
        <row r="1572">
          <cell r="A1572" t="str">
            <v>YX-IUCY-819-WO-2XL</v>
          </cell>
          <cell r="B1572" t="str">
            <v>YX-IUCY</v>
          </cell>
        </row>
        <row r="1573">
          <cell r="A1573" t="str">
            <v>YX-IUCY-819-WO-L</v>
          </cell>
          <cell r="B1573" t="str">
            <v>YX-IUCY</v>
          </cell>
        </row>
        <row r="1574">
          <cell r="A1574" t="str">
            <v>YX-IUCY-819-WO-XL</v>
          </cell>
          <cell r="B1574" t="str">
            <v>YX-IUCY</v>
          </cell>
        </row>
        <row r="1575">
          <cell r="A1575" t="str">
            <v>YY1100G0L</v>
          </cell>
          <cell r="B1575" t="str">
            <v>YY1100</v>
          </cell>
        </row>
        <row r="1576">
          <cell r="A1576" t="str">
            <v>YY1100G0M</v>
          </cell>
          <cell r="B1576" t="str">
            <v>YY1100</v>
          </cell>
        </row>
        <row r="1577">
          <cell r="A1577" t="str">
            <v>YY1100PR</v>
          </cell>
          <cell r="B1577" t="str">
            <v>YY1100</v>
          </cell>
        </row>
        <row r="1578">
          <cell r="A1578" t="str">
            <v>YY1100W0L</v>
          </cell>
          <cell r="B1578" t="str">
            <v>YY1100</v>
          </cell>
        </row>
        <row r="1579">
          <cell r="A1579" t="str">
            <v>YY1100W0M</v>
          </cell>
          <cell r="B1579" t="str">
            <v>YY1100</v>
          </cell>
        </row>
        <row r="1580">
          <cell r="A1580" t="str">
            <v>YY2003G0</v>
          </cell>
          <cell r="B1580" t="str">
            <v>YY2003</v>
          </cell>
        </row>
        <row r="1581">
          <cell r="A1581" t="str">
            <v>YY2009L</v>
          </cell>
          <cell r="B1581" t="str">
            <v>YY2009</v>
          </cell>
        </row>
        <row r="1582">
          <cell r="A1582" t="str">
            <v>YY2009XL</v>
          </cell>
          <cell r="B1582" t="str">
            <v>YY2009</v>
          </cell>
        </row>
        <row r="1583">
          <cell r="A1583" t="str">
            <v>YY2126B0</v>
          </cell>
          <cell r="B1583" t="str">
            <v>YY2126</v>
          </cell>
        </row>
        <row r="1584">
          <cell r="A1584" t="str">
            <v>YY2126R0</v>
          </cell>
          <cell r="B1584" t="str">
            <v>YY2126</v>
          </cell>
        </row>
        <row r="1585">
          <cell r="A1585" t="str">
            <v>YY2127GR</v>
          </cell>
          <cell r="B1585" t="str">
            <v>YY2127</v>
          </cell>
        </row>
        <row r="1586">
          <cell r="A1586" t="str">
            <v>YY2127GRL</v>
          </cell>
          <cell r="B1586" t="str">
            <v>YY2127</v>
          </cell>
        </row>
        <row r="1587">
          <cell r="A1587" t="str">
            <v>YY2127GRXXL</v>
          </cell>
          <cell r="B1587" t="str">
            <v>YY2127</v>
          </cell>
        </row>
        <row r="1588">
          <cell r="A1588" t="str">
            <v>YY2127GRYL</v>
          </cell>
          <cell r="B1588" t="str">
            <v>YY2127</v>
          </cell>
        </row>
        <row r="1589">
          <cell r="A1589" t="str">
            <v>YY2127GRYM</v>
          </cell>
          <cell r="B1589" t="str">
            <v>YY2127</v>
          </cell>
        </row>
        <row r="1590">
          <cell r="A1590" t="str">
            <v>YY2127GRYXL</v>
          </cell>
          <cell r="B1590" t="str">
            <v>YY2127</v>
          </cell>
        </row>
        <row r="1591">
          <cell r="A1591" t="str">
            <v>YY5100B0L</v>
          </cell>
          <cell r="B1591" t="str">
            <v>YY5100</v>
          </cell>
        </row>
        <row r="1592">
          <cell r="A1592" t="str">
            <v>YY5100B0M</v>
          </cell>
          <cell r="B1592" t="str">
            <v>YY5100</v>
          </cell>
        </row>
        <row r="1593">
          <cell r="A1593" t="str">
            <v>YY5100B0S</v>
          </cell>
          <cell r="B1593" t="str">
            <v>YY5100</v>
          </cell>
        </row>
        <row r="1594">
          <cell r="A1594" t="str">
            <v>YY5100B0XL</v>
          </cell>
          <cell r="B1594" t="str">
            <v>YY5100</v>
          </cell>
        </row>
        <row r="1595">
          <cell r="A1595" t="str">
            <v>YY5100B0XXL</v>
          </cell>
          <cell r="B1595" t="str">
            <v>YY5100</v>
          </cell>
        </row>
        <row r="1596">
          <cell r="A1596" t="str">
            <v>YY5100B1XL</v>
          </cell>
          <cell r="B1596" t="str">
            <v>YY5100</v>
          </cell>
        </row>
        <row r="1597">
          <cell r="A1597" t="str">
            <v>YY5100R5L</v>
          </cell>
          <cell r="B1597" t="str">
            <v>YY5100</v>
          </cell>
        </row>
        <row r="1598">
          <cell r="A1598" t="str">
            <v>YY5100R5M</v>
          </cell>
          <cell r="B1598" t="str">
            <v>YY5100</v>
          </cell>
        </row>
        <row r="1599">
          <cell r="A1599" t="str">
            <v>YY5100R5S</v>
          </cell>
          <cell r="B1599" t="str">
            <v>YY5100</v>
          </cell>
        </row>
        <row r="1600">
          <cell r="A1600" t="str">
            <v>YY5100R5XL</v>
          </cell>
          <cell r="B1600" t="str">
            <v>YY5100</v>
          </cell>
        </row>
        <row r="1601">
          <cell r="A1601" t="str">
            <v>YY5100R5XXL</v>
          </cell>
          <cell r="B1601" t="str">
            <v>YY5100</v>
          </cell>
        </row>
        <row r="1602">
          <cell r="A1602" t="str">
            <v>YY5100XB0L</v>
          </cell>
          <cell r="B1602" t="str">
            <v>YY5100</v>
          </cell>
        </row>
        <row r="1603">
          <cell r="A1603" t="str">
            <v>YY5100XB0M</v>
          </cell>
          <cell r="B1603" t="str">
            <v>YY5100</v>
          </cell>
        </row>
        <row r="1604">
          <cell r="A1604" t="str">
            <v>YY5100XB0S</v>
          </cell>
          <cell r="B1604" t="str">
            <v>YY5100</v>
          </cell>
        </row>
        <row r="1605">
          <cell r="A1605" t="str">
            <v>YY5100XB0XL</v>
          </cell>
          <cell r="B1605" t="str">
            <v>YY5100</v>
          </cell>
        </row>
        <row r="1606">
          <cell r="A1606" t="str">
            <v>YY5100XB0XXL</v>
          </cell>
          <cell r="B1606" t="str">
            <v>YY5100</v>
          </cell>
        </row>
        <row r="1607">
          <cell r="A1607" t="str">
            <v>YY5100XGZG0</v>
          </cell>
          <cell r="B1607" t="str">
            <v>YY5100</v>
          </cell>
        </row>
        <row r="1608">
          <cell r="A1608" t="str">
            <v>YY5100XHSYY</v>
          </cell>
          <cell r="B1608" t="str">
            <v>YY5100</v>
          </cell>
        </row>
        <row r="1609">
          <cell r="A1609" t="str">
            <v>YY5100XR5L</v>
          </cell>
          <cell r="B1609" t="str">
            <v>YY5100</v>
          </cell>
        </row>
        <row r="1610">
          <cell r="A1610" t="str">
            <v>YY5100XR5M</v>
          </cell>
          <cell r="B1610" t="str">
            <v>YY5100</v>
          </cell>
        </row>
        <row r="1611">
          <cell r="A1611" t="str">
            <v>YY5100XR5S</v>
          </cell>
          <cell r="B1611" t="str">
            <v>YY5100</v>
          </cell>
        </row>
        <row r="1612">
          <cell r="A1612" t="str">
            <v>YY5100XR5XL</v>
          </cell>
          <cell r="B1612" t="str">
            <v>YY5100</v>
          </cell>
        </row>
        <row r="1613">
          <cell r="A1613" t="str">
            <v>YY5100XR5XXL</v>
          </cell>
          <cell r="B1613" t="str">
            <v>YY5100</v>
          </cell>
        </row>
        <row r="1614">
          <cell r="A1614" t="str">
            <v>YY5100Y0L</v>
          </cell>
          <cell r="B1614" t="str">
            <v>YY5100</v>
          </cell>
        </row>
        <row r="1615">
          <cell r="A1615" t="str">
            <v>YY5100Y0M</v>
          </cell>
          <cell r="B1615" t="str">
            <v>YY5100</v>
          </cell>
        </row>
        <row r="1616">
          <cell r="A1616" t="str">
            <v>YY5100Y0S</v>
          </cell>
          <cell r="B1616" t="str">
            <v>YY5100</v>
          </cell>
        </row>
        <row r="1617">
          <cell r="A1617" t="str">
            <v>YY5100Y0XL</v>
          </cell>
          <cell r="B1617" t="str">
            <v>YY5100</v>
          </cell>
        </row>
        <row r="1618">
          <cell r="A1618" t="str">
            <v>YY5100Y0XXL</v>
          </cell>
          <cell r="B1618" t="str">
            <v>YY5100</v>
          </cell>
        </row>
        <row r="1619">
          <cell r="A1619" t="str">
            <v>YY5100Y10S</v>
          </cell>
          <cell r="B1619" t="str">
            <v>YY5100</v>
          </cell>
        </row>
        <row r="1620">
          <cell r="A1620" t="str">
            <v>YY-IC100-BEDGR</v>
          </cell>
          <cell r="B1620" t="str">
            <v>YY-IC100</v>
          </cell>
        </row>
        <row r="1621">
          <cell r="A1621" t="str">
            <v>YY-IC100-BEGO</v>
          </cell>
          <cell r="B1621" t="str">
            <v>YY-IC100</v>
          </cell>
        </row>
        <row r="1622">
          <cell r="A1622" t="str">
            <v>YY-IC100-BEKO</v>
          </cell>
          <cell r="B1622" t="str">
            <v>YY-IC100</v>
          </cell>
        </row>
        <row r="1623">
          <cell r="A1623" t="str">
            <v>YY-IC100-BELGR</v>
          </cell>
          <cell r="B1623" t="str">
            <v>YY-IC100</v>
          </cell>
        </row>
        <row r="1624">
          <cell r="A1624" t="str">
            <v>YY-IC100-BER2</v>
          </cell>
          <cell r="B1624" t="str">
            <v>YY-IC100</v>
          </cell>
        </row>
        <row r="1625">
          <cell r="A1625" t="str">
            <v>YY-IC100-BEZL</v>
          </cell>
          <cell r="B1625" t="str">
            <v>YY-IC100</v>
          </cell>
        </row>
        <row r="1626">
          <cell r="A1626" t="str">
            <v>YY-IC150-B7</v>
          </cell>
          <cell r="B1626" t="str">
            <v>YY-IC150</v>
          </cell>
        </row>
        <row r="1627">
          <cell r="A1627" t="str">
            <v>YY-IC150-KO</v>
          </cell>
          <cell r="B1627" t="str">
            <v>YY-IC150</v>
          </cell>
        </row>
        <row r="1628">
          <cell r="A1628" t="str">
            <v>YY-IC150-P1</v>
          </cell>
          <cell r="B1628" t="str">
            <v>YY-IC150</v>
          </cell>
        </row>
        <row r="1629">
          <cell r="A1629" t="str">
            <v>YY-ICK29-BEYO</v>
          </cell>
          <cell r="B1629" t="str">
            <v>YY-ICK29</v>
          </cell>
        </row>
        <row r="1630">
          <cell r="A1630" t="str">
            <v>YY-ICK29-BO-FLOWER</v>
          </cell>
          <cell r="B1630" t="str">
            <v>YY-ICK29</v>
          </cell>
        </row>
        <row r="1631">
          <cell r="A1631" t="str">
            <v>YY-ICK29-BO-MOUNTAIN</v>
          </cell>
          <cell r="B1631" t="str">
            <v>YY-ICK29</v>
          </cell>
        </row>
        <row r="1632">
          <cell r="A1632" t="str">
            <v>YY-ICK29-BO-POINT</v>
          </cell>
          <cell r="B1632" t="str">
            <v>YY-ICK29</v>
          </cell>
        </row>
        <row r="1633">
          <cell r="A1633" t="str">
            <v>YY-ICK29-BO-STAR</v>
          </cell>
          <cell r="B1633" t="str">
            <v>YY-ICK29</v>
          </cell>
        </row>
        <row r="1634">
          <cell r="A1634" t="str">
            <v>YY-ICK29-FBB7</v>
          </cell>
          <cell r="B1634" t="str">
            <v>YY-ICK29</v>
          </cell>
        </row>
        <row r="1635">
          <cell r="A1635" t="str">
            <v>YY-ICK29-GO</v>
          </cell>
          <cell r="B1635" t="str">
            <v>YY-ICK29</v>
          </cell>
        </row>
        <row r="1636">
          <cell r="A1636" t="str">
            <v>YY-ICK29-KO</v>
          </cell>
          <cell r="B1636" t="str">
            <v>YY-ICK29</v>
          </cell>
        </row>
        <row r="1637">
          <cell r="A1637" t="str">
            <v>YY-ICK29-N5</v>
          </cell>
          <cell r="B1637" t="str">
            <v>YY-ICK29</v>
          </cell>
        </row>
        <row r="1638">
          <cell r="A1638" t="str">
            <v>YY-ICK29-R2-POINT</v>
          </cell>
          <cell r="B1638" t="str">
            <v>YY-ICK29</v>
          </cell>
        </row>
        <row r="1639">
          <cell r="A1639" t="str">
            <v>YY-ICK29-RO-STAR</v>
          </cell>
          <cell r="B1639" t="str">
            <v>YY-ICK29</v>
          </cell>
        </row>
        <row r="1640">
          <cell r="A1640" t="str">
            <v>YY-ICK29-WO</v>
          </cell>
          <cell r="B1640" t="str">
            <v>YY-ICK29</v>
          </cell>
        </row>
        <row r="1641">
          <cell r="A1641" t="str">
            <v>YY-ICK29-YO-CLOUD</v>
          </cell>
          <cell r="B1641" t="str">
            <v>YY-ICK29</v>
          </cell>
        </row>
        <row r="1642">
          <cell r="A1642" t="str">
            <v>YY-ICK29-YO-POINT</v>
          </cell>
          <cell r="B1642" t="str">
            <v>YY-ICK29</v>
          </cell>
        </row>
        <row r="1643">
          <cell r="A1643" t="str">
            <v>YY-IULCY-C9002-AG</v>
          </cell>
          <cell r="B1643" t="str">
            <v>YY-IULCY-C9002</v>
          </cell>
        </row>
        <row r="1644">
          <cell r="A1644" t="str">
            <v>YY-IULCY-C9002-DB</v>
          </cell>
          <cell r="B1644" t="str">
            <v>YY-IULCY-C9002</v>
          </cell>
        </row>
        <row r="1645">
          <cell r="A1645" t="str">
            <v>YY-IULCY-C9002-LB</v>
          </cell>
          <cell r="B1645" t="str">
            <v>YY-IULCY-C9002</v>
          </cell>
        </row>
        <row r="1646">
          <cell r="A1646" t="str">
            <v>YY-IULCY-C9002-LG</v>
          </cell>
          <cell r="B1646" t="str">
            <v>YY-IULCY-C9002</v>
          </cell>
        </row>
        <row r="1647">
          <cell r="A1647" t="str">
            <v>YY-IULCY-C9002-OR</v>
          </cell>
          <cell r="B1647" t="str">
            <v>YY-IULCY-C9002</v>
          </cell>
        </row>
        <row r="1648">
          <cell r="A1648" t="str">
            <v>YY-IULCY-HZYD100-BIGEYED-L</v>
          </cell>
          <cell r="B1648" t="str">
            <v>YY-IULCY-HZYD100</v>
          </cell>
        </row>
        <row r="1649">
          <cell r="A1649" t="str">
            <v>YY-IULCY-HZYD100-BIGEYED-M</v>
          </cell>
          <cell r="B1649" t="str">
            <v>YY-IULCY-HZYD100</v>
          </cell>
        </row>
        <row r="1650">
          <cell r="A1650" t="str">
            <v>YY-IULCY-HZYD100-BIGEYED-XL</v>
          </cell>
          <cell r="B1650" t="str">
            <v>YY-IULCY-HZYD100</v>
          </cell>
        </row>
        <row r="1651">
          <cell r="A1651" t="str">
            <v>YY-IULCY-HZYD200-LGSTAR-L</v>
          </cell>
          <cell r="B1651" t="str">
            <v>YY-IULCY-HZYD200</v>
          </cell>
        </row>
        <row r="1652">
          <cell r="A1652" t="str">
            <v>YY-IULCY-HZYD200-LGSTAR-M</v>
          </cell>
          <cell r="B1652" t="str">
            <v>YY-IULCY-HZYD200</v>
          </cell>
        </row>
        <row r="1653">
          <cell r="A1653" t="str">
            <v>YY-IULCY-HZYD200-LGSTAR-XL</v>
          </cell>
          <cell r="B1653" t="str">
            <v>YY-IULCY-HZYD200</v>
          </cell>
        </row>
        <row r="1654">
          <cell r="A1654" t="str">
            <v>YY-IULCY-KS369-ANCHOR-L</v>
          </cell>
          <cell r="B1654" t="str">
            <v>YY-IULCY-KS369</v>
          </cell>
        </row>
        <row r="1655">
          <cell r="A1655" t="str">
            <v>YY-IULCY-KS369-ANCHOR-M</v>
          </cell>
          <cell r="B1655" t="str">
            <v>YY-IULCY-KS369</v>
          </cell>
        </row>
        <row r="1656">
          <cell r="A1656" t="str">
            <v>YY-IULCY-KS369-BIRD-L</v>
          </cell>
          <cell r="B1656" t="str">
            <v>YY-IULCY-KS369</v>
          </cell>
        </row>
        <row r="1657">
          <cell r="A1657" t="str">
            <v>YY-IULCY-KS369-BIRD-M</v>
          </cell>
          <cell r="B1657" t="str">
            <v>YY-IULCY-KS369</v>
          </cell>
        </row>
        <row r="1658">
          <cell r="A1658" t="str">
            <v>YY-IULCY-KS369-HEAD-L</v>
          </cell>
          <cell r="B1658" t="str">
            <v>YY-IULCY-KS369</v>
          </cell>
        </row>
        <row r="1659">
          <cell r="A1659" t="str">
            <v>YY-IULCY-KS369-HEAD-M</v>
          </cell>
          <cell r="B1659" t="str">
            <v>YY-IULCY-KS369</v>
          </cell>
        </row>
        <row r="1660">
          <cell r="A1660" t="str">
            <v>YY-IULCY-KS369-PLANT-L</v>
          </cell>
          <cell r="B1660" t="str">
            <v>YY-IULCY-KS369</v>
          </cell>
        </row>
        <row r="1661">
          <cell r="A1661" t="str">
            <v>YY-IULCY-KS369-PLANT-M</v>
          </cell>
          <cell r="B1661" t="str">
            <v>YY-IULCY-KS369</v>
          </cell>
        </row>
        <row r="1662">
          <cell r="A1662" t="str">
            <v>YY-IULCY-KS370-BL-L</v>
          </cell>
          <cell r="B1662" t="str">
            <v>YY-IULCY-KS370</v>
          </cell>
        </row>
        <row r="1663">
          <cell r="A1663" t="str">
            <v>YY-IULCY-KS370-BL-M</v>
          </cell>
          <cell r="B1663" t="str">
            <v>YY-IULCY-KS370</v>
          </cell>
        </row>
        <row r="1664">
          <cell r="A1664" t="str">
            <v>YY-IULCY-KS370-RD-L</v>
          </cell>
          <cell r="B1664" t="str">
            <v>YY-IULCY-KS370</v>
          </cell>
        </row>
        <row r="1665">
          <cell r="A1665" t="str">
            <v>YY-IULCY-KS370-RD-M</v>
          </cell>
          <cell r="B1665" t="str">
            <v>YY-IULCY-KS370</v>
          </cell>
        </row>
        <row r="1666">
          <cell r="A1666" t="str">
            <v>YY-IULCY-KS371-BL-L</v>
          </cell>
          <cell r="B1666" t="str">
            <v>YY-IULCY-KS371</v>
          </cell>
        </row>
        <row r="1667">
          <cell r="A1667" t="str">
            <v>YY-IULCY-KS371-BL-M</v>
          </cell>
          <cell r="B1667" t="str">
            <v>YY-IULCY-KS371</v>
          </cell>
        </row>
        <row r="1668">
          <cell r="A1668" t="str">
            <v>YY-IULCY-KS371-BL-XL</v>
          </cell>
          <cell r="B1668" t="str">
            <v>YY-IULCY-KS371</v>
          </cell>
        </row>
        <row r="1669">
          <cell r="A1669" t="str">
            <v>YY-IULCY-KS371-GN-L</v>
          </cell>
          <cell r="B1669" t="str">
            <v>YY-IULCY-KS371</v>
          </cell>
        </row>
        <row r="1670">
          <cell r="A1670" t="str">
            <v>YY-IULCY-KS371-GN-M</v>
          </cell>
          <cell r="B1670" t="str">
            <v>YY-IULCY-KS371</v>
          </cell>
        </row>
        <row r="1671">
          <cell r="A1671" t="str">
            <v>YY-IULCY-KS371-GN-XL</v>
          </cell>
          <cell r="B1671" t="str">
            <v>YY-IULCY-KS371</v>
          </cell>
        </row>
        <row r="1672">
          <cell r="A1672" t="str">
            <v>YY-IULCY-KS371-PP-L</v>
          </cell>
          <cell r="B1672" t="str">
            <v>YY-IULCY-KS371</v>
          </cell>
        </row>
        <row r="1673">
          <cell r="A1673" t="str">
            <v>YY-IULCY-KS371-PP-M</v>
          </cell>
          <cell r="B1673" t="str">
            <v>YY-IULCY-KS371</v>
          </cell>
        </row>
        <row r="1674">
          <cell r="A1674" t="str">
            <v>YY-IULCY-KS371-PP-XL</v>
          </cell>
          <cell r="B1674" t="str">
            <v>YY-IULCY-KS371</v>
          </cell>
        </row>
        <row r="1675">
          <cell r="A1675" t="str">
            <v>YY-IULCY-KS371-WT-L</v>
          </cell>
          <cell r="B1675" t="str">
            <v>YY-IULCY-KS371</v>
          </cell>
        </row>
        <row r="1676">
          <cell r="A1676" t="str">
            <v>YY-IULCY-KS371-WT-M</v>
          </cell>
          <cell r="B1676" t="str">
            <v>YY-IULCY-KS371</v>
          </cell>
        </row>
        <row r="1677">
          <cell r="A1677" t="str">
            <v>YY-IULCY-KS371-WT-XL</v>
          </cell>
          <cell r="B1677" t="str">
            <v>YY-IULCY-KS371</v>
          </cell>
        </row>
        <row r="1678">
          <cell r="A1678" t="str">
            <v>YY-IULCY-KS371-YL-L</v>
          </cell>
          <cell r="B1678" t="str">
            <v>YY-IULCY-KS371</v>
          </cell>
        </row>
        <row r="1679">
          <cell r="A1679" t="str">
            <v>YY-IULCY-KS371-YL-M</v>
          </cell>
          <cell r="B1679" t="str">
            <v>YY-IULCY-KS371</v>
          </cell>
        </row>
        <row r="1680">
          <cell r="A1680" t="str">
            <v>YY-IULCY-KS371-YL-XL</v>
          </cell>
          <cell r="B1680" t="str">
            <v>YY-IULCY-KS371</v>
          </cell>
        </row>
        <row r="1681">
          <cell r="A1681" t="str">
            <v>YY-IULCY-KS372-BL-L</v>
          </cell>
          <cell r="B1681" t="str">
            <v>YY-IULCY-KS372</v>
          </cell>
        </row>
        <row r="1682">
          <cell r="A1682" t="str">
            <v>YY-IULCY-KS372-BL-M</v>
          </cell>
          <cell r="B1682" t="str">
            <v>YY-IULCY-KS372</v>
          </cell>
        </row>
        <row r="1683">
          <cell r="A1683" t="str">
            <v>YY-IULCY-KS372-BL-XL</v>
          </cell>
          <cell r="B1683" t="str">
            <v>YY-IULCY-KS372</v>
          </cell>
        </row>
        <row r="1684">
          <cell r="A1684" t="str">
            <v>YY-IULCY-KS372-GN-L</v>
          </cell>
          <cell r="B1684" t="str">
            <v>YY-IULCY-KS372</v>
          </cell>
        </row>
        <row r="1685">
          <cell r="A1685" t="str">
            <v>YY-IULCY-KS372-GN-M</v>
          </cell>
          <cell r="B1685" t="str">
            <v>YY-IULCY-KS372</v>
          </cell>
        </row>
        <row r="1686">
          <cell r="A1686" t="str">
            <v>YY-IULCY-KS372-GN-XL</v>
          </cell>
          <cell r="B1686" t="str">
            <v>YY-IULCY-KS372</v>
          </cell>
        </row>
        <row r="1687">
          <cell r="A1687" t="str">
            <v>YY-IULCY-KS372-PK-L</v>
          </cell>
          <cell r="B1687" t="str">
            <v>YY-IULCY-KS372</v>
          </cell>
        </row>
        <row r="1688">
          <cell r="A1688" t="str">
            <v>YY-IULCY-KS372-PK-M</v>
          </cell>
          <cell r="B1688" t="str">
            <v>YY-IULCY-KS372</v>
          </cell>
        </row>
        <row r="1689">
          <cell r="A1689" t="str">
            <v>YY-IULCY-KS372-PK-XL</v>
          </cell>
          <cell r="B1689" t="str">
            <v>YY-IULCY-KS372</v>
          </cell>
        </row>
        <row r="1690">
          <cell r="A1690" t="str">
            <v>YY-IULCY-KS372-PP-L</v>
          </cell>
          <cell r="B1690" t="str">
            <v>YY-IULCY-KS372</v>
          </cell>
        </row>
        <row r="1691">
          <cell r="A1691" t="str">
            <v>YY-IULCY-KS372-PP-M</v>
          </cell>
          <cell r="B1691" t="str">
            <v>YY-IULCY-KS372</v>
          </cell>
        </row>
        <row r="1692">
          <cell r="A1692" t="str">
            <v>YY-IULCY-KS372-PP-XL</v>
          </cell>
          <cell r="B1692" t="str">
            <v>YY-IULCY-KS372</v>
          </cell>
        </row>
        <row r="1693">
          <cell r="A1693" t="str">
            <v>YY-IULCY-KS372-WT-L</v>
          </cell>
          <cell r="B1693" t="str">
            <v>YY-IULCY-KS372</v>
          </cell>
        </row>
        <row r="1694">
          <cell r="A1694" t="str">
            <v>YY-IULCY-KS372-WT-M</v>
          </cell>
          <cell r="B1694" t="str">
            <v>YY-IULCY-KS372</v>
          </cell>
        </row>
        <row r="1695">
          <cell r="A1695" t="str">
            <v>YY-IULCY-KS372-WT-XL</v>
          </cell>
          <cell r="B1695" t="str">
            <v>YY-IULCY-KS372</v>
          </cell>
        </row>
        <row r="1696">
          <cell r="A1696" t="str">
            <v>YY-IULCY-KS372-YL-L</v>
          </cell>
          <cell r="B1696" t="str">
            <v>YY-IULCY-KS372</v>
          </cell>
        </row>
        <row r="1697">
          <cell r="A1697" t="str">
            <v>YY-IULCY-KS372-YL-M</v>
          </cell>
          <cell r="B1697" t="str">
            <v>YY-IULCY-KS372</v>
          </cell>
        </row>
        <row r="1698">
          <cell r="A1698" t="str">
            <v>YY-IULCY-KS372-YL-XL</v>
          </cell>
          <cell r="B1698" t="str">
            <v>YY-IULCY-KS372</v>
          </cell>
        </row>
        <row r="1699">
          <cell r="A1699" t="str">
            <v>YY-IULCY-KS377-ANCHOR-L</v>
          </cell>
          <cell r="B1699" t="str">
            <v>YY-IULCY-KS377</v>
          </cell>
        </row>
        <row r="1700">
          <cell r="A1700" t="str">
            <v>YY-IULCY-KS377-ANCHOR-M</v>
          </cell>
          <cell r="B1700" t="str">
            <v>YY-IULCY-KS377</v>
          </cell>
        </row>
        <row r="1701">
          <cell r="A1701" t="str">
            <v>YY-IULCY-KS377-BIRD-L</v>
          </cell>
          <cell r="B1701" t="str">
            <v>YY-IULCY-KS377</v>
          </cell>
        </row>
        <row r="1702">
          <cell r="A1702" t="str">
            <v>YY-IULCY-KS377-BIRD-M</v>
          </cell>
          <cell r="B1702" t="str">
            <v>YY-IULCY-KS377</v>
          </cell>
        </row>
        <row r="1703">
          <cell r="A1703" t="str">
            <v>YY-IULCY-KS377-HEAD-L</v>
          </cell>
          <cell r="B1703" t="str">
            <v>YY-IULCY-KS377</v>
          </cell>
        </row>
        <row r="1704">
          <cell r="A1704" t="str">
            <v>YY-IULCY-KS377-HEAD-M</v>
          </cell>
          <cell r="B1704" t="str">
            <v>YY-IULCY-KS377</v>
          </cell>
        </row>
        <row r="1705">
          <cell r="A1705" t="str">
            <v>YY-IULCY-KS377-PLANT-L</v>
          </cell>
          <cell r="B1705" t="str">
            <v>YY-IULCY-KS377</v>
          </cell>
        </row>
        <row r="1706">
          <cell r="A1706" t="str">
            <v>YY-IULCY-KS377-PLANT-M</v>
          </cell>
          <cell r="B1706" t="str">
            <v>YY-IULCY-KS377</v>
          </cell>
        </row>
        <row r="1707">
          <cell r="A1707" t="str">
            <v>YY-IULCY-W9043-BK</v>
          </cell>
          <cell r="B1707" t="str">
            <v>YY-IULCY-W9043</v>
          </cell>
        </row>
        <row r="1708">
          <cell r="A1708" t="str">
            <v>YY-IULCY-W9043-CF</v>
          </cell>
          <cell r="B1708" t="str">
            <v>YY-IULCY-W9043</v>
          </cell>
        </row>
        <row r="1709">
          <cell r="A1709" t="str">
            <v>YY-IULCY-W9043-DB</v>
          </cell>
          <cell r="B1709" t="str">
            <v>YY-IULCY-W9043</v>
          </cell>
        </row>
        <row r="1710">
          <cell r="A1710" t="str">
            <v>YY-IULCY-W9043-LB</v>
          </cell>
          <cell r="B1710" t="str">
            <v>YY-IULCY-W9043</v>
          </cell>
        </row>
        <row r="1711">
          <cell r="A1711" t="str">
            <v>YY-IULCY-W9043-RR</v>
          </cell>
          <cell r="B1711" t="str">
            <v>YY-IULCY-W9043</v>
          </cell>
        </row>
        <row r="1712">
          <cell r="A1712" t="str">
            <v>YY-IULCY-XW100-COLORFUL</v>
          </cell>
          <cell r="B1712" t="str">
            <v>YY-IULCY-XW100</v>
          </cell>
        </row>
        <row r="1713">
          <cell r="A1713" t="str">
            <v>YY-IULCY-XW100-DOG</v>
          </cell>
          <cell r="B1713" t="str">
            <v>YY-IULCY-XW100</v>
          </cell>
        </row>
        <row r="1714">
          <cell r="A1714" t="str">
            <v>YY-IULCY-XW100-LIGHT</v>
          </cell>
          <cell r="B1714" t="str">
            <v>YY-IULCY-XW100</v>
          </cell>
        </row>
        <row r="1715">
          <cell r="A1715" t="str">
            <v>YY-IULCY-XZM100-BKNWT</v>
          </cell>
          <cell r="B1715" t="str">
            <v>YY-IULCY-XZM100</v>
          </cell>
        </row>
        <row r="1716">
          <cell r="A1716" t="str">
            <v>YY-IULCY-XZM100-BLNWT</v>
          </cell>
          <cell r="B1716" t="str">
            <v>YY-IULCY-XZM100</v>
          </cell>
        </row>
        <row r="1717">
          <cell r="A1717" t="str">
            <v>YY-IULCY-XZM100-CFNWT</v>
          </cell>
          <cell r="B1717" t="str">
            <v>YY-IULCY-XZM100</v>
          </cell>
        </row>
        <row r="1718">
          <cell r="A1718" t="str">
            <v>YY-IULCY-XZM100-GNNWT</v>
          </cell>
          <cell r="B1718" t="str">
            <v>YY-IULCY-XZM100</v>
          </cell>
        </row>
        <row r="1719">
          <cell r="A1719" t="str">
            <v>YY-IULCY-XZM100-KKNWT</v>
          </cell>
          <cell r="B1719" t="str">
            <v>YY-IULCY-XZM100</v>
          </cell>
        </row>
        <row r="1720">
          <cell r="A1720" t="str">
            <v>YY-IULCY-XZM100-RDNWT</v>
          </cell>
          <cell r="B1720" t="str">
            <v>YY-IULCY-XZM100</v>
          </cell>
        </row>
        <row r="1721">
          <cell r="A1721" t="str">
            <v>YY-IULCY-XZM150-BK</v>
          </cell>
          <cell r="B1721" t="str">
            <v>YY-IULCY-XZM150</v>
          </cell>
        </row>
        <row r="1722">
          <cell r="A1722" t="str">
            <v>YY-IULCY-XZM150-LB</v>
          </cell>
          <cell r="B1722" t="str">
            <v>YY-IULCY-XZM150</v>
          </cell>
        </row>
        <row r="1723">
          <cell r="A1723" t="str">
            <v>YY-IULCY-XZM150-PK</v>
          </cell>
          <cell r="B1723" t="str">
            <v>YY-IULCY-XZM150</v>
          </cell>
        </row>
        <row r="1724">
          <cell r="A1724" t="str">
            <v>YY-IULCY-XZM200-BK</v>
          </cell>
          <cell r="B1724" t="str">
            <v>YY-IULCY-XZM200</v>
          </cell>
        </row>
        <row r="1725">
          <cell r="A1725" t="str">
            <v>YY-IULCY-XZM200-BL</v>
          </cell>
          <cell r="B1725" t="str">
            <v>YY-IULCY-XZM200</v>
          </cell>
        </row>
        <row r="1726">
          <cell r="A1726" t="str">
            <v>YY-IULCY-XZM200-GN</v>
          </cell>
          <cell r="B1726" t="str">
            <v>YY-IULCY-XZM200</v>
          </cell>
        </row>
        <row r="1727">
          <cell r="A1727" t="str">
            <v>YY-IULCY-XZM200-KK</v>
          </cell>
          <cell r="B1727" t="str">
            <v>YY-IULCY-XZM200</v>
          </cell>
        </row>
        <row r="1728">
          <cell r="A1728" t="str">
            <v>YY-IULUY-KS374-DB-L</v>
          </cell>
          <cell r="B1728" t="str">
            <v>YY-IULUY-KS374</v>
          </cell>
        </row>
        <row r="1729">
          <cell r="A1729" t="str">
            <v>YY-IULUY-KS374-DB-M</v>
          </cell>
          <cell r="B1729" t="str">
            <v>YY-IULUY-KS374</v>
          </cell>
        </row>
        <row r="1730">
          <cell r="A1730" t="str">
            <v>YY-IULUY-KS374-DB-XL</v>
          </cell>
          <cell r="B1730" t="str">
            <v>YY-IULUY-KS374</v>
          </cell>
        </row>
        <row r="1731">
          <cell r="A1731" t="str">
            <v>YY-IULUY-KS374-YL-L</v>
          </cell>
          <cell r="B1731" t="str">
            <v>YY-IULUY-KS374</v>
          </cell>
        </row>
        <row r="1732">
          <cell r="A1732" t="str">
            <v>YY-IULUY-KS374-YL-M</v>
          </cell>
          <cell r="B1732" t="str">
            <v>YY-IULUY-KS374</v>
          </cell>
        </row>
        <row r="1733">
          <cell r="A1733" t="str">
            <v>YY-IULUY-KS374-YL-XL</v>
          </cell>
          <cell r="B1733" t="str">
            <v>YY-IULUY-KS374</v>
          </cell>
        </row>
        <row r="1734">
          <cell r="A1734" t="str">
            <v>Z5-KZHX-EBC3</v>
          </cell>
          <cell r="B1734" t="str">
            <v>Z5-KZHX-EBC3</v>
          </cell>
        </row>
        <row r="1735">
          <cell r="A1735" t="str">
            <v>ZAKKA0040B035*50CM</v>
          </cell>
          <cell r="B1735" t="str">
            <v>ZAKKA0040</v>
          </cell>
        </row>
        <row r="1736">
          <cell r="A1736" t="str">
            <v>ZAKKA0040R035*50CM</v>
          </cell>
          <cell r="B1736" t="str">
            <v>ZAKKA0040</v>
          </cell>
        </row>
        <row r="1737">
          <cell r="A1737" t="str">
            <v>ZAKKA0450FOUR16*14.5*7CM</v>
          </cell>
          <cell r="B1737" t="str">
            <v>ZAKKA0450</v>
          </cell>
        </row>
        <row r="1738">
          <cell r="A1738" t="str">
            <v>ZAKKA0450HHL15*21*8CM</v>
          </cell>
          <cell r="B1738" t="str">
            <v>ZAKKA0450</v>
          </cell>
        </row>
        <row r="1739">
          <cell r="A1739" t="str">
            <v>ZAKKA0450ZLJ15*21*8CM</v>
          </cell>
          <cell r="B1739" t="str">
            <v>ZAKKA0450</v>
          </cell>
        </row>
        <row r="1740">
          <cell r="A1740" t="str">
            <v>ZAKKA0466LTW25*65CM</v>
          </cell>
          <cell r="B1740" t="str">
            <v>ZAKKA0466</v>
          </cell>
        </row>
        <row r="1741">
          <cell r="A1741" t="str">
            <v>ZAKKA0468FOUR15*21*8CM</v>
          </cell>
          <cell r="B1741" t="str">
            <v>ZAKKA0468</v>
          </cell>
        </row>
        <row r="1742">
          <cell r="A1742" t="str">
            <v>ZAKKA0589B035*50CM</v>
          </cell>
          <cell r="B1742" t="str">
            <v>ZAKKA0589</v>
          </cell>
        </row>
        <row r="1743">
          <cell r="A1743" t="str">
            <v>ZAKKA0589R035*50CM</v>
          </cell>
          <cell r="B1743" t="str">
            <v>ZAKKA0589</v>
          </cell>
        </row>
        <row r="1744">
          <cell r="A1744" t="str">
            <v>ZAKKA0627B025*32CM</v>
          </cell>
          <cell r="B1744" t="str">
            <v>ZAKKA0627</v>
          </cell>
        </row>
        <row r="1745">
          <cell r="A1745" t="str">
            <v>ZAKKA0627R025*32CM</v>
          </cell>
          <cell r="B1745" t="str">
            <v>ZAKKA0627</v>
          </cell>
        </row>
        <row r="1746">
          <cell r="A1746" t="str">
            <v>ZAKKA0630B028*55CM</v>
          </cell>
          <cell r="B1746" t="str">
            <v>ZAKKA0630</v>
          </cell>
        </row>
        <row r="1747">
          <cell r="A1747" t="str">
            <v>ZAKKA0630R028*55CM</v>
          </cell>
          <cell r="B1747" t="str">
            <v>ZAKKA0630</v>
          </cell>
        </row>
        <row r="1748">
          <cell r="A1748" t="str">
            <v>ZAKKA0631B030*65CM</v>
          </cell>
          <cell r="B1748" t="str">
            <v>ZAKKA0631</v>
          </cell>
        </row>
        <row r="1749">
          <cell r="A1749" t="str">
            <v>ZAKKA0631R030*65CM</v>
          </cell>
          <cell r="B1749" t="str">
            <v>ZAKKA0631</v>
          </cell>
        </row>
        <row r="1750">
          <cell r="A1750" t="str">
            <v>ZAKKA0633B035*50CM</v>
          </cell>
          <cell r="B1750" t="str">
            <v>ZAKKA0633</v>
          </cell>
        </row>
        <row r="1751">
          <cell r="A1751" t="str">
            <v>ZAKKA0633R035*50CM</v>
          </cell>
          <cell r="B1751" t="str">
            <v>ZAKKA0633</v>
          </cell>
        </row>
        <row r="1752">
          <cell r="A1752" t="str">
            <v>ZAKKA0634B060*20.5CM</v>
          </cell>
          <cell r="B1752" t="str">
            <v>ZAKKA0634</v>
          </cell>
        </row>
        <row r="1753">
          <cell r="A1753" t="str">
            <v>ZAKKA0634R060*20.5CM</v>
          </cell>
          <cell r="B1753" t="str">
            <v>ZAKKA0634</v>
          </cell>
        </row>
        <row r="1754">
          <cell r="A1754" t="str">
            <v>ZAKKA0635B075.5*45.5CM</v>
          </cell>
          <cell r="B1754" t="str">
            <v>ZAKKA0635</v>
          </cell>
        </row>
        <row r="1755">
          <cell r="A1755" t="str">
            <v>ZAKKA0635R075.5*45.5CM</v>
          </cell>
          <cell r="B1755" t="str">
            <v>ZAKKA0635</v>
          </cell>
        </row>
        <row r="1756">
          <cell r="A1756" t="str">
            <v>ZAKKA0667LTW35*50CM</v>
          </cell>
          <cell r="B1756" t="str">
            <v>ZAKKA0667</v>
          </cell>
        </row>
        <row r="1757">
          <cell r="A1757" t="str">
            <v>ZB-2035R0140*140cm</v>
          </cell>
          <cell r="B1757" t="str">
            <v>ZB-2035</v>
          </cell>
        </row>
        <row r="1758">
          <cell r="A1758" t="str">
            <v>ZB-2035R0140*250cm</v>
          </cell>
          <cell r="B1758" t="str">
            <v>ZB-2035</v>
          </cell>
        </row>
        <row r="1759">
          <cell r="A1759" t="str">
            <v>ZB-2035R070*70cm</v>
          </cell>
          <cell r="B1759" t="str">
            <v>ZB-2035</v>
          </cell>
        </row>
        <row r="1760">
          <cell r="A1760" t="str">
            <v>ZB-2035W0140*140cm</v>
          </cell>
          <cell r="B1760" t="str">
            <v>ZB-2035</v>
          </cell>
        </row>
        <row r="1761">
          <cell r="A1761" t="str">
            <v>ZB-2035W0140*250cm</v>
          </cell>
          <cell r="B1761" t="str">
            <v>ZB-2035</v>
          </cell>
        </row>
        <row r="1762">
          <cell r="A1762" t="str">
            <v>ZB-2035W070*70cm</v>
          </cell>
          <cell r="B1762" t="str">
            <v>ZB-2035</v>
          </cell>
        </row>
        <row r="1763">
          <cell r="A1763" t="str">
            <v>ZB-2035Y0140*140cm</v>
          </cell>
          <cell r="B1763" t="str">
            <v>ZB-2035</v>
          </cell>
        </row>
        <row r="1764">
          <cell r="A1764" t="str">
            <v>ZB-2035Y0140*250cm</v>
          </cell>
          <cell r="B1764" t="str">
            <v>ZB-2035</v>
          </cell>
        </row>
        <row r="1765">
          <cell r="A1765" t="str">
            <v>ZB-2035Y070*70cm</v>
          </cell>
          <cell r="B1765" t="str">
            <v>ZB-2035</v>
          </cell>
        </row>
        <row r="1766">
          <cell r="A1766" t="str">
            <v>ZB-2044MS140*250cm</v>
          </cell>
          <cell r="B1766" t="str">
            <v>ZB-2044MS</v>
          </cell>
        </row>
        <row r="1767">
          <cell r="A1767" t="str">
            <v>ZBCSXMXM100*140</v>
          </cell>
          <cell r="B1767" t="str">
            <v>ZBCSXMXM</v>
          </cell>
        </row>
        <row r="1768">
          <cell r="A1768" t="str">
            <v>ZBCSXMXM140*140</v>
          </cell>
          <cell r="B1768" t="str">
            <v>ZBCSXMXM</v>
          </cell>
        </row>
        <row r="1769">
          <cell r="A1769" t="str">
            <v>ZBCSXMXM140*200</v>
          </cell>
          <cell r="B1769" t="str">
            <v>ZBCSXMXM</v>
          </cell>
        </row>
        <row r="1770">
          <cell r="A1770" t="str">
            <v>ZBCSXMXM140*250</v>
          </cell>
          <cell r="B1770" t="str">
            <v>ZBCSXMXM</v>
          </cell>
        </row>
        <row r="1771">
          <cell r="A1771" t="str">
            <v>ZB-IULCY-YMQY100-CF100*140</v>
          </cell>
          <cell r="B1771" t="str">
            <v>ZB-IULCY</v>
          </cell>
        </row>
        <row r="1772">
          <cell r="A1772" t="str">
            <v>ZB-IULCY-YMQY100-CF140*140</v>
          </cell>
          <cell r="B1772" t="str">
            <v>ZB-IULCY</v>
          </cell>
        </row>
        <row r="1773">
          <cell r="A1773" t="str">
            <v>ZB-IULCY-YMQY100-CF140*180</v>
          </cell>
          <cell r="B1773" t="str">
            <v>ZB-IULCY</v>
          </cell>
        </row>
        <row r="1774">
          <cell r="A1774" t="str">
            <v>ZB-IULCY-YMQY100-GR100*140</v>
          </cell>
          <cell r="B1774" t="str">
            <v>ZB-IULCY</v>
          </cell>
        </row>
        <row r="1775">
          <cell r="A1775" t="str">
            <v>ZB-IULCY-YMQY100-GR140*140</v>
          </cell>
          <cell r="B1775" t="str">
            <v>ZB-IULCY</v>
          </cell>
        </row>
        <row r="1776">
          <cell r="A1776" t="str">
            <v>ZB-IULCY-YMQY100-GR140*180</v>
          </cell>
          <cell r="B1776" t="str">
            <v>ZB-IULCY</v>
          </cell>
        </row>
        <row r="1777">
          <cell r="A1777" t="str">
            <v>ZB-IULETTER-140*180CM</v>
          </cell>
          <cell r="B1777" t="str">
            <v>ZB-IULETTER</v>
          </cell>
        </row>
        <row r="1778">
          <cell r="A1778" t="str">
            <v>ZC2138MRG-ZHONGS</v>
          </cell>
          <cell r="B1778" t="str">
            <v>ZXXABO-M</v>
          </cell>
        </row>
        <row r="1779">
          <cell r="A1779" t="str">
            <v>ZCCCCLV-L</v>
          </cell>
          <cell r="B1779" t="str">
            <v>ZCCCCLV</v>
          </cell>
        </row>
        <row r="1780">
          <cell r="A1780" t="str">
            <v>ZCGTZ-IUCY001-AE</v>
          </cell>
          <cell r="B1780" t="str">
            <v>ZCGTZ-IUCY001</v>
          </cell>
        </row>
        <row r="1781">
          <cell r="A1781" t="str">
            <v>ZDD-07-MC-28</v>
          </cell>
          <cell r="B1781" t="str">
            <v>ZDD-07</v>
          </cell>
        </row>
        <row r="1782">
          <cell r="A1782" t="str">
            <v>ZDD-08-BO-28</v>
          </cell>
          <cell r="B1782" t="str">
            <v>ZDD-08</v>
          </cell>
        </row>
        <row r="1783">
          <cell r="A1783" t="str">
            <v>ZDD-08-GR-28</v>
          </cell>
          <cell r="B1783" t="str">
            <v>ZDD-08</v>
          </cell>
        </row>
        <row r="1784">
          <cell r="A1784" t="str">
            <v>ZDD-08-PO-28</v>
          </cell>
          <cell r="B1784" t="str">
            <v>ZDD-08</v>
          </cell>
        </row>
        <row r="1785">
          <cell r="A1785" t="str">
            <v>ZDD-08-RO-28</v>
          </cell>
          <cell r="B1785" t="str">
            <v>ZDD-08</v>
          </cell>
        </row>
        <row r="1786">
          <cell r="A1786" t="str">
            <v>ZHUAPPPBO-L</v>
          </cell>
          <cell r="B1786" t="str">
            <v>ZHUAPPP</v>
          </cell>
        </row>
        <row r="1787">
          <cell r="A1787" t="str">
            <v>ZHUAPPPBO-M</v>
          </cell>
          <cell r="B1787" t="str">
            <v>ZHUAPPP</v>
          </cell>
        </row>
        <row r="1788">
          <cell r="A1788" t="str">
            <v>ZHUAPPPBO-S</v>
          </cell>
          <cell r="B1788" t="str">
            <v>ZHUAPPP</v>
          </cell>
        </row>
        <row r="1789">
          <cell r="A1789" t="str">
            <v>ZHUAPPPBO-XL</v>
          </cell>
          <cell r="B1789" t="str">
            <v>ZHUAPPP</v>
          </cell>
        </row>
        <row r="1790">
          <cell r="A1790" t="str">
            <v>ZHUAPPPJS-L</v>
          </cell>
          <cell r="B1790" t="str">
            <v>ZHUAPPP</v>
          </cell>
        </row>
        <row r="1791">
          <cell r="A1791" t="str">
            <v>ZHUAPPPJS-M</v>
          </cell>
          <cell r="B1791" t="str">
            <v>ZHUAPPP</v>
          </cell>
        </row>
        <row r="1792">
          <cell r="A1792" t="str">
            <v>ZHUAPPPJS-S</v>
          </cell>
          <cell r="B1792" t="str">
            <v>ZHUAPPP</v>
          </cell>
        </row>
        <row r="1793">
          <cell r="A1793" t="str">
            <v>ZHUAPPPJS-XL</v>
          </cell>
          <cell r="B1793" t="str">
            <v>ZHUAPPP</v>
          </cell>
        </row>
        <row r="1794">
          <cell r="A1794" t="str">
            <v>ZHUAPPPRO-L</v>
          </cell>
          <cell r="B1794" t="str">
            <v>ZHUAPPP</v>
          </cell>
        </row>
        <row r="1795">
          <cell r="A1795" t="str">
            <v>ZHUAPPPRO-M</v>
          </cell>
          <cell r="B1795" t="str">
            <v>ZHUAPPP</v>
          </cell>
        </row>
        <row r="1796">
          <cell r="A1796" t="str">
            <v>ZHUAPPPRO-S</v>
          </cell>
          <cell r="B1796" t="str">
            <v>ZHUAPPP</v>
          </cell>
        </row>
        <row r="1797">
          <cell r="A1797" t="str">
            <v>ZHUAPPPRO-XL</v>
          </cell>
          <cell r="B1797" t="str">
            <v>ZHUAPPP</v>
          </cell>
        </row>
        <row r="1798">
          <cell r="A1798" t="str">
            <v>ZPSD-LAHM-800-BK-L</v>
          </cell>
          <cell r="B1798" t="str">
            <v>ZPSD-LAHM-800</v>
          </cell>
        </row>
        <row r="1799">
          <cell r="A1799" t="str">
            <v>ZPSD-LAHM-800-BK-S</v>
          </cell>
          <cell r="B1799" t="str">
            <v>ZPSD-LAHM-800</v>
          </cell>
        </row>
        <row r="1800">
          <cell r="A1800" t="str">
            <v>ZXXABO-L</v>
          </cell>
          <cell r="B1800" t="str">
            <v>NEWZXXA</v>
          </cell>
        </row>
        <row r="1801">
          <cell r="A1801" t="str">
            <v>ZXXABO-M</v>
          </cell>
          <cell r="B1801" t="str">
            <v>NEWZXXA</v>
          </cell>
        </row>
        <row r="1802">
          <cell r="A1802" t="str">
            <v>ZXXABO-NM</v>
          </cell>
          <cell r="B1802" t="str">
            <v>NEWZXXA</v>
          </cell>
        </row>
        <row r="1803">
          <cell r="A1803" t="str">
            <v>ZXXABO-NS</v>
          </cell>
          <cell r="B1803" t="str">
            <v>NEWZXXA</v>
          </cell>
        </row>
        <row r="1804">
          <cell r="A1804" t="str">
            <v>ZXXABO-S</v>
          </cell>
          <cell r="B1804" t="str">
            <v>NEWZXXA</v>
          </cell>
        </row>
        <row r="1805">
          <cell r="A1805" t="str">
            <v>ZXXABO-XL</v>
          </cell>
          <cell r="B1805" t="str">
            <v>NEWZXXA</v>
          </cell>
        </row>
        <row r="1806">
          <cell r="A1806" t="str">
            <v>ZXXAFS-L</v>
          </cell>
          <cell r="B1806" t="str">
            <v>NEWZXXA</v>
          </cell>
        </row>
        <row r="1807">
          <cell r="A1807" t="str">
            <v>ZXXAFS-M</v>
          </cell>
          <cell r="B1807" t="str">
            <v>NEWZXXA</v>
          </cell>
        </row>
        <row r="1808">
          <cell r="A1808" t="str">
            <v>ZXXAFS-NM</v>
          </cell>
          <cell r="B1808" t="str">
            <v>NEWZXXA</v>
          </cell>
        </row>
        <row r="1809">
          <cell r="A1809" t="str">
            <v>ZXXAFS-NS</v>
          </cell>
          <cell r="B1809" t="str">
            <v>NEWZXXA</v>
          </cell>
        </row>
        <row r="1810">
          <cell r="A1810" t="str">
            <v>ZXXAFS-S</v>
          </cell>
          <cell r="B1810" t="str">
            <v>NEWZXXA</v>
          </cell>
        </row>
        <row r="1811">
          <cell r="A1811" t="str">
            <v>ZXXAFS-XL</v>
          </cell>
          <cell r="B1811" t="str">
            <v>NEWZXXA</v>
          </cell>
        </row>
        <row r="1812">
          <cell r="A1812" t="str">
            <v>ZXXAHO-L</v>
          </cell>
          <cell r="B1812" t="str">
            <v>NEWZXXA</v>
          </cell>
        </row>
        <row r="1813">
          <cell r="A1813" t="str">
            <v>ZXXAHO-M</v>
          </cell>
          <cell r="B1813" t="str">
            <v>NEWZXXA</v>
          </cell>
        </row>
        <row r="1814">
          <cell r="A1814" t="str">
            <v>ZXXAHO-NM</v>
          </cell>
          <cell r="B1814" t="str">
            <v>NEWZXXA</v>
          </cell>
        </row>
        <row r="1815">
          <cell r="A1815" t="str">
            <v>ZXXAHO-NS</v>
          </cell>
          <cell r="B1815" t="str">
            <v>NEWZXXA</v>
          </cell>
        </row>
        <row r="1816">
          <cell r="A1816" t="str">
            <v>ZXXAHO-S</v>
          </cell>
          <cell r="B1816" t="str">
            <v>NEWZXXA</v>
          </cell>
        </row>
        <row r="1817">
          <cell r="A1817" t="str">
            <v>ZXXAHO-XL</v>
          </cell>
          <cell r="B1817" t="str">
            <v>NEWZXXA</v>
          </cell>
        </row>
        <row r="1818">
          <cell r="A1818" t="str">
            <v>ZXXALV-L</v>
          </cell>
          <cell r="B1818" t="str">
            <v>NEWZXXA</v>
          </cell>
        </row>
        <row r="1819">
          <cell r="A1819" t="str">
            <v>ZXXALV-M</v>
          </cell>
          <cell r="B1819" t="str">
            <v>NEWZXXA</v>
          </cell>
        </row>
        <row r="1820">
          <cell r="A1820" t="str">
            <v>ZXXALV-S</v>
          </cell>
          <cell r="B1820" t="str">
            <v>NEWZXXA</v>
          </cell>
        </row>
        <row r="1821">
          <cell r="A1821" t="str">
            <v>ZXXALV-XL</v>
          </cell>
          <cell r="B1821" t="str">
            <v>NEWZXXA</v>
          </cell>
        </row>
        <row r="1822">
          <cell r="A1822" t="str">
            <v>ZXXAZS-L</v>
          </cell>
          <cell r="B1822" t="str">
            <v>NEWZXXA</v>
          </cell>
        </row>
        <row r="1823">
          <cell r="A1823" t="str">
            <v>ZXXAZS-M</v>
          </cell>
          <cell r="B1823" t="str">
            <v>NEWZXXA</v>
          </cell>
        </row>
        <row r="1824">
          <cell r="A1824" t="str">
            <v>ZXXAZS-NM</v>
          </cell>
          <cell r="B1824" t="str">
            <v>NEWZXXA</v>
          </cell>
        </row>
        <row r="1825">
          <cell r="A1825" t="str">
            <v>ZXXAZS-NS</v>
          </cell>
          <cell r="B1825" t="str">
            <v>NEWZXXA</v>
          </cell>
        </row>
        <row r="1826">
          <cell r="A1826" t="str">
            <v>ZXXAZS-S</v>
          </cell>
          <cell r="B1826" t="str">
            <v>NEWZXXA</v>
          </cell>
        </row>
        <row r="1827">
          <cell r="A1827" t="str">
            <v>ZXXAZS-XL</v>
          </cell>
          <cell r="B1827" t="str">
            <v>NEWZXXA</v>
          </cell>
        </row>
        <row r="1828">
          <cell r="A1828" t="str">
            <v>ZXXBFS-L</v>
          </cell>
          <cell r="B1828" t="str">
            <v>ZXXB</v>
          </cell>
        </row>
        <row r="1829">
          <cell r="A1829" t="str">
            <v>ZXXBFS-M</v>
          </cell>
          <cell r="B1829" t="str">
            <v>ZXXB</v>
          </cell>
        </row>
        <row r="1830">
          <cell r="A1830" t="str">
            <v>ZXXBFS-S</v>
          </cell>
          <cell r="B1830" t="str">
            <v>ZXXB</v>
          </cell>
        </row>
        <row r="1831">
          <cell r="A1831" t="str">
            <v>ZXXBFS-XL</v>
          </cell>
          <cell r="B1831" t="str">
            <v>ZXXB</v>
          </cell>
        </row>
        <row r="1832">
          <cell r="A1832" t="str">
            <v>ZXXBHO-L</v>
          </cell>
          <cell r="B1832" t="str">
            <v>ZXXB</v>
          </cell>
        </row>
        <row r="1833">
          <cell r="A1833" t="str">
            <v>ZXXBHO-M</v>
          </cell>
          <cell r="B1833" t="str">
            <v>ZXXB</v>
          </cell>
        </row>
        <row r="1834">
          <cell r="A1834" t="str">
            <v>ZXXBHO-S</v>
          </cell>
          <cell r="B1834" t="str">
            <v>ZXXB</v>
          </cell>
        </row>
        <row r="1835">
          <cell r="A1835" t="str">
            <v>ZXXBHO-XL</v>
          </cell>
          <cell r="B1835" t="str">
            <v>ZXXB</v>
          </cell>
        </row>
        <row r="1836">
          <cell r="A1836" t="str">
            <v>ZXXBLV-L</v>
          </cell>
          <cell r="B1836" t="str">
            <v>ZXXB</v>
          </cell>
        </row>
        <row r="1837">
          <cell r="A1837" t="str">
            <v>ZXXBLV-M</v>
          </cell>
          <cell r="B1837" t="str">
            <v>ZXXB</v>
          </cell>
        </row>
        <row r="1838">
          <cell r="A1838" t="str">
            <v>ZXXBLV-S</v>
          </cell>
          <cell r="B1838" t="str">
            <v>ZXXB</v>
          </cell>
        </row>
        <row r="1839">
          <cell r="A1839" t="str">
            <v>ZXXBLV-XL</v>
          </cell>
          <cell r="B1839" t="str">
            <v>ZXXB</v>
          </cell>
        </row>
        <row r="1840">
          <cell r="A1840" t="str">
            <v>ZXXCBO-L</v>
          </cell>
          <cell r="B1840" t="str">
            <v>ZXXC</v>
          </cell>
        </row>
        <row r="1841">
          <cell r="A1841" t="str">
            <v>ZXXCBO-M</v>
          </cell>
          <cell r="B1841" t="str">
            <v>ZXXC</v>
          </cell>
        </row>
        <row r="1842">
          <cell r="A1842" t="str">
            <v>ZXXCBO-S</v>
          </cell>
          <cell r="B1842" t="str">
            <v>ZXXC</v>
          </cell>
        </row>
        <row r="1843">
          <cell r="A1843" t="str">
            <v>ZXXCFS-L</v>
          </cell>
          <cell r="B1843" t="str">
            <v>ZXXC</v>
          </cell>
        </row>
        <row r="1844">
          <cell r="A1844" t="str">
            <v>ZXXCFS-M</v>
          </cell>
          <cell r="B1844" t="str">
            <v>ZXXC</v>
          </cell>
        </row>
        <row r="1845">
          <cell r="A1845" t="str">
            <v>ZXXCFS-S</v>
          </cell>
          <cell r="B1845" t="str">
            <v>ZXXC</v>
          </cell>
        </row>
        <row r="1846">
          <cell r="A1846" t="str">
            <v>ZXXCHO-L</v>
          </cell>
          <cell r="B1846" t="str">
            <v>ZXXC</v>
          </cell>
        </row>
        <row r="1847">
          <cell r="A1847" t="str">
            <v>ZXXCHO-M</v>
          </cell>
          <cell r="B1847" t="str">
            <v>ZXXC</v>
          </cell>
        </row>
        <row r="1848">
          <cell r="A1848" t="str">
            <v>ZXXCHO-S</v>
          </cell>
          <cell r="B1848" t="str">
            <v>ZXXC</v>
          </cell>
        </row>
        <row r="1849">
          <cell r="A1849" t="str">
            <v>ZXXCLV-L</v>
          </cell>
          <cell r="B1849" t="str">
            <v>ZXXC</v>
          </cell>
        </row>
        <row r="1850">
          <cell r="A1850" t="str">
            <v>ZXXCLV-M</v>
          </cell>
          <cell r="B1850" t="str">
            <v>ZXXC</v>
          </cell>
        </row>
        <row r="1851">
          <cell r="A1851" t="str">
            <v>ZXXCLV-S</v>
          </cell>
          <cell r="B1851" t="str">
            <v>ZXXC</v>
          </cell>
        </row>
        <row r="1852">
          <cell r="A1852" t="str">
            <v>ZXXCZS-L</v>
          </cell>
          <cell r="B1852" t="str">
            <v>ZXXC</v>
          </cell>
        </row>
        <row r="1853">
          <cell r="A1853" t="str">
            <v>ZXXCZS-M</v>
          </cell>
          <cell r="B1853" t="str">
            <v>ZXXC</v>
          </cell>
        </row>
        <row r="1854">
          <cell r="A1854" t="str">
            <v>ZXXCZS-S</v>
          </cell>
          <cell r="B1854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81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43304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2018/8/13-2018/8/19</v>
      </c>
      <c r="E3" s="13" t="str">
        <f>TEXT(时间!$B$8,"yyyy/M/d")&amp;"-"&amp;TEXT(时间!$B$7,"yyyy/M/d")</f>
        <v>2018/8/6-2018/8/12</v>
      </c>
      <c r="F3" s="13" t="str">
        <f>TEXT(时间!$B$10,"yyyy/M/d")&amp;"-"&amp;TEXT(时间!$B$9,"yyyy/M/d")</f>
        <v>2018/7/30-2018/8/5</v>
      </c>
      <c r="G3" s="13" t="str">
        <f>TEXT(时间!$B$12,"yyyy/M/d")&amp;"-"&amp;TEXT(时间!$B$11,"yyyy/M/d")</f>
        <v>2018/7/23-2018/7/29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43325</v>
      </c>
      <c r="AG4" s="20">
        <f>时间!$B$7</f>
        <v>43324</v>
      </c>
      <c r="AH4" s="20">
        <f>时间!$B$8</f>
        <v>43318</v>
      </c>
      <c r="AI4" s="20">
        <f>时间!$B$9</f>
        <v>43317</v>
      </c>
      <c r="AJ4" s="20">
        <f>时间!$B$6</f>
        <v>43325</v>
      </c>
      <c r="AK4" s="20">
        <f>时间!$B$7</f>
        <v>43324</v>
      </c>
      <c r="AL4" s="20">
        <f>时间!$B$8</f>
        <v>43318</v>
      </c>
      <c r="AM4" s="20">
        <f>时间!$B$9</f>
        <v>43317</v>
      </c>
      <c r="AN4" s="20">
        <f>时间!$B$6</f>
        <v>43325</v>
      </c>
      <c r="AO4" s="20">
        <f>时间!$B$7</f>
        <v>43324</v>
      </c>
      <c r="AP4" s="20">
        <f>时间!$B$8</f>
        <v>43318</v>
      </c>
      <c r="AQ4" s="20">
        <f>时间!$B$9</f>
        <v>43317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2579</v>
      </c>
      <c r="E5" s="4">
        <f>SUM(E6:E19974)</f>
        <v>1769</v>
      </c>
      <c r="F5" s="4">
        <f>SUM(F6:F19974)</f>
        <v>2014</v>
      </c>
      <c r="G5" s="4">
        <f>SUM(G6:G19974)</f>
        <v>1774</v>
      </c>
      <c r="I5" s="4">
        <f t="shared" ref="I5:O5" si="4">SUM(I6:I2974)</f>
        <v>7723</v>
      </c>
      <c r="J5" s="4">
        <f t="shared" si="4"/>
        <v>3628</v>
      </c>
      <c r="K5" s="4">
        <f t="shared" si="4"/>
        <v>622</v>
      </c>
      <c r="L5" s="4">
        <f t="shared" si="4"/>
        <v>778</v>
      </c>
      <c r="M5" s="4">
        <f t="shared" si="4"/>
        <v>12751</v>
      </c>
      <c r="N5" s="4">
        <f t="shared" si="4"/>
        <v>185</v>
      </c>
      <c r="O5" s="4">
        <f>SUM(O6:O65536)</f>
        <v>1759</v>
      </c>
      <c r="AB5" s="4">
        <f>SUM(AB6:AB2074)</f>
        <v>1352.56</v>
      </c>
      <c r="AC5" s="4">
        <f>SUM(AC6:AC2074)</f>
        <v>1327.15</v>
      </c>
      <c r="AD5" s="4">
        <f>SUM(AD6:AD2074)</f>
        <v>1336.61</v>
      </c>
      <c r="AE5" s="4">
        <f>SUM(AE6:AE2074)</f>
        <v>1448.63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8</v>
      </c>
      <c r="AK6">
        <v>11</v>
      </c>
      <c r="AL6">
        <v>7</v>
      </c>
      <c r="AM6">
        <v>8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2</v>
      </c>
      <c r="F8" s="31">
        <v>0</v>
      </c>
      <c r="G8" s="31">
        <v>0</v>
      </c>
      <c r="H8" s="32">
        <v>9.99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16</v>
      </c>
      <c r="AK8">
        <v>19</v>
      </c>
      <c r="AL8">
        <v>9</v>
      </c>
      <c r="AM8">
        <v>17</v>
      </c>
      <c r="AN8" s="22">
        <v>0</v>
      </c>
      <c r="AO8" s="22">
        <v>0.105263157894737</v>
      </c>
      <c r="AP8" s="22">
        <v>0</v>
      </c>
      <c r="AQ8" s="22">
        <v>0</v>
      </c>
      <c r="AR8" s="35">
        <v>0</v>
      </c>
      <c r="AS8" s="35">
        <v>0</v>
      </c>
      <c r="AT8" s="35">
        <v>1</v>
      </c>
      <c r="AU8" s="31" t="str">
        <f t="shared" si="3"/>
        <v>库存为1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1</v>
      </c>
      <c r="E10" s="31">
        <v>2</v>
      </c>
      <c r="F10" s="31">
        <v>2</v>
      </c>
      <c r="G10" s="31">
        <v>3</v>
      </c>
      <c r="H10" s="32">
        <v>13.24</v>
      </c>
      <c r="I10">
        <v>3</v>
      </c>
      <c r="J10" s="33">
        <v>0</v>
      </c>
      <c r="K10" s="33">
        <v>0</v>
      </c>
      <c r="L10" s="33">
        <v>0</v>
      </c>
      <c r="M10">
        <v>3</v>
      </c>
      <c r="N10">
        <v>0</v>
      </c>
      <c r="O10">
        <v>6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104</v>
      </c>
      <c r="AK10">
        <v>69</v>
      </c>
      <c r="AL10">
        <v>38</v>
      </c>
      <c r="AM10">
        <v>29</v>
      </c>
      <c r="AN10" s="22">
        <v>0.00961538461538462</v>
      </c>
      <c r="AO10" s="22">
        <v>0.0289855072463768</v>
      </c>
      <c r="AP10" s="22">
        <v>0.0526315789473684</v>
      </c>
      <c r="AQ10" s="22">
        <v>0.103448275862069</v>
      </c>
      <c r="AR10" s="35">
        <v>0.142857142857143</v>
      </c>
      <c r="AS10" s="35">
        <v>8.57142857142857</v>
      </c>
      <c r="AT10" s="35">
        <v>-5.57142857142857</v>
      </c>
      <c r="AU10" s="31">
        <f t="shared" si="3"/>
        <v>21</v>
      </c>
      <c r="AV10" s="36">
        <f>IFERROR(时间!$B$4+AU10,"上周无销量")</f>
        <v>43353</v>
      </c>
    </row>
    <row r="11" spans="1:48">
      <c r="A11" s="20" t="s">
        <v>64</v>
      </c>
      <c r="B11" t="s">
        <v>65</v>
      </c>
      <c r="C11" t="s">
        <v>63</v>
      </c>
      <c r="D11" s="31">
        <v>4</v>
      </c>
      <c r="E11" s="31">
        <v>3</v>
      </c>
      <c r="F11" s="31">
        <v>2</v>
      </c>
      <c r="G11" s="31">
        <v>1</v>
      </c>
      <c r="H11" s="32">
        <v>12.79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30</v>
      </c>
      <c r="AK11">
        <v>97</v>
      </c>
      <c r="AL11">
        <v>83</v>
      </c>
      <c r="AM11">
        <v>281</v>
      </c>
      <c r="AN11" s="22">
        <v>0.133333333333333</v>
      </c>
      <c r="AO11" s="22">
        <v>0.0309278350515464</v>
      </c>
      <c r="AP11" s="22">
        <v>0.0240963855421687</v>
      </c>
      <c r="AQ11" s="22">
        <v>0.00355871886120996</v>
      </c>
      <c r="AR11" s="35">
        <v>0.571428571428571</v>
      </c>
      <c r="AS11" s="35">
        <v>34.2857142857143</v>
      </c>
      <c r="AT11" s="35">
        <v>-34.2857142857143</v>
      </c>
      <c r="AU11" s="31">
        <f t="shared" si="3"/>
        <v>0</v>
      </c>
      <c r="AV11" s="36">
        <f>IFERROR(时间!$B$4+AU11,"上周无销量")</f>
        <v>43332</v>
      </c>
    </row>
    <row r="12" spans="1:48">
      <c r="A12" s="20" t="s">
        <v>66</v>
      </c>
      <c r="B12" t="s">
        <v>67</v>
      </c>
      <c r="C12" t="s">
        <v>63</v>
      </c>
      <c r="D12" s="31">
        <v>12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1.71428571428571</v>
      </c>
      <c r="AS12" s="35">
        <v>102.857142857143</v>
      </c>
      <c r="AT12" s="35">
        <v>-102.857142857143</v>
      </c>
      <c r="AU12" s="31">
        <f t="shared" si="3"/>
        <v>0</v>
      </c>
      <c r="AV12" s="36">
        <f>IFERROR(时间!$B$4+AU12,"上周无销量")</f>
        <v>43332</v>
      </c>
    </row>
    <row r="13" spans="1:48">
      <c r="A13" s="20" t="s">
        <v>68</v>
      </c>
      <c r="B13" t="s">
        <v>69</v>
      </c>
      <c r="C13" t="s">
        <v>63</v>
      </c>
      <c r="D13" s="31">
        <v>2</v>
      </c>
      <c r="E13" s="31">
        <v>0</v>
      </c>
      <c r="F13" s="31">
        <v>1</v>
      </c>
      <c r="G13" s="31">
        <v>5</v>
      </c>
      <c r="H13" s="32">
        <v>13.49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4003</v>
      </c>
      <c r="Q13">
        <v>19108</v>
      </c>
      <c r="R13">
        <v>3925</v>
      </c>
      <c r="S13">
        <v>2164</v>
      </c>
      <c r="T13">
        <v>31</v>
      </c>
      <c r="U13">
        <v>91</v>
      </c>
      <c r="V13">
        <v>21</v>
      </c>
      <c r="W13">
        <v>17</v>
      </c>
      <c r="X13" s="22">
        <v>0.00774419185610792</v>
      </c>
      <c r="Y13" s="22">
        <v>0.00476240318191333</v>
      </c>
      <c r="Z13" s="22">
        <v>0.00535031847133758</v>
      </c>
      <c r="AA13" s="22">
        <v>0.00785582255083179</v>
      </c>
      <c r="AB13">
        <v>16.64</v>
      </c>
      <c r="AC13">
        <v>36.66</v>
      </c>
      <c r="AD13">
        <v>10.23</v>
      </c>
      <c r="AE13">
        <v>7.2</v>
      </c>
      <c r="AF13" s="22">
        <v>0.616753150481838</v>
      </c>
      <c r="AG13" s="22" t="s">
        <v>70</v>
      </c>
      <c r="AH13" s="22">
        <v>0.758339510748703</v>
      </c>
      <c r="AI13" s="22">
        <v>0.106745737583395</v>
      </c>
      <c r="AJ13">
        <v>68</v>
      </c>
      <c r="AK13">
        <v>171</v>
      </c>
      <c r="AL13">
        <v>53</v>
      </c>
      <c r="AM13">
        <v>72</v>
      </c>
      <c r="AN13" s="22">
        <v>0.0294117647058824</v>
      </c>
      <c r="AO13" s="22">
        <v>0</v>
      </c>
      <c r="AP13" s="22">
        <v>0.0188679245283019</v>
      </c>
      <c r="AQ13" s="22">
        <v>0.0694444444444444</v>
      </c>
      <c r="AR13" s="35">
        <v>0.285714285714286</v>
      </c>
      <c r="AS13" s="35">
        <v>17.1428571428571</v>
      </c>
      <c r="AT13" s="35">
        <v>-17.1428571428571</v>
      </c>
      <c r="AU13" s="31">
        <f t="shared" si="3"/>
        <v>0</v>
      </c>
      <c r="AV13" s="36">
        <f>IFERROR(时间!$B$4+AU13,"上周无销量")</f>
        <v>43332</v>
      </c>
    </row>
    <row r="14" spans="1:48">
      <c r="A14" s="20" t="s">
        <v>71</v>
      </c>
      <c r="B14" t="s">
        <v>72</v>
      </c>
      <c r="C14" t="s">
        <v>73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1</v>
      </c>
      <c r="AK14">
        <v>2</v>
      </c>
      <c r="AL14">
        <v>0</v>
      </c>
      <c r="AM14">
        <v>3</v>
      </c>
      <c r="AN14" s="22">
        <v>0</v>
      </c>
      <c r="AO14" s="22">
        <v>0</v>
      </c>
      <c r="AP14" s="22" t="s">
        <v>53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74</v>
      </c>
      <c r="B15" t="s">
        <v>75</v>
      </c>
      <c r="C15" t="s">
        <v>73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3</v>
      </c>
      <c r="AK15">
        <v>5</v>
      </c>
      <c r="AL15">
        <v>1</v>
      </c>
      <c r="AM15">
        <v>0</v>
      </c>
      <c r="AN15" s="22">
        <v>0</v>
      </c>
      <c r="AO15" s="22">
        <v>0</v>
      </c>
      <c r="AP15" s="22">
        <v>0</v>
      </c>
      <c r="AQ15" s="22" t="s">
        <v>53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76</v>
      </c>
      <c r="B16" t="s">
        <v>77</v>
      </c>
      <c r="C16" t="s">
        <v>73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4</v>
      </c>
      <c r="AK16">
        <v>0</v>
      </c>
      <c r="AL16">
        <v>3</v>
      </c>
      <c r="AM16">
        <v>2</v>
      </c>
      <c r="AN16" s="22">
        <v>0</v>
      </c>
      <c r="AO16" s="22" t="s">
        <v>53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78</v>
      </c>
      <c r="B17" t="s">
        <v>79</v>
      </c>
      <c r="C17" t="s">
        <v>73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3</v>
      </c>
      <c r="AK17">
        <v>0</v>
      </c>
      <c r="AL17">
        <v>0</v>
      </c>
      <c r="AM17">
        <v>1</v>
      </c>
      <c r="AN17" s="22">
        <v>0</v>
      </c>
      <c r="AO17" s="22" t="s">
        <v>53</v>
      </c>
      <c r="AP17" s="22" t="s">
        <v>53</v>
      </c>
      <c r="AQ17" s="22">
        <v>0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80</v>
      </c>
      <c r="B18" t="s">
        <v>81</v>
      </c>
      <c r="C18" t="s">
        <v>73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2</v>
      </c>
      <c r="AK18">
        <v>4</v>
      </c>
      <c r="AL18">
        <v>0</v>
      </c>
      <c r="AM18">
        <v>1</v>
      </c>
      <c r="AN18" s="22">
        <v>0</v>
      </c>
      <c r="AO18" s="22">
        <v>0</v>
      </c>
      <c r="AP18" s="22" t="s">
        <v>53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82</v>
      </c>
      <c r="B19" t="s">
        <v>83</v>
      </c>
      <c r="C19" t="s">
        <v>73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1</v>
      </c>
      <c r="AK19">
        <v>2</v>
      </c>
      <c r="AL19">
        <v>0</v>
      </c>
      <c r="AM19">
        <v>0</v>
      </c>
      <c r="AN19" s="22">
        <v>0</v>
      </c>
      <c r="AO19" s="22">
        <v>0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84</v>
      </c>
      <c r="B20" t="s">
        <v>85</v>
      </c>
      <c r="C20" t="s">
        <v>73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2</v>
      </c>
      <c r="AK20">
        <v>2</v>
      </c>
      <c r="AL20">
        <v>1</v>
      </c>
      <c r="AM20">
        <v>0</v>
      </c>
      <c r="AN20" s="22">
        <v>0</v>
      </c>
      <c r="AO20" s="22">
        <v>0</v>
      </c>
      <c r="AP20" s="22">
        <v>0</v>
      </c>
      <c r="AQ20" s="22" t="s">
        <v>53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86</v>
      </c>
      <c r="B21" t="s">
        <v>87</v>
      </c>
      <c r="C21" t="s">
        <v>73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1</v>
      </c>
      <c r="AK21">
        <v>1</v>
      </c>
      <c r="AL21">
        <v>0</v>
      </c>
      <c r="AM21">
        <v>1</v>
      </c>
      <c r="AN21" s="22">
        <v>0</v>
      </c>
      <c r="AO21" s="22">
        <v>0</v>
      </c>
      <c r="AP21" s="22" t="s">
        <v>53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88</v>
      </c>
      <c r="B22" t="s">
        <v>89</v>
      </c>
      <c r="C22" t="s">
        <v>73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2</v>
      </c>
      <c r="AK22">
        <v>0</v>
      </c>
      <c r="AL22">
        <v>4</v>
      </c>
      <c r="AM22">
        <v>1</v>
      </c>
      <c r="AN22" s="22">
        <v>0</v>
      </c>
      <c r="AO22" s="22" t="s">
        <v>53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90</v>
      </c>
      <c r="B23" t="s">
        <v>91</v>
      </c>
      <c r="C23" t="s">
        <v>73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</v>
      </c>
      <c r="AK23">
        <v>2</v>
      </c>
      <c r="AL23">
        <v>0</v>
      </c>
      <c r="AM23">
        <v>1</v>
      </c>
      <c r="AN23" s="22">
        <v>0</v>
      </c>
      <c r="AO23" s="22">
        <v>0</v>
      </c>
      <c r="AP23" s="22" t="s">
        <v>53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92</v>
      </c>
      <c r="B24" t="s">
        <v>93</v>
      </c>
      <c r="C24" t="s">
        <v>73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4</v>
      </c>
      <c r="AK24">
        <v>3</v>
      </c>
      <c r="AL24">
        <v>1</v>
      </c>
      <c r="AM24">
        <v>0</v>
      </c>
      <c r="AN24" s="22">
        <v>0</v>
      </c>
      <c r="AO24" s="22">
        <v>0</v>
      </c>
      <c r="AP24" s="22">
        <v>0</v>
      </c>
      <c r="AQ24" s="22" t="s">
        <v>53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94</v>
      </c>
      <c r="B25" t="s">
        <v>95</v>
      </c>
      <c r="C25" t="s">
        <v>73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</v>
      </c>
      <c r="AK25">
        <v>3</v>
      </c>
      <c r="AL25">
        <v>1</v>
      </c>
      <c r="AM25">
        <v>0</v>
      </c>
      <c r="AN25" s="22">
        <v>0</v>
      </c>
      <c r="AO25" s="22">
        <v>0</v>
      </c>
      <c r="AP25" s="22">
        <v>0</v>
      </c>
      <c r="AQ25" s="22" t="s">
        <v>53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96</v>
      </c>
      <c r="B26" t="s">
        <v>97</v>
      </c>
      <c r="C26" t="s">
        <v>73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2</v>
      </c>
      <c r="AK26">
        <v>4</v>
      </c>
      <c r="AL26">
        <v>1</v>
      </c>
      <c r="AM26">
        <v>0</v>
      </c>
      <c r="AN26" s="22">
        <v>0</v>
      </c>
      <c r="AO26" s="22">
        <v>0</v>
      </c>
      <c r="AP26" s="22">
        <v>0</v>
      </c>
      <c r="AQ26" s="22" t="s">
        <v>53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98</v>
      </c>
      <c r="B27" t="s">
        <v>99</v>
      </c>
      <c r="C27" t="s">
        <v>73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3</v>
      </c>
      <c r="AK27">
        <v>0</v>
      </c>
      <c r="AL27">
        <v>2</v>
      </c>
      <c r="AM27">
        <v>1</v>
      </c>
      <c r="AN27" s="22">
        <v>0</v>
      </c>
      <c r="AO27" s="22" t="s">
        <v>53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100</v>
      </c>
      <c r="B28" t="s">
        <v>101</v>
      </c>
      <c r="C28" t="s">
        <v>73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7</v>
      </c>
      <c r="AK28">
        <v>3</v>
      </c>
      <c r="AL28">
        <v>3</v>
      </c>
      <c r="AM28">
        <v>5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102</v>
      </c>
      <c r="B29" t="s">
        <v>103</v>
      </c>
      <c r="C29" t="s">
        <v>104</v>
      </c>
      <c r="D29" s="31">
        <v>1</v>
      </c>
      <c r="E29" s="31">
        <v>0</v>
      </c>
      <c r="F29" s="31">
        <v>0</v>
      </c>
      <c r="G29" s="31">
        <v>0</v>
      </c>
      <c r="H29" s="32">
        <v>11.59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2</v>
      </c>
      <c r="AK29">
        <v>1</v>
      </c>
      <c r="AL29">
        <v>0</v>
      </c>
      <c r="AM29">
        <v>0</v>
      </c>
      <c r="AN29" s="22">
        <v>0.5</v>
      </c>
      <c r="AO29" s="22">
        <v>0</v>
      </c>
      <c r="AP29" s="22" t="s">
        <v>53</v>
      </c>
      <c r="AQ29" s="22" t="s">
        <v>53</v>
      </c>
      <c r="AR29" s="35">
        <v>0.142857142857143</v>
      </c>
      <c r="AS29" s="35">
        <v>8.57142857142857</v>
      </c>
      <c r="AT29" s="35">
        <v>-8.57142857142857</v>
      </c>
      <c r="AU29" s="31">
        <f t="shared" si="3"/>
        <v>0</v>
      </c>
      <c r="AV29" s="36">
        <f>IFERROR(时间!$B$4+AU29,"上周无销量")</f>
        <v>43332</v>
      </c>
    </row>
    <row r="30" spans="1:48">
      <c r="A30" s="20" t="s">
        <v>105</v>
      </c>
      <c r="B30" t="s">
        <v>106</v>
      </c>
      <c r="C30" t="s">
        <v>104</v>
      </c>
      <c r="D30" s="31">
        <v>1</v>
      </c>
      <c r="E30" s="31">
        <v>1</v>
      </c>
      <c r="F30" s="31">
        <v>0</v>
      </c>
      <c r="G30" s="31">
        <v>0</v>
      </c>
      <c r="H30" s="32">
        <v>11.59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11</v>
      </c>
      <c r="AK30">
        <v>10</v>
      </c>
      <c r="AL30">
        <v>6</v>
      </c>
      <c r="AM30">
        <v>2</v>
      </c>
      <c r="AN30" s="22">
        <v>0.0909090909090909</v>
      </c>
      <c r="AO30" s="22">
        <v>0.1</v>
      </c>
      <c r="AP30" s="22">
        <v>0</v>
      </c>
      <c r="AQ30" s="22">
        <v>0</v>
      </c>
      <c r="AR30" s="35">
        <v>0.142857142857143</v>
      </c>
      <c r="AS30" s="35">
        <v>8.57142857142857</v>
      </c>
      <c r="AT30" s="35">
        <v>-8.57142857142857</v>
      </c>
      <c r="AU30" s="31">
        <f t="shared" si="3"/>
        <v>0</v>
      </c>
      <c r="AV30" s="36">
        <f>IFERROR(时间!$B$4+AU30,"上周无销量")</f>
        <v>43332</v>
      </c>
    </row>
    <row r="31" spans="1:48">
      <c r="A31" s="20" t="s">
        <v>107</v>
      </c>
      <c r="B31" t="s">
        <v>108</v>
      </c>
      <c r="C31" t="s">
        <v>104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3</v>
      </c>
      <c r="J31" s="33">
        <v>0</v>
      </c>
      <c r="K31" s="33">
        <v>0</v>
      </c>
      <c r="L31" s="33">
        <v>0</v>
      </c>
      <c r="M31">
        <v>3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3</v>
      </c>
      <c r="AK31">
        <v>5</v>
      </c>
      <c r="AL31">
        <v>4</v>
      </c>
      <c r="AM31">
        <v>5</v>
      </c>
      <c r="AN31" s="22">
        <v>0</v>
      </c>
      <c r="AO31" s="22">
        <v>0</v>
      </c>
      <c r="AP31" s="22">
        <v>0</v>
      </c>
      <c r="AQ31" s="22">
        <v>0</v>
      </c>
      <c r="AR31" s="35">
        <v>0</v>
      </c>
      <c r="AS31" s="35">
        <v>0</v>
      </c>
      <c r="AT31" s="35">
        <v>3</v>
      </c>
      <c r="AU31" s="31" t="str">
        <f t="shared" si="3"/>
        <v>库存为3</v>
      </c>
      <c r="AV31" s="36" t="str">
        <f>IFERROR(时间!$B$4+AU31,"上周无销量")</f>
        <v>上周无销量</v>
      </c>
    </row>
    <row r="32" spans="1:48">
      <c r="A32" s="20" t="s">
        <v>109</v>
      </c>
      <c r="B32" t="s">
        <v>110</v>
      </c>
      <c r="C32" t="s">
        <v>111</v>
      </c>
      <c r="D32" s="31">
        <v>0</v>
      </c>
      <c r="E32" s="31">
        <v>1</v>
      </c>
      <c r="F32" s="31">
        <v>0</v>
      </c>
      <c r="G32" s="31">
        <v>0</v>
      </c>
      <c r="H32" s="32">
        <v>10</v>
      </c>
      <c r="I32">
        <v>6</v>
      </c>
      <c r="J32" s="33">
        <v>0</v>
      </c>
      <c r="K32" s="33">
        <v>0</v>
      </c>
      <c r="L32" s="33">
        <v>0</v>
      </c>
      <c r="M32">
        <v>6</v>
      </c>
      <c r="N32">
        <v>0</v>
      </c>
      <c r="O32">
        <v>6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21</v>
      </c>
      <c r="AK32">
        <v>15</v>
      </c>
      <c r="AL32">
        <v>16</v>
      </c>
      <c r="AM32">
        <v>3</v>
      </c>
      <c r="AN32" s="22">
        <v>0</v>
      </c>
      <c r="AO32" s="22">
        <v>0.0666666666666667</v>
      </c>
      <c r="AP32" s="22">
        <v>0</v>
      </c>
      <c r="AQ32" s="22">
        <v>0</v>
      </c>
      <c r="AR32" s="35">
        <v>0</v>
      </c>
      <c r="AS32" s="35">
        <v>0</v>
      </c>
      <c r="AT32" s="35">
        <v>6</v>
      </c>
      <c r="AU32" s="31" t="str">
        <f t="shared" si="3"/>
        <v>库存为6</v>
      </c>
      <c r="AV32" s="36" t="str">
        <f>IFERROR(时间!$B$4+AU32,"上周无销量")</f>
        <v>上周无销量</v>
      </c>
    </row>
    <row r="33" spans="1:48">
      <c r="A33" s="20" t="s">
        <v>112</v>
      </c>
      <c r="B33" t="s">
        <v>113</v>
      </c>
      <c r="C33" t="s">
        <v>111</v>
      </c>
      <c r="D33" s="31">
        <v>8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>
        <v>94</v>
      </c>
      <c r="Q33">
        <v>1266</v>
      </c>
      <c r="R33">
        <v>1080</v>
      </c>
      <c r="S33">
        <v>0</v>
      </c>
      <c r="T33">
        <v>1</v>
      </c>
      <c r="U33">
        <v>7</v>
      </c>
      <c r="V33">
        <v>0</v>
      </c>
      <c r="W33">
        <v>0</v>
      </c>
      <c r="X33" s="22">
        <v>0.0106382978723404</v>
      </c>
      <c r="Y33" s="22">
        <v>0.00552922590837283</v>
      </c>
      <c r="Z33" s="22">
        <v>0</v>
      </c>
      <c r="AA33" s="22" t="s">
        <v>53</v>
      </c>
      <c r="AB33">
        <v>0.46</v>
      </c>
      <c r="AC33">
        <v>4.34</v>
      </c>
      <c r="AD33">
        <v>0</v>
      </c>
      <c r="AE33">
        <v>0</v>
      </c>
      <c r="AF33" s="22" t="s">
        <v>114</v>
      </c>
      <c r="AG33" s="22" t="s">
        <v>115</v>
      </c>
      <c r="AH33" s="22" t="s">
        <v>53</v>
      </c>
      <c r="AI33" s="22" t="s">
        <v>53</v>
      </c>
      <c r="AJ33">
        <v>3</v>
      </c>
      <c r="AK33">
        <v>16</v>
      </c>
      <c r="AL33">
        <v>3</v>
      </c>
      <c r="AM33">
        <v>5</v>
      </c>
      <c r="AN33" s="22">
        <v>2.66666666666667</v>
      </c>
      <c r="AO33" s="22">
        <v>0</v>
      </c>
      <c r="AP33" s="22">
        <v>0</v>
      </c>
      <c r="AQ33" s="22">
        <v>0</v>
      </c>
      <c r="AR33" s="35">
        <v>1.14285714285714</v>
      </c>
      <c r="AS33" s="35">
        <v>68.5714285714286</v>
      </c>
      <c r="AT33" s="35">
        <v>-68.5714285714286</v>
      </c>
      <c r="AU33" s="31">
        <f t="shared" si="3"/>
        <v>0</v>
      </c>
      <c r="AV33" s="36">
        <f>IFERROR(时间!$B$4+AU33,"上周无销量")</f>
        <v>43332</v>
      </c>
    </row>
    <row r="34" spans="1:48">
      <c r="A34" s="20" t="s">
        <v>116</v>
      </c>
      <c r="B34" t="s">
        <v>117</v>
      </c>
      <c r="C34" t="s">
        <v>118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0</v>
      </c>
      <c r="AK34">
        <v>0</v>
      </c>
      <c r="AL34">
        <v>0</v>
      </c>
      <c r="AM34">
        <v>0</v>
      </c>
      <c r="AN34" s="22" t="s">
        <v>53</v>
      </c>
      <c r="AO34" s="22" t="s">
        <v>53</v>
      </c>
      <c r="AP34" s="22" t="s">
        <v>53</v>
      </c>
      <c r="AQ34" s="22" t="s">
        <v>53</v>
      </c>
      <c r="AR34" s="35">
        <v>0</v>
      </c>
      <c r="AS34" s="35">
        <v>0</v>
      </c>
      <c r="AT34" s="35">
        <v>0</v>
      </c>
      <c r="AU34" s="31" t="str">
        <f t="shared" si="3"/>
        <v>库存为0</v>
      </c>
      <c r="AV34" s="36" t="str">
        <f>IFERROR(时间!$B$4+AU34,"上周无销量")</f>
        <v>上周无销量</v>
      </c>
    </row>
    <row r="35" spans="1:48">
      <c r="A35" s="20" t="s">
        <v>119</v>
      </c>
      <c r="B35" t="s">
        <v>120</v>
      </c>
      <c r="C35" t="s">
        <v>118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121</v>
      </c>
      <c r="B36" t="s">
        <v>122</v>
      </c>
      <c r="C36" t="s">
        <v>123</v>
      </c>
      <c r="D36" s="31">
        <v>0</v>
      </c>
      <c r="E36" s="31">
        <v>0</v>
      </c>
      <c r="F36" s="31">
        <v>1</v>
      </c>
      <c r="G36" s="31">
        <v>0</v>
      </c>
      <c r="H36" s="32">
        <v>18.99</v>
      </c>
      <c r="I36">
        <v>4</v>
      </c>
      <c r="J36" s="33">
        <v>0</v>
      </c>
      <c r="K36" s="33">
        <v>0</v>
      </c>
      <c r="L36" s="33">
        <v>0</v>
      </c>
      <c r="M36">
        <v>4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5</v>
      </c>
      <c r="AK36">
        <v>10</v>
      </c>
      <c r="AL36">
        <v>2</v>
      </c>
      <c r="AM36">
        <v>2</v>
      </c>
      <c r="AN36" s="22">
        <v>0</v>
      </c>
      <c r="AO36" s="22">
        <v>0</v>
      </c>
      <c r="AP36" s="22">
        <v>0.5</v>
      </c>
      <c r="AQ36" s="22">
        <v>0</v>
      </c>
      <c r="AR36" s="35">
        <v>0</v>
      </c>
      <c r="AS36" s="35">
        <v>0</v>
      </c>
      <c r="AT36" s="35">
        <v>4</v>
      </c>
      <c r="AU36" s="31" t="str">
        <f t="shared" si="3"/>
        <v>库存为4</v>
      </c>
      <c r="AV36" s="36" t="str">
        <f>IFERROR(时间!$B$4+AU36,"上周无销量")</f>
        <v>上周无销量</v>
      </c>
    </row>
    <row r="37" spans="1:48">
      <c r="A37" s="20" t="s">
        <v>124</v>
      </c>
      <c r="B37" t="s">
        <v>125</v>
      </c>
      <c r="C37" t="s">
        <v>123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3</v>
      </c>
      <c r="J37" s="33">
        <v>0</v>
      </c>
      <c r="K37" s="33">
        <v>0</v>
      </c>
      <c r="L37" s="33">
        <v>0</v>
      </c>
      <c r="M37">
        <v>3</v>
      </c>
      <c r="N37">
        <v>0</v>
      </c>
      <c r="O37">
        <v>3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9</v>
      </c>
      <c r="AK37">
        <v>8</v>
      </c>
      <c r="AL37">
        <v>2</v>
      </c>
      <c r="AM37">
        <v>0</v>
      </c>
      <c r="AN37" s="22">
        <v>0</v>
      </c>
      <c r="AO37" s="22">
        <v>0</v>
      </c>
      <c r="AP37" s="22">
        <v>0</v>
      </c>
      <c r="AQ37" s="22" t="s">
        <v>53</v>
      </c>
      <c r="AR37" s="35">
        <v>0</v>
      </c>
      <c r="AS37" s="35">
        <v>0</v>
      </c>
      <c r="AT37" s="35">
        <v>3</v>
      </c>
      <c r="AU37" s="31" t="str">
        <f t="shared" si="3"/>
        <v>库存为3</v>
      </c>
      <c r="AV37" s="36" t="str">
        <f>IFERROR(时间!$B$4+AU37,"上周无销量")</f>
        <v>上周无销量</v>
      </c>
    </row>
    <row r="38" spans="1:48">
      <c r="A38" s="20" t="s">
        <v>126</v>
      </c>
      <c r="B38" t="s">
        <v>127</v>
      </c>
      <c r="C38" t="s">
        <v>128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129</v>
      </c>
      <c r="B39" t="s">
        <v>130</v>
      </c>
      <c r="C39" t="s">
        <v>128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1</v>
      </c>
      <c r="AN39" s="22" t="s">
        <v>53</v>
      </c>
      <c r="AO39" s="22" t="s">
        <v>53</v>
      </c>
      <c r="AP39" s="22" t="s">
        <v>53</v>
      </c>
      <c r="AQ39" s="22">
        <v>0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131</v>
      </c>
      <c r="B40" t="s">
        <v>132</v>
      </c>
      <c r="C40" t="s">
        <v>128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1</v>
      </c>
      <c r="J40" s="33">
        <v>0</v>
      </c>
      <c r="K40" s="33">
        <v>0</v>
      </c>
      <c r="L40" s="33">
        <v>0</v>
      </c>
      <c r="M40">
        <v>1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18</v>
      </c>
      <c r="AK40">
        <v>23</v>
      </c>
      <c r="AL40">
        <v>0</v>
      </c>
      <c r="AM40">
        <v>1</v>
      </c>
      <c r="AN40" s="22">
        <v>0</v>
      </c>
      <c r="AO40" s="22">
        <v>0</v>
      </c>
      <c r="AP40" s="22" t="s">
        <v>53</v>
      </c>
      <c r="AQ40" s="22">
        <v>0</v>
      </c>
      <c r="AR40" s="35">
        <v>0</v>
      </c>
      <c r="AS40" s="35">
        <v>0</v>
      </c>
      <c r="AT40" s="35">
        <v>1</v>
      </c>
      <c r="AU40" s="31" t="str">
        <f t="shared" si="3"/>
        <v>库存为1</v>
      </c>
      <c r="AV40" s="36" t="str">
        <f>IFERROR(时间!$B$4+AU40,"上周无销量")</f>
        <v>上周无销量</v>
      </c>
    </row>
    <row r="41" spans="1:48">
      <c r="A41" s="20" t="s">
        <v>133</v>
      </c>
      <c r="B41" t="s">
        <v>134</v>
      </c>
      <c r="C41" t="s">
        <v>128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1</v>
      </c>
      <c r="AN41" s="22" t="s">
        <v>53</v>
      </c>
      <c r="AO41" s="22" t="s">
        <v>53</v>
      </c>
      <c r="AP41" s="22" t="s">
        <v>53</v>
      </c>
      <c r="AQ41" s="22">
        <v>0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135</v>
      </c>
      <c r="B42" t="s">
        <v>136</v>
      </c>
      <c r="C42" t="s">
        <v>128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1</v>
      </c>
      <c r="AN42" s="22" t="s">
        <v>53</v>
      </c>
      <c r="AO42" s="22" t="s">
        <v>53</v>
      </c>
      <c r="AP42" s="22" t="s">
        <v>53</v>
      </c>
      <c r="AQ42" s="22">
        <v>0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137</v>
      </c>
      <c r="B43" t="s">
        <v>138</v>
      </c>
      <c r="C43" t="s">
        <v>128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139</v>
      </c>
      <c r="B44" t="s">
        <v>127</v>
      </c>
      <c r="C44" t="s">
        <v>140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141</v>
      </c>
      <c r="B45" t="s">
        <v>130</v>
      </c>
      <c r="C45" t="s">
        <v>140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1</v>
      </c>
      <c r="AN45" s="22" t="s">
        <v>53</v>
      </c>
      <c r="AO45" s="22" t="s">
        <v>53</v>
      </c>
      <c r="AP45" s="22" t="s">
        <v>53</v>
      </c>
      <c r="AQ45" s="22">
        <v>0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142</v>
      </c>
      <c r="B46" t="s">
        <v>132</v>
      </c>
      <c r="C46" t="s">
        <v>140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18</v>
      </c>
      <c r="AK46">
        <v>23</v>
      </c>
      <c r="AL46">
        <v>0</v>
      </c>
      <c r="AM46">
        <v>1</v>
      </c>
      <c r="AN46" s="22">
        <v>0</v>
      </c>
      <c r="AO46" s="22">
        <v>0</v>
      </c>
      <c r="AP46" s="22" t="s">
        <v>53</v>
      </c>
      <c r="AQ46" s="22">
        <v>0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134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1</v>
      </c>
      <c r="AN47" s="22" t="s">
        <v>53</v>
      </c>
      <c r="AO47" s="22" t="s">
        <v>53</v>
      </c>
      <c r="AP47" s="22" t="s">
        <v>53</v>
      </c>
      <c r="AQ47" s="22">
        <v>0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144</v>
      </c>
      <c r="B48" t="s">
        <v>136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1</v>
      </c>
      <c r="AN48" s="22" t="s">
        <v>53</v>
      </c>
      <c r="AO48" s="22" t="s">
        <v>53</v>
      </c>
      <c r="AP48" s="22" t="s">
        <v>53</v>
      </c>
      <c r="AQ48" s="22">
        <v>0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145</v>
      </c>
      <c r="B49" t="s">
        <v>138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146</v>
      </c>
      <c r="B50" t="s">
        <v>147</v>
      </c>
      <c r="C50" t="s">
        <v>146</v>
      </c>
      <c r="D50" s="31">
        <v>57</v>
      </c>
      <c r="E50" s="31">
        <v>6</v>
      </c>
      <c r="F50" s="31">
        <v>4</v>
      </c>
      <c r="G50" s="31">
        <v>1</v>
      </c>
      <c r="H50" s="32">
        <v>1.90985294117647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10</v>
      </c>
      <c r="AK50">
        <v>57</v>
      </c>
      <c r="AL50">
        <v>30</v>
      </c>
      <c r="AM50">
        <v>22</v>
      </c>
      <c r="AN50" s="22">
        <v>5.7</v>
      </c>
      <c r="AO50" s="22">
        <v>0.105263157894737</v>
      </c>
      <c r="AP50" s="22">
        <v>0.133333333333333</v>
      </c>
      <c r="AQ50" s="22">
        <v>0.0454545454545455</v>
      </c>
      <c r="AR50" s="35">
        <v>8.14285714285714</v>
      </c>
      <c r="AS50" s="35">
        <v>488.571428571429</v>
      </c>
      <c r="AT50" s="35">
        <v>-488.571428571429</v>
      </c>
      <c r="AU50" s="31">
        <f t="shared" si="3"/>
        <v>0</v>
      </c>
      <c r="AV50" s="36">
        <f>IFERROR(时间!$B$4+AU50,"上周无销量")</f>
        <v>43332</v>
      </c>
    </row>
    <row r="51" spans="1:48">
      <c r="A51" s="20" t="s">
        <v>148</v>
      </c>
      <c r="B51" t="s">
        <v>149</v>
      </c>
      <c r="C51" t="s">
        <v>150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4</v>
      </c>
      <c r="AL51">
        <v>1</v>
      </c>
      <c r="AM51">
        <v>4</v>
      </c>
      <c r="AN51" s="22" t="s">
        <v>53</v>
      </c>
      <c r="AO51" s="22">
        <v>0</v>
      </c>
      <c r="AP51" s="22">
        <v>0</v>
      </c>
      <c r="AQ51" s="22">
        <v>0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151</v>
      </c>
      <c r="B52" t="s">
        <v>152</v>
      </c>
      <c r="C52" t="s">
        <v>150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6</v>
      </c>
      <c r="AL52">
        <v>1</v>
      </c>
      <c r="AM52">
        <v>2</v>
      </c>
      <c r="AN52" s="22" t="s">
        <v>53</v>
      </c>
      <c r="AO52" s="22">
        <v>0</v>
      </c>
      <c r="AP52" s="22">
        <v>0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153</v>
      </c>
      <c r="B53" t="s">
        <v>154</v>
      </c>
      <c r="C53" t="s">
        <v>150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4</v>
      </c>
      <c r="AL53">
        <v>2</v>
      </c>
      <c r="AM53">
        <v>5</v>
      </c>
      <c r="AN53" s="22" t="s">
        <v>53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155</v>
      </c>
      <c r="B54" t="s">
        <v>156</v>
      </c>
      <c r="C54" t="s">
        <v>150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4</v>
      </c>
      <c r="AL54">
        <v>1</v>
      </c>
      <c r="AM54">
        <v>2</v>
      </c>
      <c r="AN54" s="22" t="s">
        <v>53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157</v>
      </c>
      <c r="B55" t="s">
        <v>158</v>
      </c>
      <c r="C55" t="s">
        <v>150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2</v>
      </c>
      <c r="AL55">
        <v>2</v>
      </c>
      <c r="AM55">
        <v>1</v>
      </c>
      <c r="AN55" s="22" t="s">
        <v>53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159</v>
      </c>
      <c r="B56" t="s">
        <v>160</v>
      </c>
      <c r="C56" t="s">
        <v>150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2</v>
      </c>
      <c r="AL56">
        <v>1</v>
      </c>
      <c r="AM56">
        <v>4</v>
      </c>
      <c r="AN56" s="22" t="s">
        <v>53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161</v>
      </c>
      <c r="B57" t="s">
        <v>162</v>
      </c>
      <c r="C57" t="s">
        <v>150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3</v>
      </c>
      <c r="AL57">
        <v>1</v>
      </c>
      <c r="AM57">
        <v>5</v>
      </c>
      <c r="AN57" s="22" t="s">
        <v>53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163</v>
      </c>
      <c r="B58" t="s">
        <v>164</v>
      </c>
      <c r="C58" t="s">
        <v>150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4</v>
      </c>
      <c r="AL58">
        <v>2</v>
      </c>
      <c r="AM58">
        <v>2</v>
      </c>
      <c r="AN58" s="22" t="s">
        <v>53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165</v>
      </c>
      <c r="B59" t="s">
        <v>166</v>
      </c>
      <c r="C59" t="s">
        <v>150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0</v>
      </c>
      <c r="AK59">
        <v>2</v>
      </c>
      <c r="AL59">
        <v>2</v>
      </c>
      <c r="AM59">
        <v>4</v>
      </c>
      <c r="AN59" s="22" t="s">
        <v>53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0</v>
      </c>
      <c r="AU59" s="31" t="str">
        <f t="shared" si="3"/>
        <v>库存为0</v>
      </c>
      <c r="AV59" s="36" t="str">
        <f>IFERROR(时间!$B$4+AU59,"上周无销量")</f>
        <v>上周无销量</v>
      </c>
    </row>
    <row r="60" spans="1:48">
      <c r="A60" s="20" t="s">
        <v>167</v>
      </c>
      <c r="B60" t="s">
        <v>168</v>
      </c>
      <c r="C60" t="s">
        <v>169</v>
      </c>
      <c r="D60" s="31">
        <v>0</v>
      </c>
      <c r="E60" s="31">
        <v>0</v>
      </c>
      <c r="F60" s="31">
        <v>0</v>
      </c>
      <c r="G60" s="31">
        <v>1</v>
      </c>
      <c r="H60" s="32">
        <v>16.44</v>
      </c>
      <c r="I60">
        <v>16</v>
      </c>
      <c r="J60" s="33">
        <v>0</v>
      </c>
      <c r="K60" s="33">
        <v>0</v>
      </c>
      <c r="L60" s="33">
        <v>0</v>
      </c>
      <c r="M60">
        <v>16</v>
      </c>
      <c r="N60">
        <v>0</v>
      </c>
      <c r="O60">
        <v>15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10</v>
      </c>
      <c r="AK60">
        <v>9</v>
      </c>
      <c r="AL60">
        <v>7</v>
      </c>
      <c r="AM60">
        <v>5</v>
      </c>
      <c r="AN60" s="22">
        <v>0</v>
      </c>
      <c r="AO60" s="22">
        <v>0</v>
      </c>
      <c r="AP60" s="22">
        <v>0</v>
      </c>
      <c r="AQ60" s="22">
        <v>0.2</v>
      </c>
      <c r="AR60" s="35">
        <v>0</v>
      </c>
      <c r="AS60" s="35">
        <v>0</v>
      </c>
      <c r="AT60" s="35">
        <v>16</v>
      </c>
      <c r="AU60" s="31" t="str">
        <f t="shared" si="3"/>
        <v>库存为16</v>
      </c>
      <c r="AV60" s="36" t="str">
        <f>IFERROR(时间!$B$4+AU60,"上周无销量")</f>
        <v>上周无销量</v>
      </c>
    </row>
    <row r="61" spans="1:48">
      <c r="A61" s="20" t="s">
        <v>170</v>
      </c>
      <c r="B61" t="s">
        <v>171</v>
      </c>
      <c r="C61" t="s">
        <v>169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15</v>
      </c>
      <c r="J61" s="33">
        <v>0</v>
      </c>
      <c r="K61" s="33">
        <v>0</v>
      </c>
      <c r="L61" s="33">
        <v>0</v>
      </c>
      <c r="M61">
        <v>15</v>
      </c>
      <c r="N61">
        <v>0</v>
      </c>
      <c r="O61">
        <v>15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8</v>
      </c>
      <c r="AK61">
        <v>8</v>
      </c>
      <c r="AL61">
        <v>4</v>
      </c>
      <c r="AM61">
        <v>5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15</v>
      </c>
      <c r="AU61" s="31" t="str">
        <f t="shared" si="3"/>
        <v>库存为15</v>
      </c>
      <c r="AV61" s="36" t="str">
        <f>IFERROR(时间!$B$4+AU61,"上周无销量")</f>
        <v>上周无销量</v>
      </c>
    </row>
    <row r="62" spans="1:48">
      <c r="A62" s="20" t="s">
        <v>172</v>
      </c>
      <c r="B62" t="s">
        <v>173</v>
      </c>
      <c r="C62" t="s">
        <v>169</v>
      </c>
      <c r="D62" s="31">
        <v>0</v>
      </c>
      <c r="E62" s="31">
        <v>1</v>
      </c>
      <c r="F62" s="31">
        <v>0</v>
      </c>
      <c r="G62" s="31">
        <v>0</v>
      </c>
      <c r="H62" s="32">
        <v>20.35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3</v>
      </c>
      <c r="AK62">
        <v>11</v>
      </c>
      <c r="AL62">
        <v>7</v>
      </c>
      <c r="AM62">
        <v>6</v>
      </c>
      <c r="AN62" s="22">
        <v>0</v>
      </c>
      <c r="AO62" s="22">
        <v>0.0909090909090909</v>
      </c>
      <c r="AP62" s="22">
        <v>0</v>
      </c>
      <c r="AQ62" s="22">
        <v>0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174</v>
      </c>
      <c r="B63" t="s">
        <v>175</v>
      </c>
      <c r="C63" t="s">
        <v>169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18</v>
      </c>
      <c r="J63" s="33">
        <v>0</v>
      </c>
      <c r="K63" s="33">
        <v>0</v>
      </c>
      <c r="L63" s="33">
        <v>0</v>
      </c>
      <c r="M63">
        <v>18</v>
      </c>
      <c r="N63">
        <v>0</v>
      </c>
      <c r="O63">
        <v>18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7</v>
      </c>
      <c r="AK63">
        <v>5</v>
      </c>
      <c r="AL63">
        <v>6</v>
      </c>
      <c r="AM63">
        <v>6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18</v>
      </c>
      <c r="AU63" s="31" t="str">
        <f t="shared" si="3"/>
        <v>库存为18</v>
      </c>
      <c r="AV63" s="36" t="str">
        <f>IFERROR(时间!$B$4+AU63,"上周无销量")</f>
        <v>上周无销量</v>
      </c>
    </row>
    <row r="64" spans="1:48">
      <c r="A64" s="20" t="s">
        <v>176</v>
      </c>
      <c r="B64" t="s">
        <v>177</v>
      </c>
      <c r="C64" t="s">
        <v>169</v>
      </c>
      <c r="D64" s="31">
        <v>0</v>
      </c>
      <c r="E64" s="31">
        <v>0</v>
      </c>
      <c r="F64" s="31">
        <v>0</v>
      </c>
      <c r="G64" s="31">
        <v>1</v>
      </c>
      <c r="H64" s="32">
        <v>29.31</v>
      </c>
      <c r="I64">
        <v>3</v>
      </c>
      <c r="J64" s="33">
        <v>0</v>
      </c>
      <c r="K64" s="33">
        <v>0</v>
      </c>
      <c r="L64" s="33">
        <v>0</v>
      </c>
      <c r="M64">
        <v>3</v>
      </c>
      <c r="N64">
        <v>0</v>
      </c>
      <c r="O64">
        <v>3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5</v>
      </c>
      <c r="AK64">
        <v>7</v>
      </c>
      <c r="AL64">
        <v>4</v>
      </c>
      <c r="AM64">
        <v>4</v>
      </c>
      <c r="AN64" s="22">
        <v>0</v>
      </c>
      <c r="AO64" s="22">
        <v>0</v>
      </c>
      <c r="AP64" s="22">
        <v>0</v>
      </c>
      <c r="AQ64" s="22">
        <v>0.25</v>
      </c>
      <c r="AR64" s="35">
        <v>0</v>
      </c>
      <c r="AS64" s="35">
        <v>0</v>
      </c>
      <c r="AT64" s="35">
        <v>3</v>
      </c>
      <c r="AU64" s="31" t="str">
        <f t="shared" si="3"/>
        <v>库存为3</v>
      </c>
      <c r="AV64" s="36" t="str">
        <f>IFERROR(时间!$B$4+AU64,"上周无销量")</f>
        <v>上周无销量</v>
      </c>
    </row>
    <row r="65" spans="1:48">
      <c r="A65" s="20" t="s">
        <v>178</v>
      </c>
      <c r="B65" t="s">
        <v>179</v>
      </c>
      <c r="C65" t="s">
        <v>169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18</v>
      </c>
      <c r="J65" s="33">
        <v>0</v>
      </c>
      <c r="K65" s="33">
        <v>0</v>
      </c>
      <c r="L65" s="33">
        <v>0</v>
      </c>
      <c r="M65">
        <v>18</v>
      </c>
      <c r="N65">
        <v>0</v>
      </c>
      <c r="O65">
        <v>18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22</v>
      </c>
      <c r="AK65">
        <v>10</v>
      </c>
      <c r="AL65">
        <v>5</v>
      </c>
      <c r="AM65">
        <v>6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18</v>
      </c>
      <c r="AU65" s="31" t="str">
        <f t="shared" si="3"/>
        <v>库存为18</v>
      </c>
      <c r="AV65" s="36" t="str">
        <f>IFERROR(时间!$B$4+AU65,"上周无销量")</f>
        <v>上周无销量</v>
      </c>
    </row>
    <row r="66" spans="1:48">
      <c r="A66" s="20" t="s">
        <v>180</v>
      </c>
      <c r="B66" t="s">
        <v>181</v>
      </c>
      <c r="C66" t="s">
        <v>169</v>
      </c>
      <c r="D66" s="31">
        <v>0</v>
      </c>
      <c r="E66" s="31">
        <v>0</v>
      </c>
      <c r="F66" s="31">
        <v>1</v>
      </c>
      <c r="G66" s="31">
        <v>0</v>
      </c>
      <c r="H66" s="32">
        <v>15.85</v>
      </c>
      <c r="I66">
        <v>13</v>
      </c>
      <c r="J66" s="33">
        <v>0</v>
      </c>
      <c r="K66" s="33">
        <v>0</v>
      </c>
      <c r="L66" s="33">
        <v>0</v>
      </c>
      <c r="M66">
        <v>13</v>
      </c>
      <c r="N66">
        <v>0</v>
      </c>
      <c r="O66">
        <v>13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15</v>
      </c>
      <c r="AK66">
        <v>11</v>
      </c>
      <c r="AL66">
        <v>13</v>
      </c>
      <c r="AM66">
        <v>5</v>
      </c>
      <c r="AN66" s="22">
        <v>0</v>
      </c>
      <c r="AO66" s="22">
        <v>0</v>
      </c>
      <c r="AP66" s="22">
        <v>0.0769230769230769</v>
      </c>
      <c r="AQ66" s="22">
        <v>0</v>
      </c>
      <c r="AR66" s="35">
        <v>0</v>
      </c>
      <c r="AS66" s="35">
        <v>0</v>
      </c>
      <c r="AT66" s="35">
        <v>13</v>
      </c>
      <c r="AU66" s="31" t="str">
        <f t="shared" si="3"/>
        <v>库存为13</v>
      </c>
      <c r="AV66" s="36" t="str">
        <f>IFERROR(时间!$B$4+AU66,"上周无销量")</f>
        <v>上周无销量</v>
      </c>
    </row>
    <row r="67" spans="1:48">
      <c r="A67" s="20" t="s">
        <v>182</v>
      </c>
      <c r="B67" t="s">
        <v>183</v>
      </c>
      <c r="C67" t="s">
        <v>169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12</v>
      </c>
      <c r="J67" s="33">
        <v>0</v>
      </c>
      <c r="K67" s="33">
        <v>0</v>
      </c>
      <c r="L67" s="33">
        <v>0</v>
      </c>
      <c r="M67">
        <v>12</v>
      </c>
      <c r="N67">
        <v>0</v>
      </c>
      <c r="O67">
        <v>12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28</v>
      </c>
      <c r="AK67">
        <v>23</v>
      </c>
      <c r="AL67">
        <v>13</v>
      </c>
      <c r="AM67">
        <v>9</v>
      </c>
      <c r="AN67" s="22">
        <v>0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12</v>
      </c>
      <c r="AU67" s="31" t="str">
        <f t="shared" si="3"/>
        <v>库存为12</v>
      </c>
      <c r="AV67" s="36" t="str">
        <f>IFERROR(时间!$B$4+AU67,"上周无销量")</f>
        <v>上周无销量</v>
      </c>
    </row>
    <row r="68" spans="1:48">
      <c r="A68" s="20" t="s">
        <v>184</v>
      </c>
      <c r="B68" t="s">
        <v>185</v>
      </c>
      <c r="C68" t="s">
        <v>186</v>
      </c>
      <c r="D68" s="31">
        <v>0</v>
      </c>
      <c r="E68" s="31">
        <v>0</v>
      </c>
      <c r="F68" s="31">
        <v>1</v>
      </c>
      <c r="G68" s="31">
        <v>1</v>
      </c>
      <c r="H68" s="32">
        <v>19.99</v>
      </c>
      <c r="I68">
        <v>25</v>
      </c>
      <c r="J68" s="33">
        <v>0</v>
      </c>
      <c r="K68" s="33">
        <v>0</v>
      </c>
      <c r="L68" s="33">
        <v>0</v>
      </c>
      <c r="M68">
        <v>25</v>
      </c>
      <c r="N68">
        <v>0</v>
      </c>
      <c r="O68">
        <v>23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23</v>
      </c>
      <c r="AK68">
        <v>8</v>
      </c>
      <c r="AL68">
        <v>13</v>
      </c>
      <c r="AM68">
        <v>11</v>
      </c>
      <c r="AN68" s="22">
        <v>0</v>
      </c>
      <c r="AO68" s="22">
        <v>0</v>
      </c>
      <c r="AP68" s="22">
        <v>0.0769230769230769</v>
      </c>
      <c r="AQ68" s="22">
        <v>0.0909090909090909</v>
      </c>
      <c r="AR68" s="35">
        <v>0</v>
      </c>
      <c r="AS68" s="35">
        <v>0</v>
      </c>
      <c r="AT68" s="35">
        <v>25</v>
      </c>
      <c r="AU68" s="31" t="str">
        <f t="shared" si="3"/>
        <v>库存为25</v>
      </c>
      <c r="AV68" s="36" t="str">
        <f>IFERROR(时间!$B$4+AU68,"上周无销量")</f>
        <v>上周无销量</v>
      </c>
    </row>
    <row r="69" spans="1:48">
      <c r="A69" s="20" t="s">
        <v>187</v>
      </c>
      <c r="B69" t="s">
        <v>188</v>
      </c>
      <c r="C69" t="s">
        <v>186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25</v>
      </c>
      <c r="J69" s="33">
        <v>0</v>
      </c>
      <c r="K69" s="33">
        <v>0</v>
      </c>
      <c r="L69" s="33">
        <v>0</v>
      </c>
      <c r="M69">
        <v>25</v>
      </c>
      <c r="N69">
        <v>0</v>
      </c>
      <c r="O69">
        <v>24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51</v>
      </c>
      <c r="AK69">
        <v>25</v>
      </c>
      <c r="AL69">
        <v>18</v>
      </c>
      <c r="AM69">
        <v>16</v>
      </c>
      <c r="AN69" s="22">
        <v>0</v>
      </c>
      <c r="AO69" s="22">
        <v>0</v>
      </c>
      <c r="AP69" s="22">
        <v>0</v>
      </c>
      <c r="AQ69" s="22">
        <v>0</v>
      </c>
      <c r="AR69" s="35">
        <v>0</v>
      </c>
      <c r="AS69" s="35">
        <v>0</v>
      </c>
      <c r="AT69" s="35">
        <v>25</v>
      </c>
      <c r="AU69" s="31" t="str">
        <f t="shared" ref="AU69:AU132" si="5">IF(AR69="","库存为"&amp;M69,IF(AS69=0,"库存为"&amp;M69,INT(M69/AR69)))</f>
        <v>库存为25</v>
      </c>
      <c r="AV69" s="36" t="str">
        <f>IFERROR(时间!$B$4+AU69,"上周无销量")</f>
        <v>上周无销量</v>
      </c>
    </row>
    <row r="70" spans="1:48">
      <c r="A70" s="20" t="s">
        <v>189</v>
      </c>
      <c r="B70" t="s">
        <v>190</v>
      </c>
      <c r="C70" t="s">
        <v>186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8</v>
      </c>
      <c r="J70" s="33">
        <v>0</v>
      </c>
      <c r="K70" s="33">
        <v>0</v>
      </c>
      <c r="L70" s="33">
        <v>0</v>
      </c>
      <c r="M70">
        <v>8</v>
      </c>
      <c r="N70">
        <v>0</v>
      </c>
      <c r="O70">
        <v>7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11</v>
      </c>
      <c r="AK70">
        <v>18</v>
      </c>
      <c r="AL70">
        <v>11</v>
      </c>
      <c r="AM70">
        <v>9</v>
      </c>
      <c r="AN70" s="22">
        <v>0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8</v>
      </c>
      <c r="AU70" s="31" t="str">
        <f t="shared" si="5"/>
        <v>库存为8</v>
      </c>
      <c r="AV70" s="36" t="str">
        <f>IFERROR(时间!$B$4+AU70,"上周无销量")</f>
        <v>上周无销量</v>
      </c>
    </row>
    <row r="71" spans="1:48">
      <c r="A71" s="20" t="s">
        <v>191</v>
      </c>
      <c r="B71" t="s">
        <v>192</v>
      </c>
      <c r="C71" t="s">
        <v>186</v>
      </c>
      <c r="D71" s="31">
        <v>0</v>
      </c>
      <c r="E71" s="31">
        <v>1</v>
      </c>
      <c r="F71" s="31">
        <v>0</v>
      </c>
      <c r="G71" s="31">
        <v>0</v>
      </c>
      <c r="H71" s="32">
        <v>27.99</v>
      </c>
      <c r="I71">
        <v>7</v>
      </c>
      <c r="J71" s="33">
        <v>0</v>
      </c>
      <c r="K71" s="33">
        <v>0</v>
      </c>
      <c r="L71" s="33">
        <v>0</v>
      </c>
      <c r="M71">
        <v>7</v>
      </c>
      <c r="N71">
        <v>0</v>
      </c>
      <c r="O71">
        <v>7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9</v>
      </c>
      <c r="AK71">
        <v>5</v>
      </c>
      <c r="AL71">
        <v>5</v>
      </c>
      <c r="AM71">
        <v>9</v>
      </c>
      <c r="AN71" s="22">
        <v>0</v>
      </c>
      <c r="AO71" s="22">
        <v>0.2</v>
      </c>
      <c r="AP71" s="22">
        <v>0</v>
      </c>
      <c r="AQ71" s="22">
        <v>0</v>
      </c>
      <c r="AR71" s="35">
        <v>0</v>
      </c>
      <c r="AS71" s="35">
        <v>0</v>
      </c>
      <c r="AT71" s="35">
        <v>7</v>
      </c>
      <c r="AU71" s="31" t="str">
        <f t="shared" si="5"/>
        <v>库存为7</v>
      </c>
      <c r="AV71" s="36" t="str">
        <f>IFERROR(时间!$B$4+AU71,"上周无销量")</f>
        <v>上周无销量</v>
      </c>
    </row>
    <row r="72" spans="1:48">
      <c r="A72" s="20" t="s">
        <v>193</v>
      </c>
      <c r="B72" t="s">
        <v>194</v>
      </c>
      <c r="C72" t="s">
        <v>186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5</v>
      </c>
      <c r="J72" s="33">
        <v>0</v>
      </c>
      <c r="K72" s="33">
        <v>0</v>
      </c>
      <c r="L72" s="33">
        <v>0</v>
      </c>
      <c r="M72">
        <v>5</v>
      </c>
      <c r="N72">
        <v>0</v>
      </c>
      <c r="O72">
        <v>1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24</v>
      </c>
      <c r="AK72">
        <v>7</v>
      </c>
      <c r="AL72">
        <v>11</v>
      </c>
      <c r="AM72">
        <v>10</v>
      </c>
      <c r="AN72" s="22">
        <v>0</v>
      </c>
      <c r="AO72" s="22">
        <v>0</v>
      </c>
      <c r="AP72" s="22">
        <v>0</v>
      </c>
      <c r="AQ72" s="22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195</v>
      </c>
      <c r="B73" t="s">
        <v>196</v>
      </c>
      <c r="C73" t="s">
        <v>186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21</v>
      </c>
      <c r="J73" s="33">
        <v>0</v>
      </c>
      <c r="K73" s="33">
        <v>0</v>
      </c>
      <c r="L73" s="33">
        <v>0</v>
      </c>
      <c r="M73">
        <v>21</v>
      </c>
      <c r="N73">
        <v>0</v>
      </c>
      <c r="O73">
        <v>21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29</v>
      </c>
      <c r="AK73">
        <v>26</v>
      </c>
      <c r="AL73">
        <v>14</v>
      </c>
      <c r="AM73">
        <v>17</v>
      </c>
      <c r="AN73" s="22">
        <v>0</v>
      </c>
      <c r="AO73" s="22">
        <v>0</v>
      </c>
      <c r="AP73" s="22">
        <v>0</v>
      </c>
      <c r="AQ73" s="22">
        <v>0</v>
      </c>
      <c r="AR73" s="35">
        <v>0</v>
      </c>
      <c r="AS73" s="35">
        <v>0</v>
      </c>
      <c r="AT73" s="35">
        <v>21</v>
      </c>
      <c r="AU73" s="31" t="str">
        <f t="shared" si="5"/>
        <v>库存为21</v>
      </c>
      <c r="AV73" s="36" t="str">
        <f>IFERROR(时间!$B$4+AU73,"上周无销量")</f>
        <v>上周无销量</v>
      </c>
    </row>
    <row r="74" spans="1:48">
      <c r="A74" s="20" t="s">
        <v>197</v>
      </c>
      <c r="B74" t="s">
        <v>198</v>
      </c>
      <c r="C74" t="s">
        <v>186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11</v>
      </c>
      <c r="J74" s="33">
        <v>0</v>
      </c>
      <c r="K74" s="33">
        <v>1</v>
      </c>
      <c r="L74" s="33">
        <v>0</v>
      </c>
      <c r="M74">
        <v>12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18</v>
      </c>
      <c r="AK74">
        <v>12</v>
      </c>
      <c r="AL74">
        <v>9</v>
      </c>
      <c r="AM74">
        <v>10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12</v>
      </c>
      <c r="AU74" s="31" t="str">
        <f t="shared" si="5"/>
        <v>库存为12</v>
      </c>
      <c r="AV74" s="36" t="str">
        <f>IFERROR(时间!$B$4+AU74,"上周无销量")</f>
        <v>上周无销量</v>
      </c>
    </row>
    <row r="75" spans="1:48">
      <c r="A75" s="20" t="s">
        <v>199</v>
      </c>
      <c r="B75" t="s">
        <v>200</v>
      </c>
      <c r="C75" t="s">
        <v>186</v>
      </c>
      <c r="D75" s="31">
        <v>2</v>
      </c>
      <c r="E75" s="31">
        <v>0</v>
      </c>
      <c r="F75" s="31">
        <v>0</v>
      </c>
      <c r="G75" s="31">
        <v>0</v>
      </c>
      <c r="H75" s="32">
        <v>12.99</v>
      </c>
      <c r="I75">
        <v>21</v>
      </c>
      <c r="J75" s="33">
        <v>0</v>
      </c>
      <c r="K75" s="33">
        <v>0</v>
      </c>
      <c r="L75" s="33">
        <v>0</v>
      </c>
      <c r="M75">
        <v>21</v>
      </c>
      <c r="N75">
        <v>1</v>
      </c>
      <c r="O75">
        <v>22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67</v>
      </c>
      <c r="AK75">
        <v>35</v>
      </c>
      <c r="AL75">
        <v>31</v>
      </c>
      <c r="AM75">
        <v>18</v>
      </c>
      <c r="AN75" s="22">
        <v>0.0298507462686567</v>
      </c>
      <c r="AO75" s="22">
        <v>0</v>
      </c>
      <c r="AP75" s="22">
        <v>0</v>
      </c>
      <c r="AQ75" s="22">
        <v>0</v>
      </c>
      <c r="AR75" s="35">
        <v>0.285714285714286</v>
      </c>
      <c r="AS75" s="35">
        <v>17.1428571428571</v>
      </c>
      <c r="AT75" s="35">
        <v>3.85714285714286</v>
      </c>
      <c r="AU75" s="31">
        <f t="shared" si="5"/>
        <v>73</v>
      </c>
      <c r="AV75" s="36">
        <f>IFERROR(时间!$B$4+AU75,"上周无销量")</f>
        <v>43405</v>
      </c>
    </row>
    <row r="76" spans="1:48">
      <c r="A76" s="20" t="s">
        <v>201</v>
      </c>
      <c r="B76" t="s">
        <v>202</v>
      </c>
      <c r="C76" t="s">
        <v>203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12</v>
      </c>
      <c r="J76" s="33">
        <v>0</v>
      </c>
      <c r="K76" s="33">
        <v>0</v>
      </c>
      <c r="L76" s="33">
        <v>0</v>
      </c>
      <c r="M76">
        <v>12</v>
      </c>
      <c r="N76">
        <v>0</v>
      </c>
      <c r="O76">
        <v>12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3</v>
      </c>
      <c r="AK76">
        <v>4</v>
      </c>
      <c r="AL76">
        <v>0</v>
      </c>
      <c r="AM76">
        <v>2</v>
      </c>
      <c r="AN76" s="22">
        <v>0</v>
      </c>
      <c r="AO76" s="22">
        <v>0</v>
      </c>
      <c r="AP76" s="22" t="s">
        <v>53</v>
      </c>
      <c r="AQ76" s="22">
        <v>0</v>
      </c>
      <c r="AR76" s="35">
        <v>0</v>
      </c>
      <c r="AS76" s="35">
        <v>0</v>
      </c>
      <c r="AT76" s="35">
        <v>12</v>
      </c>
      <c r="AU76" s="31" t="str">
        <f t="shared" si="5"/>
        <v>库存为12</v>
      </c>
      <c r="AV76" s="36" t="str">
        <f>IFERROR(时间!$B$4+AU76,"上周无销量")</f>
        <v>上周无销量</v>
      </c>
    </row>
    <row r="77" spans="1:48">
      <c r="A77" s="20" t="s">
        <v>204</v>
      </c>
      <c r="B77" t="s">
        <v>205</v>
      </c>
      <c r="C77" t="s">
        <v>203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12</v>
      </c>
      <c r="J77" s="33">
        <v>0</v>
      </c>
      <c r="K77" s="33">
        <v>0</v>
      </c>
      <c r="L77" s="33">
        <v>0</v>
      </c>
      <c r="M77">
        <v>12</v>
      </c>
      <c r="N77">
        <v>0</v>
      </c>
      <c r="O77">
        <v>12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3</v>
      </c>
      <c r="AK77">
        <v>7</v>
      </c>
      <c r="AL77">
        <v>4</v>
      </c>
      <c r="AM77">
        <v>2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12</v>
      </c>
      <c r="AU77" s="31" t="str">
        <f t="shared" si="5"/>
        <v>库存为12</v>
      </c>
      <c r="AV77" s="36" t="str">
        <f>IFERROR(时间!$B$4+AU77,"上周无销量")</f>
        <v>上周无销量</v>
      </c>
    </row>
    <row r="78" spans="1:48">
      <c r="A78" s="20" t="s">
        <v>206</v>
      </c>
      <c r="B78" t="s">
        <v>207</v>
      </c>
      <c r="C78" t="s">
        <v>203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9</v>
      </c>
      <c r="J78" s="33">
        <v>0</v>
      </c>
      <c r="K78" s="33">
        <v>0</v>
      </c>
      <c r="L78" s="33">
        <v>0</v>
      </c>
      <c r="M78">
        <v>9</v>
      </c>
      <c r="N78">
        <v>0</v>
      </c>
      <c r="O78">
        <v>9</v>
      </c>
      <c r="P78">
        <v>238</v>
      </c>
      <c r="Q78">
        <v>98</v>
      </c>
      <c r="R78">
        <v>117</v>
      </c>
      <c r="S78">
        <v>144</v>
      </c>
      <c r="T78">
        <v>0</v>
      </c>
      <c r="U78">
        <v>0</v>
      </c>
      <c r="V78">
        <v>0</v>
      </c>
      <c r="W78">
        <v>1</v>
      </c>
      <c r="X78" s="22">
        <v>0</v>
      </c>
      <c r="Y78" s="22">
        <v>0</v>
      </c>
      <c r="Z78" s="22">
        <v>0</v>
      </c>
      <c r="AA78" s="22">
        <v>0.00694444444444444</v>
      </c>
      <c r="AB78">
        <v>0</v>
      </c>
      <c r="AC78">
        <v>0</v>
      </c>
      <c r="AD78">
        <v>0</v>
      </c>
      <c r="AE78">
        <v>0.45</v>
      </c>
      <c r="AF78" s="22" t="s">
        <v>53</v>
      </c>
      <c r="AG78" s="22" t="s">
        <v>53</v>
      </c>
      <c r="AH78" s="22" t="s">
        <v>53</v>
      </c>
      <c r="AI78" s="22" t="s">
        <v>208</v>
      </c>
      <c r="AJ78">
        <v>5</v>
      </c>
      <c r="AK78">
        <v>5</v>
      </c>
      <c r="AL78">
        <v>1</v>
      </c>
      <c r="AM78">
        <v>3</v>
      </c>
      <c r="AN78" s="22">
        <v>0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9</v>
      </c>
      <c r="AU78" s="31" t="str">
        <f t="shared" si="5"/>
        <v>库存为9</v>
      </c>
      <c r="AV78" s="36" t="str">
        <f>IFERROR(时间!$B$4+AU78,"上周无销量")</f>
        <v>上周无销量</v>
      </c>
    </row>
    <row r="79" spans="1:48">
      <c r="A79" s="20" t="s">
        <v>209</v>
      </c>
      <c r="B79" t="s">
        <v>210</v>
      </c>
      <c r="C79" t="s">
        <v>211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0</v>
      </c>
      <c r="AK79">
        <v>5</v>
      </c>
      <c r="AL79">
        <v>3</v>
      </c>
      <c r="AM79">
        <v>4</v>
      </c>
      <c r="AN79" s="22" t="s">
        <v>53</v>
      </c>
      <c r="AO79" s="22">
        <v>0</v>
      </c>
      <c r="AP79" s="22">
        <v>0</v>
      </c>
      <c r="AQ79" s="22">
        <v>0</v>
      </c>
      <c r="AR79" s="35">
        <v>0</v>
      </c>
      <c r="AS79" s="35">
        <v>0</v>
      </c>
      <c r="AT79" s="35">
        <v>0</v>
      </c>
      <c r="AU79" s="31" t="str">
        <f t="shared" si="5"/>
        <v>库存为0</v>
      </c>
      <c r="AV79" s="36" t="str">
        <f>IFERROR(时间!$B$4+AU79,"上周无销量")</f>
        <v>上周无销量</v>
      </c>
    </row>
    <row r="80" spans="1:48">
      <c r="A80" s="20" t="s">
        <v>212</v>
      </c>
      <c r="B80" t="s">
        <v>213</v>
      </c>
      <c r="C80" t="s">
        <v>211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0</v>
      </c>
      <c r="AK80">
        <v>3</v>
      </c>
      <c r="AL80">
        <v>1</v>
      </c>
      <c r="AM80">
        <v>4</v>
      </c>
      <c r="AN80" s="22" t="s">
        <v>53</v>
      </c>
      <c r="AO80" s="22">
        <v>0</v>
      </c>
      <c r="AP80" s="22">
        <v>0</v>
      </c>
      <c r="AQ80" s="22">
        <v>0</v>
      </c>
      <c r="AR80" s="35">
        <v>0</v>
      </c>
      <c r="AS80" s="35">
        <v>0</v>
      </c>
      <c r="AT80" s="35">
        <v>0</v>
      </c>
      <c r="AU80" s="31" t="str">
        <f t="shared" si="5"/>
        <v>库存为0</v>
      </c>
      <c r="AV80" s="36" t="str">
        <f>IFERROR(时间!$B$4+AU80,"上周无销量")</f>
        <v>上周无销量</v>
      </c>
    </row>
    <row r="81" spans="1:48">
      <c r="A81" s="20" t="s">
        <v>214</v>
      </c>
      <c r="B81" t="s">
        <v>215</v>
      </c>
      <c r="C81" t="s">
        <v>211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0</v>
      </c>
      <c r="AK81">
        <v>5</v>
      </c>
      <c r="AL81">
        <v>1</v>
      </c>
      <c r="AM81">
        <v>1</v>
      </c>
      <c r="AN81" s="22" t="s">
        <v>53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0</v>
      </c>
      <c r="AU81" s="31" t="str">
        <f t="shared" si="5"/>
        <v>库存为0</v>
      </c>
      <c r="AV81" s="36" t="str">
        <f>IFERROR(时间!$B$4+AU81,"上周无销量")</f>
        <v>上周无销量</v>
      </c>
    </row>
    <row r="82" spans="1:48">
      <c r="A82" s="20" t="s">
        <v>216</v>
      </c>
      <c r="B82" t="s">
        <v>217</v>
      </c>
      <c r="C82" t="s">
        <v>211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0</v>
      </c>
      <c r="AK82">
        <v>2</v>
      </c>
      <c r="AL82">
        <v>1</v>
      </c>
      <c r="AM82">
        <v>5</v>
      </c>
      <c r="AN82" s="22" t="s">
        <v>53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0</v>
      </c>
      <c r="AU82" s="31" t="str">
        <f t="shared" si="5"/>
        <v>库存为0</v>
      </c>
      <c r="AV82" s="36" t="str">
        <f>IFERROR(时间!$B$4+AU82,"上周无销量")</f>
        <v>上周无销量</v>
      </c>
    </row>
    <row r="83" spans="1:48">
      <c r="A83" s="20" t="s">
        <v>218</v>
      </c>
      <c r="B83" t="s">
        <v>219</v>
      </c>
      <c r="C83" t="s">
        <v>211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0</v>
      </c>
      <c r="AK83">
        <v>2</v>
      </c>
      <c r="AL83">
        <v>1</v>
      </c>
      <c r="AM83">
        <v>2</v>
      </c>
      <c r="AN83" s="22" t="s">
        <v>53</v>
      </c>
      <c r="AO83" s="22">
        <v>0</v>
      </c>
      <c r="AP83" s="22">
        <v>0</v>
      </c>
      <c r="AQ83" s="22">
        <v>0</v>
      </c>
      <c r="AR83" s="35">
        <v>0</v>
      </c>
      <c r="AS83" s="35">
        <v>0</v>
      </c>
      <c r="AT83" s="35">
        <v>0</v>
      </c>
      <c r="AU83" s="31" t="str">
        <f t="shared" si="5"/>
        <v>库存为0</v>
      </c>
      <c r="AV83" s="36" t="str">
        <f>IFERROR(时间!$B$4+AU83,"上周无销量")</f>
        <v>上周无销量</v>
      </c>
    </row>
    <row r="84" spans="1:48">
      <c r="A84" s="20" t="s">
        <v>220</v>
      </c>
      <c r="B84" t="s">
        <v>221</v>
      </c>
      <c r="C84" t="s">
        <v>211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0</v>
      </c>
      <c r="AK84">
        <v>3</v>
      </c>
      <c r="AL84">
        <v>1</v>
      </c>
      <c r="AM84">
        <v>2</v>
      </c>
      <c r="AN84" s="22" t="s">
        <v>53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0</v>
      </c>
      <c r="AU84" s="31" t="str">
        <f t="shared" si="5"/>
        <v>库存为0</v>
      </c>
      <c r="AV84" s="36" t="str">
        <f>IFERROR(时间!$B$4+AU84,"上周无销量")</f>
        <v>上周无销量</v>
      </c>
    </row>
    <row r="85" spans="1:48">
      <c r="A85" s="20" t="s">
        <v>222</v>
      </c>
      <c r="B85" t="s">
        <v>223</v>
      </c>
      <c r="C85" t="s">
        <v>211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0</v>
      </c>
      <c r="AK85">
        <v>6</v>
      </c>
      <c r="AL85">
        <v>3</v>
      </c>
      <c r="AM85">
        <v>4</v>
      </c>
      <c r="AN85" s="22" t="s">
        <v>53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0</v>
      </c>
      <c r="AU85" s="31" t="str">
        <f t="shared" si="5"/>
        <v>库存为0</v>
      </c>
      <c r="AV85" s="36" t="str">
        <f>IFERROR(时间!$B$4+AU85,"上周无销量")</f>
        <v>上周无销量</v>
      </c>
    </row>
    <row r="86" spans="1:48">
      <c r="A86" s="20" t="s">
        <v>224</v>
      </c>
      <c r="B86" t="s">
        <v>225</v>
      </c>
      <c r="C86" t="s">
        <v>211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0</v>
      </c>
      <c r="AK86">
        <v>3</v>
      </c>
      <c r="AL86">
        <v>1</v>
      </c>
      <c r="AM86">
        <v>4</v>
      </c>
      <c r="AN86" s="22" t="s">
        <v>53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0</v>
      </c>
      <c r="AU86" s="31" t="str">
        <f t="shared" si="5"/>
        <v>库存为0</v>
      </c>
      <c r="AV86" s="36" t="str">
        <f>IFERROR(时间!$B$4+AU86,"上周无销量")</f>
        <v>上周无销量</v>
      </c>
    </row>
    <row r="87" spans="1:48">
      <c r="A87" s="20" t="s">
        <v>226</v>
      </c>
      <c r="B87" t="s">
        <v>227</v>
      </c>
      <c r="C87" t="s">
        <v>211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1</v>
      </c>
      <c r="AL87">
        <v>1</v>
      </c>
      <c r="AM87">
        <v>3</v>
      </c>
      <c r="AN87" s="22" t="s">
        <v>53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228</v>
      </c>
      <c r="B88" t="s">
        <v>229</v>
      </c>
      <c r="C88" t="s">
        <v>211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3</v>
      </c>
      <c r="AL88">
        <v>1</v>
      </c>
      <c r="AM88">
        <v>3</v>
      </c>
      <c r="AN88" s="22" t="s">
        <v>53</v>
      </c>
      <c r="AO88" s="22">
        <v>0</v>
      </c>
      <c r="AP88" s="22">
        <v>0</v>
      </c>
      <c r="AQ88" s="22">
        <v>0</v>
      </c>
      <c r="AR88" s="35">
        <v>0</v>
      </c>
      <c r="AS88" s="35">
        <v>0</v>
      </c>
      <c r="AT88" s="35">
        <v>0</v>
      </c>
      <c r="AU88" s="31" t="str">
        <f t="shared" si="5"/>
        <v>库存为0</v>
      </c>
      <c r="AV88" s="36" t="str">
        <f>IFERROR(时间!$B$4+AU88,"上周无销量")</f>
        <v>上周无销量</v>
      </c>
    </row>
    <row r="89" spans="1:48">
      <c r="A89" s="20" t="s">
        <v>230</v>
      </c>
      <c r="B89" t="s">
        <v>231</v>
      </c>
      <c r="C89" t="s">
        <v>211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0</v>
      </c>
      <c r="AK89">
        <v>5</v>
      </c>
      <c r="AL89">
        <v>1</v>
      </c>
      <c r="AM89">
        <v>0</v>
      </c>
      <c r="AN89" s="22" t="s">
        <v>53</v>
      </c>
      <c r="AO89" s="22">
        <v>0</v>
      </c>
      <c r="AP89" s="22">
        <v>0</v>
      </c>
      <c r="AQ89" s="22" t="s">
        <v>53</v>
      </c>
      <c r="AR89" s="35">
        <v>0</v>
      </c>
      <c r="AS89" s="35">
        <v>0</v>
      </c>
      <c r="AT89" s="35">
        <v>0</v>
      </c>
      <c r="AU89" s="31" t="str">
        <f t="shared" si="5"/>
        <v>库存为0</v>
      </c>
      <c r="AV89" s="36" t="str">
        <f>IFERROR(时间!$B$4+AU89,"上周无销量")</f>
        <v>上周无销量</v>
      </c>
    </row>
    <row r="90" spans="1:48">
      <c r="A90" s="20" t="s">
        <v>232</v>
      </c>
      <c r="B90" t="s">
        <v>233</v>
      </c>
      <c r="C90" t="s">
        <v>211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0</v>
      </c>
      <c r="AK90">
        <v>0</v>
      </c>
      <c r="AL90">
        <v>0</v>
      </c>
      <c r="AM90">
        <v>0</v>
      </c>
      <c r="AN90" s="22" t="s">
        <v>53</v>
      </c>
      <c r="AO90" s="22" t="s">
        <v>53</v>
      </c>
      <c r="AP90" s="22" t="s">
        <v>53</v>
      </c>
      <c r="AQ90" s="22" t="s">
        <v>53</v>
      </c>
      <c r="AR90" s="35">
        <v>0</v>
      </c>
      <c r="AS90" s="35">
        <v>0</v>
      </c>
      <c r="AT90" s="35">
        <v>0</v>
      </c>
      <c r="AU90" s="31" t="str">
        <f t="shared" si="5"/>
        <v>库存为0</v>
      </c>
      <c r="AV90" s="36" t="str">
        <f>IFERROR(时间!$B$4+AU90,"上周无销量")</f>
        <v>上周无销量</v>
      </c>
    </row>
    <row r="91" spans="1:48">
      <c r="A91" s="20" t="s">
        <v>234</v>
      </c>
      <c r="B91" t="s">
        <v>235</v>
      </c>
      <c r="C91" t="s">
        <v>211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0</v>
      </c>
      <c r="AK91">
        <v>3</v>
      </c>
      <c r="AL91">
        <v>1</v>
      </c>
      <c r="AM91">
        <v>2</v>
      </c>
      <c r="AN91" s="22" t="s">
        <v>53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0</v>
      </c>
      <c r="AU91" s="31" t="str">
        <f t="shared" si="5"/>
        <v>库存为0</v>
      </c>
      <c r="AV91" s="36" t="str">
        <f>IFERROR(时间!$B$4+AU91,"上周无销量")</f>
        <v>上周无销量</v>
      </c>
    </row>
    <row r="92" spans="1:48">
      <c r="A92" s="20" t="s">
        <v>236</v>
      </c>
      <c r="B92" t="s">
        <v>237</v>
      </c>
      <c r="C92" t="s">
        <v>211</v>
      </c>
      <c r="D92" s="31">
        <v>3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0</v>
      </c>
      <c r="AK92">
        <v>3</v>
      </c>
      <c r="AL92">
        <v>1</v>
      </c>
      <c r="AM92">
        <v>2</v>
      </c>
      <c r="AN92" s="22" t="s">
        <v>53</v>
      </c>
      <c r="AO92" s="22">
        <v>0</v>
      </c>
      <c r="AP92" s="22">
        <v>0</v>
      </c>
      <c r="AQ92" s="22">
        <v>0</v>
      </c>
      <c r="AR92" s="35">
        <v>0.428571428571429</v>
      </c>
      <c r="AS92" s="35">
        <v>25.7142857142857</v>
      </c>
      <c r="AT92" s="35">
        <v>-25.7142857142857</v>
      </c>
      <c r="AU92" s="31">
        <f t="shared" si="5"/>
        <v>0</v>
      </c>
      <c r="AV92" s="36">
        <f>IFERROR(时间!$B$4+AU92,"上周无销量")</f>
        <v>43332</v>
      </c>
    </row>
    <row r="93" spans="1:48">
      <c r="A93" s="20" t="s">
        <v>238</v>
      </c>
      <c r="B93" t="s">
        <v>239</v>
      </c>
      <c r="C93" t="s">
        <v>211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0</v>
      </c>
      <c r="AK93">
        <v>3</v>
      </c>
      <c r="AL93">
        <v>0</v>
      </c>
      <c r="AM93">
        <v>2</v>
      </c>
      <c r="AN93" s="22" t="s">
        <v>53</v>
      </c>
      <c r="AO93" s="22">
        <v>0</v>
      </c>
      <c r="AP93" s="22" t="s">
        <v>53</v>
      </c>
      <c r="AQ93" s="22">
        <v>0</v>
      </c>
      <c r="AR93" s="35">
        <v>0</v>
      </c>
      <c r="AS93" s="35">
        <v>0</v>
      </c>
      <c r="AT93" s="35">
        <v>0</v>
      </c>
      <c r="AU93" s="31" t="str">
        <f t="shared" si="5"/>
        <v>库存为0</v>
      </c>
      <c r="AV93" s="36" t="str">
        <f>IFERROR(时间!$B$4+AU93,"上周无销量")</f>
        <v>上周无销量</v>
      </c>
    </row>
    <row r="94" spans="1:48">
      <c r="A94" s="20" t="s">
        <v>240</v>
      </c>
      <c r="B94" t="s">
        <v>241</v>
      </c>
      <c r="C94" t="s">
        <v>211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0</v>
      </c>
      <c r="AK94">
        <v>3</v>
      </c>
      <c r="AL94">
        <v>2</v>
      </c>
      <c r="AM94">
        <v>3</v>
      </c>
      <c r="AN94" s="22" t="s">
        <v>53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0</v>
      </c>
      <c r="AU94" s="31" t="str">
        <f t="shared" si="5"/>
        <v>库存为0</v>
      </c>
      <c r="AV94" s="36" t="str">
        <f>IFERROR(时间!$B$4+AU94,"上周无销量")</f>
        <v>上周无销量</v>
      </c>
    </row>
    <row r="95" spans="1:48">
      <c r="A95" s="20" t="s">
        <v>242</v>
      </c>
      <c r="B95" t="s">
        <v>243</v>
      </c>
      <c r="C95" t="s">
        <v>211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0</v>
      </c>
      <c r="AK95">
        <v>1</v>
      </c>
      <c r="AL95">
        <v>1</v>
      </c>
      <c r="AM95">
        <v>3</v>
      </c>
      <c r="AN95" s="22" t="s">
        <v>53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0</v>
      </c>
      <c r="AU95" s="31" t="str">
        <f t="shared" si="5"/>
        <v>库存为0</v>
      </c>
      <c r="AV95" s="36" t="str">
        <f>IFERROR(时间!$B$4+AU95,"上周无销量")</f>
        <v>上周无销量</v>
      </c>
    </row>
    <row r="96" spans="1:48">
      <c r="A96" s="20" t="s">
        <v>244</v>
      </c>
      <c r="B96" t="s">
        <v>245</v>
      </c>
      <c r="C96" t="s">
        <v>211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0</v>
      </c>
      <c r="AK96">
        <v>3</v>
      </c>
      <c r="AL96">
        <v>1</v>
      </c>
      <c r="AM96">
        <v>2</v>
      </c>
      <c r="AN96" s="22" t="s">
        <v>53</v>
      </c>
      <c r="AO96" s="22">
        <v>0</v>
      </c>
      <c r="AP96" s="22">
        <v>0</v>
      </c>
      <c r="AQ96" s="22">
        <v>0</v>
      </c>
      <c r="AR96" s="35">
        <v>0</v>
      </c>
      <c r="AS96" s="35">
        <v>0</v>
      </c>
      <c r="AT96" s="35">
        <v>0</v>
      </c>
      <c r="AU96" s="31" t="str">
        <f t="shared" si="5"/>
        <v>库存为0</v>
      </c>
      <c r="AV96" s="36" t="str">
        <f>IFERROR(时间!$B$4+AU96,"上周无销量")</f>
        <v>上周无销量</v>
      </c>
    </row>
    <row r="97" spans="1:48">
      <c r="A97" s="20" t="s">
        <v>246</v>
      </c>
      <c r="B97" t="s">
        <v>247</v>
      </c>
      <c r="C97" t="s">
        <v>211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2</v>
      </c>
      <c r="AL97">
        <v>1</v>
      </c>
      <c r="AM97">
        <v>3</v>
      </c>
      <c r="AN97" s="22" t="s">
        <v>53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0</v>
      </c>
      <c r="AU97" s="31" t="str">
        <f t="shared" si="5"/>
        <v>库存为0</v>
      </c>
      <c r="AV97" s="36" t="str">
        <f>IFERROR(时间!$B$4+AU97,"上周无销量")</f>
        <v>上周无销量</v>
      </c>
    </row>
    <row r="98" spans="1:48">
      <c r="A98" s="20" t="s">
        <v>248</v>
      </c>
      <c r="B98" t="s">
        <v>249</v>
      </c>
      <c r="C98" t="s">
        <v>211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2</v>
      </c>
      <c r="AL98">
        <v>0</v>
      </c>
      <c r="AM98">
        <v>3</v>
      </c>
      <c r="AN98" s="22" t="s">
        <v>53</v>
      </c>
      <c r="AO98" s="22">
        <v>0</v>
      </c>
      <c r="AP98" s="22" t="s">
        <v>53</v>
      </c>
      <c r="AQ98" s="22">
        <v>0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250</v>
      </c>
      <c r="B99" t="s">
        <v>251</v>
      </c>
      <c r="C99" t="s">
        <v>211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3</v>
      </c>
      <c r="AL99">
        <v>0</v>
      </c>
      <c r="AM99">
        <v>3</v>
      </c>
      <c r="AN99" s="22" t="s">
        <v>53</v>
      </c>
      <c r="AO99" s="22">
        <v>0</v>
      </c>
      <c r="AP99" s="22" t="s">
        <v>53</v>
      </c>
      <c r="AQ99" s="22">
        <v>0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252</v>
      </c>
      <c r="B100" t="s">
        <v>253</v>
      </c>
      <c r="C100" t="s">
        <v>211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0</v>
      </c>
      <c r="AK100">
        <v>3</v>
      </c>
      <c r="AL100">
        <v>0</v>
      </c>
      <c r="AM100">
        <v>3</v>
      </c>
      <c r="AN100" s="22" t="s">
        <v>53</v>
      </c>
      <c r="AO100" s="22">
        <v>0</v>
      </c>
      <c r="AP100" s="22" t="s">
        <v>53</v>
      </c>
      <c r="AQ100" s="22">
        <v>0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0" t="s">
        <v>254</v>
      </c>
      <c r="B101" t="s">
        <v>255</v>
      </c>
      <c r="C101" t="s">
        <v>211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5</v>
      </c>
      <c r="AL101">
        <v>2</v>
      </c>
      <c r="AM101">
        <v>1</v>
      </c>
      <c r="AN101" s="22" t="s">
        <v>53</v>
      </c>
      <c r="AO101" s="22">
        <v>0</v>
      </c>
      <c r="AP101" s="22">
        <v>0</v>
      </c>
      <c r="AQ101" s="22">
        <v>0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256</v>
      </c>
      <c r="B102" t="s">
        <v>257</v>
      </c>
      <c r="C102" t="s">
        <v>211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2</v>
      </c>
      <c r="AL102">
        <v>3</v>
      </c>
      <c r="AM102">
        <v>4</v>
      </c>
      <c r="AN102" s="22" t="s">
        <v>53</v>
      </c>
      <c r="AO102" s="22">
        <v>0</v>
      </c>
      <c r="AP102" s="22">
        <v>0</v>
      </c>
      <c r="AQ102" s="22">
        <v>0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258</v>
      </c>
      <c r="B103" t="s">
        <v>259</v>
      </c>
      <c r="C103" t="s">
        <v>258</v>
      </c>
      <c r="D103" s="31">
        <v>81</v>
      </c>
      <c r="E103" s="31">
        <v>0</v>
      </c>
      <c r="F103" s="31">
        <v>1</v>
      </c>
      <c r="G103" s="31">
        <v>1</v>
      </c>
      <c r="H103" s="32">
        <v>0.216626506024096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2</v>
      </c>
      <c r="AK103">
        <v>0</v>
      </c>
      <c r="AL103">
        <v>2</v>
      </c>
      <c r="AM103">
        <v>5</v>
      </c>
      <c r="AN103" s="22">
        <v>40.5</v>
      </c>
      <c r="AO103" s="22" t="s">
        <v>53</v>
      </c>
      <c r="AP103" s="22">
        <v>0.5</v>
      </c>
      <c r="AQ103" s="22">
        <v>0.2</v>
      </c>
      <c r="AR103" s="35">
        <v>11.5714285714286</v>
      </c>
      <c r="AS103" s="35">
        <v>694.285714285714</v>
      </c>
      <c r="AT103" s="35">
        <v>-694.285714285714</v>
      </c>
      <c r="AU103" s="31">
        <f t="shared" si="5"/>
        <v>0</v>
      </c>
      <c r="AV103" s="36">
        <f>IFERROR(时间!$B$4+AU103,"上周无销量")</f>
        <v>43332</v>
      </c>
    </row>
    <row r="104" spans="1:48">
      <c r="A104" s="20" t="s">
        <v>260</v>
      </c>
      <c r="B104" t="s">
        <v>261</v>
      </c>
      <c r="C104" t="s">
        <v>262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263</v>
      </c>
      <c r="B105" t="s">
        <v>264</v>
      </c>
      <c r="C105" t="s">
        <v>262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265</v>
      </c>
      <c r="B106" t="s">
        <v>266</v>
      </c>
      <c r="C106" t="s">
        <v>262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267</v>
      </c>
      <c r="B107" t="s">
        <v>268</v>
      </c>
      <c r="C107" t="s">
        <v>262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269</v>
      </c>
      <c r="B108" t="s">
        <v>270</v>
      </c>
      <c r="C108" t="s">
        <v>271</v>
      </c>
      <c r="D108" s="31">
        <v>4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1</v>
      </c>
      <c r="AK108">
        <v>1</v>
      </c>
      <c r="AL108">
        <v>3</v>
      </c>
      <c r="AM108">
        <v>2</v>
      </c>
      <c r="AN108" s="22">
        <v>4</v>
      </c>
      <c r="AO108" s="22">
        <v>0</v>
      </c>
      <c r="AP108" s="22">
        <v>0</v>
      </c>
      <c r="AQ108" s="22">
        <v>0</v>
      </c>
      <c r="AR108" s="35">
        <v>0.571428571428571</v>
      </c>
      <c r="AS108" s="35">
        <v>34.2857142857143</v>
      </c>
      <c r="AT108" s="35">
        <v>-34.2857142857143</v>
      </c>
      <c r="AU108" s="31">
        <f t="shared" si="5"/>
        <v>0</v>
      </c>
      <c r="AV108" s="36">
        <f>IFERROR(时间!$B$4+AU108,"上周无销量")</f>
        <v>43332</v>
      </c>
    </row>
    <row r="109" spans="1:48">
      <c r="A109" s="20" t="s">
        <v>272</v>
      </c>
      <c r="B109" t="s">
        <v>273</v>
      </c>
      <c r="C109" t="s">
        <v>271</v>
      </c>
      <c r="D109" s="31">
        <v>5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3</v>
      </c>
      <c r="AL109">
        <v>1</v>
      </c>
      <c r="AM109">
        <v>2</v>
      </c>
      <c r="AN109" s="22" t="s">
        <v>53</v>
      </c>
      <c r="AO109" s="22">
        <v>0</v>
      </c>
      <c r="AP109" s="22">
        <v>0</v>
      </c>
      <c r="AQ109" s="22">
        <v>0</v>
      </c>
      <c r="AR109" s="35">
        <v>0.714285714285714</v>
      </c>
      <c r="AS109" s="35">
        <v>42.8571428571429</v>
      </c>
      <c r="AT109" s="35">
        <v>-42.8571428571429</v>
      </c>
      <c r="AU109" s="31">
        <f t="shared" si="5"/>
        <v>0</v>
      </c>
      <c r="AV109" s="36">
        <f>IFERROR(时间!$B$4+AU109,"上周无销量")</f>
        <v>43332</v>
      </c>
    </row>
    <row r="110" spans="1:48">
      <c r="A110" s="20" t="s">
        <v>274</v>
      </c>
      <c r="B110" t="s">
        <v>275</v>
      </c>
      <c r="C110" t="s">
        <v>271</v>
      </c>
      <c r="D110" s="31">
        <v>5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2</v>
      </c>
      <c r="AK110">
        <v>2</v>
      </c>
      <c r="AL110">
        <v>2</v>
      </c>
      <c r="AM110">
        <v>4</v>
      </c>
      <c r="AN110" s="22">
        <v>2.5</v>
      </c>
      <c r="AO110" s="22">
        <v>0</v>
      </c>
      <c r="AP110" s="22">
        <v>0</v>
      </c>
      <c r="AQ110" s="22">
        <v>0</v>
      </c>
      <c r="AR110" s="35">
        <v>0.714285714285714</v>
      </c>
      <c r="AS110" s="35">
        <v>42.8571428571429</v>
      </c>
      <c r="AT110" s="35">
        <v>-42.8571428571429</v>
      </c>
      <c r="AU110" s="31">
        <f t="shared" si="5"/>
        <v>0</v>
      </c>
      <c r="AV110" s="36">
        <f>IFERROR(时间!$B$4+AU110,"上周无销量")</f>
        <v>43332</v>
      </c>
    </row>
    <row r="111" spans="1:48">
      <c r="A111" s="20" t="s">
        <v>276</v>
      </c>
      <c r="B111" t="s">
        <v>277</v>
      </c>
      <c r="C111" t="s">
        <v>271</v>
      </c>
      <c r="D111" s="31">
        <v>5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2</v>
      </c>
      <c r="AL111">
        <v>3</v>
      </c>
      <c r="AM111">
        <v>3</v>
      </c>
      <c r="AN111" s="22" t="s">
        <v>53</v>
      </c>
      <c r="AO111" s="22">
        <v>0</v>
      </c>
      <c r="AP111" s="22">
        <v>0</v>
      </c>
      <c r="AQ111" s="22">
        <v>0</v>
      </c>
      <c r="AR111" s="35">
        <v>0.714285714285714</v>
      </c>
      <c r="AS111" s="35">
        <v>42.8571428571429</v>
      </c>
      <c r="AT111" s="35">
        <v>-42.8571428571429</v>
      </c>
      <c r="AU111" s="31">
        <f t="shared" si="5"/>
        <v>0</v>
      </c>
      <c r="AV111" s="36">
        <f>IFERROR(时间!$B$4+AU111,"上周无销量")</f>
        <v>43332</v>
      </c>
    </row>
    <row r="112" spans="1:48">
      <c r="A112" s="20" t="s">
        <v>278</v>
      </c>
      <c r="B112" t="s">
        <v>279</v>
      </c>
      <c r="C112" t="s">
        <v>280</v>
      </c>
      <c r="D112" s="31">
        <v>0</v>
      </c>
      <c r="E112" s="31">
        <v>2</v>
      </c>
      <c r="F112" s="31">
        <v>0</v>
      </c>
      <c r="G112" s="31">
        <v>0</v>
      </c>
      <c r="H112" s="32">
        <v>18.19</v>
      </c>
      <c r="I112">
        <v>7</v>
      </c>
      <c r="J112" s="33">
        <v>0</v>
      </c>
      <c r="K112" s="33">
        <v>0</v>
      </c>
      <c r="L112" s="33">
        <v>0</v>
      </c>
      <c r="M112">
        <v>7</v>
      </c>
      <c r="N112">
        <v>0</v>
      </c>
      <c r="O112">
        <v>7</v>
      </c>
      <c r="P112">
        <v>0</v>
      </c>
      <c r="Q112">
        <v>0</v>
      </c>
      <c r="R112">
        <v>8684</v>
      </c>
      <c r="S112">
        <v>6443</v>
      </c>
      <c r="T112">
        <v>0</v>
      </c>
      <c r="U112">
        <v>0</v>
      </c>
      <c r="V112">
        <v>49</v>
      </c>
      <c r="W112">
        <v>24</v>
      </c>
      <c r="X112" s="22" t="s">
        <v>53</v>
      </c>
      <c r="Y112" s="22" t="s">
        <v>53</v>
      </c>
      <c r="Z112" s="22">
        <v>0.00564256103178259</v>
      </c>
      <c r="AA112" s="22">
        <v>0.00372497283873972</v>
      </c>
      <c r="AB112">
        <v>0</v>
      </c>
      <c r="AC112">
        <v>0</v>
      </c>
      <c r="AD112">
        <v>34.07</v>
      </c>
      <c r="AE112">
        <v>15.09</v>
      </c>
      <c r="AF112" s="22" t="s">
        <v>53</v>
      </c>
      <c r="AG112" s="22" t="s">
        <v>53</v>
      </c>
      <c r="AH112" s="22" t="s">
        <v>281</v>
      </c>
      <c r="AI112" s="22" t="s">
        <v>282</v>
      </c>
      <c r="AJ112">
        <v>28</v>
      </c>
      <c r="AK112">
        <v>35</v>
      </c>
      <c r="AL112">
        <v>55</v>
      </c>
      <c r="AM112">
        <v>35</v>
      </c>
      <c r="AN112" s="22">
        <v>0</v>
      </c>
      <c r="AO112" s="22">
        <v>0.0571428571428571</v>
      </c>
      <c r="AP112" s="22">
        <v>0</v>
      </c>
      <c r="AQ112" s="22">
        <v>0</v>
      </c>
      <c r="AR112" s="35">
        <v>0</v>
      </c>
      <c r="AS112" s="35">
        <v>0</v>
      </c>
      <c r="AT112" s="35">
        <v>7</v>
      </c>
      <c r="AU112" s="31" t="str">
        <f t="shared" si="5"/>
        <v>库存为7</v>
      </c>
      <c r="AV112" s="36" t="str">
        <f>IFERROR(时间!$B$4+AU112,"上周无销量")</f>
        <v>上周无销量</v>
      </c>
    </row>
    <row r="113" spans="1:48">
      <c r="A113" s="20" t="s">
        <v>283</v>
      </c>
      <c r="B113" t="s">
        <v>284</v>
      </c>
      <c r="C113" t="s">
        <v>280</v>
      </c>
      <c r="D113" s="31">
        <v>0</v>
      </c>
      <c r="E113" s="31">
        <v>2</v>
      </c>
      <c r="F113" s="31">
        <v>0</v>
      </c>
      <c r="G113" s="31">
        <v>6</v>
      </c>
      <c r="H113" s="32">
        <v>22.99</v>
      </c>
      <c r="I113">
        <v>1</v>
      </c>
      <c r="J113" s="33">
        <v>0</v>
      </c>
      <c r="K113" s="33">
        <v>0</v>
      </c>
      <c r="L113" s="33">
        <v>0</v>
      </c>
      <c r="M113">
        <v>1</v>
      </c>
      <c r="N113">
        <v>0</v>
      </c>
      <c r="O113">
        <v>1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32</v>
      </c>
      <c r="AK113">
        <v>46</v>
      </c>
      <c r="AL113">
        <v>23</v>
      </c>
      <c r="AM113">
        <v>31</v>
      </c>
      <c r="AN113" s="22">
        <v>0</v>
      </c>
      <c r="AO113" s="22">
        <v>0.0434782608695652</v>
      </c>
      <c r="AP113" s="22">
        <v>0</v>
      </c>
      <c r="AQ113" s="22">
        <v>0.193548387096774</v>
      </c>
      <c r="AR113" s="35">
        <v>0</v>
      </c>
      <c r="AS113" s="35">
        <v>0</v>
      </c>
      <c r="AT113" s="35">
        <v>1</v>
      </c>
      <c r="AU113" s="31" t="str">
        <f t="shared" si="5"/>
        <v>库存为1</v>
      </c>
      <c r="AV113" s="36" t="str">
        <f>IFERROR(时间!$B$4+AU113,"上周无销量")</f>
        <v>上周无销量</v>
      </c>
    </row>
    <row r="114" spans="1:48">
      <c r="A114" s="20" t="s">
        <v>285</v>
      </c>
      <c r="B114" t="s">
        <v>286</v>
      </c>
      <c r="C114" t="s">
        <v>280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287</v>
      </c>
      <c r="B115" t="s">
        <v>288</v>
      </c>
      <c r="C115" t="s">
        <v>280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289</v>
      </c>
      <c r="B116" t="s">
        <v>290</v>
      </c>
      <c r="C116" t="s">
        <v>280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291</v>
      </c>
      <c r="B117" t="s">
        <v>292</v>
      </c>
      <c r="C117" t="s">
        <v>291</v>
      </c>
      <c r="D117" s="31">
        <v>9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6</v>
      </c>
      <c r="AL117">
        <v>1</v>
      </c>
      <c r="AM117">
        <v>3</v>
      </c>
      <c r="AN117" s="22" t="s">
        <v>53</v>
      </c>
      <c r="AO117" s="22">
        <v>0</v>
      </c>
      <c r="AP117" s="22">
        <v>0</v>
      </c>
      <c r="AQ117" s="22">
        <v>0</v>
      </c>
      <c r="AR117" s="35">
        <v>1.28571428571429</v>
      </c>
      <c r="AS117" s="35">
        <v>77.1428571428572</v>
      </c>
      <c r="AT117" s="35">
        <v>-77.1428571428572</v>
      </c>
      <c r="AU117" s="31">
        <f t="shared" si="5"/>
        <v>0</v>
      </c>
      <c r="AV117" s="36">
        <f>IFERROR(时间!$B$4+AU117,"上周无销量")</f>
        <v>43332</v>
      </c>
    </row>
    <row r="118" spans="1:48">
      <c r="A118" s="20" t="s">
        <v>293</v>
      </c>
      <c r="B118" t="s">
        <v>294</v>
      </c>
      <c r="C118" t="s">
        <v>295</v>
      </c>
      <c r="D118" s="31">
        <v>1</v>
      </c>
      <c r="E118" s="31">
        <v>0</v>
      </c>
      <c r="F118" s="31">
        <v>1</v>
      </c>
      <c r="G118" s="31">
        <v>0</v>
      </c>
      <c r="H118" s="32">
        <v>12.645</v>
      </c>
      <c r="I118">
        <v>3</v>
      </c>
      <c r="J118" s="33">
        <v>0</v>
      </c>
      <c r="K118" s="33">
        <v>0</v>
      </c>
      <c r="L118" s="33">
        <v>0</v>
      </c>
      <c r="M118">
        <v>3</v>
      </c>
      <c r="N118">
        <v>0</v>
      </c>
      <c r="O118">
        <v>4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20</v>
      </c>
      <c r="AK118">
        <v>14</v>
      </c>
      <c r="AL118">
        <v>6</v>
      </c>
      <c r="AM118">
        <v>9</v>
      </c>
      <c r="AN118" s="22">
        <v>0.05</v>
      </c>
      <c r="AO118" s="22">
        <v>0</v>
      </c>
      <c r="AP118" s="22">
        <v>0.166666666666667</v>
      </c>
      <c r="AQ118" s="22">
        <v>0</v>
      </c>
      <c r="AR118" s="35">
        <v>0.142857142857143</v>
      </c>
      <c r="AS118" s="35">
        <v>8.57142857142857</v>
      </c>
      <c r="AT118" s="35">
        <v>-5.57142857142857</v>
      </c>
      <c r="AU118" s="31">
        <f t="shared" si="5"/>
        <v>21</v>
      </c>
      <c r="AV118" s="36">
        <f>IFERROR(时间!$B$4+AU118,"上周无销量")</f>
        <v>43353</v>
      </c>
    </row>
    <row r="119" spans="1:48">
      <c r="A119" s="20" t="s">
        <v>296</v>
      </c>
      <c r="B119" t="s">
        <v>297</v>
      </c>
      <c r="C119" t="s">
        <v>295</v>
      </c>
      <c r="D119" s="31">
        <v>0</v>
      </c>
      <c r="E119" s="31">
        <v>2</v>
      </c>
      <c r="F119" s="31">
        <v>0</v>
      </c>
      <c r="G119" s="31">
        <v>2</v>
      </c>
      <c r="H119" s="32">
        <v>16.7</v>
      </c>
      <c r="I119">
        <v>8</v>
      </c>
      <c r="J119" s="33">
        <v>0</v>
      </c>
      <c r="K119" s="33">
        <v>0</v>
      </c>
      <c r="L119" s="33">
        <v>0</v>
      </c>
      <c r="M119">
        <v>8</v>
      </c>
      <c r="N119">
        <v>0</v>
      </c>
      <c r="O119">
        <v>8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11</v>
      </c>
      <c r="AK119">
        <v>18</v>
      </c>
      <c r="AL119">
        <v>3</v>
      </c>
      <c r="AM119">
        <v>6</v>
      </c>
      <c r="AN119" s="22">
        <v>0</v>
      </c>
      <c r="AO119" s="22">
        <v>0.111111111111111</v>
      </c>
      <c r="AP119" s="22">
        <v>0</v>
      </c>
      <c r="AQ119" s="22">
        <v>0.333333333333333</v>
      </c>
      <c r="AR119" s="35">
        <v>0</v>
      </c>
      <c r="AS119" s="35">
        <v>0</v>
      </c>
      <c r="AT119" s="35">
        <v>8</v>
      </c>
      <c r="AU119" s="31" t="str">
        <f t="shared" si="5"/>
        <v>库存为8</v>
      </c>
      <c r="AV119" s="36" t="str">
        <f>IFERROR(时间!$B$4+AU119,"上周无销量")</f>
        <v>上周无销量</v>
      </c>
    </row>
    <row r="120" spans="1:48">
      <c r="A120" s="20" t="s">
        <v>298</v>
      </c>
      <c r="B120" t="s">
        <v>299</v>
      </c>
      <c r="C120" t="s">
        <v>295</v>
      </c>
      <c r="D120" s="31">
        <v>7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1</v>
      </c>
      <c r="AK120">
        <v>5</v>
      </c>
      <c r="AL120">
        <v>1</v>
      </c>
      <c r="AM120">
        <v>1</v>
      </c>
      <c r="AN120" s="22">
        <v>7</v>
      </c>
      <c r="AO120" s="22">
        <v>0</v>
      </c>
      <c r="AP120" s="22">
        <v>0</v>
      </c>
      <c r="AQ120" s="22">
        <v>0</v>
      </c>
      <c r="AR120" s="35">
        <v>1</v>
      </c>
      <c r="AS120" s="35">
        <v>60</v>
      </c>
      <c r="AT120" s="35">
        <v>-60</v>
      </c>
      <c r="AU120" s="31">
        <f t="shared" si="5"/>
        <v>0</v>
      </c>
      <c r="AV120" s="36">
        <f>IFERROR(时间!$B$4+AU120,"上周无销量")</f>
        <v>43332</v>
      </c>
    </row>
    <row r="121" spans="1:48">
      <c r="A121" s="20" t="s">
        <v>300</v>
      </c>
      <c r="B121" t="s">
        <v>301</v>
      </c>
      <c r="C121" t="s">
        <v>295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7</v>
      </c>
      <c r="J121" s="33">
        <v>0</v>
      </c>
      <c r="K121" s="33">
        <v>0</v>
      </c>
      <c r="L121" s="33">
        <v>0</v>
      </c>
      <c r="M121">
        <v>7</v>
      </c>
      <c r="N121">
        <v>0</v>
      </c>
      <c r="O121">
        <v>7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7</v>
      </c>
      <c r="AK121">
        <v>7</v>
      </c>
      <c r="AL121">
        <v>1</v>
      </c>
      <c r="AM121">
        <v>2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7</v>
      </c>
      <c r="AU121" s="31" t="str">
        <f t="shared" si="5"/>
        <v>库存为7</v>
      </c>
      <c r="AV121" s="36" t="str">
        <f>IFERROR(时间!$B$4+AU121,"上周无销量")</f>
        <v>上周无销量</v>
      </c>
    </row>
    <row r="122" spans="1:48">
      <c r="A122" s="20" t="s">
        <v>302</v>
      </c>
      <c r="B122" t="s">
        <v>303</v>
      </c>
      <c r="C122" t="s">
        <v>295</v>
      </c>
      <c r="D122" s="31">
        <v>5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</v>
      </c>
      <c r="AK122">
        <v>7</v>
      </c>
      <c r="AL122">
        <v>3</v>
      </c>
      <c r="AM122">
        <v>3</v>
      </c>
      <c r="AN122" s="22">
        <v>5</v>
      </c>
      <c r="AO122" s="22">
        <v>0</v>
      </c>
      <c r="AP122" s="22">
        <v>0</v>
      </c>
      <c r="AQ122" s="22">
        <v>0</v>
      </c>
      <c r="AR122" s="35">
        <v>0.714285714285714</v>
      </c>
      <c r="AS122" s="35">
        <v>42.8571428571429</v>
      </c>
      <c r="AT122" s="35">
        <v>-42.8571428571429</v>
      </c>
      <c r="AU122" s="31">
        <f t="shared" si="5"/>
        <v>0</v>
      </c>
      <c r="AV122" s="36">
        <f>IFERROR(时间!$B$4+AU122,"上周无销量")</f>
        <v>43332</v>
      </c>
    </row>
    <row r="123" spans="1:48">
      <c r="A123" s="20" t="s">
        <v>304</v>
      </c>
      <c r="B123" t="s">
        <v>305</v>
      </c>
      <c r="C123" t="s">
        <v>295</v>
      </c>
      <c r="D123" s="31">
        <v>0</v>
      </c>
      <c r="E123" s="31">
        <v>0</v>
      </c>
      <c r="F123" s="31">
        <v>0</v>
      </c>
      <c r="G123" s="31">
        <v>1</v>
      </c>
      <c r="H123" s="32">
        <v>10.5</v>
      </c>
      <c r="I123">
        <v>12</v>
      </c>
      <c r="J123" s="33">
        <v>0</v>
      </c>
      <c r="K123" s="33">
        <v>0</v>
      </c>
      <c r="L123" s="33">
        <v>0</v>
      </c>
      <c r="M123">
        <v>12</v>
      </c>
      <c r="N123">
        <v>0</v>
      </c>
      <c r="O123">
        <v>12</v>
      </c>
      <c r="P123">
        <v>372</v>
      </c>
      <c r="Q123">
        <v>127</v>
      </c>
      <c r="R123">
        <v>206</v>
      </c>
      <c r="S123">
        <v>144</v>
      </c>
      <c r="T123">
        <v>7</v>
      </c>
      <c r="U123">
        <v>1</v>
      </c>
      <c r="V123">
        <v>1</v>
      </c>
      <c r="W123">
        <v>3</v>
      </c>
      <c r="X123" s="22">
        <v>0.0188172043010753</v>
      </c>
      <c r="Y123" s="22">
        <v>0.0078740157480315</v>
      </c>
      <c r="Z123" s="22">
        <v>0.00485436893203883</v>
      </c>
      <c r="AA123" s="22">
        <v>0.0208333333333333</v>
      </c>
      <c r="AB123">
        <v>5.44</v>
      </c>
      <c r="AC123">
        <v>0.72</v>
      </c>
      <c r="AD123">
        <v>0.78</v>
      </c>
      <c r="AE123">
        <v>1.49</v>
      </c>
      <c r="AF123" s="22" t="s">
        <v>306</v>
      </c>
      <c r="AG123" s="22" t="s">
        <v>307</v>
      </c>
      <c r="AH123" s="22" t="s">
        <v>308</v>
      </c>
      <c r="AI123" s="22">
        <v>0.141904761904762</v>
      </c>
      <c r="AJ123">
        <v>17</v>
      </c>
      <c r="AK123">
        <v>11</v>
      </c>
      <c r="AL123">
        <v>2</v>
      </c>
      <c r="AM123">
        <v>4</v>
      </c>
      <c r="AN123" s="22">
        <v>0</v>
      </c>
      <c r="AO123" s="22">
        <v>0</v>
      </c>
      <c r="AP123" s="22">
        <v>0</v>
      </c>
      <c r="AQ123" s="22">
        <v>0.25</v>
      </c>
      <c r="AR123" s="35">
        <v>0</v>
      </c>
      <c r="AS123" s="35">
        <v>0</v>
      </c>
      <c r="AT123" s="35">
        <v>12</v>
      </c>
      <c r="AU123" s="31" t="str">
        <f t="shared" si="5"/>
        <v>库存为12</v>
      </c>
      <c r="AV123" s="36" t="str">
        <f>IFERROR(时间!$B$4+AU123,"上周无销量")</f>
        <v>上周无销量</v>
      </c>
    </row>
    <row r="124" spans="1:48">
      <c r="A124" s="20" t="s">
        <v>309</v>
      </c>
      <c r="B124" t="s">
        <v>310</v>
      </c>
      <c r="C124" t="s">
        <v>311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312</v>
      </c>
      <c r="B125" t="s">
        <v>313</v>
      </c>
      <c r="C125" t="s">
        <v>311</v>
      </c>
      <c r="D125" s="31">
        <v>0</v>
      </c>
      <c r="E125" s="31">
        <v>0</v>
      </c>
      <c r="F125" s="31">
        <v>0</v>
      </c>
      <c r="G125" s="31">
        <v>1</v>
      </c>
      <c r="H125" s="32">
        <v>23.5</v>
      </c>
      <c r="I125">
        <v>1</v>
      </c>
      <c r="J125" s="33">
        <v>0</v>
      </c>
      <c r="K125" s="33">
        <v>0</v>
      </c>
      <c r="L125" s="33">
        <v>0</v>
      </c>
      <c r="M125">
        <v>1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17</v>
      </c>
      <c r="AK125">
        <v>39</v>
      </c>
      <c r="AL125">
        <v>15</v>
      </c>
      <c r="AM125">
        <v>22</v>
      </c>
      <c r="AN125" s="22">
        <v>0</v>
      </c>
      <c r="AO125" s="22">
        <v>0</v>
      </c>
      <c r="AP125" s="22">
        <v>0</v>
      </c>
      <c r="AQ125" s="22">
        <v>0.0454545454545455</v>
      </c>
      <c r="AR125" s="35">
        <v>0</v>
      </c>
      <c r="AS125" s="35">
        <v>0</v>
      </c>
      <c r="AT125" s="35">
        <v>1</v>
      </c>
      <c r="AU125" s="31" t="str">
        <f t="shared" si="5"/>
        <v>库存为1</v>
      </c>
      <c r="AV125" s="36" t="str">
        <f>IFERROR(时间!$B$4+AU125,"上周无销量")</f>
        <v>上周无销量</v>
      </c>
    </row>
    <row r="126" spans="1:48">
      <c r="A126" s="20" t="s">
        <v>314</v>
      </c>
      <c r="B126" t="s">
        <v>315</v>
      </c>
      <c r="C126" t="s">
        <v>316</v>
      </c>
      <c r="D126" s="31">
        <v>0</v>
      </c>
      <c r="E126" s="31">
        <v>0</v>
      </c>
      <c r="F126" s="31">
        <v>0</v>
      </c>
      <c r="G126" s="31">
        <v>1</v>
      </c>
      <c r="H126" s="32">
        <v>37.99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1</v>
      </c>
      <c r="AK126">
        <v>13</v>
      </c>
      <c r="AL126">
        <v>6</v>
      </c>
      <c r="AM126">
        <v>7</v>
      </c>
      <c r="AN126" s="22">
        <v>0</v>
      </c>
      <c r="AO126" s="22">
        <v>0</v>
      </c>
      <c r="AP126" s="22">
        <v>0</v>
      </c>
      <c r="AQ126" s="22">
        <v>0.142857142857143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317</v>
      </c>
      <c r="B127" t="s">
        <v>318</v>
      </c>
      <c r="C127" t="s">
        <v>316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319</v>
      </c>
      <c r="B128" t="s">
        <v>320</v>
      </c>
      <c r="C128" t="s">
        <v>321</v>
      </c>
      <c r="D128" s="31">
        <v>4</v>
      </c>
      <c r="E128" s="31">
        <v>1</v>
      </c>
      <c r="F128" s="31">
        <v>0</v>
      </c>
      <c r="G128" s="31">
        <v>0</v>
      </c>
      <c r="H128" s="32">
        <v>6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>
        <v>97</v>
      </c>
      <c r="Q128">
        <v>1387</v>
      </c>
      <c r="R128">
        <v>1014</v>
      </c>
      <c r="S128">
        <v>0</v>
      </c>
      <c r="T128">
        <v>1</v>
      </c>
      <c r="U128">
        <v>2</v>
      </c>
      <c r="V128">
        <v>0</v>
      </c>
      <c r="W128">
        <v>0</v>
      </c>
      <c r="X128" s="22">
        <v>0.0103092783505155</v>
      </c>
      <c r="Y128" s="22">
        <v>0.00144196106705119</v>
      </c>
      <c r="Z128" s="22">
        <v>0</v>
      </c>
      <c r="AA128" s="22" t="s">
        <v>53</v>
      </c>
      <c r="AB128">
        <v>0.6</v>
      </c>
      <c r="AC128">
        <v>0.73</v>
      </c>
      <c r="AD128">
        <v>0</v>
      </c>
      <c r="AE128">
        <v>0</v>
      </c>
      <c r="AF128" s="22">
        <v>0.025</v>
      </c>
      <c r="AG128" s="22">
        <v>0.121666666666667</v>
      </c>
      <c r="AH128" s="22" t="s">
        <v>53</v>
      </c>
      <c r="AI128" s="22" t="s">
        <v>53</v>
      </c>
      <c r="AJ128">
        <v>1</v>
      </c>
      <c r="AK128">
        <v>7</v>
      </c>
      <c r="AL128">
        <v>2</v>
      </c>
      <c r="AM128">
        <v>4</v>
      </c>
      <c r="AN128" s="22">
        <v>4</v>
      </c>
      <c r="AO128" s="22">
        <v>0.142857142857143</v>
      </c>
      <c r="AP128" s="22">
        <v>0</v>
      </c>
      <c r="AQ128" s="22">
        <v>0</v>
      </c>
      <c r="AR128" s="35">
        <v>0.571428571428571</v>
      </c>
      <c r="AS128" s="35">
        <v>34.2857142857143</v>
      </c>
      <c r="AT128" s="35">
        <v>-34.2857142857143</v>
      </c>
      <c r="AU128" s="31">
        <f t="shared" si="5"/>
        <v>0</v>
      </c>
      <c r="AV128" s="36">
        <f>IFERROR(时间!$B$4+AU128,"上周无销量")</f>
        <v>43332</v>
      </c>
    </row>
    <row r="129" spans="1:48">
      <c r="A129" s="20" t="s">
        <v>322</v>
      </c>
      <c r="B129" t="s">
        <v>323</v>
      </c>
      <c r="C129" t="s">
        <v>324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325</v>
      </c>
      <c r="B130" t="s">
        <v>326</v>
      </c>
      <c r="C130" t="s">
        <v>327</v>
      </c>
      <c r="D130" s="31">
        <v>3</v>
      </c>
      <c r="E130" s="31">
        <v>3</v>
      </c>
      <c r="F130" s="31">
        <v>6</v>
      </c>
      <c r="G130" s="31">
        <v>6</v>
      </c>
      <c r="H130" s="32">
        <v>15.99</v>
      </c>
      <c r="I130">
        <v>23</v>
      </c>
      <c r="J130" s="33">
        <v>30</v>
      </c>
      <c r="K130" s="33">
        <v>0</v>
      </c>
      <c r="L130" s="33">
        <v>1</v>
      </c>
      <c r="M130">
        <v>54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31</v>
      </c>
      <c r="AK130">
        <v>33</v>
      </c>
      <c r="AL130">
        <v>19</v>
      </c>
      <c r="AM130">
        <v>23</v>
      </c>
      <c r="AN130" s="22">
        <v>0.0967741935483871</v>
      </c>
      <c r="AO130" s="22">
        <v>0.0909090909090909</v>
      </c>
      <c r="AP130" s="22">
        <v>0.315789473684211</v>
      </c>
      <c r="AQ130" s="22">
        <v>0.260869565217391</v>
      </c>
      <c r="AR130" s="35">
        <v>0.428571428571429</v>
      </c>
      <c r="AS130" s="35">
        <v>25.7142857142857</v>
      </c>
      <c r="AT130" s="35">
        <v>28.2857142857143</v>
      </c>
      <c r="AU130" s="31">
        <f t="shared" si="5"/>
        <v>126</v>
      </c>
      <c r="AV130" s="36">
        <f>IFERROR(时间!$B$4+AU130,"上周无销量")</f>
        <v>43458</v>
      </c>
    </row>
    <row r="131" spans="1:48">
      <c r="A131" s="20" t="s">
        <v>328</v>
      </c>
      <c r="B131" t="s">
        <v>329</v>
      </c>
      <c r="C131" t="s">
        <v>327</v>
      </c>
      <c r="D131" s="31">
        <v>12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1.71428571428571</v>
      </c>
      <c r="AS131" s="35">
        <v>102.857142857143</v>
      </c>
      <c r="AT131" s="35">
        <v>-102.857142857143</v>
      </c>
      <c r="AU131" s="31">
        <f t="shared" si="5"/>
        <v>0</v>
      </c>
      <c r="AV131" s="36">
        <f>IFERROR(时间!$B$4+AU131,"上周无销量")</f>
        <v>43332</v>
      </c>
    </row>
    <row r="132" spans="1:48">
      <c r="A132" s="20" t="s">
        <v>330</v>
      </c>
      <c r="B132" t="s">
        <v>331</v>
      </c>
      <c r="C132" t="s">
        <v>327</v>
      </c>
      <c r="D132" s="31">
        <v>0</v>
      </c>
      <c r="E132" s="31">
        <v>0</v>
      </c>
      <c r="F132" s="31">
        <v>5</v>
      </c>
      <c r="G132" s="31">
        <v>11</v>
      </c>
      <c r="H132" s="32">
        <v>15.99</v>
      </c>
      <c r="I132">
        <v>0</v>
      </c>
      <c r="J132" s="33">
        <v>20</v>
      </c>
      <c r="K132" s="33">
        <v>0</v>
      </c>
      <c r="L132" s="33">
        <v>0</v>
      </c>
      <c r="M132">
        <v>20</v>
      </c>
      <c r="N132">
        <v>0</v>
      </c>
      <c r="O132">
        <v>0</v>
      </c>
      <c r="P132">
        <v>9</v>
      </c>
      <c r="Q132">
        <v>0</v>
      </c>
      <c r="R132">
        <v>17</v>
      </c>
      <c r="S132">
        <v>6</v>
      </c>
      <c r="T132">
        <v>0</v>
      </c>
      <c r="U132">
        <v>0</v>
      </c>
      <c r="V132">
        <v>1</v>
      </c>
      <c r="W132">
        <v>0</v>
      </c>
      <c r="X132" s="22">
        <v>0</v>
      </c>
      <c r="Y132" s="22" t="s">
        <v>53</v>
      </c>
      <c r="Z132" s="22">
        <v>0.0588235294117647</v>
      </c>
      <c r="AA132" s="22">
        <v>0</v>
      </c>
      <c r="AB132">
        <v>0</v>
      </c>
      <c r="AC132">
        <v>0</v>
      </c>
      <c r="AD132">
        <v>0.26</v>
      </c>
      <c r="AE132">
        <v>0</v>
      </c>
      <c r="AF132" s="22" t="s">
        <v>53</v>
      </c>
      <c r="AG132" s="22" t="s">
        <v>53</v>
      </c>
      <c r="AH132" s="22">
        <v>0.0032520325203252</v>
      </c>
      <c r="AI132" s="22" t="s">
        <v>53</v>
      </c>
      <c r="AJ132">
        <v>8</v>
      </c>
      <c r="AK132">
        <v>0</v>
      </c>
      <c r="AL132">
        <v>20</v>
      </c>
      <c r="AM132">
        <v>22</v>
      </c>
      <c r="AN132" s="22">
        <v>0</v>
      </c>
      <c r="AO132" s="22" t="s">
        <v>53</v>
      </c>
      <c r="AP132" s="22">
        <v>0.25</v>
      </c>
      <c r="AQ132" s="22">
        <v>0.5</v>
      </c>
      <c r="AR132" s="35">
        <v>0</v>
      </c>
      <c r="AS132" s="35">
        <v>0</v>
      </c>
      <c r="AT132" s="35">
        <v>20</v>
      </c>
      <c r="AU132" s="31" t="str">
        <f t="shared" si="5"/>
        <v>库存为20</v>
      </c>
      <c r="AV132" s="36" t="str">
        <f>IFERROR(时间!$B$4+AU132,"上周无销量")</f>
        <v>上周无销量</v>
      </c>
    </row>
    <row r="133" spans="1:48">
      <c r="A133" s="20" t="s">
        <v>332</v>
      </c>
      <c r="B133" t="s">
        <v>333</v>
      </c>
      <c r="C133" t="s">
        <v>327</v>
      </c>
      <c r="D133" s="31">
        <v>11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1.57142857142857</v>
      </c>
      <c r="AS133" s="35">
        <v>94.2857142857143</v>
      </c>
      <c r="AT133" s="35">
        <v>-94.2857142857143</v>
      </c>
      <c r="AU133" s="31">
        <f t="shared" ref="AU133:AU196" si="6">IF(AR133="","库存为"&amp;M133,IF(AS133=0,"库存为"&amp;M133,INT(M133/AR133)))</f>
        <v>0</v>
      </c>
      <c r="AV133" s="36">
        <f>IFERROR(时间!$B$4+AU133,"上周无销量")</f>
        <v>43332</v>
      </c>
    </row>
    <row r="134" spans="1:48">
      <c r="A134" s="20" t="s">
        <v>334</v>
      </c>
      <c r="B134" t="s">
        <v>335</v>
      </c>
      <c r="C134" t="s">
        <v>327</v>
      </c>
      <c r="D134" s="31">
        <v>2</v>
      </c>
      <c r="E134" s="31">
        <v>3</v>
      </c>
      <c r="F134" s="31">
        <v>5</v>
      </c>
      <c r="G134" s="31">
        <v>2</v>
      </c>
      <c r="H134" s="32">
        <v>15.99</v>
      </c>
      <c r="I134">
        <v>2</v>
      </c>
      <c r="J134" s="33">
        <v>20</v>
      </c>
      <c r="K134" s="33">
        <v>0</v>
      </c>
      <c r="L134" s="33">
        <v>1</v>
      </c>
      <c r="M134">
        <v>23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74</v>
      </c>
      <c r="AK134">
        <v>38</v>
      </c>
      <c r="AL134">
        <v>34</v>
      </c>
      <c r="AM134">
        <v>50</v>
      </c>
      <c r="AN134" s="22">
        <v>0.027027027027027</v>
      </c>
      <c r="AO134" s="22">
        <v>0.0789473684210526</v>
      </c>
      <c r="AP134" s="22">
        <v>0.147058823529412</v>
      </c>
      <c r="AQ134" s="22">
        <v>0.04</v>
      </c>
      <c r="AR134" s="35">
        <v>0.285714285714286</v>
      </c>
      <c r="AS134" s="35">
        <v>17.1428571428571</v>
      </c>
      <c r="AT134" s="35">
        <v>5.85714285714286</v>
      </c>
      <c r="AU134" s="31">
        <f t="shared" si="6"/>
        <v>80</v>
      </c>
      <c r="AV134" s="36">
        <f>IFERROR(时间!$B$4+AU134,"上周无销量")</f>
        <v>43412</v>
      </c>
    </row>
    <row r="135" spans="1:48">
      <c r="A135" s="20" t="s">
        <v>336</v>
      </c>
      <c r="B135" t="s">
        <v>337</v>
      </c>
      <c r="C135" t="s">
        <v>327</v>
      </c>
      <c r="D135" s="31">
        <v>4</v>
      </c>
      <c r="E135" s="31">
        <v>4</v>
      </c>
      <c r="F135" s="31">
        <v>3</v>
      </c>
      <c r="G135" s="31">
        <v>5</v>
      </c>
      <c r="H135" s="32">
        <v>15.99</v>
      </c>
      <c r="I135">
        <v>7</v>
      </c>
      <c r="J135" s="33">
        <v>20</v>
      </c>
      <c r="K135" s="33">
        <v>0</v>
      </c>
      <c r="L135" s="33">
        <v>1</v>
      </c>
      <c r="M135">
        <v>28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24</v>
      </c>
      <c r="AK135">
        <v>27</v>
      </c>
      <c r="AL135">
        <v>14</v>
      </c>
      <c r="AM135">
        <v>13</v>
      </c>
      <c r="AN135" s="22">
        <v>0.166666666666667</v>
      </c>
      <c r="AO135" s="22">
        <v>0.148148148148148</v>
      </c>
      <c r="AP135" s="22">
        <v>0.214285714285714</v>
      </c>
      <c r="AQ135" s="22">
        <v>0.384615384615385</v>
      </c>
      <c r="AR135" s="35">
        <v>0.571428571428571</v>
      </c>
      <c r="AS135" s="35">
        <v>34.2857142857143</v>
      </c>
      <c r="AT135" s="35">
        <v>-6.28571428571428</v>
      </c>
      <c r="AU135" s="31">
        <f t="shared" si="6"/>
        <v>49</v>
      </c>
      <c r="AV135" s="36">
        <f>IFERROR(时间!$B$4+AU135,"上周无销量")</f>
        <v>43381</v>
      </c>
    </row>
    <row r="136" spans="1:48">
      <c r="A136" s="20" t="s">
        <v>338</v>
      </c>
      <c r="B136" t="s">
        <v>339</v>
      </c>
      <c r="C136" t="s">
        <v>340</v>
      </c>
      <c r="D136" s="31">
        <v>2</v>
      </c>
      <c r="E136" s="31">
        <v>1</v>
      </c>
      <c r="F136" s="31">
        <v>1</v>
      </c>
      <c r="G136" s="31">
        <v>1</v>
      </c>
      <c r="H136" s="32">
        <v>19.188</v>
      </c>
      <c r="I136">
        <v>19</v>
      </c>
      <c r="J136" s="33">
        <v>20</v>
      </c>
      <c r="K136" s="33">
        <v>0</v>
      </c>
      <c r="L136" s="33">
        <v>0</v>
      </c>
      <c r="M136">
        <v>39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54</v>
      </c>
      <c r="AK136">
        <v>32</v>
      </c>
      <c r="AL136">
        <v>23</v>
      </c>
      <c r="AM136">
        <v>18</v>
      </c>
      <c r="AN136" s="22">
        <v>0.037037037037037</v>
      </c>
      <c r="AO136" s="22">
        <v>0.03125</v>
      </c>
      <c r="AP136" s="22">
        <v>0.0434782608695652</v>
      </c>
      <c r="AQ136" s="22">
        <v>0.0555555555555556</v>
      </c>
      <c r="AR136" s="35">
        <v>0.285714285714286</v>
      </c>
      <c r="AS136" s="35">
        <v>17.1428571428571</v>
      </c>
      <c r="AT136" s="35">
        <v>21.8571428571429</v>
      </c>
      <c r="AU136" s="31">
        <f t="shared" si="6"/>
        <v>136</v>
      </c>
      <c r="AV136" s="36">
        <f>IFERROR(时间!$B$4+AU136,"上周无销量")</f>
        <v>43468</v>
      </c>
    </row>
    <row r="137" spans="1:48">
      <c r="A137" s="20" t="s">
        <v>341</v>
      </c>
      <c r="B137" t="s">
        <v>342</v>
      </c>
      <c r="C137" t="s">
        <v>343</v>
      </c>
      <c r="D137" s="31">
        <v>0</v>
      </c>
      <c r="E137" s="31">
        <v>2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1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20" t="s">
        <v>344</v>
      </c>
      <c r="B138" t="s">
        <v>345</v>
      </c>
      <c r="C138" t="s">
        <v>343</v>
      </c>
      <c r="D138" s="31">
        <v>0</v>
      </c>
      <c r="E138" s="31">
        <v>0</v>
      </c>
      <c r="F138" s="31">
        <v>0</v>
      </c>
      <c r="G138" s="31">
        <v>11</v>
      </c>
      <c r="H138" s="32">
        <v>15.99</v>
      </c>
      <c r="I138">
        <v>5</v>
      </c>
      <c r="J138" s="33">
        <v>0</v>
      </c>
      <c r="K138" s="33">
        <v>0</v>
      </c>
      <c r="L138" s="33">
        <v>0</v>
      </c>
      <c r="M138">
        <v>5</v>
      </c>
      <c r="N138">
        <v>1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24</v>
      </c>
      <c r="AN138" s="22" t="s">
        <v>53</v>
      </c>
      <c r="AO138" s="22" t="s">
        <v>53</v>
      </c>
      <c r="AP138" s="22" t="s">
        <v>53</v>
      </c>
      <c r="AQ138" s="22">
        <v>0.458333333333333</v>
      </c>
      <c r="AR138" s="35">
        <v>0</v>
      </c>
      <c r="AS138" s="35">
        <v>0</v>
      </c>
      <c r="AT138" s="35">
        <v>5</v>
      </c>
      <c r="AU138" s="31" t="str">
        <f t="shared" si="6"/>
        <v>库存为5</v>
      </c>
      <c r="AV138" s="36" t="str">
        <f>IFERROR(时间!$B$4+AU138,"上周无销量")</f>
        <v>上周无销量</v>
      </c>
    </row>
    <row r="139" spans="1:48">
      <c r="A139" s="20" t="s">
        <v>346</v>
      </c>
      <c r="B139" t="s">
        <v>347</v>
      </c>
      <c r="C139" t="s">
        <v>343</v>
      </c>
      <c r="D139" s="31">
        <v>1</v>
      </c>
      <c r="E139" s="31">
        <v>0</v>
      </c>
      <c r="F139" s="31">
        <v>4</v>
      </c>
      <c r="G139" s="31">
        <v>0</v>
      </c>
      <c r="H139" s="32">
        <v>15.99</v>
      </c>
      <c r="I139">
        <v>37</v>
      </c>
      <c r="J139" s="33">
        <v>0</v>
      </c>
      <c r="K139" s="33">
        <v>0</v>
      </c>
      <c r="L139" s="33">
        <v>1</v>
      </c>
      <c r="M139">
        <v>38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14</v>
      </c>
      <c r="AK139">
        <v>0</v>
      </c>
      <c r="AL139">
        <v>19</v>
      </c>
      <c r="AM139">
        <v>0</v>
      </c>
      <c r="AN139" s="22">
        <v>0.0714285714285714</v>
      </c>
      <c r="AO139" s="22" t="s">
        <v>53</v>
      </c>
      <c r="AP139" s="22">
        <v>0.210526315789474</v>
      </c>
      <c r="AQ139" s="22" t="s">
        <v>53</v>
      </c>
      <c r="AR139" s="35">
        <v>0.142857142857143</v>
      </c>
      <c r="AS139" s="35">
        <v>8.57142857142857</v>
      </c>
      <c r="AT139" s="35">
        <v>29.4285714285714</v>
      </c>
      <c r="AU139" s="31">
        <f t="shared" si="6"/>
        <v>266</v>
      </c>
      <c r="AV139" s="36">
        <f>IFERROR(时间!$B$4+AU139,"上周无销量")</f>
        <v>43598</v>
      </c>
    </row>
    <row r="140" spans="1:48">
      <c r="A140" s="20" t="s">
        <v>348</v>
      </c>
      <c r="B140" t="s">
        <v>349</v>
      </c>
      <c r="C140" t="s">
        <v>343</v>
      </c>
      <c r="D140" s="31">
        <v>13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1.85714285714286</v>
      </c>
      <c r="AS140" s="35">
        <v>111.428571428571</v>
      </c>
      <c r="AT140" s="35">
        <v>-111.428571428571</v>
      </c>
      <c r="AU140" s="31">
        <f t="shared" si="6"/>
        <v>0</v>
      </c>
      <c r="AV140" s="36">
        <f>IFERROR(时间!$B$4+AU140,"上周无销量")</f>
        <v>43332</v>
      </c>
    </row>
    <row r="141" spans="1:48">
      <c r="A141" s="20" t="s">
        <v>350</v>
      </c>
      <c r="B141" t="s">
        <v>351</v>
      </c>
      <c r="C141" t="s">
        <v>343</v>
      </c>
      <c r="D141" s="31">
        <v>0</v>
      </c>
      <c r="E141" s="31">
        <v>7</v>
      </c>
      <c r="F141" s="31">
        <v>1</v>
      </c>
      <c r="G141" s="31">
        <v>9</v>
      </c>
      <c r="H141" s="32">
        <v>15.99</v>
      </c>
      <c r="I141">
        <v>0</v>
      </c>
      <c r="J141" s="33">
        <v>20</v>
      </c>
      <c r="K141" s="33">
        <v>0</v>
      </c>
      <c r="L141" s="33">
        <v>0</v>
      </c>
      <c r="M141">
        <v>20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0</v>
      </c>
      <c r="AK141">
        <v>36</v>
      </c>
      <c r="AL141">
        <v>15</v>
      </c>
      <c r="AM141">
        <v>14</v>
      </c>
      <c r="AN141" s="22" t="s">
        <v>53</v>
      </c>
      <c r="AO141" s="22">
        <v>0.194444444444444</v>
      </c>
      <c r="AP141" s="22">
        <v>0.0666666666666667</v>
      </c>
      <c r="AQ141" s="22">
        <v>0.642857142857143</v>
      </c>
      <c r="AR141" s="35">
        <v>0</v>
      </c>
      <c r="AS141" s="35">
        <v>0</v>
      </c>
      <c r="AT141" s="35">
        <v>20</v>
      </c>
      <c r="AU141" s="31" t="str">
        <f t="shared" si="6"/>
        <v>库存为20</v>
      </c>
      <c r="AV141" s="36" t="str">
        <f>IFERROR(时间!$B$4+AU141,"上周无销量")</f>
        <v>上周无销量</v>
      </c>
    </row>
    <row r="142" spans="1:48">
      <c r="A142" s="20" t="s">
        <v>352</v>
      </c>
      <c r="B142" t="s">
        <v>353</v>
      </c>
      <c r="C142" t="s">
        <v>343</v>
      </c>
      <c r="D142" s="31">
        <v>11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1.57142857142857</v>
      </c>
      <c r="AS142" s="35">
        <v>94.2857142857143</v>
      </c>
      <c r="AT142" s="35">
        <v>-94.2857142857143</v>
      </c>
      <c r="AU142" s="31">
        <f t="shared" si="6"/>
        <v>0</v>
      </c>
      <c r="AV142" s="36">
        <f>IFERROR(时间!$B$4+AU142,"上周无销量")</f>
        <v>43332</v>
      </c>
    </row>
    <row r="143" spans="1:48">
      <c r="A143" s="20" t="s">
        <v>354</v>
      </c>
      <c r="B143" t="s">
        <v>355</v>
      </c>
      <c r="C143" t="s">
        <v>343</v>
      </c>
      <c r="D143" s="31">
        <v>2</v>
      </c>
      <c r="E143" s="31">
        <v>7</v>
      </c>
      <c r="F143" s="31">
        <v>5</v>
      </c>
      <c r="G143" s="31">
        <v>10</v>
      </c>
      <c r="H143" s="32">
        <v>15.99</v>
      </c>
      <c r="I143">
        <v>24</v>
      </c>
      <c r="J143" s="33">
        <v>25</v>
      </c>
      <c r="K143" s="33">
        <v>0</v>
      </c>
      <c r="L143" s="33">
        <v>0</v>
      </c>
      <c r="M143">
        <v>49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28</v>
      </c>
      <c r="AK143">
        <v>32</v>
      </c>
      <c r="AL143">
        <v>12</v>
      </c>
      <c r="AM143">
        <v>18</v>
      </c>
      <c r="AN143" s="22">
        <v>0.0714285714285714</v>
      </c>
      <c r="AO143" s="22">
        <v>0.21875</v>
      </c>
      <c r="AP143" s="22">
        <v>0.416666666666667</v>
      </c>
      <c r="AQ143" s="22">
        <v>0.555555555555556</v>
      </c>
      <c r="AR143" s="35">
        <v>0.285714285714286</v>
      </c>
      <c r="AS143" s="35">
        <v>17.1428571428571</v>
      </c>
      <c r="AT143" s="35">
        <v>31.8571428571429</v>
      </c>
      <c r="AU143" s="31">
        <f t="shared" si="6"/>
        <v>171</v>
      </c>
      <c r="AV143" s="36">
        <f>IFERROR(时间!$B$4+AU143,"上周无销量")</f>
        <v>43503</v>
      </c>
    </row>
    <row r="144" spans="1:48">
      <c r="A144" s="20" t="s">
        <v>356</v>
      </c>
      <c r="B144" t="s">
        <v>357</v>
      </c>
      <c r="C144" t="s">
        <v>358</v>
      </c>
      <c r="D144" s="31">
        <v>2</v>
      </c>
      <c r="E144" s="31">
        <v>2</v>
      </c>
      <c r="F144" s="31">
        <v>2</v>
      </c>
      <c r="G144" s="31">
        <v>0</v>
      </c>
      <c r="H144" s="32">
        <v>15.99</v>
      </c>
      <c r="I144">
        <v>9</v>
      </c>
      <c r="J144" s="33">
        <v>21</v>
      </c>
      <c r="K144" s="33">
        <v>0</v>
      </c>
      <c r="L144" s="33">
        <v>0</v>
      </c>
      <c r="M144">
        <v>30</v>
      </c>
      <c r="N144">
        <v>0</v>
      </c>
      <c r="O144">
        <v>0</v>
      </c>
      <c r="P144">
        <v>17289</v>
      </c>
      <c r="Q144">
        <v>34791</v>
      </c>
      <c r="R144">
        <v>20555</v>
      </c>
      <c r="S144">
        <v>15682</v>
      </c>
      <c r="T144">
        <v>64</v>
      </c>
      <c r="U144">
        <v>71</v>
      </c>
      <c r="V144">
        <v>52</v>
      </c>
      <c r="W144">
        <v>57</v>
      </c>
      <c r="X144" s="22">
        <v>0.00370177569552895</v>
      </c>
      <c r="Y144" s="22">
        <v>0.00204075766721278</v>
      </c>
      <c r="Z144" s="22">
        <v>0.00252979810265142</v>
      </c>
      <c r="AA144" s="22">
        <v>0.0036347404667772</v>
      </c>
      <c r="AB144">
        <v>28.7</v>
      </c>
      <c r="AC144">
        <v>34.61</v>
      </c>
      <c r="AD144">
        <v>22.92</v>
      </c>
      <c r="AE144">
        <v>24.25</v>
      </c>
      <c r="AF144" s="22">
        <v>0.897435897435897</v>
      </c>
      <c r="AG144" s="22">
        <v>1.08223889931207</v>
      </c>
      <c r="AH144" s="22">
        <v>0.716697936210131</v>
      </c>
      <c r="AI144" s="22" t="s">
        <v>359</v>
      </c>
      <c r="AJ144">
        <v>44</v>
      </c>
      <c r="AK144">
        <v>47</v>
      </c>
      <c r="AL144">
        <v>28</v>
      </c>
      <c r="AM144">
        <v>55</v>
      </c>
      <c r="AN144" s="22">
        <v>0.0454545454545455</v>
      </c>
      <c r="AO144" s="22">
        <v>0.0425531914893617</v>
      </c>
      <c r="AP144" s="22">
        <v>0.0714285714285714</v>
      </c>
      <c r="AQ144" s="22">
        <v>0</v>
      </c>
      <c r="AR144" s="35">
        <v>0.285714285714286</v>
      </c>
      <c r="AS144" s="35">
        <v>17.1428571428571</v>
      </c>
      <c r="AT144" s="35">
        <v>12.8571428571429</v>
      </c>
      <c r="AU144" s="31">
        <f t="shared" si="6"/>
        <v>105</v>
      </c>
      <c r="AV144" s="36">
        <f>IFERROR(时间!$B$4+AU144,"上周无销量")</f>
        <v>43437</v>
      </c>
    </row>
    <row r="145" spans="1:48">
      <c r="A145" s="20" t="s">
        <v>360</v>
      </c>
      <c r="B145" t="s">
        <v>361</v>
      </c>
      <c r="C145" t="s">
        <v>358</v>
      </c>
      <c r="D145" s="31">
        <v>2</v>
      </c>
      <c r="E145" s="31">
        <v>5</v>
      </c>
      <c r="F145" s="31">
        <v>0</v>
      </c>
      <c r="G145" s="31">
        <v>4</v>
      </c>
      <c r="H145" s="32">
        <v>15.99</v>
      </c>
      <c r="I145">
        <v>3</v>
      </c>
      <c r="J145" s="33">
        <v>26</v>
      </c>
      <c r="K145" s="33">
        <v>0</v>
      </c>
      <c r="L145" s="33">
        <v>0</v>
      </c>
      <c r="M145">
        <v>29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36</v>
      </c>
      <c r="AK145">
        <v>18</v>
      </c>
      <c r="AL145">
        <v>16</v>
      </c>
      <c r="AM145">
        <v>13</v>
      </c>
      <c r="AN145" s="22">
        <v>0.0555555555555556</v>
      </c>
      <c r="AO145" s="22">
        <v>0.277777777777778</v>
      </c>
      <c r="AP145" s="22">
        <v>0</v>
      </c>
      <c r="AQ145" s="22">
        <v>0.307692307692308</v>
      </c>
      <c r="AR145" s="35">
        <v>0.285714285714286</v>
      </c>
      <c r="AS145" s="35">
        <v>17.1428571428571</v>
      </c>
      <c r="AT145" s="35">
        <v>11.8571428571429</v>
      </c>
      <c r="AU145" s="31">
        <f t="shared" si="6"/>
        <v>101</v>
      </c>
      <c r="AV145" s="36">
        <f>IFERROR(时间!$B$4+AU145,"上周无销量")</f>
        <v>43433</v>
      </c>
    </row>
    <row r="146" spans="1:48">
      <c r="A146" s="20" t="s">
        <v>362</v>
      </c>
      <c r="B146" t="s">
        <v>363</v>
      </c>
      <c r="C146" t="s">
        <v>358</v>
      </c>
      <c r="D146" s="31">
        <v>6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0</v>
      </c>
      <c r="AK146">
        <v>0</v>
      </c>
      <c r="AL146">
        <v>0</v>
      </c>
      <c r="AM146">
        <v>0</v>
      </c>
      <c r="AN146" s="22" t="s">
        <v>53</v>
      </c>
      <c r="AO146" s="22" t="s">
        <v>53</v>
      </c>
      <c r="AP146" s="22" t="s">
        <v>53</v>
      </c>
      <c r="AQ146" s="22" t="s">
        <v>53</v>
      </c>
      <c r="AR146" s="35">
        <v>0.857142857142857</v>
      </c>
      <c r="AS146" s="35">
        <v>51.4285714285714</v>
      </c>
      <c r="AT146" s="35">
        <v>-51.4285714285714</v>
      </c>
      <c r="AU146" s="31">
        <f t="shared" si="6"/>
        <v>0</v>
      </c>
      <c r="AV146" s="36">
        <f>IFERROR(时间!$B$4+AU146,"上周无销量")</f>
        <v>43332</v>
      </c>
    </row>
    <row r="147" spans="1:48">
      <c r="A147" s="20" t="s">
        <v>364</v>
      </c>
      <c r="B147" t="s">
        <v>365</v>
      </c>
      <c r="C147" t="s">
        <v>358</v>
      </c>
      <c r="D147" s="31">
        <v>0</v>
      </c>
      <c r="E147" s="31">
        <v>1</v>
      </c>
      <c r="F147" s="31">
        <v>2</v>
      </c>
      <c r="G147" s="31">
        <v>1</v>
      </c>
      <c r="H147" s="32">
        <v>15.99</v>
      </c>
      <c r="I147">
        <v>24</v>
      </c>
      <c r="J147" s="33">
        <v>20</v>
      </c>
      <c r="K147" s="33">
        <v>0</v>
      </c>
      <c r="L147" s="33">
        <v>0</v>
      </c>
      <c r="M147">
        <v>44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39</v>
      </c>
      <c r="AK147">
        <v>23</v>
      </c>
      <c r="AL147">
        <v>24</v>
      </c>
      <c r="AM147">
        <v>19</v>
      </c>
      <c r="AN147" s="22">
        <v>0</v>
      </c>
      <c r="AO147" s="22">
        <v>0.0434782608695652</v>
      </c>
      <c r="AP147" s="22">
        <v>0.0833333333333333</v>
      </c>
      <c r="AQ147" s="22">
        <v>0.0526315789473684</v>
      </c>
      <c r="AR147" s="35">
        <v>0</v>
      </c>
      <c r="AS147" s="35">
        <v>0</v>
      </c>
      <c r="AT147" s="35">
        <v>44</v>
      </c>
      <c r="AU147" s="31" t="str">
        <f t="shared" si="6"/>
        <v>库存为44</v>
      </c>
      <c r="AV147" s="36" t="str">
        <f>IFERROR(时间!$B$4+AU147,"上周无销量")</f>
        <v>上周无销量</v>
      </c>
    </row>
    <row r="148" spans="1:48">
      <c r="A148" s="20" t="s">
        <v>366</v>
      </c>
      <c r="B148" t="s">
        <v>367</v>
      </c>
      <c r="C148" t="s">
        <v>358</v>
      </c>
      <c r="D148" s="31">
        <v>2</v>
      </c>
      <c r="E148" s="31">
        <v>1</v>
      </c>
      <c r="F148" s="31">
        <v>2</v>
      </c>
      <c r="G148" s="31">
        <v>2</v>
      </c>
      <c r="H148" s="32">
        <v>15.99</v>
      </c>
      <c r="I148">
        <v>13</v>
      </c>
      <c r="J148" s="33">
        <v>20</v>
      </c>
      <c r="K148" s="33">
        <v>0</v>
      </c>
      <c r="L148" s="33">
        <v>0</v>
      </c>
      <c r="M148">
        <v>33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30</v>
      </c>
      <c r="AK148">
        <v>26</v>
      </c>
      <c r="AL148">
        <v>17</v>
      </c>
      <c r="AM148">
        <v>23</v>
      </c>
      <c r="AN148" s="22">
        <v>0.0666666666666667</v>
      </c>
      <c r="AO148" s="22">
        <v>0.0384615384615385</v>
      </c>
      <c r="AP148" s="22">
        <v>0.117647058823529</v>
      </c>
      <c r="AQ148" s="22">
        <v>0.0869565217391304</v>
      </c>
      <c r="AR148" s="35">
        <v>0.285714285714286</v>
      </c>
      <c r="AS148" s="35">
        <v>17.1428571428571</v>
      </c>
      <c r="AT148" s="35">
        <v>15.8571428571429</v>
      </c>
      <c r="AU148" s="31">
        <f t="shared" si="6"/>
        <v>115</v>
      </c>
      <c r="AV148" s="36">
        <f>IFERROR(时间!$B$4+AU148,"上周无销量")</f>
        <v>43447</v>
      </c>
    </row>
    <row r="149" spans="1:48">
      <c r="A149" s="20" t="s">
        <v>368</v>
      </c>
      <c r="B149" t="s">
        <v>369</v>
      </c>
      <c r="C149" t="s">
        <v>370</v>
      </c>
      <c r="D149" s="31">
        <v>1</v>
      </c>
      <c r="E149" s="31">
        <v>0</v>
      </c>
      <c r="F149" s="31">
        <v>5</v>
      </c>
      <c r="G149" s="31">
        <v>7</v>
      </c>
      <c r="H149" s="32">
        <v>15.99</v>
      </c>
      <c r="I149">
        <v>37</v>
      </c>
      <c r="J149" s="33">
        <v>11</v>
      </c>
      <c r="K149" s="33">
        <v>0</v>
      </c>
      <c r="L149" s="33">
        <v>1</v>
      </c>
      <c r="M149">
        <v>49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51</v>
      </c>
      <c r="AK149">
        <v>16</v>
      </c>
      <c r="AL149">
        <v>12</v>
      </c>
      <c r="AM149">
        <v>43</v>
      </c>
      <c r="AN149" s="22">
        <v>0.0196078431372549</v>
      </c>
      <c r="AO149" s="22">
        <v>0</v>
      </c>
      <c r="AP149" s="22">
        <v>0.416666666666667</v>
      </c>
      <c r="AQ149" s="22">
        <v>0.162790697674419</v>
      </c>
      <c r="AR149" s="35">
        <v>0.142857142857143</v>
      </c>
      <c r="AS149" s="35">
        <v>8.57142857142857</v>
      </c>
      <c r="AT149" s="35">
        <v>40.4285714285714</v>
      </c>
      <c r="AU149" s="31">
        <f t="shared" si="6"/>
        <v>343</v>
      </c>
      <c r="AV149" s="36">
        <f>IFERROR(时间!$B$4+AU149,"上周无销量")</f>
        <v>43675</v>
      </c>
    </row>
    <row r="150" spans="1:48">
      <c r="A150" s="20" t="s">
        <v>371</v>
      </c>
      <c r="B150" t="s">
        <v>372</v>
      </c>
      <c r="C150" t="s">
        <v>370</v>
      </c>
      <c r="D150" s="31">
        <v>2</v>
      </c>
      <c r="E150" s="31">
        <v>4</v>
      </c>
      <c r="F150" s="31">
        <v>3</v>
      </c>
      <c r="G150" s="31">
        <v>8</v>
      </c>
      <c r="H150" s="32">
        <v>15.99</v>
      </c>
      <c r="I150">
        <v>6</v>
      </c>
      <c r="J150" s="33">
        <v>26</v>
      </c>
      <c r="K150" s="33">
        <v>0</v>
      </c>
      <c r="L150" s="33">
        <v>0</v>
      </c>
      <c r="M150">
        <v>32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63</v>
      </c>
      <c r="AK150">
        <v>48</v>
      </c>
      <c r="AL150">
        <v>32</v>
      </c>
      <c r="AM150">
        <v>41</v>
      </c>
      <c r="AN150" s="22">
        <v>0.0317460317460317</v>
      </c>
      <c r="AO150" s="22">
        <v>0.0833333333333333</v>
      </c>
      <c r="AP150" s="22">
        <v>0.09375</v>
      </c>
      <c r="AQ150" s="22">
        <v>0.195121951219512</v>
      </c>
      <c r="AR150" s="35">
        <v>0.285714285714286</v>
      </c>
      <c r="AS150" s="35">
        <v>17.1428571428571</v>
      </c>
      <c r="AT150" s="35">
        <v>14.8571428571429</v>
      </c>
      <c r="AU150" s="31">
        <f t="shared" si="6"/>
        <v>112</v>
      </c>
      <c r="AV150" s="36">
        <f>IFERROR(时间!$B$4+AU150,"上周无销量")</f>
        <v>43444</v>
      </c>
    </row>
    <row r="151" spans="1:48">
      <c r="A151" s="20" t="s">
        <v>373</v>
      </c>
      <c r="B151" t="s">
        <v>374</v>
      </c>
      <c r="C151" t="s">
        <v>370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10</v>
      </c>
      <c r="J151" s="33">
        <v>0</v>
      </c>
      <c r="K151" s="33">
        <v>0</v>
      </c>
      <c r="L151" s="33">
        <v>0</v>
      </c>
      <c r="M151">
        <v>10</v>
      </c>
      <c r="N151">
        <v>0</v>
      </c>
      <c r="O151">
        <v>10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10</v>
      </c>
      <c r="AU151" s="31" t="str">
        <f t="shared" si="6"/>
        <v>库存为10</v>
      </c>
      <c r="AV151" s="36" t="str">
        <f>IFERROR(时间!$B$4+AU151,"上周无销量")</f>
        <v>上周无销量</v>
      </c>
    </row>
    <row r="152" spans="1:48">
      <c r="A152" s="20" t="s">
        <v>375</v>
      </c>
      <c r="B152" t="s">
        <v>376</v>
      </c>
      <c r="C152" t="s">
        <v>370</v>
      </c>
      <c r="D152" s="31">
        <v>1</v>
      </c>
      <c r="E152" s="31">
        <v>1</v>
      </c>
      <c r="F152" s="31">
        <v>1</v>
      </c>
      <c r="G152" s="31">
        <v>1</v>
      </c>
      <c r="H152" s="32">
        <v>15.99</v>
      </c>
      <c r="I152">
        <v>10</v>
      </c>
      <c r="J152" s="33">
        <v>0</v>
      </c>
      <c r="K152" s="33">
        <v>0</v>
      </c>
      <c r="L152" s="33">
        <v>0</v>
      </c>
      <c r="M152">
        <v>10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78</v>
      </c>
      <c r="AK152">
        <v>39</v>
      </c>
      <c r="AL152">
        <v>39</v>
      </c>
      <c r="AM152">
        <v>40</v>
      </c>
      <c r="AN152" s="22">
        <v>0.0128205128205128</v>
      </c>
      <c r="AO152" s="22">
        <v>0.0256410256410256</v>
      </c>
      <c r="AP152" s="22">
        <v>0.0256410256410256</v>
      </c>
      <c r="AQ152" s="22">
        <v>0.025</v>
      </c>
      <c r="AR152" s="35">
        <v>0.142857142857143</v>
      </c>
      <c r="AS152" s="35">
        <v>8.57142857142857</v>
      </c>
      <c r="AT152" s="35">
        <v>1.42857142857143</v>
      </c>
      <c r="AU152" s="31">
        <f t="shared" si="6"/>
        <v>70</v>
      </c>
      <c r="AV152" s="36">
        <f>IFERROR(时间!$B$4+AU152,"上周无销量")</f>
        <v>43402</v>
      </c>
    </row>
    <row r="153" spans="1:48">
      <c r="A153" s="20" t="s">
        <v>377</v>
      </c>
      <c r="B153" t="s">
        <v>378</v>
      </c>
      <c r="C153" t="s">
        <v>370</v>
      </c>
      <c r="D153" s="31">
        <v>10</v>
      </c>
      <c r="E153" s="31">
        <v>8</v>
      </c>
      <c r="F153" s="31">
        <v>11</v>
      </c>
      <c r="G153" s="31">
        <v>6</v>
      </c>
      <c r="H153" s="32">
        <v>15.99</v>
      </c>
      <c r="I153">
        <v>17</v>
      </c>
      <c r="J153" s="33">
        <v>21</v>
      </c>
      <c r="K153" s="33">
        <v>0</v>
      </c>
      <c r="L153" s="33">
        <v>0</v>
      </c>
      <c r="M153">
        <v>38</v>
      </c>
      <c r="N153">
        <v>0</v>
      </c>
      <c r="O153">
        <v>0</v>
      </c>
      <c r="P153">
        <v>162</v>
      </c>
      <c r="Q153">
        <v>174</v>
      </c>
      <c r="R153">
        <v>147</v>
      </c>
      <c r="S153">
        <v>139</v>
      </c>
      <c r="T153">
        <v>1</v>
      </c>
      <c r="U153">
        <v>0</v>
      </c>
      <c r="V153">
        <v>6</v>
      </c>
      <c r="W153">
        <v>4</v>
      </c>
      <c r="X153" s="22">
        <v>0.00617283950617284</v>
      </c>
      <c r="Y153" s="22">
        <v>0</v>
      </c>
      <c r="Z153" s="22">
        <v>0.0408163265306122</v>
      </c>
      <c r="AA153" s="22">
        <v>0.0287769784172662</v>
      </c>
      <c r="AB153">
        <v>0.15</v>
      </c>
      <c r="AC153">
        <v>0</v>
      </c>
      <c r="AD153">
        <v>0.86</v>
      </c>
      <c r="AE153">
        <v>0.66</v>
      </c>
      <c r="AF153" s="22">
        <v>0.000938086303939962</v>
      </c>
      <c r="AG153" s="22" t="s">
        <v>53</v>
      </c>
      <c r="AH153" s="22">
        <v>0.00488941952356586</v>
      </c>
      <c r="AI153" s="22">
        <v>0.00687929956222639</v>
      </c>
      <c r="AJ153">
        <v>87</v>
      </c>
      <c r="AK153">
        <v>45</v>
      </c>
      <c r="AL153">
        <v>40</v>
      </c>
      <c r="AM153">
        <v>32</v>
      </c>
      <c r="AN153" s="22">
        <v>0.114942528735632</v>
      </c>
      <c r="AO153" s="22">
        <v>0.177777777777778</v>
      </c>
      <c r="AP153" s="22">
        <v>0.275</v>
      </c>
      <c r="AQ153" s="22">
        <v>0.1875</v>
      </c>
      <c r="AR153" s="35">
        <v>1.42857142857143</v>
      </c>
      <c r="AS153" s="35">
        <v>85.7142857142857</v>
      </c>
      <c r="AT153" s="35">
        <v>-47.7142857142857</v>
      </c>
      <c r="AU153" s="31">
        <f t="shared" si="6"/>
        <v>26</v>
      </c>
      <c r="AV153" s="36">
        <f>IFERROR(时间!$B$4+AU153,"上周无销量")</f>
        <v>43358</v>
      </c>
    </row>
    <row r="154" spans="1:48">
      <c r="A154" s="20" t="s">
        <v>379</v>
      </c>
      <c r="B154" t="s">
        <v>380</v>
      </c>
      <c r="C154" t="s">
        <v>381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0</v>
      </c>
      <c r="AK154">
        <v>0</v>
      </c>
      <c r="AL154">
        <v>0</v>
      </c>
      <c r="AM154">
        <v>0</v>
      </c>
      <c r="AN154" s="22" t="s">
        <v>53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0</v>
      </c>
      <c r="AU154" s="31" t="str">
        <f t="shared" si="6"/>
        <v>库存为0</v>
      </c>
      <c r="AV154" s="36" t="str">
        <f>IFERROR(时间!$B$4+AU154,"上周无销量")</f>
        <v>上周无销量</v>
      </c>
    </row>
    <row r="155" spans="1:48">
      <c r="A155" s="20" t="s">
        <v>382</v>
      </c>
      <c r="B155" t="s">
        <v>383</v>
      </c>
      <c r="C155" t="s">
        <v>381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0" t="s">
        <v>384</v>
      </c>
      <c r="B156" t="s">
        <v>385</v>
      </c>
      <c r="C156" t="s">
        <v>381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386</v>
      </c>
      <c r="B157" t="s">
        <v>387</v>
      </c>
      <c r="C157" t="s">
        <v>388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389</v>
      </c>
      <c r="B158" t="s">
        <v>390</v>
      </c>
      <c r="C158" t="s">
        <v>388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391</v>
      </c>
      <c r="B159" t="s">
        <v>392</v>
      </c>
      <c r="C159" t="s">
        <v>393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394</v>
      </c>
      <c r="B160" t="s">
        <v>395</v>
      </c>
      <c r="C160" t="s">
        <v>393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0</v>
      </c>
      <c r="AU160" s="31" t="str">
        <f t="shared" si="6"/>
        <v>库存为0</v>
      </c>
      <c r="AV160" s="36" t="str">
        <f>IFERROR(时间!$B$4+AU160,"上周无销量")</f>
        <v>上周无销量</v>
      </c>
    </row>
    <row r="161" spans="1:48">
      <c r="A161" s="20" t="s">
        <v>396</v>
      </c>
      <c r="B161" t="s">
        <v>397</v>
      </c>
      <c r="C161" t="s">
        <v>393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0</v>
      </c>
      <c r="AK161">
        <v>0</v>
      </c>
      <c r="AL161">
        <v>0</v>
      </c>
      <c r="AM161">
        <v>0</v>
      </c>
      <c r="AN161" s="22" t="s">
        <v>53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0" t="s">
        <v>398</v>
      </c>
      <c r="B162" t="s">
        <v>399</v>
      </c>
      <c r="C162" t="s">
        <v>393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0" t="s">
        <v>400</v>
      </c>
      <c r="B163" t="s">
        <v>401</v>
      </c>
      <c r="C163" t="s">
        <v>393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20" t="s">
        <v>402</v>
      </c>
      <c r="B164" t="s">
        <v>403</v>
      </c>
      <c r="C164" t="s">
        <v>393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404</v>
      </c>
      <c r="B165" t="s">
        <v>405</v>
      </c>
      <c r="C165" t="s">
        <v>406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407</v>
      </c>
      <c r="B166" t="s">
        <v>408</v>
      </c>
      <c r="C166" t="s">
        <v>406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409</v>
      </c>
      <c r="B167" t="s">
        <v>410</v>
      </c>
      <c r="C167" t="s">
        <v>406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0</v>
      </c>
      <c r="AK167">
        <v>0</v>
      </c>
      <c r="AL167">
        <v>0</v>
      </c>
      <c r="AM167">
        <v>0</v>
      </c>
      <c r="AN167" s="22" t="s">
        <v>53</v>
      </c>
      <c r="AO167" s="22" t="s">
        <v>53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spans="1:48">
      <c r="A168" s="20" t="s">
        <v>411</v>
      </c>
      <c r="B168" t="s">
        <v>412</v>
      </c>
      <c r="C168" t="s">
        <v>413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414</v>
      </c>
      <c r="B169" t="s">
        <v>415</v>
      </c>
      <c r="C169" t="s">
        <v>413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416</v>
      </c>
      <c r="B170" t="s">
        <v>417</v>
      </c>
      <c r="C170" t="s">
        <v>413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0</v>
      </c>
      <c r="AK170">
        <v>0</v>
      </c>
      <c r="AL170">
        <v>0</v>
      </c>
      <c r="AM170">
        <v>0</v>
      </c>
      <c r="AN170" s="22" t="s">
        <v>53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0" t="s">
        <v>418</v>
      </c>
      <c r="B171" t="s">
        <v>419</v>
      </c>
      <c r="C171" t="s">
        <v>413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420</v>
      </c>
      <c r="B172" t="s">
        <v>421</v>
      </c>
      <c r="C172" t="s">
        <v>422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423</v>
      </c>
      <c r="B173" t="s">
        <v>424</v>
      </c>
      <c r="C173" t="s">
        <v>422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425</v>
      </c>
      <c r="B174" t="s">
        <v>426</v>
      </c>
      <c r="C174" t="s">
        <v>427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0</v>
      </c>
      <c r="AK174">
        <v>0</v>
      </c>
      <c r="AL174">
        <v>0</v>
      </c>
      <c r="AM174">
        <v>0</v>
      </c>
      <c r="AN174" s="22" t="s">
        <v>53</v>
      </c>
      <c r="AO174" s="22" t="s">
        <v>53</v>
      </c>
      <c r="AP174" s="22" t="s">
        <v>53</v>
      </c>
      <c r="AQ174" s="22" t="s">
        <v>53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428</v>
      </c>
      <c r="B175" t="s">
        <v>429</v>
      </c>
      <c r="C175" t="s">
        <v>430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0</v>
      </c>
      <c r="AM175">
        <v>0</v>
      </c>
      <c r="AN175" s="22" t="s">
        <v>53</v>
      </c>
      <c r="AO175" s="22" t="s">
        <v>53</v>
      </c>
      <c r="AP175" s="22" t="s">
        <v>53</v>
      </c>
      <c r="AQ175" s="22" t="s">
        <v>53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431</v>
      </c>
      <c r="B176" t="s">
        <v>432</v>
      </c>
      <c r="C176" t="s">
        <v>430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0</v>
      </c>
      <c r="AM176">
        <v>0</v>
      </c>
      <c r="AN176" s="22" t="s">
        <v>53</v>
      </c>
      <c r="AO176" s="22" t="s">
        <v>53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433</v>
      </c>
      <c r="B177" t="s">
        <v>434</v>
      </c>
      <c r="C177" t="s">
        <v>430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0</v>
      </c>
      <c r="AK177">
        <v>0</v>
      </c>
      <c r="AL177">
        <v>0</v>
      </c>
      <c r="AM177">
        <v>0</v>
      </c>
      <c r="AN177" s="22" t="s">
        <v>53</v>
      </c>
      <c r="AO177" s="22" t="s">
        <v>53</v>
      </c>
      <c r="AP177" s="22" t="s">
        <v>53</v>
      </c>
      <c r="AQ177" s="22" t="s">
        <v>53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435</v>
      </c>
      <c r="B178" t="s">
        <v>436</v>
      </c>
      <c r="C178" t="s">
        <v>437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0</v>
      </c>
      <c r="AK178">
        <v>0</v>
      </c>
      <c r="AL178">
        <v>0</v>
      </c>
      <c r="AM178">
        <v>0</v>
      </c>
      <c r="AN178" s="22" t="s">
        <v>53</v>
      </c>
      <c r="AO178" s="22" t="s">
        <v>53</v>
      </c>
      <c r="AP178" s="22" t="s">
        <v>53</v>
      </c>
      <c r="AQ178" s="22" t="s">
        <v>53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0" t="s">
        <v>438</v>
      </c>
      <c r="B179" t="s">
        <v>439</v>
      </c>
      <c r="C179" t="s">
        <v>440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441</v>
      </c>
      <c r="B180" t="s">
        <v>442</v>
      </c>
      <c r="C180" t="s">
        <v>440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443</v>
      </c>
      <c r="B181" t="s">
        <v>444</v>
      </c>
      <c r="C181" t="s">
        <v>445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446</v>
      </c>
      <c r="B182" t="s">
        <v>447</v>
      </c>
      <c r="C182" t="s">
        <v>448</v>
      </c>
      <c r="D182" s="31">
        <v>0</v>
      </c>
      <c r="E182" s="31">
        <v>0</v>
      </c>
      <c r="F182" s="31">
        <v>1</v>
      </c>
      <c r="G182" s="31">
        <v>1</v>
      </c>
      <c r="H182" s="32">
        <v>8.99</v>
      </c>
      <c r="I182">
        <v>10</v>
      </c>
      <c r="J182" s="33">
        <v>0</v>
      </c>
      <c r="K182" s="33">
        <v>0</v>
      </c>
      <c r="L182" s="33">
        <v>0</v>
      </c>
      <c r="M182">
        <v>10</v>
      </c>
      <c r="N182">
        <v>1</v>
      </c>
      <c r="O182">
        <v>0</v>
      </c>
      <c r="P182">
        <v>134</v>
      </c>
      <c r="Q182">
        <v>0</v>
      </c>
      <c r="R182">
        <v>84</v>
      </c>
      <c r="S182">
        <v>148</v>
      </c>
      <c r="T182">
        <v>1</v>
      </c>
      <c r="U182">
        <v>0</v>
      </c>
      <c r="V182">
        <v>1</v>
      </c>
      <c r="W182">
        <v>3</v>
      </c>
      <c r="X182" s="22">
        <v>0.00746268656716418</v>
      </c>
      <c r="Y182" s="22" t="s">
        <v>53</v>
      </c>
      <c r="Z182" s="22">
        <v>0.0119047619047619</v>
      </c>
      <c r="AA182" s="22">
        <v>0.0202702702702703</v>
      </c>
      <c r="AB182">
        <v>0.08</v>
      </c>
      <c r="AC182">
        <v>0</v>
      </c>
      <c r="AD182">
        <v>0.14</v>
      </c>
      <c r="AE182">
        <v>0.44</v>
      </c>
      <c r="AF182" s="22" t="s">
        <v>449</v>
      </c>
      <c r="AG182" s="22" t="s">
        <v>53</v>
      </c>
      <c r="AH182" s="22">
        <v>0.0155728587319244</v>
      </c>
      <c r="AI182" s="22">
        <v>0.0489432703003337</v>
      </c>
      <c r="AJ182">
        <v>6</v>
      </c>
      <c r="AK182">
        <v>0</v>
      </c>
      <c r="AL182">
        <v>11</v>
      </c>
      <c r="AM182">
        <v>15</v>
      </c>
      <c r="AN182" s="22">
        <v>0</v>
      </c>
      <c r="AO182" s="22" t="s">
        <v>53</v>
      </c>
      <c r="AP182" s="22">
        <v>0.0909090909090909</v>
      </c>
      <c r="AQ182" s="22">
        <v>0.0666666666666667</v>
      </c>
      <c r="AR182" s="35">
        <v>0</v>
      </c>
      <c r="AS182" s="35">
        <v>0</v>
      </c>
      <c r="AT182" s="35">
        <v>10</v>
      </c>
      <c r="AU182" s="31" t="str">
        <f t="shared" si="6"/>
        <v>库存为10</v>
      </c>
      <c r="AV182" s="36" t="str">
        <f>IFERROR(时间!$B$4+AU182,"上周无销量")</f>
        <v>上周无销量</v>
      </c>
    </row>
    <row r="183" spans="1:48">
      <c r="A183" s="20" t="s">
        <v>450</v>
      </c>
      <c r="B183" t="s">
        <v>451</v>
      </c>
      <c r="C183" t="s">
        <v>450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2</v>
      </c>
      <c r="AK183">
        <v>6</v>
      </c>
      <c r="AL183">
        <v>1</v>
      </c>
      <c r="AM183">
        <v>3</v>
      </c>
      <c r="AN183" s="22">
        <v>0</v>
      </c>
      <c r="AO183" s="22">
        <v>0</v>
      </c>
      <c r="AP183" s="22">
        <v>0</v>
      </c>
      <c r="AQ183" s="22">
        <v>0</v>
      </c>
      <c r="AR183" s="35">
        <v>0</v>
      </c>
      <c r="AS183" s="35">
        <v>0</v>
      </c>
      <c r="AT183" s="35">
        <v>0</v>
      </c>
      <c r="AU183" s="31" t="str">
        <f t="shared" si="6"/>
        <v>库存为0</v>
      </c>
      <c r="AV183" s="36" t="str">
        <f>IFERROR(时间!$B$4+AU183,"上周无销量")</f>
        <v>上周无销量</v>
      </c>
    </row>
    <row r="184" spans="1:48">
      <c r="A184" s="20" t="s">
        <v>452</v>
      </c>
      <c r="B184" t="s">
        <v>453</v>
      </c>
      <c r="C184" t="s">
        <v>454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2</v>
      </c>
      <c r="AL184">
        <v>2</v>
      </c>
      <c r="AM184">
        <v>0</v>
      </c>
      <c r="AN184" s="22" t="s">
        <v>53</v>
      </c>
      <c r="AO184" s="22">
        <v>0</v>
      </c>
      <c r="AP184" s="22">
        <v>0</v>
      </c>
      <c r="AQ184" s="22" t="s">
        <v>53</v>
      </c>
      <c r="AR184" s="35">
        <v>0</v>
      </c>
      <c r="AS184" s="35">
        <v>0</v>
      </c>
      <c r="AT184" s="35">
        <v>3</v>
      </c>
      <c r="AU184" s="31" t="str">
        <f t="shared" si="6"/>
        <v>库存为3</v>
      </c>
      <c r="AV184" s="36" t="str">
        <f>IFERROR(时间!$B$4+AU184,"上周无销量")</f>
        <v>上周无销量</v>
      </c>
    </row>
    <row r="185" spans="1:48">
      <c r="A185" s="20" t="s">
        <v>455</v>
      </c>
      <c r="B185" t="s">
        <v>456</v>
      </c>
      <c r="C185" t="s">
        <v>454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3</v>
      </c>
      <c r="J185" s="33">
        <v>0</v>
      </c>
      <c r="K185" s="33">
        <v>0</v>
      </c>
      <c r="L185" s="33">
        <v>0</v>
      </c>
      <c r="M185">
        <v>3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2</v>
      </c>
      <c r="AK185">
        <v>1</v>
      </c>
      <c r="AL185">
        <v>3</v>
      </c>
      <c r="AM185">
        <v>2</v>
      </c>
      <c r="AN185" s="22">
        <v>0</v>
      </c>
      <c r="AO185" s="22">
        <v>0</v>
      </c>
      <c r="AP185" s="22">
        <v>0</v>
      </c>
      <c r="AQ185" s="22">
        <v>0</v>
      </c>
      <c r="AR185" s="35">
        <v>0</v>
      </c>
      <c r="AS185" s="35">
        <v>0</v>
      </c>
      <c r="AT185" s="35">
        <v>3</v>
      </c>
      <c r="AU185" s="31" t="str">
        <f t="shared" si="6"/>
        <v>库存为3</v>
      </c>
      <c r="AV185" s="36" t="str">
        <f>IFERROR(时间!$B$4+AU185,"上周无销量")</f>
        <v>上周无销量</v>
      </c>
    </row>
    <row r="186" spans="1:48">
      <c r="A186" s="20" t="s">
        <v>457</v>
      </c>
      <c r="B186" t="s">
        <v>458</v>
      </c>
      <c r="C186" t="s">
        <v>454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0</v>
      </c>
      <c r="AK186">
        <v>2</v>
      </c>
      <c r="AL186">
        <v>2</v>
      </c>
      <c r="AM186">
        <v>5</v>
      </c>
      <c r="AN186" s="22" t="s">
        <v>53</v>
      </c>
      <c r="AO186" s="22">
        <v>0</v>
      </c>
      <c r="AP186" s="22">
        <v>0</v>
      </c>
      <c r="AQ186" s="22">
        <v>0</v>
      </c>
      <c r="AR186" s="35">
        <v>0</v>
      </c>
      <c r="AS186" s="35">
        <v>0</v>
      </c>
      <c r="AT186" s="35">
        <v>3</v>
      </c>
      <c r="AU186" s="31" t="str">
        <f t="shared" si="6"/>
        <v>库存为3</v>
      </c>
      <c r="AV186" s="36" t="str">
        <f>IFERROR(时间!$B$4+AU186,"上周无销量")</f>
        <v>上周无销量</v>
      </c>
    </row>
    <row r="187" spans="1:48">
      <c r="A187" s="20" t="s">
        <v>459</v>
      </c>
      <c r="B187" t="s">
        <v>460</v>
      </c>
      <c r="C187" t="s">
        <v>454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3</v>
      </c>
      <c r="J187" s="33">
        <v>0</v>
      </c>
      <c r="K187" s="33">
        <v>0</v>
      </c>
      <c r="L187" s="33">
        <v>0</v>
      </c>
      <c r="M187">
        <v>3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3</v>
      </c>
      <c r="AK187">
        <v>2</v>
      </c>
      <c r="AL187">
        <v>3</v>
      </c>
      <c r="AM187">
        <v>2</v>
      </c>
      <c r="AN187" s="22">
        <v>0</v>
      </c>
      <c r="AO187" s="22">
        <v>0</v>
      </c>
      <c r="AP187" s="22">
        <v>0</v>
      </c>
      <c r="AQ187" s="22">
        <v>0</v>
      </c>
      <c r="AR187" s="35">
        <v>0</v>
      </c>
      <c r="AS187" s="35">
        <v>0</v>
      </c>
      <c r="AT187" s="35">
        <v>3</v>
      </c>
      <c r="AU187" s="31" t="str">
        <f t="shared" si="6"/>
        <v>库存为3</v>
      </c>
      <c r="AV187" s="36" t="str">
        <f>IFERROR(时间!$B$4+AU187,"上周无销量")</f>
        <v>上周无销量</v>
      </c>
    </row>
    <row r="188" spans="1:48">
      <c r="A188" s="20" t="s">
        <v>461</v>
      </c>
      <c r="B188" t="s">
        <v>462</v>
      </c>
      <c r="C188" t="s">
        <v>454</v>
      </c>
      <c r="D188" s="31">
        <v>0</v>
      </c>
      <c r="E188" s="31">
        <v>0</v>
      </c>
      <c r="F188" s="31">
        <v>1</v>
      </c>
      <c r="G188" s="31">
        <v>0</v>
      </c>
      <c r="H188" s="32">
        <v>17.9</v>
      </c>
      <c r="I188">
        <v>2</v>
      </c>
      <c r="J188" s="33">
        <v>0</v>
      </c>
      <c r="K188" s="33">
        <v>0</v>
      </c>
      <c r="L188" s="33">
        <v>0</v>
      </c>
      <c r="M188">
        <v>2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5</v>
      </c>
      <c r="AK188">
        <v>7</v>
      </c>
      <c r="AL188">
        <v>5</v>
      </c>
      <c r="AM188">
        <v>3</v>
      </c>
      <c r="AN188" s="22">
        <v>0</v>
      </c>
      <c r="AO188" s="22">
        <v>0</v>
      </c>
      <c r="AP188" s="22">
        <v>0.2</v>
      </c>
      <c r="AQ188" s="22">
        <v>0</v>
      </c>
      <c r="AR188" s="35">
        <v>0</v>
      </c>
      <c r="AS188" s="35">
        <v>0</v>
      </c>
      <c r="AT188" s="35">
        <v>2</v>
      </c>
      <c r="AU188" s="31" t="str">
        <f t="shared" si="6"/>
        <v>库存为2</v>
      </c>
      <c r="AV188" s="36" t="str">
        <f>IFERROR(时间!$B$4+AU188,"上周无销量")</f>
        <v>上周无销量</v>
      </c>
    </row>
    <row r="189" spans="1:48">
      <c r="A189" s="20" t="s">
        <v>463</v>
      </c>
      <c r="B189" t="s">
        <v>464</v>
      </c>
      <c r="C189" t="s">
        <v>454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4</v>
      </c>
      <c r="J189" s="33">
        <v>0</v>
      </c>
      <c r="K189" s="33">
        <v>0</v>
      </c>
      <c r="L189" s="33">
        <v>0</v>
      </c>
      <c r="M189">
        <v>4</v>
      </c>
      <c r="N189">
        <v>0</v>
      </c>
      <c r="O189">
        <v>4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10</v>
      </c>
      <c r="AK189">
        <v>3</v>
      </c>
      <c r="AL189">
        <v>8</v>
      </c>
      <c r="AM189">
        <v>2</v>
      </c>
      <c r="AN189" s="22">
        <v>0</v>
      </c>
      <c r="AO189" s="22">
        <v>0</v>
      </c>
      <c r="AP189" s="22">
        <v>0</v>
      </c>
      <c r="AQ189" s="22">
        <v>0</v>
      </c>
      <c r="AR189" s="35">
        <v>0</v>
      </c>
      <c r="AS189" s="35">
        <v>0</v>
      </c>
      <c r="AT189" s="35">
        <v>4</v>
      </c>
      <c r="AU189" s="31" t="str">
        <f t="shared" si="6"/>
        <v>库存为4</v>
      </c>
      <c r="AV189" s="36" t="str">
        <f>IFERROR(时间!$B$4+AU189,"上周无销量")</f>
        <v>上周无销量</v>
      </c>
    </row>
    <row r="190" spans="1:48">
      <c r="A190" s="20" t="s">
        <v>465</v>
      </c>
      <c r="B190" t="s">
        <v>466</v>
      </c>
      <c r="C190" t="s">
        <v>454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5</v>
      </c>
      <c r="J190" s="33">
        <v>0</v>
      </c>
      <c r="K190" s="33">
        <v>0</v>
      </c>
      <c r="L190" s="33">
        <v>0</v>
      </c>
      <c r="M190">
        <v>5</v>
      </c>
      <c r="N190">
        <v>0</v>
      </c>
      <c r="O190">
        <v>5</v>
      </c>
      <c r="P190">
        <v>0</v>
      </c>
      <c r="Q190">
        <v>0</v>
      </c>
      <c r="R190">
        <v>0</v>
      </c>
      <c r="S190">
        <v>11</v>
      </c>
      <c r="T190">
        <v>0</v>
      </c>
      <c r="U190">
        <v>0</v>
      </c>
      <c r="V190">
        <v>0</v>
      </c>
      <c r="W190">
        <v>0</v>
      </c>
      <c r="X190" s="22" t="s">
        <v>53</v>
      </c>
      <c r="Y190" s="22" t="s">
        <v>53</v>
      </c>
      <c r="Z190" s="22" t="s">
        <v>53</v>
      </c>
      <c r="AA190" s="22">
        <v>0</v>
      </c>
      <c r="AB190">
        <v>0</v>
      </c>
      <c r="AC190">
        <v>0</v>
      </c>
      <c r="AD190">
        <v>0</v>
      </c>
      <c r="AE190">
        <v>0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3</v>
      </c>
      <c r="AK190">
        <v>2</v>
      </c>
      <c r="AL190">
        <v>3</v>
      </c>
      <c r="AM190">
        <v>2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5</v>
      </c>
      <c r="AU190" s="31" t="str">
        <f t="shared" si="6"/>
        <v>库存为5</v>
      </c>
      <c r="AV190" s="36" t="str">
        <f>IFERROR(时间!$B$4+AU190,"上周无销量")</f>
        <v>上周无销量</v>
      </c>
    </row>
    <row r="191" spans="1:48">
      <c r="A191" s="20" t="s">
        <v>467</v>
      </c>
      <c r="B191" t="s">
        <v>468</v>
      </c>
      <c r="C191" t="s">
        <v>454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3</v>
      </c>
      <c r="J191" s="33">
        <v>0</v>
      </c>
      <c r="K191" s="33">
        <v>0</v>
      </c>
      <c r="L191" s="33">
        <v>0</v>
      </c>
      <c r="M191">
        <v>3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8</v>
      </c>
      <c r="AK191">
        <v>3</v>
      </c>
      <c r="AL191">
        <v>4</v>
      </c>
      <c r="AM191">
        <v>4</v>
      </c>
      <c r="AN191" s="22">
        <v>0</v>
      </c>
      <c r="AO191" s="22">
        <v>0</v>
      </c>
      <c r="AP191" s="22">
        <v>0</v>
      </c>
      <c r="AQ191" s="22">
        <v>0</v>
      </c>
      <c r="AR191" s="35">
        <v>0</v>
      </c>
      <c r="AS191" s="35">
        <v>0</v>
      </c>
      <c r="AT191" s="35">
        <v>3</v>
      </c>
      <c r="AU191" s="31" t="str">
        <f t="shared" si="6"/>
        <v>库存为3</v>
      </c>
      <c r="AV191" s="36" t="str">
        <f>IFERROR(时间!$B$4+AU191,"上周无销量")</f>
        <v>上周无销量</v>
      </c>
    </row>
    <row r="192" spans="1:48">
      <c r="A192" s="20" t="s">
        <v>469</v>
      </c>
      <c r="B192" t="s">
        <v>470</v>
      </c>
      <c r="C192" t="s">
        <v>454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3</v>
      </c>
      <c r="J192" s="33">
        <v>0</v>
      </c>
      <c r="K192" s="33">
        <v>0</v>
      </c>
      <c r="L192" s="33">
        <v>0</v>
      </c>
      <c r="M192">
        <v>3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1</v>
      </c>
      <c r="AK192">
        <v>5</v>
      </c>
      <c r="AL192">
        <v>1</v>
      </c>
      <c r="AM192">
        <v>5</v>
      </c>
      <c r="AN192" s="22">
        <v>0</v>
      </c>
      <c r="AO192" s="22">
        <v>0</v>
      </c>
      <c r="AP192" s="22">
        <v>0</v>
      </c>
      <c r="AQ192" s="22">
        <v>0</v>
      </c>
      <c r="AR192" s="35">
        <v>0</v>
      </c>
      <c r="AS192" s="35">
        <v>0</v>
      </c>
      <c r="AT192" s="35">
        <v>3</v>
      </c>
      <c r="AU192" s="31" t="str">
        <f t="shared" si="6"/>
        <v>库存为3</v>
      </c>
      <c r="AV192" s="36" t="str">
        <f>IFERROR(时间!$B$4+AU192,"上周无销量")</f>
        <v>上周无销量</v>
      </c>
    </row>
    <row r="193" spans="1:48">
      <c r="A193" s="20" t="s">
        <v>471</v>
      </c>
      <c r="B193" t="s">
        <v>472</v>
      </c>
      <c r="C193" t="s">
        <v>454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8</v>
      </c>
      <c r="J193" s="33">
        <v>0</v>
      </c>
      <c r="K193" s="33">
        <v>0</v>
      </c>
      <c r="L193" s="33">
        <v>0</v>
      </c>
      <c r="M193">
        <v>8</v>
      </c>
      <c r="N193">
        <v>0</v>
      </c>
      <c r="O193">
        <v>8</v>
      </c>
      <c r="P193">
        <v>1331</v>
      </c>
      <c r="Q193">
        <v>592</v>
      </c>
      <c r="R193">
        <v>1181</v>
      </c>
      <c r="S193">
        <v>1097</v>
      </c>
      <c r="T193">
        <v>7</v>
      </c>
      <c r="U193">
        <v>1</v>
      </c>
      <c r="V193">
        <v>4</v>
      </c>
      <c r="W193">
        <v>3</v>
      </c>
      <c r="X193" s="22">
        <v>0.00525920360631104</v>
      </c>
      <c r="Y193" s="22">
        <v>0.00168918918918919</v>
      </c>
      <c r="Z193" s="22">
        <v>0.00338696020321761</v>
      </c>
      <c r="AA193" s="22">
        <v>0.00273473108477666</v>
      </c>
      <c r="AB193">
        <v>4.34</v>
      </c>
      <c r="AC193">
        <v>0.72</v>
      </c>
      <c r="AD193">
        <v>1.75</v>
      </c>
      <c r="AE193">
        <v>1.35</v>
      </c>
      <c r="AF193" s="22" t="s">
        <v>115</v>
      </c>
      <c r="AG193" s="22" t="s">
        <v>307</v>
      </c>
      <c r="AH193" s="22" t="s">
        <v>473</v>
      </c>
      <c r="AI193" s="22" t="s">
        <v>474</v>
      </c>
      <c r="AJ193">
        <v>14</v>
      </c>
      <c r="AK193">
        <v>8</v>
      </c>
      <c r="AL193">
        <v>5</v>
      </c>
      <c r="AM193">
        <v>4</v>
      </c>
      <c r="AN193" s="22">
        <v>0</v>
      </c>
      <c r="AO193" s="22">
        <v>0</v>
      </c>
      <c r="AP193" s="22">
        <v>0</v>
      </c>
      <c r="AQ193" s="22">
        <v>0</v>
      </c>
      <c r="AR193" s="35">
        <v>0</v>
      </c>
      <c r="AS193" s="35">
        <v>0</v>
      </c>
      <c r="AT193" s="35">
        <v>8</v>
      </c>
      <c r="AU193" s="31" t="str">
        <f t="shared" si="6"/>
        <v>库存为8</v>
      </c>
      <c r="AV193" s="36" t="str">
        <f>IFERROR(时间!$B$4+AU193,"上周无销量")</f>
        <v>上周无销量</v>
      </c>
    </row>
    <row r="194" spans="1:48">
      <c r="A194" s="20" t="s">
        <v>475</v>
      </c>
      <c r="B194" t="s">
        <v>476</v>
      </c>
      <c r="C194" t="s">
        <v>454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1</v>
      </c>
      <c r="L194" s="33">
        <v>0</v>
      </c>
      <c r="M194">
        <v>4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2</v>
      </c>
      <c r="AK194">
        <v>3</v>
      </c>
      <c r="AL194">
        <v>3</v>
      </c>
      <c r="AM194">
        <v>4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4</v>
      </c>
      <c r="AU194" s="31" t="str">
        <f t="shared" si="6"/>
        <v>库存为4</v>
      </c>
      <c r="AV194" s="36" t="str">
        <f>IFERROR(时间!$B$4+AU194,"上周无销量")</f>
        <v>上周无销量</v>
      </c>
    </row>
    <row r="195" spans="1:48">
      <c r="A195" s="20" t="s">
        <v>477</v>
      </c>
      <c r="B195" t="s">
        <v>478</v>
      </c>
      <c r="C195" t="s">
        <v>454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5</v>
      </c>
      <c r="AK195">
        <v>2</v>
      </c>
      <c r="AL195">
        <v>2</v>
      </c>
      <c r="AM195">
        <v>0</v>
      </c>
      <c r="AN195" s="22">
        <v>0</v>
      </c>
      <c r="AO195" s="22">
        <v>0</v>
      </c>
      <c r="AP195" s="22">
        <v>0</v>
      </c>
      <c r="AQ195" s="22" t="s">
        <v>53</v>
      </c>
      <c r="AR195" s="35">
        <v>0</v>
      </c>
      <c r="AS195" s="35">
        <v>0</v>
      </c>
      <c r="AT195" s="35">
        <v>3</v>
      </c>
      <c r="AU195" s="31" t="str">
        <f t="shared" si="6"/>
        <v>库存为3</v>
      </c>
      <c r="AV195" s="36" t="str">
        <f>IFERROR(时间!$B$4+AU195,"上周无销量")</f>
        <v>上周无销量</v>
      </c>
    </row>
    <row r="196" spans="1:48">
      <c r="A196" s="20" t="s">
        <v>479</v>
      </c>
      <c r="B196" t="s">
        <v>480</v>
      </c>
      <c r="C196" t="s">
        <v>481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3</v>
      </c>
      <c r="AK196">
        <v>4</v>
      </c>
      <c r="AL196">
        <v>2</v>
      </c>
      <c r="AM196">
        <v>3</v>
      </c>
      <c r="AN196" s="22">
        <v>0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3</v>
      </c>
      <c r="AU196" s="31" t="str">
        <f t="shared" si="6"/>
        <v>库存为3</v>
      </c>
      <c r="AV196" s="36" t="str">
        <f>IFERROR(时间!$B$4+AU196,"上周无销量")</f>
        <v>上周无销量</v>
      </c>
    </row>
    <row r="197" spans="1:48">
      <c r="A197" s="20" t="s">
        <v>482</v>
      </c>
      <c r="B197" t="s">
        <v>483</v>
      </c>
      <c r="C197" t="s">
        <v>481</v>
      </c>
      <c r="D197" s="31">
        <v>0</v>
      </c>
      <c r="E197" s="31">
        <v>0</v>
      </c>
      <c r="F197" s="31">
        <v>0</v>
      </c>
      <c r="G197" s="31">
        <v>1</v>
      </c>
      <c r="H197" s="32">
        <v>23.9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11</v>
      </c>
      <c r="AK197">
        <v>6</v>
      </c>
      <c r="AL197">
        <v>3</v>
      </c>
      <c r="AM197">
        <v>5</v>
      </c>
      <c r="AN197" s="22">
        <v>0</v>
      </c>
      <c r="AO197" s="22">
        <v>0</v>
      </c>
      <c r="AP197" s="22">
        <v>0</v>
      </c>
      <c r="AQ197" s="22">
        <v>0.2</v>
      </c>
      <c r="AR197" s="35">
        <v>0</v>
      </c>
      <c r="AS197" s="35">
        <v>0</v>
      </c>
      <c r="AT197" s="35">
        <v>1</v>
      </c>
      <c r="AU197" s="31" t="str">
        <f t="shared" ref="AU197:AU260" si="7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484</v>
      </c>
      <c r="B198" t="s">
        <v>485</v>
      </c>
      <c r="C198" t="s">
        <v>481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3</v>
      </c>
      <c r="J198" s="33">
        <v>0</v>
      </c>
      <c r="K198" s="33">
        <v>0</v>
      </c>
      <c r="L198" s="33">
        <v>0</v>
      </c>
      <c r="M198">
        <v>3</v>
      </c>
      <c r="N198">
        <v>0</v>
      </c>
      <c r="O198">
        <v>0</v>
      </c>
      <c r="P198">
        <v>25</v>
      </c>
      <c r="Q198">
        <v>38</v>
      </c>
      <c r="R198">
        <v>71</v>
      </c>
      <c r="S198">
        <v>56</v>
      </c>
      <c r="T198">
        <v>0</v>
      </c>
      <c r="U198">
        <v>0</v>
      </c>
      <c r="V198">
        <v>2</v>
      </c>
      <c r="W198">
        <v>0</v>
      </c>
      <c r="X198" s="22">
        <v>0</v>
      </c>
      <c r="Y198" s="22">
        <v>0</v>
      </c>
      <c r="Z198" s="22">
        <v>0.028169014084507</v>
      </c>
      <c r="AA198" s="22">
        <v>0</v>
      </c>
      <c r="AB198">
        <v>0</v>
      </c>
      <c r="AC198">
        <v>0</v>
      </c>
      <c r="AD198">
        <v>1.24</v>
      </c>
      <c r="AE198">
        <v>0</v>
      </c>
      <c r="AF198" s="22" t="s">
        <v>53</v>
      </c>
      <c r="AG198" s="22" t="s">
        <v>53</v>
      </c>
      <c r="AH198" s="22" t="s">
        <v>486</v>
      </c>
      <c r="AI198" s="22" t="s">
        <v>53</v>
      </c>
      <c r="AJ198">
        <v>6</v>
      </c>
      <c r="AK198">
        <v>10</v>
      </c>
      <c r="AL198">
        <v>7</v>
      </c>
      <c r="AM198">
        <v>6</v>
      </c>
      <c r="AN198" s="22">
        <v>0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3</v>
      </c>
      <c r="AU198" s="31" t="str">
        <f t="shared" si="7"/>
        <v>库存为3</v>
      </c>
      <c r="AV198" s="36" t="str">
        <f>IFERROR(时间!$B$4+AU198,"上周无销量")</f>
        <v>上周无销量</v>
      </c>
    </row>
    <row r="199" spans="1:48">
      <c r="A199" s="20" t="s">
        <v>487</v>
      </c>
      <c r="B199" t="s">
        <v>488</v>
      </c>
      <c r="C199" t="s">
        <v>481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2</v>
      </c>
      <c r="J199" s="33">
        <v>0</v>
      </c>
      <c r="K199" s="33">
        <v>0</v>
      </c>
      <c r="L199" s="33">
        <v>0</v>
      </c>
      <c r="M199">
        <v>2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2</v>
      </c>
      <c r="AK199">
        <v>2</v>
      </c>
      <c r="AL199">
        <v>6</v>
      </c>
      <c r="AM199">
        <v>1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2</v>
      </c>
      <c r="AU199" s="31" t="str">
        <f t="shared" si="7"/>
        <v>库存为2</v>
      </c>
      <c r="AV199" s="36" t="str">
        <f>IFERROR(时间!$B$4+AU199,"上周无销量")</f>
        <v>上周无销量</v>
      </c>
    </row>
    <row r="200" spans="1:48">
      <c r="A200" s="20" t="s">
        <v>489</v>
      </c>
      <c r="B200" t="s">
        <v>490</v>
      </c>
      <c r="C200" t="s">
        <v>481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3</v>
      </c>
      <c r="J200" s="33">
        <v>0</v>
      </c>
      <c r="K200" s="33">
        <v>0</v>
      </c>
      <c r="L200" s="33">
        <v>0</v>
      </c>
      <c r="M200">
        <v>3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1</v>
      </c>
      <c r="AK200">
        <v>5</v>
      </c>
      <c r="AL200">
        <v>3</v>
      </c>
      <c r="AM200">
        <v>2</v>
      </c>
      <c r="AN200" s="22">
        <v>0</v>
      </c>
      <c r="AO200" s="22">
        <v>0</v>
      </c>
      <c r="AP200" s="22">
        <v>0</v>
      </c>
      <c r="AQ200" s="22">
        <v>0</v>
      </c>
      <c r="AR200" s="35">
        <v>0</v>
      </c>
      <c r="AS200" s="35">
        <v>0</v>
      </c>
      <c r="AT200" s="35">
        <v>3</v>
      </c>
      <c r="AU200" s="31" t="str">
        <f t="shared" si="7"/>
        <v>库存为3</v>
      </c>
      <c r="AV200" s="36" t="str">
        <f>IFERROR(时间!$B$4+AU200,"上周无销量")</f>
        <v>上周无销量</v>
      </c>
    </row>
    <row r="201" spans="1:48">
      <c r="A201" s="20" t="s">
        <v>491</v>
      </c>
      <c r="B201" t="s">
        <v>492</v>
      </c>
      <c r="C201" t="s">
        <v>481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3</v>
      </c>
      <c r="J201" s="33">
        <v>0</v>
      </c>
      <c r="K201" s="33">
        <v>0</v>
      </c>
      <c r="L201" s="33">
        <v>0</v>
      </c>
      <c r="M201">
        <v>3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1</v>
      </c>
      <c r="AK201">
        <v>3</v>
      </c>
      <c r="AL201">
        <v>2</v>
      </c>
      <c r="AM201">
        <v>1</v>
      </c>
      <c r="AN201" s="22">
        <v>0</v>
      </c>
      <c r="AO201" s="22">
        <v>0</v>
      </c>
      <c r="AP201" s="22">
        <v>0</v>
      </c>
      <c r="AQ201" s="22">
        <v>0</v>
      </c>
      <c r="AR201" s="35">
        <v>0</v>
      </c>
      <c r="AS201" s="35">
        <v>0</v>
      </c>
      <c r="AT201" s="35">
        <v>3</v>
      </c>
      <c r="AU201" s="31" t="str">
        <f t="shared" si="7"/>
        <v>库存为3</v>
      </c>
      <c r="AV201" s="36" t="str">
        <f>IFERROR(时间!$B$4+AU201,"上周无销量")</f>
        <v>上周无销量</v>
      </c>
    </row>
    <row r="202" spans="1:48">
      <c r="A202" s="20" t="s">
        <v>493</v>
      </c>
      <c r="B202" t="s">
        <v>494</v>
      </c>
      <c r="C202" t="s">
        <v>481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3</v>
      </c>
      <c r="J202" s="33">
        <v>0</v>
      </c>
      <c r="K202" s="33">
        <v>0</v>
      </c>
      <c r="L202" s="33">
        <v>0</v>
      </c>
      <c r="M202">
        <v>3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2</v>
      </c>
      <c r="AK202">
        <v>3</v>
      </c>
      <c r="AL202">
        <v>2</v>
      </c>
      <c r="AM202">
        <v>1</v>
      </c>
      <c r="AN202" s="22">
        <v>0</v>
      </c>
      <c r="AO202" s="22">
        <v>0</v>
      </c>
      <c r="AP202" s="22">
        <v>0</v>
      </c>
      <c r="AQ202" s="22">
        <v>0</v>
      </c>
      <c r="AR202" s="35">
        <v>0</v>
      </c>
      <c r="AS202" s="35">
        <v>0</v>
      </c>
      <c r="AT202" s="35">
        <v>3</v>
      </c>
      <c r="AU202" s="31" t="str">
        <f t="shared" si="7"/>
        <v>库存为3</v>
      </c>
      <c r="AV202" s="36" t="str">
        <f>IFERROR(时间!$B$4+AU202,"上周无销量")</f>
        <v>上周无销量</v>
      </c>
    </row>
    <row r="203" spans="1:48">
      <c r="A203" s="20" t="s">
        <v>495</v>
      </c>
      <c r="B203" t="s">
        <v>496</v>
      </c>
      <c r="C203" t="s">
        <v>481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3</v>
      </c>
      <c r="J203" s="33">
        <v>0</v>
      </c>
      <c r="K203" s="33">
        <v>0</v>
      </c>
      <c r="L203" s="33">
        <v>0</v>
      </c>
      <c r="M203">
        <v>3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79</v>
      </c>
      <c r="T203">
        <v>0</v>
      </c>
      <c r="U203">
        <v>0</v>
      </c>
      <c r="V203">
        <v>0</v>
      </c>
      <c r="W203">
        <v>1</v>
      </c>
      <c r="X203" s="22" t="s">
        <v>53</v>
      </c>
      <c r="Y203" s="22" t="s">
        <v>53</v>
      </c>
      <c r="Z203" s="22" t="s">
        <v>53</v>
      </c>
      <c r="AA203" s="22">
        <v>0.0126582278481013</v>
      </c>
      <c r="AB203">
        <v>0</v>
      </c>
      <c r="AC203">
        <v>0</v>
      </c>
      <c r="AD203">
        <v>0</v>
      </c>
      <c r="AE203">
        <v>0.41</v>
      </c>
      <c r="AF203" s="22" t="s">
        <v>53</v>
      </c>
      <c r="AG203" s="22" t="s">
        <v>53</v>
      </c>
      <c r="AH203" s="22" t="s">
        <v>53</v>
      </c>
      <c r="AI203" s="22" t="s">
        <v>497</v>
      </c>
      <c r="AJ203">
        <v>4</v>
      </c>
      <c r="AK203">
        <v>4</v>
      </c>
      <c r="AL203">
        <v>3</v>
      </c>
      <c r="AM203">
        <v>1</v>
      </c>
      <c r="AN203" s="22">
        <v>0</v>
      </c>
      <c r="AO203" s="22">
        <v>0</v>
      </c>
      <c r="AP203" s="22">
        <v>0</v>
      </c>
      <c r="AQ203" s="22">
        <v>0</v>
      </c>
      <c r="AR203" s="35">
        <v>0</v>
      </c>
      <c r="AS203" s="35">
        <v>0</v>
      </c>
      <c r="AT203" s="35">
        <v>3</v>
      </c>
      <c r="AU203" s="31" t="str">
        <f t="shared" si="7"/>
        <v>库存为3</v>
      </c>
      <c r="AV203" s="36" t="str">
        <f>IFERROR(时间!$B$4+AU203,"上周无销量")</f>
        <v>上周无销量</v>
      </c>
    </row>
    <row r="204" spans="1:48">
      <c r="A204" s="20" t="s">
        <v>498</v>
      </c>
      <c r="B204" t="s">
        <v>499</v>
      </c>
      <c r="C204" t="s">
        <v>481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3</v>
      </c>
      <c r="J204" s="33">
        <v>0</v>
      </c>
      <c r="K204" s="33">
        <v>0</v>
      </c>
      <c r="L204" s="33">
        <v>0</v>
      </c>
      <c r="M204">
        <v>3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1</v>
      </c>
      <c r="AK204">
        <v>4</v>
      </c>
      <c r="AL204">
        <v>2</v>
      </c>
      <c r="AM204">
        <v>1</v>
      </c>
      <c r="AN204" s="22">
        <v>0</v>
      </c>
      <c r="AO204" s="22">
        <v>0</v>
      </c>
      <c r="AP204" s="22">
        <v>0</v>
      </c>
      <c r="AQ204" s="22">
        <v>0</v>
      </c>
      <c r="AR204" s="35">
        <v>0</v>
      </c>
      <c r="AS204" s="35">
        <v>0</v>
      </c>
      <c r="AT204" s="35">
        <v>3</v>
      </c>
      <c r="AU204" s="31" t="str">
        <f t="shared" si="7"/>
        <v>库存为3</v>
      </c>
      <c r="AV204" s="36" t="str">
        <f>IFERROR(时间!$B$4+AU204,"上周无销量")</f>
        <v>上周无销量</v>
      </c>
    </row>
    <row r="205" spans="1:48">
      <c r="A205" s="20" t="s">
        <v>500</v>
      </c>
      <c r="B205" t="s">
        <v>501</v>
      </c>
      <c r="C205" t="s">
        <v>502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</v>
      </c>
      <c r="AK205">
        <v>2</v>
      </c>
      <c r="AL205">
        <v>1</v>
      </c>
      <c r="AM205">
        <v>3</v>
      </c>
      <c r="AN205" s="22">
        <v>0</v>
      </c>
      <c r="AO205" s="22">
        <v>0</v>
      </c>
      <c r="AP205" s="22">
        <v>0</v>
      </c>
      <c r="AQ205" s="22">
        <v>0</v>
      </c>
      <c r="AR205" s="35">
        <v>0</v>
      </c>
      <c r="AS205" s="35">
        <v>0</v>
      </c>
      <c r="AT205" s="35">
        <v>3</v>
      </c>
      <c r="AU205" s="31" t="str">
        <f t="shared" si="7"/>
        <v>库存为3</v>
      </c>
      <c r="AV205" s="36" t="str">
        <f>IFERROR(时间!$B$4+AU205,"上周无销量")</f>
        <v>上周无销量</v>
      </c>
    </row>
    <row r="206" spans="1:48">
      <c r="A206" s="20" t="s">
        <v>503</v>
      </c>
      <c r="B206" t="s">
        <v>504</v>
      </c>
      <c r="C206" t="s">
        <v>502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3</v>
      </c>
      <c r="J206" s="33">
        <v>0</v>
      </c>
      <c r="K206" s="33">
        <v>0</v>
      </c>
      <c r="L206" s="33">
        <v>0</v>
      </c>
      <c r="M206">
        <v>3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2</v>
      </c>
      <c r="AK206">
        <v>5</v>
      </c>
      <c r="AL206">
        <v>2</v>
      </c>
      <c r="AM206">
        <v>5</v>
      </c>
      <c r="AN206" s="22">
        <v>0</v>
      </c>
      <c r="AO206" s="22">
        <v>0</v>
      </c>
      <c r="AP206" s="22">
        <v>0</v>
      </c>
      <c r="AQ206" s="22">
        <v>0</v>
      </c>
      <c r="AR206" s="35">
        <v>0</v>
      </c>
      <c r="AS206" s="35">
        <v>0</v>
      </c>
      <c r="AT206" s="35">
        <v>3</v>
      </c>
      <c r="AU206" s="31" t="str">
        <f t="shared" si="7"/>
        <v>库存为3</v>
      </c>
      <c r="AV206" s="36" t="str">
        <f>IFERROR(时间!$B$4+AU206,"上周无销量")</f>
        <v>上周无销量</v>
      </c>
    </row>
    <row r="207" spans="1:48">
      <c r="A207" s="20" t="s">
        <v>505</v>
      </c>
      <c r="B207" t="s">
        <v>506</v>
      </c>
      <c r="C207" t="s">
        <v>502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3</v>
      </c>
      <c r="J207" s="33">
        <v>0</v>
      </c>
      <c r="K207" s="33">
        <v>0</v>
      </c>
      <c r="L207" s="33">
        <v>0</v>
      </c>
      <c r="M207">
        <v>3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2</v>
      </c>
      <c r="AK207">
        <v>3</v>
      </c>
      <c r="AL207">
        <v>2</v>
      </c>
      <c r="AM207">
        <v>3</v>
      </c>
      <c r="AN207" s="22">
        <v>0</v>
      </c>
      <c r="AO207" s="22">
        <v>0</v>
      </c>
      <c r="AP207" s="22">
        <v>0</v>
      </c>
      <c r="AQ207" s="22">
        <v>0</v>
      </c>
      <c r="AR207" s="35">
        <v>0</v>
      </c>
      <c r="AS207" s="35">
        <v>0</v>
      </c>
      <c r="AT207" s="35">
        <v>3</v>
      </c>
      <c r="AU207" s="31" t="str">
        <f t="shared" si="7"/>
        <v>库存为3</v>
      </c>
      <c r="AV207" s="36" t="str">
        <f>IFERROR(时间!$B$4+AU207,"上周无销量")</f>
        <v>上周无销量</v>
      </c>
    </row>
    <row r="208" spans="1:48">
      <c r="A208" s="20" t="s">
        <v>507</v>
      </c>
      <c r="B208" t="s">
        <v>508</v>
      </c>
      <c r="C208" t="s">
        <v>502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3</v>
      </c>
      <c r="J208" s="33">
        <v>0</v>
      </c>
      <c r="K208" s="33">
        <v>0</v>
      </c>
      <c r="L208" s="33">
        <v>0</v>
      </c>
      <c r="M208">
        <v>3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4</v>
      </c>
      <c r="AK208">
        <v>3</v>
      </c>
      <c r="AL208">
        <v>1</v>
      </c>
      <c r="AM208">
        <v>2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3</v>
      </c>
      <c r="AU208" s="31" t="str">
        <f t="shared" si="7"/>
        <v>库存为3</v>
      </c>
      <c r="AV208" s="36" t="str">
        <f>IFERROR(时间!$B$4+AU208,"上周无销量")</f>
        <v>上周无销量</v>
      </c>
    </row>
    <row r="209" spans="1:48">
      <c r="A209" s="20" t="s">
        <v>509</v>
      </c>
      <c r="B209" t="s">
        <v>510</v>
      </c>
      <c r="C209" t="s">
        <v>511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0</v>
      </c>
      <c r="AM209">
        <v>0</v>
      </c>
      <c r="AN209" s="22" t="s">
        <v>53</v>
      </c>
      <c r="AO209" s="22" t="s">
        <v>53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512</v>
      </c>
      <c r="B210" t="s">
        <v>513</v>
      </c>
      <c r="C210" t="s">
        <v>511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0</v>
      </c>
      <c r="AL210">
        <v>0</v>
      </c>
      <c r="AM210">
        <v>0</v>
      </c>
      <c r="AN210" s="22" t="s">
        <v>53</v>
      </c>
      <c r="AO210" s="22" t="s">
        <v>53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0</v>
      </c>
      <c r="AU210" s="31" t="str">
        <f t="shared" si="7"/>
        <v>库存为0</v>
      </c>
      <c r="AV210" s="36" t="str">
        <f>IFERROR(时间!$B$4+AU210,"上周无销量")</f>
        <v>上周无销量</v>
      </c>
    </row>
    <row r="211" spans="1:48">
      <c r="A211" s="20" t="s">
        <v>514</v>
      </c>
      <c r="B211" t="s">
        <v>515</v>
      </c>
      <c r="C211" t="s">
        <v>511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0</v>
      </c>
      <c r="AM211">
        <v>0</v>
      </c>
      <c r="AN211" s="22" t="s">
        <v>53</v>
      </c>
      <c r="AO211" s="22" t="s">
        <v>53</v>
      </c>
      <c r="AP211" s="22" t="s">
        <v>53</v>
      </c>
      <c r="AQ211" s="22" t="s">
        <v>53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516</v>
      </c>
      <c r="B212" t="s">
        <v>517</v>
      </c>
      <c r="C212" t="s">
        <v>516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</v>
      </c>
      <c r="J212" s="33">
        <v>0</v>
      </c>
      <c r="K212" s="33">
        <v>0</v>
      </c>
      <c r="L212" s="33">
        <v>0</v>
      </c>
      <c r="M212">
        <v>1</v>
      </c>
      <c r="N212">
        <v>0</v>
      </c>
      <c r="O212">
        <v>1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6</v>
      </c>
      <c r="AK212">
        <v>4</v>
      </c>
      <c r="AL212">
        <v>3</v>
      </c>
      <c r="AM212">
        <v>4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1</v>
      </c>
      <c r="AU212" s="31" t="str">
        <f t="shared" si="7"/>
        <v>库存为1</v>
      </c>
      <c r="AV212" s="36" t="str">
        <f>IFERROR(时间!$B$4+AU212,"上周无销量")</f>
        <v>上周无销量</v>
      </c>
    </row>
    <row r="213" spans="1:48">
      <c r="A213" s="20" t="s">
        <v>518</v>
      </c>
      <c r="B213" t="s">
        <v>519</v>
      </c>
      <c r="C213" t="s">
        <v>520</v>
      </c>
      <c r="D213" s="31">
        <v>4</v>
      </c>
      <c r="E213" s="31">
        <v>6</v>
      </c>
      <c r="F213" s="31">
        <v>10</v>
      </c>
      <c r="G213" s="31">
        <v>0</v>
      </c>
      <c r="H213" s="32">
        <v>9.7475</v>
      </c>
      <c r="I213">
        <v>40</v>
      </c>
      <c r="J213" s="33">
        <v>0</v>
      </c>
      <c r="K213" s="33">
        <v>0</v>
      </c>
      <c r="L213" s="33">
        <v>38</v>
      </c>
      <c r="M213">
        <v>78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78</v>
      </c>
      <c r="AK213">
        <v>58</v>
      </c>
      <c r="AL213">
        <v>30</v>
      </c>
      <c r="AM213">
        <v>37</v>
      </c>
      <c r="AN213" s="22">
        <v>0.0512820512820513</v>
      </c>
      <c r="AO213" s="22">
        <v>0.103448275862069</v>
      </c>
      <c r="AP213" s="22">
        <v>0.333333333333333</v>
      </c>
      <c r="AQ213" s="22">
        <v>0</v>
      </c>
      <c r="AR213" s="35">
        <v>0.571428571428571</v>
      </c>
      <c r="AS213" s="35">
        <v>34.2857142857143</v>
      </c>
      <c r="AT213" s="35">
        <v>43.7142857142857</v>
      </c>
      <c r="AU213" s="31">
        <f t="shared" si="7"/>
        <v>136</v>
      </c>
      <c r="AV213" s="36">
        <f>IFERROR(时间!$B$4+AU213,"上周无销量")</f>
        <v>43468</v>
      </c>
    </row>
    <row r="214" spans="1:48">
      <c r="A214" s="20" t="s">
        <v>521</v>
      </c>
      <c r="B214" t="s">
        <v>522</v>
      </c>
      <c r="C214" t="s">
        <v>523</v>
      </c>
      <c r="D214" s="31">
        <v>1</v>
      </c>
      <c r="E214" s="31">
        <v>0</v>
      </c>
      <c r="F214" s="31">
        <v>6</v>
      </c>
      <c r="G214" s="31">
        <v>2</v>
      </c>
      <c r="H214" s="32">
        <v>9.10222222222222</v>
      </c>
      <c r="I214">
        <v>56</v>
      </c>
      <c r="J214" s="33">
        <v>0</v>
      </c>
      <c r="K214" s="33">
        <v>0</v>
      </c>
      <c r="L214" s="33">
        <v>20</v>
      </c>
      <c r="M214">
        <v>76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23</v>
      </c>
      <c r="AK214">
        <v>25</v>
      </c>
      <c r="AL214">
        <v>15</v>
      </c>
      <c r="AM214">
        <v>10</v>
      </c>
      <c r="AN214" s="22">
        <v>0.0434782608695652</v>
      </c>
      <c r="AO214" s="22">
        <v>0</v>
      </c>
      <c r="AP214" s="22">
        <v>0.4</v>
      </c>
      <c r="AQ214" s="22">
        <v>0.2</v>
      </c>
      <c r="AR214" s="35">
        <v>0.142857142857143</v>
      </c>
      <c r="AS214" s="35">
        <v>8.57142857142857</v>
      </c>
      <c r="AT214" s="35">
        <v>67.4285714285714</v>
      </c>
      <c r="AU214" s="31">
        <f t="shared" si="7"/>
        <v>532</v>
      </c>
      <c r="AV214" s="36">
        <f>IFERROR(时间!$B$4+AU214,"上周无销量")</f>
        <v>43864</v>
      </c>
    </row>
    <row r="215" spans="1:48">
      <c r="A215" s="20" t="s">
        <v>524</v>
      </c>
      <c r="B215" t="s">
        <v>525</v>
      </c>
      <c r="C215" t="s">
        <v>523</v>
      </c>
      <c r="D215" s="31">
        <v>1</v>
      </c>
      <c r="E215" s="31">
        <v>0</v>
      </c>
      <c r="F215" s="31">
        <v>0</v>
      </c>
      <c r="G215" s="31">
        <v>0</v>
      </c>
      <c r="H215" s="32">
        <v>10</v>
      </c>
      <c r="I215">
        <v>14</v>
      </c>
      <c r="J215" s="33">
        <v>0</v>
      </c>
      <c r="K215" s="33">
        <v>0</v>
      </c>
      <c r="L215" s="33">
        <v>0</v>
      </c>
      <c r="M215">
        <v>14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14</v>
      </c>
      <c r="AK215">
        <v>28</v>
      </c>
      <c r="AL215">
        <v>18</v>
      </c>
      <c r="AM215">
        <v>7</v>
      </c>
      <c r="AN215" s="22">
        <v>0.0714285714285714</v>
      </c>
      <c r="AO215" s="22">
        <v>0</v>
      </c>
      <c r="AP215" s="22">
        <v>0</v>
      </c>
      <c r="AQ215" s="22">
        <v>0</v>
      </c>
      <c r="AR215" s="35">
        <v>0.142857142857143</v>
      </c>
      <c r="AS215" s="35">
        <v>8.57142857142857</v>
      </c>
      <c r="AT215" s="35">
        <v>5.42857142857143</v>
      </c>
      <c r="AU215" s="31">
        <f t="shared" si="7"/>
        <v>98</v>
      </c>
      <c r="AV215" s="36">
        <f>IFERROR(时间!$B$4+AU215,"上周无销量")</f>
        <v>43430</v>
      </c>
    </row>
    <row r="216" spans="1:48">
      <c r="A216" s="20" t="s">
        <v>526</v>
      </c>
      <c r="B216" t="s">
        <v>527</v>
      </c>
      <c r="C216" t="s">
        <v>523</v>
      </c>
      <c r="D216" s="31">
        <v>1</v>
      </c>
      <c r="E216" s="31">
        <v>0</v>
      </c>
      <c r="F216" s="31">
        <v>1</v>
      </c>
      <c r="G216" s="31">
        <v>0</v>
      </c>
      <c r="H216" s="32">
        <v>10</v>
      </c>
      <c r="I216">
        <v>13</v>
      </c>
      <c r="J216" s="33">
        <v>0</v>
      </c>
      <c r="K216" s="33">
        <v>0</v>
      </c>
      <c r="L216" s="33">
        <v>0</v>
      </c>
      <c r="M216">
        <v>13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18</v>
      </c>
      <c r="AK216">
        <v>34</v>
      </c>
      <c r="AL216">
        <v>30</v>
      </c>
      <c r="AM216">
        <v>21</v>
      </c>
      <c r="AN216" s="22">
        <v>0.0555555555555556</v>
      </c>
      <c r="AO216" s="22">
        <v>0</v>
      </c>
      <c r="AP216" s="22">
        <v>0.0333333333333333</v>
      </c>
      <c r="AQ216" s="22">
        <v>0</v>
      </c>
      <c r="AR216" s="35">
        <v>0.142857142857143</v>
      </c>
      <c r="AS216" s="35">
        <v>8.57142857142857</v>
      </c>
      <c r="AT216" s="35">
        <v>4.42857142857143</v>
      </c>
      <c r="AU216" s="31">
        <f t="shared" si="7"/>
        <v>91</v>
      </c>
      <c r="AV216" s="36">
        <f>IFERROR(时间!$B$4+AU216,"上周无销量")</f>
        <v>43423</v>
      </c>
    </row>
    <row r="217" spans="1:48">
      <c r="A217" s="20" t="s">
        <v>528</v>
      </c>
      <c r="B217" t="s">
        <v>529</v>
      </c>
      <c r="C217" t="s">
        <v>523</v>
      </c>
      <c r="D217" s="31">
        <v>2</v>
      </c>
      <c r="E217" s="31">
        <v>0</v>
      </c>
      <c r="F217" s="31">
        <v>0</v>
      </c>
      <c r="G217" s="31">
        <v>0</v>
      </c>
      <c r="H217" s="32">
        <v>10</v>
      </c>
      <c r="I217">
        <v>10</v>
      </c>
      <c r="J217" s="33">
        <v>0</v>
      </c>
      <c r="K217" s="33">
        <v>0</v>
      </c>
      <c r="L217" s="33">
        <v>1</v>
      </c>
      <c r="M217">
        <v>11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47</v>
      </c>
      <c r="AK217">
        <v>41</v>
      </c>
      <c r="AL217">
        <v>20</v>
      </c>
      <c r="AM217">
        <v>9</v>
      </c>
      <c r="AN217" s="22">
        <v>0.0425531914893617</v>
      </c>
      <c r="AO217" s="22">
        <v>0</v>
      </c>
      <c r="AP217" s="22">
        <v>0</v>
      </c>
      <c r="AQ217" s="22">
        <v>0</v>
      </c>
      <c r="AR217" s="35">
        <v>0.285714285714286</v>
      </c>
      <c r="AS217" s="35">
        <v>17.1428571428571</v>
      </c>
      <c r="AT217" s="35">
        <v>-6.14285714285714</v>
      </c>
      <c r="AU217" s="31">
        <f t="shared" si="7"/>
        <v>38</v>
      </c>
      <c r="AV217" s="36">
        <f>IFERROR(时间!$B$4+AU217,"上周无销量")</f>
        <v>43370</v>
      </c>
    </row>
    <row r="218" spans="1:48">
      <c r="A218" s="20" t="s">
        <v>530</v>
      </c>
      <c r="B218" t="s">
        <v>531</v>
      </c>
      <c r="C218" t="s">
        <v>532</v>
      </c>
      <c r="D218" s="31">
        <v>0</v>
      </c>
      <c r="E218" s="31">
        <v>3</v>
      </c>
      <c r="F218" s="31">
        <v>1</v>
      </c>
      <c r="G218" s="31">
        <v>0</v>
      </c>
      <c r="H218" s="32">
        <v>14.99</v>
      </c>
      <c r="I218">
        <v>6</v>
      </c>
      <c r="J218" s="33">
        <v>0</v>
      </c>
      <c r="K218" s="33">
        <v>0</v>
      </c>
      <c r="L218" s="33">
        <v>0</v>
      </c>
      <c r="M218">
        <v>6</v>
      </c>
      <c r="N218">
        <v>0</v>
      </c>
      <c r="O218">
        <v>0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25</v>
      </c>
      <c r="AK218">
        <v>25</v>
      </c>
      <c r="AL218">
        <v>16</v>
      </c>
      <c r="AM218">
        <v>15</v>
      </c>
      <c r="AN218" s="22">
        <v>0</v>
      </c>
      <c r="AO218" s="22">
        <v>0.12</v>
      </c>
      <c r="AP218" s="22">
        <v>0.0625</v>
      </c>
      <c r="AQ218" s="22">
        <v>0</v>
      </c>
      <c r="AR218" s="35">
        <v>0</v>
      </c>
      <c r="AS218" s="35">
        <v>0</v>
      </c>
      <c r="AT218" s="35">
        <v>6</v>
      </c>
      <c r="AU218" s="31" t="str">
        <f t="shared" si="7"/>
        <v>库存为6</v>
      </c>
      <c r="AV218" s="36" t="str">
        <f>IFERROR(时间!$B$4+AU218,"上周无销量")</f>
        <v>上周无销量</v>
      </c>
    </row>
    <row r="219" spans="1:48">
      <c r="A219" s="20" t="s">
        <v>533</v>
      </c>
      <c r="B219" t="s">
        <v>534</v>
      </c>
      <c r="C219" t="s">
        <v>535</v>
      </c>
      <c r="D219" s="31">
        <v>1</v>
      </c>
      <c r="E219" s="31">
        <v>0</v>
      </c>
      <c r="F219" s="31">
        <v>0</v>
      </c>
      <c r="G219" s="31">
        <v>0</v>
      </c>
      <c r="H219" s="32">
        <v>14.99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28</v>
      </c>
      <c r="AK219">
        <v>13</v>
      </c>
      <c r="AL219">
        <v>0</v>
      </c>
      <c r="AM219">
        <v>0</v>
      </c>
      <c r="AN219" s="22">
        <v>0.0357142857142857</v>
      </c>
      <c r="AO219" s="22">
        <v>0</v>
      </c>
      <c r="AP219" s="22" t="s">
        <v>53</v>
      </c>
      <c r="AQ219" s="22" t="s">
        <v>53</v>
      </c>
      <c r="AR219" s="35">
        <v>0.142857142857143</v>
      </c>
      <c r="AS219" s="35">
        <v>8.57142857142857</v>
      </c>
      <c r="AT219" s="35">
        <v>-4.57142857142857</v>
      </c>
      <c r="AU219" s="31">
        <f t="shared" si="7"/>
        <v>28</v>
      </c>
      <c r="AV219" s="36">
        <f>IFERROR(时间!$B$4+AU219,"上周无销量")</f>
        <v>43360</v>
      </c>
    </row>
    <row r="220" spans="1:48">
      <c r="A220" s="20" t="s">
        <v>536</v>
      </c>
      <c r="B220" t="s">
        <v>537</v>
      </c>
      <c r="C220" t="s">
        <v>535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538</v>
      </c>
      <c r="B221" t="s">
        <v>539</v>
      </c>
      <c r="C221" t="s">
        <v>535</v>
      </c>
      <c r="D221" s="31">
        <v>1</v>
      </c>
      <c r="E221" s="31">
        <v>0</v>
      </c>
      <c r="F221" s="31">
        <v>0</v>
      </c>
      <c r="G221" s="31">
        <v>0</v>
      </c>
      <c r="H221" s="32">
        <v>14.99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0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18</v>
      </c>
      <c r="AK221">
        <v>12</v>
      </c>
      <c r="AL221">
        <v>0</v>
      </c>
      <c r="AM221">
        <v>0</v>
      </c>
      <c r="AN221" s="22">
        <v>0.0555555555555556</v>
      </c>
      <c r="AO221" s="22">
        <v>0</v>
      </c>
      <c r="AP221" s="22" t="s">
        <v>53</v>
      </c>
      <c r="AQ221" s="22" t="s">
        <v>53</v>
      </c>
      <c r="AR221" s="35">
        <v>0.142857142857143</v>
      </c>
      <c r="AS221" s="35">
        <v>8.57142857142857</v>
      </c>
      <c r="AT221" s="35">
        <v>-4.57142857142857</v>
      </c>
      <c r="AU221" s="31">
        <f t="shared" si="7"/>
        <v>28</v>
      </c>
      <c r="AV221" s="36">
        <f>IFERROR(时间!$B$4+AU221,"上周无销量")</f>
        <v>43360</v>
      </c>
    </row>
    <row r="222" spans="1:48">
      <c r="A222" s="20" t="s">
        <v>540</v>
      </c>
      <c r="B222" t="s">
        <v>541</v>
      </c>
      <c r="C222" t="s">
        <v>535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0</v>
      </c>
      <c r="K222" s="33">
        <v>0</v>
      </c>
      <c r="L222" s="33">
        <v>0</v>
      </c>
      <c r="M222">
        <v>5</v>
      </c>
      <c r="N222">
        <v>0</v>
      </c>
      <c r="O222">
        <v>0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58</v>
      </c>
      <c r="AK222">
        <v>28</v>
      </c>
      <c r="AL222">
        <v>0</v>
      </c>
      <c r="AM222">
        <v>0</v>
      </c>
      <c r="AN222" s="22">
        <v>0</v>
      </c>
      <c r="AO222" s="22">
        <v>0</v>
      </c>
      <c r="AP222" s="22" t="s">
        <v>53</v>
      </c>
      <c r="AQ222" s="22" t="s">
        <v>53</v>
      </c>
      <c r="AR222" s="35">
        <v>0</v>
      </c>
      <c r="AS222" s="35">
        <v>0</v>
      </c>
      <c r="AT222" s="35">
        <v>5</v>
      </c>
      <c r="AU222" s="31" t="str">
        <f t="shared" si="7"/>
        <v>库存为5</v>
      </c>
      <c r="AV222" s="36" t="str">
        <f>IFERROR(时间!$B$4+AU222,"上周无销量")</f>
        <v>上周无销量</v>
      </c>
    </row>
    <row r="223" spans="1:48">
      <c r="A223" s="20" t="s">
        <v>542</v>
      </c>
      <c r="B223" t="s">
        <v>543</v>
      </c>
      <c r="C223" t="s">
        <v>535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544</v>
      </c>
      <c r="B224" t="s">
        <v>545</v>
      </c>
      <c r="C224" t="s">
        <v>546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0</v>
      </c>
      <c r="AU224" s="31" t="str">
        <f t="shared" si="7"/>
        <v>库存为0</v>
      </c>
      <c r="AV224" s="36" t="str">
        <f>IFERROR(时间!$B$4+AU224,"上周无销量")</f>
        <v>上周无销量</v>
      </c>
    </row>
    <row r="225" spans="1:48">
      <c r="A225" s="20" t="s">
        <v>547</v>
      </c>
      <c r="B225" t="s">
        <v>548</v>
      </c>
      <c r="C225" t="s">
        <v>549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550</v>
      </c>
      <c r="B226" t="s">
        <v>551</v>
      </c>
      <c r="C226" t="s">
        <v>549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552</v>
      </c>
      <c r="B227" t="s">
        <v>553</v>
      </c>
      <c r="C227" t="s">
        <v>549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554</v>
      </c>
      <c r="B228" t="s">
        <v>555</v>
      </c>
      <c r="C228" t="s">
        <v>549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0</v>
      </c>
      <c r="AL228">
        <v>0</v>
      </c>
      <c r="AM228">
        <v>0</v>
      </c>
      <c r="AN228" s="22" t="s">
        <v>53</v>
      </c>
      <c r="AO228" s="22" t="s">
        <v>53</v>
      </c>
      <c r="AP228" s="22" t="s">
        <v>53</v>
      </c>
      <c r="AQ228" s="22" t="s">
        <v>53</v>
      </c>
      <c r="AR228" s="35">
        <v>0</v>
      </c>
      <c r="AS228" s="35">
        <v>0</v>
      </c>
      <c r="AT228" s="35">
        <v>0</v>
      </c>
      <c r="AU228" s="31" t="str">
        <f t="shared" si="7"/>
        <v>库存为0</v>
      </c>
      <c r="AV228" s="36" t="str">
        <f>IFERROR(时间!$B$4+AU228,"上周无销量")</f>
        <v>上周无销量</v>
      </c>
    </row>
    <row r="229" spans="1:48">
      <c r="A229" s="20" t="s">
        <v>556</v>
      </c>
      <c r="B229" t="s">
        <v>557</v>
      </c>
      <c r="C229" t="s">
        <v>558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4</v>
      </c>
      <c r="J229" s="33">
        <v>0</v>
      </c>
      <c r="K229" s="33">
        <v>0</v>
      </c>
      <c r="L229" s="33">
        <v>0</v>
      </c>
      <c r="M229">
        <v>4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37</v>
      </c>
      <c r="AK229">
        <v>29</v>
      </c>
      <c r="AL229">
        <v>39</v>
      </c>
      <c r="AM229">
        <v>0</v>
      </c>
      <c r="AN229" s="22">
        <v>0</v>
      </c>
      <c r="AO229" s="22">
        <v>0</v>
      </c>
      <c r="AP229" s="22">
        <v>0</v>
      </c>
      <c r="AQ229" s="22" t="s">
        <v>53</v>
      </c>
      <c r="AR229" s="35">
        <v>0</v>
      </c>
      <c r="AS229" s="35">
        <v>0</v>
      </c>
      <c r="AT229" s="35">
        <v>4</v>
      </c>
      <c r="AU229" s="31" t="str">
        <f t="shared" si="7"/>
        <v>库存为4</v>
      </c>
      <c r="AV229" s="36" t="str">
        <f>IFERROR(时间!$B$4+AU229,"上周无销量")</f>
        <v>上周无销量</v>
      </c>
    </row>
    <row r="230" spans="1:48">
      <c r="A230" s="20" t="s">
        <v>559</v>
      </c>
      <c r="B230" t="s">
        <v>560</v>
      </c>
      <c r="C230" t="s">
        <v>558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0</v>
      </c>
      <c r="AL230">
        <v>0</v>
      </c>
      <c r="AM230">
        <v>0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35">
        <v>0</v>
      </c>
      <c r="AS230" s="35">
        <v>0</v>
      </c>
      <c r="AT230" s="35">
        <v>0</v>
      </c>
      <c r="AU230" s="31" t="str">
        <f t="shared" si="7"/>
        <v>库存为0</v>
      </c>
      <c r="AV230" s="36" t="str">
        <f>IFERROR(时间!$B$4+AU230,"上周无销量")</f>
        <v>上周无销量</v>
      </c>
    </row>
    <row r="231" spans="1:48">
      <c r="A231" s="20" t="s">
        <v>561</v>
      </c>
      <c r="B231" t="s">
        <v>562</v>
      </c>
      <c r="C231" t="s">
        <v>558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0</v>
      </c>
      <c r="K231" s="33">
        <v>0</v>
      </c>
      <c r="L231" s="33">
        <v>0</v>
      </c>
      <c r="M231">
        <v>5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15</v>
      </c>
      <c r="AK231">
        <v>7</v>
      </c>
      <c r="AL231">
        <v>0</v>
      </c>
      <c r="AM231">
        <v>0</v>
      </c>
      <c r="AN231" s="22">
        <v>0</v>
      </c>
      <c r="AO231" s="22">
        <v>0</v>
      </c>
      <c r="AP231" s="22" t="s">
        <v>53</v>
      </c>
      <c r="AQ231" s="22" t="s">
        <v>53</v>
      </c>
      <c r="AR231" s="35">
        <v>0</v>
      </c>
      <c r="AS231" s="35">
        <v>0</v>
      </c>
      <c r="AT231" s="35">
        <v>5</v>
      </c>
      <c r="AU231" s="31" t="str">
        <f t="shared" si="7"/>
        <v>库存为5</v>
      </c>
      <c r="AV231" s="36" t="str">
        <f>IFERROR(时间!$B$4+AU231,"上周无销量")</f>
        <v>上周无销量</v>
      </c>
    </row>
    <row r="232" spans="1:48">
      <c r="A232" s="20" t="s">
        <v>563</v>
      </c>
      <c r="B232" t="s">
        <v>564</v>
      </c>
      <c r="C232" t="s">
        <v>565</v>
      </c>
      <c r="D232" s="31">
        <v>6</v>
      </c>
      <c r="E232" s="31">
        <v>12</v>
      </c>
      <c r="F232" s="31">
        <v>29</v>
      </c>
      <c r="G232" s="31">
        <v>6</v>
      </c>
      <c r="H232" s="32">
        <v>15.99</v>
      </c>
      <c r="I232">
        <v>12</v>
      </c>
      <c r="J232" s="33">
        <v>50</v>
      </c>
      <c r="K232" s="33">
        <v>0</v>
      </c>
      <c r="L232" s="33">
        <v>49</v>
      </c>
      <c r="M232">
        <v>111</v>
      </c>
      <c r="N232">
        <v>0</v>
      </c>
      <c r="O232">
        <v>0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20</v>
      </c>
      <c r="AK232">
        <v>48</v>
      </c>
      <c r="AL232">
        <v>74</v>
      </c>
      <c r="AM232">
        <v>85</v>
      </c>
      <c r="AN232" s="22">
        <v>0.3</v>
      </c>
      <c r="AO232" s="22">
        <v>0.25</v>
      </c>
      <c r="AP232" s="22">
        <v>0.391891891891892</v>
      </c>
      <c r="AQ232" s="22">
        <v>0.0705882352941176</v>
      </c>
      <c r="AR232" s="35">
        <v>0.857142857142857</v>
      </c>
      <c r="AS232" s="35">
        <v>51.4285714285714</v>
      </c>
      <c r="AT232" s="35">
        <v>59.5714285714286</v>
      </c>
      <c r="AU232" s="31">
        <f t="shared" si="7"/>
        <v>129</v>
      </c>
      <c r="AV232" s="36">
        <f>IFERROR(时间!$B$4+AU232,"上周无销量")</f>
        <v>43461</v>
      </c>
    </row>
    <row r="233" spans="1:48">
      <c r="A233" s="20" t="s">
        <v>566</v>
      </c>
      <c r="B233" t="s">
        <v>557</v>
      </c>
      <c r="C233" t="s">
        <v>565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37</v>
      </c>
      <c r="AK233">
        <v>29</v>
      </c>
      <c r="AL233">
        <v>39</v>
      </c>
      <c r="AM233">
        <v>0</v>
      </c>
      <c r="AN233" s="22">
        <v>0</v>
      </c>
      <c r="AO233" s="22">
        <v>0</v>
      </c>
      <c r="AP233" s="22">
        <v>0</v>
      </c>
      <c r="AQ233" s="22" t="s">
        <v>53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567</v>
      </c>
      <c r="B234" t="s">
        <v>568</v>
      </c>
      <c r="C234" t="s">
        <v>565</v>
      </c>
      <c r="D234" s="31">
        <v>1</v>
      </c>
      <c r="E234" s="31">
        <v>1</v>
      </c>
      <c r="F234" s="31">
        <v>0</v>
      </c>
      <c r="G234" s="31">
        <v>0</v>
      </c>
      <c r="H234" s="32">
        <v>18.99</v>
      </c>
      <c r="I234">
        <v>1</v>
      </c>
      <c r="J234" s="33">
        <v>0</v>
      </c>
      <c r="K234" s="33">
        <v>0</v>
      </c>
      <c r="L234" s="33">
        <v>2</v>
      </c>
      <c r="M234">
        <v>3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48</v>
      </c>
      <c r="AK234">
        <v>37</v>
      </c>
      <c r="AL234">
        <v>0</v>
      </c>
      <c r="AM234">
        <v>0</v>
      </c>
      <c r="AN234" s="22">
        <v>0.0208333333333333</v>
      </c>
      <c r="AO234" s="22">
        <v>0.027027027027027</v>
      </c>
      <c r="AP234" s="22" t="s">
        <v>53</v>
      </c>
      <c r="AQ234" s="22" t="s">
        <v>53</v>
      </c>
      <c r="AR234" s="35">
        <v>0.142857142857143</v>
      </c>
      <c r="AS234" s="35">
        <v>8.57142857142857</v>
      </c>
      <c r="AT234" s="35">
        <v>-5.57142857142857</v>
      </c>
      <c r="AU234" s="31">
        <f t="shared" si="7"/>
        <v>21</v>
      </c>
      <c r="AV234" s="36">
        <f>IFERROR(时间!$B$4+AU234,"上周无销量")</f>
        <v>43353</v>
      </c>
    </row>
    <row r="235" spans="1:48">
      <c r="A235" s="20" t="s">
        <v>569</v>
      </c>
      <c r="B235" t="s">
        <v>570</v>
      </c>
      <c r="C235" t="s">
        <v>565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89</v>
      </c>
      <c r="AK235">
        <v>57</v>
      </c>
      <c r="AL235">
        <v>0</v>
      </c>
      <c r="AM235">
        <v>0</v>
      </c>
      <c r="AN235" s="22">
        <v>0</v>
      </c>
      <c r="AO235" s="22">
        <v>0</v>
      </c>
      <c r="AP235" s="22" t="s">
        <v>53</v>
      </c>
      <c r="AQ235" s="22" t="s">
        <v>53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571</v>
      </c>
      <c r="B236" t="s">
        <v>572</v>
      </c>
      <c r="C236" t="s">
        <v>573</v>
      </c>
      <c r="D236" s="31">
        <v>1</v>
      </c>
      <c r="E236" s="31">
        <v>0</v>
      </c>
      <c r="F236" s="31">
        <v>0</v>
      </c>
      <c r="G236" s="31">
        <v>0</v>
      </c>
      <c r="H236" s="32">
        <v>14.99</v>
      </c>
      <c r="I236">
        <v>4</v>
      </c>
      <c r="J236" s="33">
        <v>0</v>
      </c>
      <c r="K236" s="33">
        <v>0</v>
      </c>
      <c r="L236" s="33">
        <v>0</v>
      </c>
      <c r="M236">
        <v>4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27</v>
      </c>
      <c r="AK236">
        <v>11</v>
      </c>
      <c r="AL236">
        <v>0</v>
      </c>
      <c r="AM236">
        <v>0</v>
      </c>
      <c r="AN236" s="22">
        <v>0.037037037037037</v>
      </c>
      <c r="AO236" s="22">
        <v>0</v>
      </c>
      <c r="AP236" s="22" t="s">
        <v>53</v>
      </c>
      <c r="AQ236" s="22" t="s">
        <v>53</v>
      </c>
      <c r="AR236" s="35">
        <v>0.142857142857143</v>
      </c>
      <c r="AS236" s="35">
        <v>8.57142857142857</v>
      </c>
      <c r="AT236" s="35">
        <v>-4.57142857142857</v>
      </c>
      <c r="AU236" s="31">
        <f t="shared" si="7"/>
        <v>28</v>
      </c>
      <c r="AV236" s="36">
        <f>IFERROR(时间!$B$4+AU236,"上周无销量")</f>
        <v>43360</v>
      </c>
    </row>
    <row r="237" spans="1:48">
      <c r="A237" s="20" t="s">
        <v>574</v>
      </c>
      <c r="B237" t="s">
        <v>575</v>
      </c>
      <c r="C237" t="s">
        <v>573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9</v>
      </c>
      <c r="J237" s="33">
        <v>0</v>
      </c>
      <c r="K237" s="33">
        <v>0</v>
      </c>
      <c r="L237" s="33">
        <v>0</v>
      </c>
      <c r="M237">
        <v>9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13</v>
      </c>
      <c r="AK237">
        <v>15</v>
      </c>
      <c r="AL237">
        <v>16</v>
      </c>
      <c r="AM237">
        <v>0</v>
      </c>
      <c r="AN237" s="22">
        <v>0</v>
      </c>
      <c r="AO237" s="22">
        <v>0</v>
      </c>
      <c r="AP237" s="22">
        <v>0</v>
      </c>
      <c r="AQ237" s="22" t="s">
        <v>53</v>
      </c>
      <c r="AR237" s="35">
        <v>0</v>
      </c>
      <c r="AS237" s="35">
        <v>0</v>
      </c>
      <c r="AT237" s="35">
        <v>9</v>
      </c>
      <c r="AU237" s="31" t="str">
        <f t="shared" si="7"/>
        <v>库存为9</v>
      </c>
      <c r="AV237" s="36" t="str">
        <f>IFERROR(时间!$B$4+AU237,"上周无销量")</f>
        <v>上周无销量</v>
      </c>
    </row>
    <row r="238" spans="1:48">
      <c r="A238" s="20" t="s">
        <v>576</v>
      </c>
      <c r="B238" t="s">
        <v>577</v>
      </c>
      <c r="C238" t="s">
        <v>573</v>
      </c>
      <c r="D238" s="31">
        <v>1</v>
      </c>
      <c r="E238" s="31">
        <v>0</v>
      </c>
      <c r="F238" s="31">
        <v>0</v>
      </c>
      <c r="G238" s="31">
        <v>0</v>
      </c>
      <c r="H238" s="32">
        <v>14.99</v>
      </c>
      <c r="I238">
        <v>9</v>
      </c>
      <c r="J238" s="33">
        <v>0</v>
      </c>
      <c r="K238" s="33">
        <v>0</v>
      </c>
      <c r="L238" s="33">
        <v>0</v>
      </c>
      <c r="M238">
        <v>9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12</v>
      </c>
      <c r="AK238">
        <v>16</v>
      </c>
      <c r="AL238">
        <v>11</v>
      </c>
      <c r="AM238">
        <v>0</v>
      </c>
      <c r="AN238" s="22">
        <v>0.0833333333333333</v>
      </c>
      <c r="AO238" s="22">
        <v>0</v>
      </c>
      <c r="AP238" s="22">
        <v>0</v>
      </c>
      <c r="AQ238" s="22" t="s">
        <v>53</v>
      </c>
      <c r="AR238" s="35">
        <v>0.142857142857143</v>
      </c>
      <c r="AS238" s="35">
        <v>8.57142857142857</v>
      </c>
      <c r="AT238" s="35">
        <v>0.428571428571429</v>
      </c>
      <c r="AU238" s="31">
        <f t="shared" si="7"/>
        <v>63</v>
      </c>
      <c r="AV238" s="36">
        <f>IFERROR(时间!$B$4+AU238,"上周无销量")</f>
        <v>43395</v>
      </c>
    </row>
    <row r="239" spans="1:48">
      <c r="A239" s="20" t="s">
        <v>578</v>
      </c>
      <c r="B239" t="s">
        <v>579</v>
      </c>
      <c r="C239" t="s">
        <v>580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30</v>
      </c>
      <c r="J239" s="33">
        <v>0</v>
      </c>
      <c r="K239" s="33">
        <v>0</v>
      </c>
      <c r="L239" s="33">
        <v>0</v>
      </c>
      <c r="M239">
        <v>30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48</v>
      </c>
      <c r="AK239">
        <v>64</v>
      </c>
      <c r="AL239">
        <v>65</v>
      </c>
      <c r="AM239">
        <v>24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30</v>
      </c>
      <c r="AU239" s="31" t="str">
        <f t="shared" si="7"/>
        <v>库存为30</v>
      </c>
      <c r="AV239" s="36" t="str">
        <f>IFERROR(时间!$B$4+AU239,"上周无销量")</f>
        <v>上周无销量</v>
      </c>
    </row>
    <row r="240" spans="1:48">
      <c r="A240" s="20" t="s">
        <v>581</v>
      </c>
      <c r="B240" t="s">
        <v>582</v>
      </c>
      <c r="C240" t="s">
        <v>580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0</v>
      </c>
      <c r="AK240">
        <v>0</v>
      </c>
      <c r="AL240">
        <v>0</v>
      </c>
      <c r="AM240">
        <v>0</v>
      </c>
      <c r="AN240" s="22" t="s">
        <v>53</v>
      </c>
      <c r="AO240" s="22" t="s">
        <v>53</v>
      </c>
      <c r="AP240" s="22" t="s">
        <v>53</v>
      </c>
      <c r="AQ240" s="22" t="s">
        <v>53</v>
      </c>
      <c r="AR240" s="35">
        <v>0</v>
      </c>
      <c r="AS240" s="35">
        <v>0</v>
      </c>
      <c r="AT240" s="35">
        <v>0</v>
      </c>
      <c r="AU240" s="31" t="str">
        <f t="shared" si="7"/>
        <v>库存为0</v>
      </c>
      <c r="AV240" s="36" t="str">
        <f>IFERROR(时间!$B$4+AU240,"上周无销量")</f>
        <v>上周无销量</v>
      </c>
    </row>
    <row r="241" spans="1:48">
      <c r="A241" s="20" t="s">
        <v>583</v>
      </c>
      <c r="B241" t="s">
        <v>584</v>
      </c>
      <c r="C241" t="s">
        <v>580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0</v>
      </c>
      <c r="AM241">
        <v>0</v>
      </c>
      <c r="AN241" s="22" t="s">
        <v>53</v>
      </c>
      <c r="AO241" s="22" t="s">
        <v>53</v>
      </c>
      <c r="AP241" s="22" t="s">
        <v>53</v>
      </c>
      <c r="AQ241" s="22" t="s">
        <v>53</v>
      </c>
      <c r="AR241" s="35">
        <v>0</v>
      </c>
      <c r="AS241" s="35">
        <v>0</v>
      </c>
      <c r="AT241" s="35">
        <v>0</v>
      </c>
      <c r="AU241" s="31" t="str">
        <f t="shared" si="7"/>
        <v>库存为0</v>
      </c>
      <c r="AV241" s="36" t="str">
        <f>IFERROR(时间!$B$4+AU241,"上周无销量")</f>
        <v>上周无销量</v>
      </c>
    </row>
    <row r="242" spans="1:48">
      <c r="A242" s="20" t="s">
        <v>585</v>
      </c>
      <c r="B242" t="s">
        <v>586</v>
      </c>
      <c r="C242" t="s">
        <v>580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0</v>
      </c>
      <c r="AM242">
        <v>0</v>
      </c>
      <c r="AN242" s="22" t="s">
        <v>53</v>
      </c>
      <c r="AO242" s="22" t="s">
        <v>53</v>
      </c>
      <c r="AP242" s="22" t="s">
        <v>53</v>
      </c>
      <c r="AQ242" s="22" t="s">
        <v>53</v>
      </c>
      <c r="AR242" s="35">
        <v>0</v>
      </c>
      <c r="AS242" s="35">
        <v>0</v>
      </c>
      <c r="AT242" s="35">
        <v>0</v>
      </c>
      <c r="AU242" s="31" t="str">
        <f t="shared" si="7"/>
        <v>库存为0</v>
      </c>
      <c r="AV242" s="36" t="str">
        <f>IFERROR(时间!$B$4+AU242,"上周无销量")</f>
        <v>上周无销量</v>
      </c>
    </row>
    <row r="243" spans="1:48">
      <c r="A243" s="20" t="s">
        <v>587</v>
      </c>
      <c r="B243" t="s">
        <v>588</v>
      </c>
      <c r="C243" t="s">
        <v>580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0</v>
      </c>
      <c r="AK243">
        <v>0</v>
      </c>
      <c r="AL243">
        <v>0</v>
      </c>
      <c r="AM243">
        <v>0</v>
      </c>
      <c r="AN243" s="22" t="s">
        <v>53</v>
      </c>
      <c r="AO243" s="22" t="s">
        <v>53</v>
      </c>
      <c r="AP243" s="22" t="s">
        <v>53</v>
      </c>
      <c r="AQ243" s="22" t="s">
        <v>53</v>
      </c>
      <c r="AR243" s="35">
        <v>0</v>
      </c>
      <c r="AS243" s="35">
        <v>0</v>
      </c>
      <c r="AT243" s="35">
        <v>0</v>
      </c>
      <c r="AU243" s="31" t="str">
        <f t="shared" si="7"/>
        <v>库存为0</v>
      </c>
      <c r="AV243" s="36" t="str">
        <f>IFERROR(时间!$B$4+AU243,"上周无销量")</f>
        <v>上周无销量</v>
      </c>
    </row>
    <row r="244" spans="1:48">
      <c r="A244" s="20" t="s">
        <v>589</v>
      </c>
      <c r="B244" t="s">
        <v>590</v>
      </c>
      <c r="C244" t="s">
        <v>591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2</v>
      </c>
      <c r="AL244">
        <v>0</v>
      </c>
      <c r="AM244">
        <v>0</v>
      </c>
      <c r="AN244" s="22" t="s">
        <v>53</v>
      </c>
      <c r="AO244" s="22">
        <v>0</v>
      </c>
      <c r="AP244" s="22" t="s">
        <v>53</v>
      </c>
      <c r="AQ244" s="22" t="s">
        <v>53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592</v>
      </c>
      <c r="B245" t="s">
        <v>593</v>
      </c>
      <c r="C245" t="s">
        <v>591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4</v>
      </c>
      <c r="AL245">
        <v>2</v>
      </c>
      <c r="AM245">
        <v>3</v>
      </c>
      <c r="AN245" s="22" t="s">
        <v>53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0</v>
      </c>
      <c r="AU245" s="31" t="str">
        <f t="shared" si="7"/>
        <v>库存为0</v>
      </c>
      <c r="AV245" s="36" t="str">
        <f>IFERROR(时间!$B$4+AU245,"上周无销量")</f>
        <v>上周无销量</v>
      </c>
    </row>
    <row r="246" spans="1:48">
      <c r="A246" s="20" t="s">
        <v>594</v>
      </c>
      <c r="B246" t="s">
        <v>595</v>
      </c>
      <c r="C246" t="s">
        <v>591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</v>
      </c>
      <c r="AK246">
        <v>2</v>
      </c>
      <c r="AL246">
        <v>3</v>
      </c>
      <c r="AM246">
        <v>3</v>
      </c>
      <c r="AN246" s="22">
        <v>0</v>
      </c>
      <c r="AO246" s="22">
        <v>0</v>
      </c>
      <c r="AP246" s="22">
        <v>0</v>
      </c>
      <c r="AQ246" s="22">
        <v>0</v>
      </c>
      <c r="AR246" s="35">
        <v>0</v>
      </c>
      <c r="AS246" s="35">
        <v>0</v>
      </c>
      <c r="AT246" s="35">
        <v>0</v>
      </c>
      <c r="AU246" s="31" t="str">
        <f t="shared" si="7"/>
        <v>库存为0</v>
      </c>
      <c r="AV246" s="36" t="str">
        <f>IFERROR(时间!$B$4+AU246,"上周无销量")</f>
        <v>上周无销量</v>
      </c>
    </row>
    <row r="247" spans="1:48">
      <c r="A247" s="20" t="s">
        <v>596</v>
      </c>
      <c r="B247" t="s">
        <v>597</v>
      </c>
      <c r="C247" t="s">
        <v>591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0</v>
      </c>
      <c r="AK247">
        <v>4</v>
      </c>
      <c r="AL247">
        <v>0</v>
      </c>
      <c r="AM247">
        <v>3</v>
      </c>
      <c r="AN247" s="22" t="s">
        <v>53</v>
      </c>
      <c r="AO247" s="22">
        <v>0</v>
      </c>
      <c r="AP247" s="22" t="s">
        <v>53</v>
      </c>
      <c r="AQ247" s="22">
        <v>0</v>
      </c>
      <c r="AR247" s="35">
        <v>0</v>
      </c>
      <c r="AS247" s="35">
        <v>0</v>
      </c>
      <c r="AT247" s="35">
        <v>0</v>
      </c>
      <c r="AU247" s="31" t="str">
        <f t="shared" si="7"/>
        <v>库存为0</v>
      </c>
      <c r="AV247" s="36" t="str">
        <f>IFERROR(时间!$B$4+AU247,"上周无销量")</f>
        <v>上周无销量</v>
      </c>
    </row>
    <row r="248" spans="1:48">
      <c r="A248" s="20" t="s">
        <v>598</v>
      </c>
      <c r="B248" t="s">
        <v>599</v>
      </c>
      <c r="C248" t="s">
        <v>600</v>
      </c>
      <c r="D248" s="31">
        <v>4</v>
      </c>
      <c r="E248" s="31">
        <v>2</v>
      </c>
      <c r="F248" s="31">
        <v>2</v>
      </c>
      <c r="G248" s="31">
        <v>3</v>
      </c>
      <c r="H248" s="32">
        <v>9.9</v>
      </c>
      <c r="I248">
        <v>5</v>
      </c>
      <c r="J248" s="33">
        <v>0</v>
      </c>
      <c r="K248" s="33">
        <v>0</v>
      </c>
      <c r="L248" s="33">
        <v>0</v>
      </c>
      <c r="M248">
        <v>5</v>
      </c>
      <c r="N248">
        <v>1</v>
      </c>
      <c r="O248">
        <v>2</v>
      </c>
      <c r="P248">
        <v>20497</v>
      </c>
      <c r="Q248">
        <v>4351</v>
      </c>
      <c r="R248">
        <v>3208</v>
      </c>
      <c r="S248">
        <v>7917</v>
      </c>
      <c r="T248">
        <v>39</v>
      </c>
      <c r="U248">
        <v>11</v>
      </c>
      <c r="V248">
        <v>11</v>
      </c>
      <c r="W248">
        <v>21</v>
      </c>
      <c r="X248" s="22">
        <v>0.00190271747084939</v>
      </c>
      <c r="Y248" s="22">
        <v>0.0025281544472535</v>
      </c>
      <c r="Z248" s="22">
        <v>0.003428927680798</v>
      </c>
      <c r="AA248" s="22">
        <v>0.0026525198938992</v>
      </c>
      <c r="AB248">
        <v>16.33</v>
      </c>
      <c r="AC248">
        <v>3.72</v>
      </c>
      <c r="AD248">
        <v>3.74</v>
      </c>
      <c r="AE248">
        <v>6.66</v>
      </c>
      <c r="AF248" s="22">
        <v>0.412373737373737</v>
      </c>
      <c r="AG248" s="22">
        <v>0.187878787878788</v>
      </c>
      <c r="AH248" s="22">
        <v>0.188888888888889</v>
      </c>
      <c r="AI248" s="22">
        <v>0.224242424242424</v>
      </c>
      <c r="AJ248">
        <v>47</v>
      </c>
      <c r="AK248">
        <v>19</v>
      </c>
      <c r="AL248">
        <v>2</v>
      </c>
      <c r="AM248">
        <v>12</v>
      </c>
      <c r="AN248" s="22">
        <v>0.0851063829787234</v>
      </c>
      <c r="AO248" s="22">
        <v>0.105263157894737</v>
      </c>
      <c r="AP248" s="22">
        <v>1</v>
      </c>
      <c r="AQ248" s="22">
        <v>0.25</v>
      </c>
      <c r="AR248" s="35">
        <v>0.571428571428571</v>
      </c>
      <c r="AS248" s="35">
        <v>34.2857142857143</v>
      </c>
      <c r="AT248" s="35">
        <v>-29.2857142857143</v>
      </c>
      <c r="AU248" s="31">
        <f t="shared" si="7"/>
        <v>8</v>
      </c>
      <c r="AV248" s="36">
        <f>IFERROR(时间!$B$4+AU248,"上周无销量")</f>
        <v>43340</v>
      </c>
    </row>
    <row r="249" spans="1:48">
      <c r="A249" s="20" t="s">
        <v>601</v>
      </c>
      <c r="B249" t="s">
        <v>602</v>
      </c>
      <c r="C249" t="s">
        <v>601</v>
      </c>
      <c r="D249" s="31">
        <v>26</v>
      </c>
      <c r="E249" s="31">
        <v>1</v>
      </c>
      <c r="F249" s="31">
        <v>1</v>
      </c>
      <c r="G249" s="31">
        <v>0</v>
      </c>
      <c r="H249" s="32">
        <v>0.713571428571429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9</v>
      </c>
      <c r="AK249">
        <v>21</v>
      </c>
      <c r="AL249">
        <v>10</v>
      </c>
      <c r="AM249">
        <v>10</v>
      </c>
      <c r="AN249" s="22">
        <v>2.88888888888889</v>
      </c>
      <c r="AO249" s="22">
        <v>0.0476190476190476</v>
      </c>
      <c r="AP249" s="22">
        <v>0.1</v>
      </c>
      <c r="AQ249" s="22">
        <v>0</v>
      </c>
      <c r="AR249" s="35">
        <v>3.71428571428571</v>
      </c>
      <c r="AS249" s="35">
        <v>222.857142857143</v>
      </c>
      <c r="AT249" s="35">
        <v>-222.857142857143</v>
      </c>
      <c r="AU249" s="31">
        <f t="shared" si="7"/>
        <v>0</v>
      </c>
      <c r="AV249" s="36">
        <f>IFERROR(时间!$B$4+AU249,"上周无销量")</f>
        <v>43332</v>
      </c>
    </row>
    <row r="250" spans="1:48">
      <c r="A250" s="20" t="s">
        <v>603</v>
      </c>
      <c r="B250" t="s">
        <v>604</v>
      </c>
      <c r="C250" t="s">
        <v>605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32</v>
      </c>
      <c r="J250" s="33">
        <v>0</v>
      </c>
      <c r="K250" s="33">
        <v>0</v>
      </c>
      <c r="L250" s="33">
        <v>0</v>
      </c>
      <c r="M250">
        <v>32</v>
      </c>
      <c r="N250">
        <v>0</v>
      </c>
      <c r="O250">
        <v>32</v>
      </c>
      <c r="P250">
        <v>150</v>
      </c>
      <c r="Q250">
        <v>167</v>
      </c>
      <c r="R250">
        <v>190</v>
      </c>
      <c r="S250">
        <v>379</v>
      </c>
      <c r="T250">
        <v>0</v>
      </c>
      <c r="U250">
        <v>0</v>
      </c>
      <c r="V250">
        <v>0</v>
      </c>
      <c r="W250">
        <v>1</v>
      </c>
      <c r="X250" s="22">
        <v>0</v>
      </c>
      <c r="Y250" s="22">
        <v>0</v>
      </c>
      <c r="Z250" s="22">
        <v>0</v>
      </c>
      <c r="AA250" s="22">
        <v>0.00263852242744063</v>
      </c>
      <c r="AB250">
        <v>0</v>
      </c>
      <c r="AC250">
        <v>0</v>
      </c>
      <c r="AD250">
        <v>0</v>
      </c>
      <c r="AE250">
        <v>0.27</v>
      </c>
      <c r="AF250" s="22" t="s">
        <v>53</v>
      </c>
      <c r="AG250" s="22" t="s">
        <v>53</v>
      </c>
      <c r="AH250" s="22" t="s">
        <v>53</v>
      </c>
      <c r="AI250" s="22" t="s">
        <v>606</v>
      </c>
      <c r="AJ250">
        <v>6</v>
      </c>
      <c r="AK250">
        <v>6</v>
      </c>
      <c r="AL250">
        <v>1</v>
      </c>
      <c r="AM250">
        <v>6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32</v>
      </c>
      <c r="AU250" s="31" t="str">
        <f t="shared" si="7"/>
        <v>库存为32</v>
      </c>
      <c r="AV250" s="36" t="str">
        <f>IFERROR(时间!$B$4+AU250,"上周无销量")</f>
        <v>上周无销量</v>
      </c>
    </row>
    <row r="251" spans="1:48">
      <c r="A251" s="20" t="s">
        <v>607</v>
      </c>
      <c r="B251" t="s">
        <v>608</v>
      </c>
      <c r="C251" t="s">
        <v>609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0</v>
      </c>
      <c r="AK251">
        <v>0</v>
      </c>
      <c r="AL251">
        <v>0</v>
      </c>
      <c r="AM251">
        <v>0</v>
      </c>
      <c r="AN251" s="22" t="s">
        <v>53</v>
      </c>
      <c r="AO251" s="22" t="s">
        <v>53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0</v>
      </c>
      <c r="AU251" s="31" t="str">
        <f t="shared" si="7"/>
        <v>库存为0</v>
      </c>
      <c r="AV251" s="36" t="str">
        <f>IFERROR(时间!$B$4+AU251,"上周无销量")</f>
        <v>上周无销量</v>
      </c>
    </row>
    <row r="252" spans="1:48">
      <c r="A252" s="20" t="s">
        <v>610</v>
      </c>
      <c r="B252" t="s">
        <v>611</v>
      </c>
      <c r="C252" t="s">
        <v>612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</v>
      </c>
      <c r="J252" s="33">
        <v>0</v>
      </c>
      <c r="K252" s="33">
        <v>0</v>
      </c>
      <c r="L252" s="33">
        <v>0</v>
      </c>
      <c r="M252">
        <v>1</v>
      </c>
      <c r="N252">
        <v>0</v>
      </c>
      <c r="O252">
        <v>1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0</v>
      </c>
      <c r="AK252">
        <v>0</v>
      </c>
      <c r="AL252">
        <v>0</v>
      </c>
      <c r="AM252">
        <v>0</v>
      </c>
      <c r="AN252" s="22" t="s">
        <v>53</v>
      </c>
      <c r="AO252" s="22" t="s">
        <v>53</v>
      </c>
      <c r="AP252" s="22" t="s">
        <v>53</v>
      </c>
      <c r="AQ252" s="22" t="s">
        <v>53</v>
      </c>
      <c r="AR252" s="35">
        <v>0</v>
      </c>
      <c r="AS252" s="35">
        <v>0</v>
      </c>
      <c r="AT252" s="35">
        <v>1</v>
      </c>
      <c r="AU252" s="31" t="str">
        <f t="shared" si="7"/>
        <v>库存为1</v>
      </c>
      <c r="AV252" s="36" t="str">
        <f>IFERROR(时间!$B$4+AU252,"上周无销量")</f>
        <v>上周无销量</v>
      </c>
    </row>
    <row r="253" spans="1:48">
      <c r="A253" s="20" t="s">
        <v>613</v>
      </c>
      <c r="B253" t="s">
        <v>614</v>
      </c>
      <c r="C253" t="s">
        <v>615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18</v>
      </c>
      <c r="J253" s="33">
        <v>0</v>
      </c>
      <c r="K253" s="33">
        <v>0</v>
      </c>
      <c r="L253" s="33">
        <v>0</v>
      </c>
      <c r="M253">
        <v>18</v>
      </c>
      <c r="N253">
        <v>0</v>
      </c>
      <c r="O253">
        <v>18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6</v>
      </c>
      <c r="AK253">
        <v>7</v>
      </c>
      <c r="AL253">
        <v>1</v>
      </c>
      <c r="AM253">
        <v>5</v>
      </c>
      <c r="AN253" s="22">
        <v>0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18</v>
      </c>
      <c r="AU253" s="31" t="str">
        <f t="shared" si="7"/>
        <v>库存为18</v>
      </c>
      <c r="AV253" s="36" t="str">
        <f>IFERROR(时间!$B$4+AU253,"上周无销量")</f>
        <v>上周无销量</v>
      </c>
    </row>
    <row r="254" spans="1:48">
      <c r="A254" s="20" t="s">
        <v>616</v>
      </c>
      <c r="B254" t="s">
        <v>617</v>
      </c>
      <c r="C254" t="s">
        <v>618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</v>
      </c>
      <c r="J254" s="33">
        <v>0</v>
      </c>
      <c r="K254" s="33">
        <v>0</v>
      </c>
      <c r="L254" s="33">
        <v>0</v>
      </c>
      <c r="M254">
        <v>1</v>
      </c>
      <c r="N254">
        <v>0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4</v>
      </c>
      <c r="AK254">
        <v>2</v>
      </c>
      <c r="AL254">
        <v>0</v>
      </c>
      <c r="AM254">
        <v>0</v>
      </c>
      <c r="AN254" s="22">
        <v>0</v>
      </c>
      <c r="AO254" s="22">
        <v>0</v>
      </c>
      <c r="AP254" s="22" t="s">
        <v>53</v>
      </c>
      <c r="AQ254" s="22" t="s">
        <v>53</v>
      </c>
      <c r="AR254" s="35">
        <v>0</v>
      </c>
      <c r="AS254" s="35">
        <v>0</v>
      </c>
      <c r="AT254" s="35">
        <v>1</v>
      </c>
      <c r="AU254" s="31" t="str">
        <f t="shared" si="7"/>
        <v>库存为1</v>
      </c>
      <c r="AV254" s="36" t="str">
        <f>IFERROR(时间!$B$4+AU254,"上周无销量")</f>
        <v>上周无销量</v>
      </c>
    </row>
    <row r="255" spans="1:48">
      <c r="A255" s="20" t="s">
        <v>619</v>
      </c>
      <c r="B255" t="s">
        <v>620</v>
      </c>
      <c r="C255" t="s">
        <v>618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621</v>
      </c>
      <c r="B256" t="s">
        <v>622</v>
      </c>
      <c r="C256" t="s">
        <v>618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5</v>
      </c>
      <c r="J256" s="33">
        <v>0</v>
      </c>
      <c r="K256" s="33">
        <v>0</v>
      </c>
      <c r="L256" s="33">
        <v>0</v>
      </c>
      <c r="M256">
        <v>5</v>
      </c>
      <c r="N256">
        <v>0</v>
      </c>
      <c r="O256">
        <v>5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4</v>
      </c>
      <c r="AK256">
        <v>5</v>
      </c>
      <c r="AL256">
        <v>2</v>
      </c>
      <c r="AM256">
        <v>4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5</v>
      </c>
      <c r="AU256" s="31" t="str">
        <f t="shared" si="7"/>
        <v>库存为5</v>
      </c>
      <c r="AV256" s="36" t="str">
        <f>IFERROR(时间!$B$4+AU256,"上周无销量")</f>
        <v>上周无销量</v>
      </c>
    </row>
    <row r="257" spans="1:48">
      <c r="A257" s="20" t="s">
        <v>623</v>
      </c>
      <c r="B257" t="s">
        <v>624</v>
      </c>
      <c r="C257" t="s">
        <v>625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5</v>
      </c>
      <c r="J257" s="33">
        <v>0</v>
      </c>
      <c r="K257" s="33">
        <v>0</v>
      </c>
      <c r="L257" s="33">
        <v>0</v>
      </c>
      <c r="M257">
        <v>5</v>
      </c>
      <c r="N257">
        <v>0</v>
      </c>
      <c r="O257">
        <v>5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6</v>
      </c>
      <c r="AK257">
        <v>3</v>
      </c>
      <c r="AL257">
        <v>2</v>
      </c>
      <c r="AM257">
        <v>5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5</v>
      </c>
      <c r="AU257" s="31" t="str">
        <f t="shared" si="7"/>
        <v>库存为5</v>
      </c>
      <c r="AV257" s="36" t="str">
        <f>IFERROR(时间!$B$4+AU257,"上周无销量")</f>
        <v>上周无销量</v>
      </c>
    </row>
    <row r="258" spans="1:48">
      <c r="A258" s="20" t="s">
        <v>626</v>
      </c>
      <c r="B258" t="s">
        <v>627</v>
      </c>
      <c r="C258" t="s">
        <v>625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4</v>
      </c>
      <c r="J258" s="33">
        <v>0</v>
      </c>
      <c r="K258" s="33">
        <v>0</v>
      </c>
      <c r="L258" s="33">
        <v>0</v>
      </c>
      <c r="M258">
        <v>4</v>
      </c>
      <c r="N258">
        <v>0</v>
      </c>
      <c r="O258">
        <v>4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4</v>
      </c>
      <c r="AK258">
        <v>3</v>
      </c>
      <c r="AL258">
        <v>2</v>
      </c>
      <c r="AM258">
        <v>3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4</v>
      </c>
      <c r="AU258" s="31" t="str">
        <f t="shared" si="7"/>
        <v>库存为4</v>
      </c>
      <c r="AV258" s="36" t="str">
        <f>IFERROR(时间!$B$4+AU258,"上周无销量")</f>
        <v>上周无销量</v>
      </c>
    </row>
    <row r="259" spans="1:48">
      <c r="A259" s="20" t="s">
        <v>628</v>
      </c>
      <c r="B259" t="s">
        <v>629</v>
      </c>
      <c r="C259" t="s">
        <v>618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630</v>
      </c>
      <c r="B260" t="s">
        <v>631</v>
      </c>
      <c r="C260" t="s">
        <v>632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9</v>
      </c>
      <c r="J260" s="33">
        <v>0</v>
      </c>
      <c r="K260" s="33">
        <v>0</v>
      </c>
      <c r="L260" s="33">
        <v>0</v>
      </c>
      <c r="M260">
        <v>9</v>
      </c>
      <c r="N260">
        <v>0</v>
      </c>
      <c r="O260">
        <v>9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4</v>
      </c>
      <c r="AK260">
        <v>2</v>
      </c>
      <c r="AL260">
        <v>1</v>
      </c>
      <c r="AM260">
        <v>2</v>
      </c>
      <c r="AN260" s="22">
        <v>0</v>
      </c>
      <c r="AO260" s="22">
        <v>0</v>
      </c>
      <c r="AP260" s="22">
        <v>0</v>
      </c>
      <c r="AQ260" s="22">
        <v>0</v>
      </c>
      <c r="AR260" s="35">
        <v>0</v>
      </c>
      <c r="AS260" s="35">
        <v>0</v>
      </c>
      <c r="AT260" s="35">
        <v>9</v>
      </c>
      <c r="AU260" s="31" t="str">
        <f t="shared" si="7"/>
        <v>库存为9</v>
      </c>
      <c r="AV260" s="36" t="str">
        <f>IFERROR(时间!$B$4+AU260,"上周无销量")</f>
        <v>上周无销量</v>
      </c>
    </row>
    <row r="261" spans="1:48">
      <c r="A261" s="20" t="s">
        <v>633</v>
      </c>
      <c r="B261" t="s">
        <v>634</v>
      </c>
      <c r="C261" t="s">
        <v>632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10</v>
      </c>
      <c r="J261" s="33">
        <v>0</v>
      </c>
      <c r="K261" s="33">
        <v>0</v>
      </c>
      <c r="L261" s="33">
        <v>0</v>
      </c>
      <c r="M261">
        <v>10</v>
      </c>
      <c r="N261">
        <v>0</v>
      </c>
      <c r="O261">
        <v>10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4</v>
      </c>
      <c r="AK261">
        <v>9</v>
      </c>
      <c r="AL261">
        <v>1</v>
      </c>
      <c r="AM261">
        <v>6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10</v>
      </c>
      <c r="AU261" s="31" t="str">
        <f t="shared" ref="AU261:AU324" si="8">IF(AR261="","库存为"&amp;M261,IF(AS261=0,"库存为"&amp;M261,INT(M261/AR261)))</f>
        <v>库存为10</v>
      </c>
      <c r="AV261" s="36" t="str">
        <f>IFERROR(时间!$B$4+AU261,"上周无销量")</f>
        <v>上周无销量</v>
      </c>
    </row>
    <row r="262" spans="1:48">
      <c r="A262" s="20" t="s">
        <v>635</v>
      </c>
      <c r="B262" t="s">
        <v>636</v>
      </c>
      <c r="C262" t="s">
        <v>637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3</v>
      </c>
      <c r="J262" s="33">
        <v>0</v>
      </c>
      <c r="K262" s="33">
        <v>0</v>
      </c>
      <c r="L262" s="33">
        <v>0</v>
      </c>
      <c r="M262">
        <v>3</v>
      </c>
      <c r="N262">
        <v>0</v>
      </c>
      <c r="O262">
        <v>3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3</v>
      </c>
      <c r="AK262">
        <v>0</v>
      </c>
      <c r="AL262">
        <v>2</v>
      </c>
      <c r="AM262">
        <v>3</v>
      </c>
      <c r="AN262" s="22">
        <v>0</v>
      </c>
      <c r="AO262" s="22" t="s">
        <v>53</v>
      </c>
      <c r="AP262" s="22">
        <v>0</v>
      </c>
      <c r="AQ262" s="22">
        <v>0</v>
      </c>
      <c r="AR262" s="35">
        <v>0</v>
      </c>
      <c r="AS262" s="35">
        <v>0</v>
      </c>
      <c r="AT262" s="35">
        <v>3</v>
      </c>
      <c r="AU262" s="31" t="str">
        <f t="shared" si="8"/>
        <v>库存为3</v>
      </c>
      <c r="AV262" s="36" t="str">
        <f>IFERROR(时间!$B$4+AU262,"上周无销量")</f>
        <v>上周无销量</v>
      </c>
    </row>
    <row r="263" spans="1:48">
      <c r="A263" s="20" t="s">
        <v>638</v>
      </c>
      <c r="B263" t="s">
        <v>639</v>
      </c>
      <c r="C263" t="s">
        <v>637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2</v>
      </c>
      <c r="J263" s="33">
        <v>0</v>
      </c>
      <c r="K263" s="33">
        <v>0</v>
      </c>
      <c r="L263" s="33">
        <v>0</v>
      </c>
      <c r="M263">
        <v>2</v>
      </c>
      <c r="N263">
        <v>0</v>
      </c>
      <c r="O263">
        <v>2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2</v>
      </c>
      <c r="AK263">
        <v>1</v>
      </c>
      <c r="AL263">
        <v>3</v>
      </c>
      <c r="AM263">
        <v>7</v>
      </c>
      <c r="AN263" s="22">
        <v>0</v>
      </c>
      <c r="AO263" s="22">
        <v>0</v>
      </c>
      <c r="AP263" s="22">
        <v>0</v>
      </c>
      <c r="AQ263" s="22">
        <v>0</v>
      </c>
      <c r="AR263" s="35">
        <v>0</v>
      </c>
      <c r="AS263" s="35">
        <v>0</v>
      </c>
      <c r="AT263" s="35">
        <v>2</v>
      </c>
      <c r="AU263" s="31" t="str">
        <f t="shared" si="8"/>
        <v>库存为2</v>
      </c>
      <c r="AV263" s="36" t="str">
        <f>IFERROR(时间!$B$4+AU263,"上周无销量")</f>
        <v>上周无销量</v>
      </c>
    </row>
    <row r="264" spans="1:48">
      <c r="A264" s="20" t="s">
        <v>640</v>
      </c>
      <c r="B264" t="s">
        <v>641</v>
      </c>
      <c r="C264" t="s">
        <v>637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2</v>
      </c>
      <c r="AK264">
        <v>1</v>
      </c>
      <c r="AL264">
        <v>1</v>
      </c>
      <c r="AM264">
        <v>4</v>
      </c>
      <c r="AN264" s="22">
        <v>0</v>
      </c>
      <c r="AO264" s="22">
        <v>0</v>
      </c>
      <c r="AP264" s="22">
        <v>0</v>
      </c>
      <c r="AQ264" s="22">
        <v>0</v>
      </c>
      <c r="AR264" s="35">
        <v>0</v>
      </c>
      <c r="AS264" s="35">
        <v>0</v>
      </c>
      <c r="AT264" s="35">
        <v>3</v>
      </c>
      <c r="AU264" s="31" t="str">
        <f t="shared" si="8"/>
        <v>库存为3</v>
      </c>
      <c r="AV264" s="36" t="str">
        <f>IFERROR(时间!$B$4+AU264,"上周无销量")</f>
        <v>上周无销量</v>
      </c>
    </row>
    <row r="265" spans="1:48">
      <c r="A265" s="20" t="s">
        <v>642</v>
      </c>
      <c r="B265" t="s">
        <v>643</v>
      </c>
      <c r="C265" t="s">
        <v>637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3</v>
      </c>
      <c r="J265" s="33">
        <v>0</v>
      </c>
      <c r="K265" s="33">
        <v>0</v>
      </c>
      <c r="L265" s="33">
        <v>0</v>
      </c>
      <c r="M265">
        <v>3</v>
      </c>
      <c r="N265">
        <v>0</v>
      </c>
      <c r="O265">
        <v>3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3</v>
      </c>
      <c r="AK265">
        <v>1</v>
      </c>
      <c r="AL265">
        <v>2</v>
      </c>
      <c r="AM265">
        <v>3</v>
      </c>
      <c r="AN265" s="22">
        <v>0</v>
      </c>
      <c r="AO265" s="22">
        <v>0</v>
      </c>
      <c r="AP265" s="22">
        <v>0</v>
      </c>
      <c r="AQ265" s="22">
        <v>0</v>
      </c>
      <c r="AR265" s="35">
        <v>0</v>
      </c>
      <c r="AS265" s="35">
        <v>0</v>
      </c>
      <c r="AT265" s="35">
        <v>3</v>
      </c>
      <c r="AU265" s="31" t="str">
        <f t="shared" si="8"/>
        <v>库存为3</v>
      </c>
      <c r="AV265" s="36" t="str">
        <f>IFERROR(时间!$B$4+AU265,"上周无销量")</f>
        <v>上周无销量</v>
      </c>
    </row>
    <row r="266" spans="1:48">
      <c r="A266" s="20" t="s">
        <v>644</v>
      </c>
      <c r="B266" t="s">
        <v>645</v>
      </c>
      <c r="C266" t="s">
        <v>637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3</v>
      </c>
      <c r="J266" s="33">
        <v>0</v>
      </c>
      <c r="K266" s="33">
        <v>0</v>
      </c>
      <c r="L266" s="33">
        <v>0</v>
      </c>
      <c r="M266">
        <v>3</v>
      </c>
      <c r="N266">
        <v>0</v>
      </c>
      <c r="O266">
        <v>3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7</v>
      </c>
      <c r="AK266">
        <v>2</v>
      </c>
      <c r="AL266">
        <v>3</v>
      </c>
      <c r="AM266">
        <v>5</v>
      </c>
      <c r="AN266" s="22">
        <v>0</v>
      </c>
      <c r="AO266" s="22">
        <v>0</v>
      </c>
      <c r="AP266" s="22">
        <v>0</v>
      </c>
      <c r="AQ266" s="22">
        <v>0</v>
      </c>
      <c r="AR266" s="35">
        <v>0</v>
      </c>
      <c r="AS266" s="35">
        <v>0</v>
      </c>
      <c r="AT266" s="35">
        <v>3</v>
      </c>
      <c r="AU266" s="31" t="str">
        <f t="shared" si="8"/>
        <v>库存为3</v>
      </c>
      <c r="AV266" s="36" t="str">
        <f>IFERROR(时间!$B$4+AU266,"上周无销量")</f>
        <v>上周无销量</v>
      </c>
    </row>
    <row r="267" spans="1:48">
      <c r="A267" s="20" t="s">
        <v>646</v>
      </c>
      <c r="B267" t="s">
        <v>647</v>
      </c>
      <c r="C267" t="s">
        <v>637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6</v>
      </c>
      <c r="AK267">
        <v>2</v>
      </c>
      <c r="AL267">
        <v>3</v>
      </c>
      <c r="AM267">
        <v>5</v>
      </c>
      <c r="AN267" s="22">
        <v>0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648</v>
      </c>
      <c r="B268" t="s">
        <v>649</v>
      </c>
      <c r="C268" t="s">
        <v>637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3</v>
      </c>
      <c r="J268" s="33">
        <v>0</v>
      </c>
      <c r="K268" s="33">
        <v>0</v>
      </c>
      <c r="L268" s="33">
        <v>0</v>
      </c>
      <c r="M268">
        <v>3</v>
      </c>
      <c r="N268">
        <v>0</v>
      </c>
      <c r="O268">
        <v>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2</v>
      </c>
      <c r="AK268">
        <v>3</v>
      </c>
      <c r="AL268">
        <v>2</v>
      </c>
      <c r="AM268">
        <v>5</v>
      </c>
      <c r="AN268" s="22">
        <v>0</v>
      </c>
      <c r="AO268" s="22">
        <v>0</v>
      </c>
      <c r="AP268" s="22">
        <v>0</v>
      </c>
      <c r="AQ268" s="22">
        <v>0</v>
      </c>
      <c r="AR268" s="35">
        <v>0</v>
      </c>
      <c r="AS268" s="35">
        <v>0</v>
      </c>
      <c r="AT268" s="35">
        <v>3</v>
      </c>
      <c r="AU268" s="31" t="str">
        <f t="shared" si="8"/>
        <v>库存为3</v>
      </c>
      <c r="AV268" s="36" t="str">
        <f>IFERROR(时间!$B$4+AU268,"上周无销量")</f>
        <v>上周无销量</v>
      </c>
    </row>
    <row r="269" spans="1:48">
      <c r="A269" s="20" t="s">
        <v>650</v>
      </c>
      <c r="B269" t="s">
        <v>651</v>
      </c>
      <c r="C269" t="s">
        <v>637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3</v>
      </c>
      <c r="J269" s="33">
        <v>0</v>
      </c>
      <c r="K269" s="33">
        <v>0</v>
      </c>
      <c r="L269" s="33">
        <v>0</v>
      </c>
      <c r="M269">
        <v>3</v>
      </c>
      <c r="N269">
        <v>0</v>
      </c>
      <c r="O269">
        <v>3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1</v>
      </c>
      <c r="AK269">
        <v>1</v>
      </c>
      <c r="AL269">
        <v>1</v>
      </c>
      <c r="AM269">
        <v>3</v>
      </c>
      <c r="AN269" s="22">
        <v>0</v>
      </c>
      <c r="AO269" s="22">
        <v>0</v>
      </c>
      <c r="AP269" s="22">
        <v>0</v>
      </c>
      <c r="AQ269" s="22">
        <v>0</v>
      </c>
      <c r="AR269" s="35">
        <v>0</v>
      </c>
      <c r="AS269" s="35">
        <v>0</v>
      </c>
      <c r="AT269" s="35">
        <v>3</v>
      </c>
      <c r="AU269" s="31" t="str">
        <f t="shared" si="8"/>
        <v>库存为3</v>
      </c>
      <c r="AV269" s="36" t="str">
        <f>IFERROR(时间!$B$4+AU269,"上周无销量")</f>
        <v>上周无销量</v>
      </c>
    </row>
    <row r="270" spans="1:48">
      <c r="A270" s="20" t="s">
        <v>652</v>
      </c>
      <c r="B270" t="s">
        <v>653</v>
      </c>
      <c r="C270" t="s">
        <v>637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3</v>
      </c>
      <c r="J270" s="33">
        <v>0</v>
      </c>
      <c r="K270" s="33">
        <v>0</v>
      </c>
      <c r="L270" s="33">
        <v>0</v>
      </c>
      <c r="M270">
        <v>3</v>
      </c>
      <c r="N270">
        <v>0</v>
      </c>
      <c r="O270">
        <v>3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4</v>
      </c>
      <c r="AK270">
        <v>2</v>
      </c>
      <c r="AL270">
        <v>2</v>
      </c>
      <c r="AM270">
        <v>3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3</v>
      </c>
      <c r="AU270" s="31" t="str">
        <f t="shared" si="8"/>
        <v>库存为3</v>
      </c>
      <c r="AV270" s="36" t="str">
        <f>IFERROR(时间!$B$4+AU270,"上周无销量")</f>
        <v>上周无销量</v>
      </c>
    </row>
    <row r="271" spans="1:48">
      <c r="A271" s="20" t="s">
        <v>654</v>
      </c>
      <c r="B271" t="s">
        <v>655</v>
      </c>
      <c r="C271" t="s">
        <v>637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3</v>
      </c>
      <c r="AK271">
        <v>2</v>
      </c>
      <c r="AL271">
        <v>2</v>
      </c>
      <c r="AM271">
        <v>1</v>
      </c>
      <c r="AN271" s="22">
        <v>0</v>
      </c>
      <c r="AO271" s="22">
        <v>0</v>
      </c>
      <c r="AP271" s="22">
        <v>0</v>
      </c>
      <c r="AQ271" s="22">
        <v>0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656</v>
      </c>
      <c r="B272" t="s">
        <v>657</v>
      </c>
      <c r="C272" t="s">
        <v>637</v>
      </c>
      <c r="D272" s="31">
        <v>1</v>
      </c>
      <c r="E272" s="31">
        <v>0</v>
      </c>
      <c r="F272" s="31">
        <v>0</v>
      </c>
      <c r="G272" s="31">
        <v>0</v>
      </c>
      <c r="H272" s="32">
        <v>10.59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1</v>
      </c>
      <c r="AK272">
        <v>3</v>
      </c>
      <c r="AL272">
        <v>2</v>
      </c>
      <c r="AM272">
        <v>4</v>
      </c>
      <c r="AN272" s="22">
        <v>1</v>
      </c>
      <c r="AO272" s="22">
        <v>0</v>
      </c>
      <c r="AP272" s="22">
        <v>0</v>
      </c>
      <c r="AQ272" s="22">
        <v>0</v>
      </c>
      <c r="AR272" s="35">
        <v>0.142857142857143</v>
      </c>
      <c r="AS272" s="35">
        <v>8.57142857142857</v>
      </c>
      <c r="AT272" s="35">
        <v>-8.57142857142857</v>
      </c>
      <c r="AU272" s="31">
        <f t="shared" si="8"/>
        <v>0</v>
      </c>
      <c r="AV272" s="36">
        <f>IFERROR(时间!$B$4+AU272,"上周无销量")</f>
        <v>43332</v>
      </c>
    </row>
    <row r="273" spans="1:48">
      <c r="A273" s="20" t="s">
        <v>658</v>
      </c>
      <c r="B273" t="s">
        <v>659</v>
      </c>
      <c r="C273" t="s">
        <v>637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</v>
      </c>
      <c r="J273" s="33">
        <v>0</v>
      </c>
      <c r="K273" s="33">
        <v>0</v>
      </c>
      <c r="L273" s="33">
        <v>0</v>
      </c>
      <c r="M273">
        <v>2</v>
      </c>
      <c r="N273">
        <v>0</v>
      </c>
      <c r="O273">
        <v>2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3</v>
      </c>
      <c r="AK273">
        <v>3</v>
      </c>
      <c r="AL273">
        <v>5</v>
      </c>
      <c r="AM273">
        <v>4</v>
      </c>
      <c r="AN273" s="22">
        <v>0</v>
      </c>
      <c r="AO273" s="22">
        <v>0</v>
      </c>
      <c r="AP273" s="22">
        <v>0</v>
      </c>
      <c r="AQ273" s="22">
        <v>0</v>
      </c>
      <c r="AR273" s="35">
        <v>0</v>
      </c>
      <c r="AS273" s="35">
        <v>0</v>
      </c>
      <c r="AT273" s="35">
        <v>2</v>
      </c>
      <c r="AU273" s="31" t="str">
        <f t="shared" si="8"/>
        <v>库存为2</v>
      </c>
      <c r="AV273" s="36" t="str">
        <f>IFERROR(时间!$B$4+AU273,"上周无销量")</f>
        <v>上周无销量</v>
      </c>
    </row>
    <row r="274" spans="1:48">
      <c r="A274" s="20" t="s">
        <v>660</v>
      </c>
      <c r="B274" t="s">
        <v>661</v>
      </c>
      <c r="C274" t="s">
        <v>637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3</v>
      </c>
      <c r="J274" s="33">
        <v>0</v>
      </c>
      <c r="K274" s="33">
        <v>0</v>
      </c>
      <c r="L274" s="33">
        <v>0</v>
      </c>
      <c r="M274">
        <v>3</v>
      </c>
      <c r="N274">
        <v>0</v>
      </c>
      <c r="O274">
        <v>3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3</v>
      </c>
      <c r="AK274">
        <v>1</v>
      </c>
      <c r="AL274">
        <v>3</v>
      </c>
      <c r="AM274">
        <v>5</v>
      </c>
      <c r="AN274" s="22">
        <v>0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3</v>
      </c>
      <c r="AU274" s="31" t="str">
        <f t="shared" si="8"/>
        <v>库存为3</v>
      </c>
      <c r="AV274" s="36" t="str">
        <f>IFERROR(时间!$B$4+AU274,"上周无销量")</f>
        <v>上周无销量</v>
      </c>
    </row>
    <row r="275" spans="1:48">
      <c r="A275" s="20" t="s">
        <v>662</v>
      </c>
      <c r="B275" t="s">
        <v>663</v>
      </c>
      <c r="C275" t="s">
        <v>637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2</v>
      </c>
      <c r="AK275">
        <v>0</v>
      </c>
      <c r="AL275">
        <v>2</v>
      </c>
      <c r="AM275">
        <v>4</v>
      </c>
      <c r="AN275" s="22">
        <v>0</v>
      </c>
      <c r="AO275" s="22" t="s">
        <v>53</v>
      </c>
      <c r="AP275" s="22">
        <v>0</v>
      </c>
      <c r="AQ275" s="22">
        <v>0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20" t="s">
        <v>664</v>
      </c>
      <c r="B276" t="s">
        <v>665</v>
      </c>
      <c r="C276" t="s">
        <v>637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3</v>
      </c>
      <c r="AK276">
        <v>0</v>
      </c>
      <c r="AL276">
        <v>2</v>
      </c>
      <c r="AM276">
        <v>5</v>
      </c>
      <c r="AN276" s="22">
        <v>0</v>
      </c>
      <c r="AO276" s="22" t="s">
        <v>53</v>
      </c>
      <c r="AP276" s="22">
        <v>0</v>
      </c>
      <c r="AQ276" s="22">
        <v>0</v>
      </c>
      <c r="AR276" s="35">
        <v>0</v>
      </c>
      <c r="AS276" s="35">
        <v>0</v>
      </c>
      <c r="AT276" s="35">
        <v>1</v>
      </c>
      <c r="AU276" s="31" t="str">
        <f t="shared" si="8"/>
        <v>库存为1</v>
      </c>
      <c r="AV276" s="36" t="str">
        <f>IFERROR(时间!$B$4+AU276,"上周无销量")</f>
        <v>上周无销量</v>
      </c>
    </row>
    <row r="277" spans="1:48">
      <c r="A277" s="20" t="s">
        <v>666</v>
      </c>
      <c r="B277" t="s">
        <v>667</v>
      </c>
      <c r="C277" t="s">
        <v>637</v>
      </c>
      <c r="D277" s="31">
        <v>2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1</v>
      </c>
      <c r="AL277">
        <v>3</v>
      </c>
      <c r="AM277">
        <v>5</v>
      </c>
      <c r="AN277" s="22" t="s">
        <v>53</v>
      </c>
      <c r="AO277" s="22">
        <v>0</v>
      </c>
      <c r="AP277" s="22">
        <v>0</v>
      </c>
      <c r="AQ277" s="22">
        <v>0</v>
      </c>
      <c r="AR277" s="35">
        <v>0.285714285714286</v>
      </c>
      <c r="AS277" s="35">
        <v>17.1428571428571</v>
      </c>
      <c r="AT277" s="35">
        <v>-17.1428571428571</v>
      </c>
      <c r="AU277" s="31">
        <f t="shared" si="8"/>
        <v>0</v>
      </c>
      <c r="AV277" s="36">
        <f>IFERROR(时间!$B$4+AU277,"上周无销量")</f>
        <v>43332</v>
      </c>
    </row>
    <row r="278" spans="1:48">
      <c r="A278" s="20" t="s">
        <v>668</v>
      </c>
      <c r="B278" t="s">
        <v>669</v>
      </c>
      <c r="C278" t="s">
        <v>637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1</v>
      </c>
      <c r="AK278">
        <v>0</v>
      </c>
      <c r="AL278">
        <v>3</v>
      </c>
      <c r="AM278">
        <v>5</v>
      </c>
      <c r="AN278" s="22">
        <v>0</v>
      </c>
      <c r="AO278" s="22" t="s">
        <v>53</v>
      </c>
      <c r="AP278" s="22">
        <v>0</v>
      </c>
      <c r="AQ278" s="22">
        <v>0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20" t="s">
        <v>670</v>
      </c>
      <c r="B279" t="s">
        <v>671</v>
      </c>
      <c r="C279" t="s">
        <v>637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1</v>
      </c>
      <c r="AK279">
        <v>1</v>
      </c>
      <c r="AL279">
        <v>3</v>
      </c>
      <c r="AM279">
        <v>4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672</v>
      </c>
      <c r="B280" t="s">
        <v>673</v>
      </c>
      <c r="C280" t="s">
        <v>637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3</v>
      </c>
      <c r="J280" s="33">
        <v>0</v>
      </c>
      <c r="K280" s="33">
        <v>0</v>
      </c>
      <c r="L280" s="33">
        <v>0</v>
      </c>
      <c r="M280">
        <v>3</v>
      </c>
      <c r="N280">
        <v>0</v>
      </c>
      <c r="O280">
        <v>3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3</v>
      </c>
      <c r="AK280">
        <v>2</v>
      </c>
      <c r="AL280">
        <v>3</v>
      </c>
      <c r="AM280">
        <v>3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3</v>
      </c>
      <c r="AU280" s="31" t="str">
        <f t="shared" si="8"/>
        <v>库存为3</v>
      </c>
      <c r="AV280" s="36" t="str">
        <f>IFERROR(时间!$B$4+AU280,"上周无销量")</f>
        <v>上周无销量</v>
      </c>
    </row>
    <row r="281" spans="1:48">
      <c r="A281" s="20" t="s">
        <v>674</v>
      </c>
      <c r="B281" t="s">
        <v>675</v>
      </c>
      <c r="C281" t="s">
        <v>637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3</v>
      </c>
      <c r="AK281">
        <v>1</v>
      </c>
      <c r="AL281">
        <v>5</v>
      </c>
      <c r="AM281">
        <v>6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676</v>
      </c>
      <c r="B282" t="s">
        <v>677</v>
      </c>
      <c r="C282" t="s">
        <v>637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2</v>
      </c>
      <c r="J282" s="33">
        <v>0</v>
      </c>
      <c r="K282" s="33">
        <v>0</v>
      </c>
      <c r="L282" s="33">
        <v>0</v>
      </c>
      <c r="M282">
        <v>2</v>
      </c>
      <c r="N282">
        <v>0</v>
      </c>
      <c r="O282">
        <v>2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2</v>
      </c>
      <c r="AK282">
        <v>3</v>
      </c>
      <c r="AL282">
        <v>0</v>
      </c>
      <c r="AM282">
        <v>1</v>
      </c>
      <c r="AN282" s="22">
        <v>0</v>
      </c>
      <c r="AO282" s="22">
        <v>0</v>
      </c>
      <c r="AP282" s="22" t="s">
        <v>53</v>
      </c>
      <c r="AQ282" s="22">
        <v>0</v>
      </c>
      <c r="AR282" s="35">
        <v>0</v>
      </c>
      <c r="AS282" s="35">
        <v>0</v>
      </c>
      <c r="AT282" s="35">
        <v>2</v>
      </c>
      <c r="AU282" s="31" t="str">
        <f t="shared" si="8"/>
        <v>库存为2</v>
      </c>
      <c r="AV282" s="36" t="str">
        <f>IFERROR(时间!$B$4+AU282,"上周无销量")</f>
        <v>上周无销量</v>
      </c>
    </row>
    <row r="283" spans="1:48">
      <c r="A283" s="20" t="s">
        <v>678</v>
      </c>
      <c r="B283" t="s">
        <v>679</v>
      </c>
      <c r="C283" t="s">
        <v>637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0</v>
      </c>
      <c r="AK283">
        <v>0</v>
      </c>
      <c r="AL283">
        <v>0</v>
      </c>
      <c r="AM283">
        <v>0</v>
      </c>
      <c r="AN283" s="22" t="s">
        <v>53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1</v>
      </c>
      <c r="AU283" s="31" t="str">
        <f t="shared" si="8"/>
        <v>库存为1</v>
      </c>
      <c r="AV283" s="36" t="str">
        <f>IFERROR(时间!$B$4+AU283,"上周无销量")</f>
        <v>上周无销量</v>
      </c>
    </row>
    <row r="284" spans="1:48">
      <c r="A284" s="20" t="s">
        <v>680</v>
      </c>
      <c r="B284" t="s">
        <v>681</v>
      </c>
      <c r="C284" t="s">
        <v>637</v>
      </c>
      <c r="D284" s="31">
        <v>1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1</v>
      </c>
      <c r="AK284">
        <v>1</v>
      </c>
      <c r="AL284">
        <v>3</v>
      </c>
      <c r="AM284">
        <v>4</v>
      </c>
      <c r="AN284" s="22">
        <v>1</v>
      </c>
      <c r="AO284" s="22">
        <v>0</v>
      </c>
      <c r="AP284" s="22">
        <v>0</v>
      </c>
      <c r="AQ284" s="22">
        <v>0</v>
      </c>
      <c r="AR284" s="35">
        <v>0.142857142857143</v>
      </c>
      <c r="AS284" s="35">
        <v>8.57142857142857</v>
      </c>
      <c r="AT284" s="35">
        <v>-8.57142857142857</v>
      </c>
      <c r="AU284" s="31">
        <f t="shared" si="8"/>
        <v>0</v>
      </c>
      <c r="AV284" s="36">
        <f>IFERROR(时间!$B$4+AU284,"上周无销量")</f>
        <v>43332</v>
      </c>
    </row>
    <row r="285" spans="1:48">
      <c r="A285" s="20" t="s">
        <v>682</v>
      </c>
      <c r="B285" t="s">
        <v>683</v>
      </c>
      <c r="C285" t="s">
        <v>637</v>
      </c>
      <c r="D285" s="31">
        <v>1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1</v>
      </c>
      <c r="AL285">
        <v>1</v>
      </c>
      <c r="AM285">
        <v>3</v>
      </c>
      <c r="AN285" s="22" t="s">
        <v>53</v>
      </c>
      <c r="AO285" s="22">
        <v>0</v>
      </c>
      <c r="AP285" s="22">
        <v>0</v>
      </c>
      <c r="AQ285" s="22">
        <v>0</v>
      </c>
      <c r="AR285" s="35">
        <v>0.142857142857143</v>
      </c>
      <c r="AS285" s="35">
        <v>8.57142857142857</v>
      </c>
      <c r="AT285" s="35">
        <v>-8.57142857142857</v>
      </c>
      <c r="AU285" s="31">
        <f t="shared" si="8"/>
        <v>0</v>
      </c>
      <c r="AV285" s="36">
        <f>IFERROR(时间!$B$4+AU285,"上周无销量")</f>
        <v>43332</v>
      </c>
    </row>
    <row r="286" spans="1:48">
      <c r="A286" s="20" t="s">
        <v>684</v>
      </c>
      <c r="B286" t="s">
        <v>685</v>
      </c>
      <c r="C286" t="s">
        <v>637</v>
      </c>
      <c r="D286" s="31">
        <v>1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1</v>
      </c>
      <c r="AK286">
        <v>2</v>
      </c>
      <c r="AL286">
        <v>3</v>
      </c>
      <c r="AM286">
        <v>3</v>
      </c>
      <c r="AN286" s="22">
        <v>1</v>
      </c>
      <c r="AO286" s="22">
        <v>0</v>
      </c>
      <c r="AP286" s="22">
        <v>0</v>
      </c>
      <c r="AQ286" s="22">
        <v>0</v>
      </c>
      <c r="AR286" s="35">
        <v>0.142857142857143</v>
      </c>
      <c r="AS286" s="35">
        <v>8.57142857142857</v>
      </c>
      <c r="AT286" s="35">
        <v>-8.57142857142857</v>
      </c>
      <c r="AU286" s="31">
        <f t="shared" si="8"/>
        <v>0</v>
      </c>
      <c r="AV286" s="36">
        <f>IFERROR(时间!$B$4+AU286,"上周无销量")</f>
        <v>43332</v>
      </c>
    </row>
    <row r="287" spans="1:48">
      <c r="A287" s="20" t="s">
        <v>686</v>
      </c>
      <c r="B287" t="s">
        <v>687</v>
      </c>
      <c r="C287" t="s">
        <v>637</v>
      </c>
      <c r="D287" s="31">
        <v>1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2</v>
      </c>
      <c r="AL287">
        <v>3</v>
      </c>
      <c r="AM287">
        <v>2</v>
      </c>
      <c r="AN287" s="22" t="s">
        <v>53</v>
      </c>
      <c r="AO287" s="22">
        <v>0</v>
      </c>
      <c r="AP287" s="22">
        <v>0</v>
      </c>
      <c r="AQ287" s="22">
        <v>0</v>
      </c>
      <c r="AR287" s="35">
        <v>0.142857142857143</v>
      </c>
      <c r="AS287" s="35">
        <v>8.57142857142857</v>
      </c>
      <c r="AT287" s="35">
        <v>-8.57142857142857</v>
      </c>
      <c r="AU287" s="31">
        <f t="shared" si="8"/>
        <v>0</v>
      </c>
      <c r="AV287" s="36">
        <f>IFERROR(时间!$B$4+AU287,"上周无销量")</f>
        <v>43332</v>
      </c>
    </row>
    <row r="288" spans="1:48">
      <c r="A288" s="20" t="s">
        <v>688</v>
      </c>
      <c r="B288" t="s">
        <v>689</v>
      </c>
      <c r="C288" t="s">
        <v>688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13</v>
      </c>
      <c r="J288" s="33">
        <v>0</v>
      </c>
      <c r="K288" s="33">
        <v>0</v>
      </c>
      <c r="L288" s="33">
        <v>0</v>
      </c>
      <c r="M288">
        <v>13</v>
      </c>
      <c r="N288">
        <v>0</v>
      </c>
      <c r="O288">
        <v>13</v>
      </c>
      <c r="P288">
        <v>289</v>
      </c>
      <c r="Q288">
        <v>679</v>
      </c>
      <c r="R288">
        <v>452</v>
      </c>
      <c r="S288">
        <v>0</v>
      </c>
      <c r="T288">
        <v>0</v>
      </c>
      <c r="U288">
        <v>3</v>
      </c>
      <c r="V288">
        <v>2</v>
      </c>
      <c r="W288">
        <v>0</v>
      </c>
      <c r="X288" s="22">
        <v>0</v>
      </c>
      <c r="Y288" s="22">
        <v>0.00441826215022091</v>
      </c>
      <c r="Z288" s="22">
        <v>0.00442477876106195</v>
      </c>
      <c r="AA288" s="22" t="s">
        <v>53</v>
      </c>
      <c r="AB288">
        <v>0</v>
      </c>
      <c r="AC288">
        <v>2.2</v>
      </c>
      <c r="AD288">
        <v>1.18</v>
      </c>
      <c r="AE288">
        <v>0</v>
      </c>
      <c r="AF288" s="22" t="s">
        <v>53</v>
      </c>
      <c r="AG288" s="22" t="s">
        <v>690</v>
      </c>
      <c r="AH288" s="22" t="s">
        <v>691</v>
      </c>
      <c r="AI288" s="22" t="s">
        <v>53</v>
      </c>
      <c r="AJ288">
        <v>7</v>
      </c>
      <c r="AK288">
        <v>7</v>
      </c>
      <c r="AL288">
        <v>1</v>
      </c>
      <c r="AM288">
        <v>0</v>
      </c>
      <c r="AN288" s="22">
        <v>0</v>
      </c>
      <c r="AO288" s="22">
        <v>0</v>
      </c>
      <c r="AP288" s="22">
        <v>0</v>
      </c>
      <c r="AQ288" s="22" t="s">
        <v>53</v>
      </c>
      <c r="AR288" s="35">
        <v>0</v>
      </c>
      <c r="AS288" s="35">
        <v>0</v>
      </c>
      <c r="AT288" s="35">
        <v>13</v>
      </c>
      <c r="AU288" s="31" t="str">
        <f t="shared" si="8"/>
        <v>库存为13</v>
      </c>
      <c r="AV288" s="36" t="str">
        <f>IFERROR(时间!$B$4+AU288,"上周无销量")</f>
        <v>上周无销量</v>
      </c>
    </row>
    <row r="289" spans="1:48">
      <c r="A289" s="20" t="s">
        <v>692</v>
      </c>
      <c r="B289" t="s">
        <v>693</v>
      </c>
      <c r="C289" t="s">
        <v>694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0</v>
      </c>
      <c r="AK289">
        <v>0</v>
      </c>
      <c r="AL289">
        <v>0</v>
      </c>
      <c r="AM289">
        <v>0</v>
      </c>
      <c r="AN289" s="22" t="s">
        <v>53</v>
      </c>
      <c r="AO289" s="22" t="s">
        <v>53</v>
      </c>
      <c r="AP289" s="22" t="s">
        <v>53</v>
      </c>
      <c r="AQ289" s="22" t="s">
        <v>53</v>
      </c>
      <c r="AR289" s="35">
        <v>0</v>
      </c>
      <c r="AS289" s="35">
        <v>0</v>
      </c>
      <c r="AT289" s="35">
        <v>0</v>
      </c>
      <c r="AU289" s="31" t="str">
        <f t="shared" si="8"/>
        <v>库存为0</v>
      </c>
      <c r="AV289" s="36" t="str">
        <f>IFERROR(时间!$B$4+AU289,"上周无销量")</f>
        <v>上周无销量</v>
      </c>
    </row>
    <row r="290" spans="1:48">
      <c r="A290" s="20" t="s">
        <v>695</v>
      </c>
      <c r="B290" t="s">
        <v>696</v>
      </c>
      <c r="C290" t="s">
        <v>694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3</v>
      </c>
      <c r="J290" s="33">
        <v>0</v>
      </c>
      <c r="K290" s="33">
        <v>0</v>
      </c>
      <c r="L290" s="33">
        <v>0</v>
      </c>
      <c r="M290">
        <v>3</v>
      </c>
      <c r="N290">
        <v>0</v>
      </c>
      <c r="O290">
        <v>3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5</v>
      </c>
      <c r="AK290">
        <v>2</v>
      </c>
      <c r="AL290">
        <v>0</v>
      </c>
      <c r="AM290">
        <v>0</v>
      </c>
      <c r="AN290" s="22">
        <v>0</v>
      </c>
      <c r="AO290" s="22">
        <v>0</v>
      </c>
      <c r="AP290" s="22" t="s">
        <v>53</v>
      </c>
      <c r="AQ290" s="22" t="s">
        <v>53</v>
      </c>
      <c r="AR290" s="35">
        <v>0</v>
      </c>
      <c r="AS290" s="35">
        <v>0</v>
      </c>
      <c r="AT290" s="35">
        <v>3</v>
      </c>
      <c r="AU290" s="31" t="str">
        <f t="shared" si="8"/>
        <v>库存为3</v>
      </c>
      <c r="AV290" s="36" t="str">
        <f>IFERROR(时间!$B$4+AU290,"上周无销量")</f>
        <v>上周无销量</v>
      </c>
    </row>
    <row r="291" spans="1:48">
      <c r="A291" s="20" t="s">
        <v>697</v>
      </c>
      <c r="B291" t="s">
        <v>698</v>
      </c>
      <c r="C291" t="s">
        <v>694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1</v>
      </c>
      <c r="J291" s="33">
        <v>0</v>
      </c>
      <c r="K291" s="33">
        <v>0</v>
      </c>
      <c r="L291" s="33">
        <v>0</v>
      </c>
      <c r="M291">
        <v>1</v>
      </c>
      <c r="N291">
        <v>0</v>
      </c>
      <c r="O291">
        <v>0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4</v>
      </c>
      <c r="AK291">
        <v>7</v>
      </c>
      <c r="AL291">
        <v>2</v>
      </c>
      <c r="AM291">
        <v>0</v>
      </c>
      <c r="AN291" s="22">
        <v>0</v>
      </c>
      <c r="AO291" s="22">
        <v>0</v>
      </c>
      <c r="AP291" s="22">
        <v>0</v>
      </c>
      <c r="AQ291" s="22" t="s">
        <v>53</v>
      </c>
      <c r="AR291" s="35">
        <v>0</v>
      </c>
      <c r="AS291" s="35">
        <v>0</v>
      </c>
      <c r="AT291" s="35">
        <v>1</v>
      </c>
      <c r="AU291" s="31" t="str">
        <f t="shared" si="8"/>
        <v>库存为1</v>
      </c>
      <c r="AV291" s="36" t="str">
        <f>IFERROR(时间!$B$4+AU291,"上周无销量")</f>
        <v>上周无销量</v>
      </c>
    </row>
    <row r="292" spans="1:48">
      <c r="A292" s="20" t="s">
        <v>699</v>
      </c>
      <c r="B292" t="s">
        <v>700</v>
      </c>
      <c r="C292" t="s">
        <v>701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2</v>
      </c>
      <c r="AL292">
        <v>0</v>
      </c>
      <c r="AM292">
        <v>1</v>
      </c>
      <c r="AN292" s="22" t="s">
        <v>53</v>
      </c>
      <c r="AO292" s="22">
        <v>0</v>
      </c>
      <c r="AP292" s="22" t="s">
        <v>53</v>
      </c>
      <c r="AQ292" s="22">
        <v>0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702</v>
      </c>
      <c r="B293" t="s">
        <v>703</v>
      </c>
      <c r="C293" t="s">
        <v>701</v>
      </c>
      <c r="D293" s="31">
        <v>2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3</v>
      </c>
      <c r="AL293">
        <v>0</v>
      </c>
      <c r="AM293">
        <v>0</v>
      </c>
      <c r="AN293" s="22" t="s">
        <v>53</v>
      </c>
      <c r="AO293" s="22">
        <v>0</v>
      </c>
      <c r="AP293" s="22" t="s">
        <v>53</v>
      </c>
      <c r="AQ293" s="22" t="s">
        <v>53</v>
      </c>
      <c r="AR293" s="35">
        <v>0.285714285714286</v>
      </c>
      <c r="AS293" s="35">
        <v>17.1428571428571</v>
      </c>
      <c r="AT293" s="35">
        <v>-17.1428571428571</v>
      </c>
      <c r="AU293" s="31">
        <f t="shared" si="8"/>
        <v>0</v>
      </c>
      <c r="AV293" s="36">
        <f>IFERROR(时间!$B$4+AU293,"上周无销量")</f>
        <v>43332</v>
      </c>
    </row>
    <row r="294" spans="1:48">
      <c r="A294" s="20" t="s">
        <v>704</v>
      </c>
      <c r="B294" t="s">
        <v>705</v>
      </c>
      <c r="C294" t="s">
        <v>701</v>
      </c>
      <c r="D294" s="31">
        <v>1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1</v>
      </c>
      <c r="AL294">
        <v>0</v>
      </c>
      <c r="AM294">
        <v>0</v>
      </c>
      <c r="AN294" s="22" t="s">
        <v>53</v>
      </c>
      <c r="AO294" s="22">
        <v>0</v>
      </c>
      <c r="AP294" s="22" t="s">
        <v>53</v>
      </c>
      <c r="AQ294" s="22" t="s">
        <v>53</v>
      </c>
      <c r="AR294" s="35">
        <v>0.142857142857143</v>
      </c>
      <c r="AS294" s="35">
        <v>8.57142857142857</v>
      </c>
      <c r="AT294" s="35">
        <v>-8.57142857142857</v>
      </c>
      <c r="AU294" s="31">
        <f t="shared" si="8"/>
        <v>0</v>
      </c>
      <c r="AV294" s="36">
        <f>IFERROR(时间!$B$4+AU294,"上周无销量")</f>
        <v>43332</v>
      </c>
    </row>
    <row r="295" spans="1:48">
      <c r="A295" s="20" t="s">
        <v>706</v>
      </c>
      <c r="B295" t="s">
        <v>707</v>
      </c>
      <c r="C295" t="s">
        <v>701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3</v>
      </c>
      <c r="AL295">
        <v>1</v>
      </c>
      <c r="AM295">
        <v>3</v>
      </c>
      <c r="AN295" s="22" t="s">
        <v>53</v>
      </c>
      <c r="AO295" s="22">
        <v>0</v>
      </c>
      <c r="AP295" s="22">
        <v>0</v>
      </c>
      <c r="AQ295" s="22">
        <v>0</v>
      </c>
      <c r="AR295" s="35">
        <v>0</v>
      </c>
      <c r="AS295" s="35">
        <v>0</v>
      </c>
      <c r="AT295" s="35">
        <v>0</v>
      </c>
      <c r="AU295" s="31" t="str">
        <f t="shared" si="8"/>
        <v>库存为0</v>
      </c>
      <c r="AV295" s="36" t="str">
        <f>IFERROR(时间!$B$4+AU295,"上周无销量")</f>
        <v>上周无销量</v>
      </c>
    </row>
    <row r="296" spans="1:48">
      <c r="A296" s="20" t="s">
        <v>708</v>
      </c>
      <c r="B296" t="s">
        <v>709</v>
      </c>
      <c r="C296" t="s">
        <v>701</v>
      </c>
      <c r="D296" s="31">
        <v>1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0</v>
      </c>
      <c r="AK296">
        <v>3</v>
      </c>
      <c r="AL296">
        <v>0</v>
      </c>
      <c r="AM296">
        <v>2</v>
      </c>
      <c r="AN296" s="22" t="s">
        <v>53</v>
      </c>
      <c r="AO296" s="22">
        <v>0</v>
      </c>
      <c r="AP296" s="22" t="s">
        <v>53</v>
      </c>
      <c r="AQ296" s="22">
        <v>0</v>
      </c>
      <c r="AR296" s="35">
        <v>0.142857142857143</v>
      </c>
      <c r="AS296" s="35">
        <v>8.57142857142857</v>
      </c>
      <c r="AT296" s="35">
        <v>-8.57142857142857</v>
      </c>
      <c r="AU296" s="31">
        <f t="shared" si="8"/>
        <v>0</v>
      </c>
      <c r="AV296" s="36">
        <f>IFERROR(时间!$B$4+AU296,"上周无销量")</f>
        <v>43332</v>
      </c>
    </row>
    <row r="297" spans="1:48">
      <c r="A297" s="20" t="s">
        <v>710</v>
      </c>
      <c r="B297" t="s">
        <v>711</v>
      </c>
      <c r="C297" t="s">
        <v>701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0</v>
      </c>
      <c r="AK297">
        <v>2</v>
      </c>
      <c r="AL297">
        <v>1</v>
      </c>
      <c r="AM297">
        <v>3</v>
      </c>
      <c r="AN297" s="22" t="s">
        <v>53</v>
      </c>
      <c r="AO297" s="22">
        <v>0</v>
      </c>
      <c r="AP297" s="22">
        <v>0</v>
      </c>
      <c r="AQ297" s="22">
        <v>0</v>
      </c>
      <c r="AR297" s="35">
        <v>0</v>
      </c>
      <c r="AS297" s="35">
        <v>0</v>
      </c>
      <c r="AT297" s="35">
        <v>0</v>
      </c>
      <c r="AU297" s="31" t="str">
        <f t="shared" si="8"/>
        <v>库存为0</v>
      </c>
      <c r="AV297" s="36" t="str">
        <f>IFERROR(时间!$B$4+AU297,"上周无销量")</f>
        <v>上周无销量</v>
      </c>
    </row>
    <row r="298" spans="1:48">
      <c r="A298" s="20" t="s">
        <v>712</v>
      </c>
      <c r="B298" t="s">
        <v>713</v>
      </c>
      <c r="C298" t="s">
        <v>701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</v>
      </c>
      <c r="J298" s="33">
        <v>0</v>
      </c>
      <c r="K298" s="33">
        <v>0</v>
      </c>
      <c r="L298" s="33">
        <v>0</v>
      </c>
      <c r="M298">
        <v>1</v>
      </c>
      <c r="N298">
        <v>0</v>
      </c>
      <c r="O298">
        <v>1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2</v>
      </c>
      <c r="AK298">
        <v>3</v>
      </c>
      <c r="AL298">
        <v>0</v>
      </c>
      <c r="AM298">
        <v>0</v>
      </c>
      <c r="AN298" s="22">
        <v>0</v>
      </c>
      <c r="AO298" s="22">
        <v>0</v>
      </c>
      <c r="AP298" s="22" t="s">
        <v>53</v>
      </c>
      <c r="AQ298" s="22" t="s">
        <v>53</v>
      </c>
      <c r="AR298" s="35">
        <v>0</v>
      </c>
      <c r="AS298" s="35">
        <v>0</v>
      </c>
      <c r="AT298" s="35">
        <v>1</v>
      </c>
      <c r="AU298" s="31" t="str">
        <f t="shared" si="8"/>
        <v>库存为1</v>
      </c>
      <c r="AV298" s="36" t="str">
        <f>IFERROR(时间!$B$4+AU298,"上周无销量")</f>
        <v>上周无销量</v>
      </c>
    </row>
    <row r="299" spans="1:48">
      <c r="A299" s="20" t="s">
        <v>714</v>
      </c>
      <c r="B299" t="s">
        <v>715</v>
      </c>
      <c r="C299" t="s">
        <v>701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0</v>
      </c>
      <c r="AK299">
        <v>2</v>
      </c>
      <c r="AL299">
        <v>1</v>
      </c>
      <c r="AM299">
        <v>3</v>
      </c>
      <c r="AN299" s="22" t="s">
        <v>53</v>
      </c>
      <c r="AO299" s="22">
        <v>0</v>
      </c>
      <c r="AP299" s="22">
        <v>0</v>
      </c>
      <c r="AQ299" s="22">
        <v>0</v>
      </c>
      <c r="AR299" s="35">
        <v>0</v>
      </c>
      <c r="AS299" s="35">
        <v>0</v>
      </c>
      <c r="AT299" s="35">
        <v>0</v>
      </c>
      <c r="AU299" s="31" t="str">
        <f t="shared" si="8"/>
        <v>库存为0</v>
      </c>
      <c r="AV299" s="36" t="str">
        <f>IFERROR(时间!$B$4+AU299,"上周无销量")</f>
        <v>上周无销量</v>
      </c>
    </row>
    <row r="300" spans="1:48">
      <c r="A300" s="20" t="s">
        <v>716</v>
      </c>
      <c r="B300" t="s">
        <v>717</v>
      </c>
      <c r="C300" t="s">
        <v>701</v>
      </c>
      <c r="D300" s="31">
        <v>2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0</v>
      </c>
      <c r="AK300">
        <v>5</v>
      </c>
      <c r="AL300">
        <v>2</v>
      </c>
      <c r="AM300">
        <v>2</v>
      </c>
      <c r="AN300" s="22" t="s">
        <v>53</v>
      </c>
      <c r="AO300" s="22">
        <v>0</v>
      </c>
      <c r="AP300" s="22">
        <v>0</v>
      </c>
      <c r="AQ300" s="22">
        <v>0</v>
      </c>
      <c r="AR300" s="35">
        <v>0.285714285714286</v>
      </c>
      <c r="AS300" s="35">
        <v>17.1428571428571</v>
      </c>
      <c r="AT300" s="35">
        <v>-17.1428571428571</v>
      </c>
      <c r="AU300" s="31">
        <f t="shared" si="8"/>
        <v>0</v>
      </c>
      <c r="AV300" s="36">
        <f>IFERROR(时间!$B$4+AU300,"上周无销量")</f>
        <v>43332</v>
      </c>
    </row>
    <row r="301" spans="1:48">
      <c r="A301" s="20" t="s">
        <v>718</v>
      </c>
      <c r="B301" t="s">
        <v>719</v>
      </c>
      <c r="C301" t="s">
        <v>701</v>
      </c>
      <c r="D301" s="31">
        <v>2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1</v>
      </c>
      <c r="AK301">
        <v>1</v>
      </c>
      <c r="AL301">
        <v>2</v>
      </c>
      <c r="AM301">
        <v>3</v>
      </c>
      <c r="AN301" s="22">
        <v>2</v>
      </c>
      <c r="AO301" s="22">
        <v>0</v>
      </c>
      <c r="AP301" s="22">
        <v>0</v>
      </c>
      <c r="AQ301" s="22">
        <v>0</v>
      </c>
      <c r="AR301" s="35">
        <v>0.285714285714286</v>
      </c>
      <c r="AS301" s="35">
        <v>17.1428571428571</v>
      </c>
      <c r="AT301" s="35">
        <v>-17.1428571428571</v>
      </c>
      <c r="AU301" s="31">
        <f t="shared" si="8"/>
        <v>0</v>
      </c>
      <c r="AV301" s="36">
        <f>IFERROR(时间!$B$4+AU301,"上周无销量")</f>
        <v>43332</v>
      </c>
    </row>
    <row r="302" spans="1:48">
      <c r="A302" s="20" t="s">
        <v>720</v>
      </c>
      <c r="B302" t="s">
        <v>721</v>
      </c>
      <c r="C302" t="s">
        <v>701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1</v>
      </c>
      <c r="AK302">
        <v>1</v>
      </c>
      <c r="AL302">
        <v>0</v>
      </c>
      <c r="AM302">
        <v>3</v>
      </c>
      <c r="AN302" s="22">
        <v>0</v>
      </c>
      <c r="AO302" s="22">
        <v>0</v>
      </c>
      <c r="AP302" s="22" t="s">
        <v>53</v>
      </c>
      <c r="AQ302" s="22">
        <v>0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722</v>
      </c>
      <c r="B303" t="s">
        <v>723</v>
      </c>
      <c r="C303" t="s">
        <v>701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0</v>
      </c>
      <c r="AK303">
        <v>6</v>
      </c>
      <c r="AL303">
        <v>0</v>
      </c>
      <c r="AM303">
        <v>4</v>
      </c>
      <c r="AN303" s="22" t="s">
        <v>53</v>
      </c>
      <c r="AO303" s="22">
        <v>0</v>
      </c>
      <c r="AP303" s="22" t="s">
        <v>53</v>
      </c>
      <c r="AQ303" s="22">
        <v>0</v>
      </c>
      <c r="AR303" s="35">
        <v>0</v>
      </c>
      <c r="AS303" s="35">
        <v>0</v>
      </c>
      <c r="AT303" s="35">
        <v>0</v>
      </c>
      <c r="AU303" s="31" t="str">
        <f t="shared" si="8"/>
        <v>库存为0</v>
      </c>
      <c r="AV303" s="36" t="str">
        <f>IFERROR(时间!$B$4+AU303,"上周无销量")</f>
        <v>上周无销量</v>
      </c>
    </row>
    <row r="304" spans="1:48">
      <c r="A304" s="20" t="s">
        <v>724</v>
      </c>
      <c r="B304" t="s">
        <v>725</v>
      </c>
      <c r="C304" t="s">
        <v>701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0</v>
      </c>
      <c r="AK304">
        <v>0</v>
      </c>
      <c r="AL304">
        <v>1</v>
      </c>
      <c r="AM304">
        <v>2</v>
      </c>
      <c r="AN304" s="22" t="s">
        <v>53</v>
      </c>
      <c r="AO304" s="22" t="s">
        <v>53</v>
      </c>
      <c r="AP304" s="22">
        <v>0</v>
      </c>
      <c r="AQ304" s="22">
        <v>0</v>
      </c>
      <c r="AR304" s="35">
        <v>0</v>
      </c>
      <c r="AS304" s="35">
        <v>0</v>
      </c>
      <c r="AT304" s="35">
        <v>0</v>
      </c>
      <c r="AU304" s="31" t="str">
        <f t="shared" si="8"/>
        <v>库存为0</v>
      </c>
      <c r="AV304" s="36" t="str">
        <f>IFERROR(时间!$B$4+AU304,"上周无销量")</f>
        <v>上周无销量</v>
      </c>
    </row>
    <row r="305" spans="1:48">
      <c r="A305" s="20" t="s">
        <v>726</v>
      </c>
      <c r="B305" t="s">
        <v>727</v>
      </c>
      <c r="C305" t="s">
        <v>701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0</v>
      </c>
      <c r="AK305">
        <v>1</v>
      </c>
      <c r="AL305">
        <v>2</v>
      </c>
      <c r="AM305">
        <v>5</v>
      </c>
      <c r="AN305" s="22" t="s">
        <v>53</v>
      </c>
      <c r="AO305" s="22">
        <v>0</v>
      </c>
      <c r="AP305" s="22">
        <v>0</v>
      </c>
      <c r="AQ305" s="22">
        <v>0</v>
      </c>
      <c r="AR305" s="35">
        <v>0</v>
      </c>
      <c r="AS305" s="35">
        <v>0</v>
      </c>
      <c r="AT305" s="35">
        <v>0</v>
      </c>
      <c r="AU305" s="31" t="str">
        <f t="shared" si="8"/>
        <v>库存为0</v>
      </c>
      <c r="AV305" s="36" t="str">
        <f>IFERROR(时间!$B$4+AU305,"上周无销量")</f>
        <v>上周无销量</v>
      </c>
    </row>
    <row r="306" spans="1:48">
      <c r="A306" s="20" t="s">
        <v>728</v>
      </c>
      <c r="B306" t="s">
        <v>729</v>
      </c>
      <c r="C306" t="s">
        <v>730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0</v>
      </c>
      <c r="AK306">
        <v>0</v>
      </c>
      <c r="AL306">
        <v>2</v>
      </c>
      <c r="AM306">
        <v>2</v>
      </c>
      <c r="AN306" s="22" t="s">
        <v>53</v>
      </c>
      <c r="AO306" s="22" t="s">
        <v>53</v>
      </c>
      <c r="AP306" s="22">
        <v>0</v>
      </c>
      <c r="AQ306" s="22">
        <v>0</v>
      </c>
      <c r="AR306" s="35">
        <v>0</v>
      </c>
      <c r="AS306" s="35">
        <v>0</v>
      </c>
      <c r="AT306" s="35">
        <v>0</v>
      </c>
      <c r="AU306" s="31" t="str">
        <f t="shared" si="8"/>
        <v>库存为0</v>
      </c>
      <c r="AV306" s="36" t="str">
        <f>IFERROR(时间!$B$4+AU306,"上周无销量")</f>
        <v>上周无销量</v>
      </c>
    </row>
    <row r="307" spans="1:48">
      <c r="A307" s="20" t="s">
        <v>731</v>
      </c>
      <c r="B307" t="s">
        <v>732</v>
      </c>
      <c r="C307" t="s">
        <v>730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0</v>
      </c>
      <c r="AK307">
        <v>4</v>
      </c>
      <c r="AL307">
        <v>1</v>
      </c>
      <c r="AM307">
        <v>2</v>
      </c>
      <c r="AN307" s="22" t="s">
        <v>53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0</v>
      </c>
      <c r="AU307" s="31" t="str">
        <f t="shared" si="8"/>
        <v>库存为0</v>
      </c>
      <c r="AV307" s="36" t="str">
        <f>IFERROR(时间!$B$4+AU307,"上周无销量")</f>
        <v>上周无销量</v>
      </c>
    </row>
    <row r="308" spans="1:48">
      <c r="A308" s="20" t="s">
        <v>733</v>
      </c>
      <c r="B308" t="s">
        <v>734</v>
      </c>
      <c r="C308" t="s">
        <v>730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1</v>
      </c>
      <c r="J308" s="33">
        <v>0</v>
      </c>
      <c r="K308" s="33">
        <v>0</v>
      </c>
      <c r="L308" s="33">
        <v>0</v>
      </c>
      <c r="M308">
        <v>1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2</v>
      </c>
      <c r="AK308">
        <v>1</v>
      </c>
      <c r="AL308">
        <v>3</v>
      </c>
      <c r="AM308">
        <v>6</v>
      </c>
      <c r="AN308" s="22">
        <v>0</v>
      </c>
      <c r="AO308" s="22">
        <v>0</v>
      </c>
      <c r="AP308" s="22">
        <v>0</v>
      </c>
      <c r="AQ308" s="22">
        <v>0</v>
      </c>
      <c r="AR308" s="35">
        <v>0</v>
      </c>
      <c r="AS308" s="35">
        <v>0</v>
      </c>
      <c r="AT308" s="35">
        <v>1</v>
      </c>
      <c r="AU308" s="31" t="str">
        <f t="shared" si="8"/>
        <v>库存为1</v>
      </c>
      <c r="AV308" s="36" t="str">
        <f>IFERROR(时间!$B$4+AU308,"上周无销量")</f>
        <v>上周无销量</v>
      </c>
    </row>
    <row r="309" spans="1:48">
      <c r="A309" s="20" t="s">
        <v>735</v>
      </c>
      <c r="B309" t="s">
        <v>736</v>
      </c>
      <c r="C309" t="s">
        <v>730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3</v>
      </c>
      <c r="J309" s="33">
        <v>0</v>
      </c>
      <c r="K309" s="33">
        <v>0</v>
      </c>
      <c r="L309" s="33">
        <v>0</v>
      </c>
      <c r="M309">
        <v>3</v>
      </c>
      <c r="N309">
        <v>0</v>
      </c>
      <c r="O309">
        <v>3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4</v>
      </c>
      <c r="AK309">
        <v>1</v>
      </c>
      <c r="AL309">
        <v>3</v>
      </c>
      <c r="AM309">
        <v>2</v>
      </c>
      <c r="AN309" s="22">
        <v>0</v>
      </c>
      <c r="AO309" s="22">
        <v>0</v>
      </c>
      <c r="AP309" s="22">
        <v>0</v>
      </c>
      <c r="AQ309" s="22">
        <v>0</v>
      </c>
      <c r="AR309" s="35">
        <v>0</v>
      </c>
      <c r="AS309" s="35">
        <v>0</v>
      </c>
      <c r="AT309" s="35">
        <v>3</v>
      </c>
      <c r="AU309" s="31" t="str">
        <f t="shared" si="8"/>
        <v>库存为3</v>
      </c>
      <c r="AV309" s="36" t="str">
        <f>IFERROR(时间!$B$4+AU309,"上周无销量")</f>
        <v>上周无销量</v>
      </c>
    </row>
    <row r="310" spans="1:48">
      <c r="A310" s="20" t="s">
        <v>737</v>
      </c>
      <c r="B310" t="s">
        <v>738</v>
      </c>
      <c r="C310" t="s">
        <v>730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0</v>
      </c>
      <c r="AK310">
        <v>1</v>
      </c>
      <c r="AL310">
        <v>2</v>
      </c>
      <c r="AM310">
        <v>2</v>
      </c>
      <c r="AN310" s="22" t="s">
        <v>53</v>
      </c>
      <c r="AO310" s="22">
        <v>0</v>
      </c>
      <c r="AP310" s="22">
        <v>0</v>
      </c>
      <c r="AQ310" s="22">
        <v>0</v>
      </c>
      <c r="AR310" s="35">
        <v>0</v>
      </c>
      <c r="AS310" s="35">
        <v>0</v>
      </c>
      <c r="AT310" s="35">
        <v>0</v>
      </c>
      <c r="AU310" s="31" t="str">
        <f t="shared" si="8"/>
        <v>库存为0</v>
      </c>
      <c r="AV310" s="36" t="str">
        <f>IFERROR(时间!$B$4+AU310,"上周无销量")</f>
        <v>上周无销量</v>
      </c>
    </row>
    <row r="311" spans="1:48">
      <c r="A311" s="20" t="s">
        <v>739</v>
      </c>
      <c r="B311" t="s">
        <v>740</v>
      </c>
      <c r="C311" t="s">
        <v>730</v>
      </c>
      <c r="D311" s="31">
        <v>2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0</v>
      </c>
      <c r="AK311">
        <v>1</v>
      </c>
      <c r="AL311">
        <v>3</v>
      </c>
      <c r="AM311">
        <v>5</v>
      </c>
      <c r="AN311" s="22" t="s">
        <v>53</v>
      </c>
      <c r="AO311" s="22">
        <v>0</v>
      </c>
      <c r="AP311" s="22">
        <v>0</v>
      </c>
      <c r="AQ311" s="22">
        <v>0</v>
      </c>
      <c r="AR311" s="35">
        <v>0.285714285714286</v>
      </c>
      <c r="AS311" s="35">
        <v>17.1428571428571</v>
      </c>
      <c r="AT311" s="35">
        <v>-17.1428571428571</v>
      </c>
      <c r="AU311" s="31">
        <f t="shared" si="8"/>
        <v>0</v>
      </c>
      <c r="AV311" s="36">
        <f>IFERROR(时间!$B$4+AU311,"上周无销量")</f>
        <v>43332</v>
      </c>
    </row>
    <row r="312" spans="1:48">
      <c r="A312" s="20" t="s">
        <v>741</v>
      </c>
      <c r="B312" t="s">
        <v>742</v>
      </c>
      <c r="C312" t="s">
        <v>743</v>
      </c>
      <c r="D312" s="31">
        <v>2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3</v>
      </c>
      <c r="AK312">
        <v>20</v>
      </c>
      <c r="AL312">
        <v>9</v>
      </c>
      <c r="AM312">
        <v>7</v>
      </c>
      <c r="AN312" s="22">
        <v>0.666666666666667</v>
      </c>
      <c r="AO312" s="22">
        <v>0</v>
      </c>
      <c r="AP312" s="22">
        <v>0</v>
      </c>
      <c r="AQ312" s="22">
        <v>0</v>
      </c>
      <c r="AR312" s="35">
        <v>0.285714285714286</v>
      </c>
      <c r="AS312" s="35">
        <v>17.1428571428571</v>
      </c>
      <c r="AT312" s="35">
        <v>-17.1428571428571</v>
      </c>
      <c r="AU312" s="31">
        <f t="shared" si="8"/>
        <v>0</v>
      </c>
      <c r="AV312" s="36">
        <f>IFERROR(时间!$B$4+AU312,"上周无销量")</f>
        <v>43332</v>
      </c>
    </row>
    <row r="313" spans="1:48">
      <c r="A313" s="20" t="s">
        <v>744</v>
      </c>
      <c r="B313" t="s">
        <v>745</v>
      </c>
      <c r="C313" t="s">
        <v>746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0</v>
      </c>
      <c r="AK313">
        <v>0</v>
      </c>
      <c r="AL313">
        <v>0</v>
      </c>
      <c r="AM313">
        <v>0</v>
      </c>
      <c r="AN313" s="22" t="s">
        <v>53</v>
      </c>
      <c r="AO313" s="22" t="s">
        <v>53</v>
      </c>
      <c r="AP313" s="22" t="s">
        <v>53</v>
      </c>
      <c r="AQ313" s="22" t="s">
        <v>53</v>
      </c>
      <c r="AR313" s="35">
        <v>0</v>
      </c>
      <c r="AS313" s="35">
        <v>0</v>
      </c>
      <c r="AT313" s="35">
        <v>0</v>
      </c>
      <c r="AU313" s="31" t="str">
        <f t="shared" si="8"/>
        <v>库存为0</v>
      </c>
      <c r="AV313" s="36" t="str">
        <f>IFERROR(时间!$B$4+AU313,"上周无销量")</f>
        <v>上周无销量</v>
      </c>
    </row>
    <row r="314" spans="1:48">
      <c r="A314" s="20" t="s">
        <v>747</v>
      </c>
      <c r="B314" t="s">
        <v>748</v>
      </c>
      <c r="C314" t="s">
        <v>746</v>
      </c>
      <c r="D314" s="31">
        <v>1</v>
      </c>
      <c r="E314" s="31">
        <v>0</v>
      </c>
      <c r="F314" s="31">
        <v>6</v>
      </c>
      <c r="G314" s="31">
        <v>2</v>
      </c>
      <c r="H314" s="32">
        <v>9.9</v>
      </c>
      <c r="I314">
        <v>14</v>
      </c>
      <c r="J314" s="33">
        <v>0</v>
      </c>
      <c r="K314" s="33">
        <v>0</v>
      </c>
      <c r="L314" s="33">
        <v>0</v>
      </c>
      <c r="M314">
        <v>14</v>
      </c>
      <c r="N314">
        <v>0</v>
      </c>
      <c r="O314">
        <v>0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48</v>
      </c>
      <c r="AK314">
        <v>49</v>
      </c>
      <c r="AL314">
        <v>28</v>
      </c>
      <c r="AM314">
        <v>21</v>
      </c>
      <c r="AN314" s="22">
        <v>0.0208333333333333</v>
      </c>
      <c r="AO314" s="22">
        <v>0</v>
      </c>
      <c r="AP314" s="22">
        <v>0.214285714285714</v>
      </c>
      <c r="AQ314" s="22">
        <v>0.0952380952380952</v>
      </c>
      <c r="AR314" s="35">
        <v>0.142857142857143</v>
      </c>
      <c r="AS314" s="35">
        <v>8.57142857142857</v>
      </c>
      <c r="AT314" s="35">
        <v>5.42857142857143</v>
      </c>
      <c r="AU314" s="31">
        <f t="shared" si="8"/>
        <v>98</v>
      </c>
      <c r="AV314" s="36">
        <f>IFERROR(时间!$B$4+AU314,"上周无销量")</f>
        <v>43430</v>
      </c>
    </row>
    <row r="315" spans="1:48">
      <c r="A315" s="20" t="s">
        <v>749</v>
      </c>
      <c r="B315" t="s">
        <v>750</v>
      </c>
      <c r="C315" t="s">
        <v>751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752</v>
      </c>
      <c r="B316" t="s">
        <v>753</v>
      </c>
      <c r="C316" t="s">
        <v>754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3</v>
      </c>
      <c r="J316" s="33">
        <v>0</v>
      </c>
      <c r="K316" s="33">
        <v>0</v>
      </c>
      <c r="L316" s="33">
        <v>0</v>
      </c>
      <c r="M316">
        <v>3</v>
      </c>
      <c r="N316">
        <v>0</v>
      </c>
      <c r="O316">
        <v>3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5</v>
      </c>
      <c r="AK316">
        <v>2</v>
      </c>
      <c r="AL316">
        <v>4</v>
      </c>
      <c r="AM316">
        <v>3</v>
      </c>
      <c r="AN316" s="22">
        <v>0</v>
      </c>
      <c r="AO316" s="22">
        <v>0</v>
      </c>
      <c r="AP316" s="22">
        <v>0</v>
      </c>
      <c r="AQ316" s="22">
        <v>0</v>
      </c>
      <c r="AR316" s="35">
        <v>0</v>
      </c>
      <c r="AS316" s="35">
        <v>0</v>
      </c>
      <c r="AT316" s="35">
        <v>3</v>
      </c>
      <c r="AU316" s="31" t="str">
        <f t="shared" si="8"/>
        <v>库存为3</v>
      </c>
      <c r="AV316" s="36" t="str">
        <f>IFERROR(时间!$B$4+AU316,"上周无销量")</f>
        <v>上周无销量</v>
      </c>
    </row>
    <row r="317" spans="1:48">
      <c r="A317" s="20" t="s">
        <v>755</v>
      </c>
      <c r="B317" t="s">
        <v>756</v>
      </c>
      <c r="C317" t="s">
        <v>754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1</v>
      </c>
      <c r="J317" s="33">
        <v>0</v>
      </c>
      <c r="K317" s="33">
        <v>0</v>
      </c>
      <c r="L317" s="33">
        <v>0</v>
      </c>
      <c r="M317">
        <v>1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3</v>
      </c>
      <c r="AK317">
        <v>6</v>
      </c>
      <c r="AL317">
        <v>10</v>
      </c>
      <c r="AM317">
        <v>0</v>
      </c>
      <c r="AN317" s="22">
        <v>0</v>
      </c>
      <c r="AO317" s="22">
        <v>0</v>
      </c>
      <c r="AP317" s="22">
        <v>0</v>
      </c>
      <c r="AQ317" s="22" t="s">
        <v>53</v>
      </c>
      <c r="AR317" s="35">
        <v>0</v>
      </c>
      <c r="AS317" s="35">
        <v>0</v>
      </c>
      <c r="AT317" s="35">
        <v>1</v>
      </c>
      <c r="AU317" s="31" t="str">
        <f t="shared" si="8"/>
        <v>库存为1</v>
      </c>
      <c r="AV317" s="36" t="str">
        <f>IFERROR(时间!$B$4+AU317,"上周无销量")</f>
        <v>上周无销量</v>
      </c>
    </row>
    <row r="318" spans="1:48">
      <c r="A318" s="20" t="s">
        <v>757</v>
      </c>
      <c r="B318" t="s">
        <v>758</v>
      </c>
      <c r="C318" t="s">
        <v>754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6</v>
      </c>
      <c r="J318" s="33">
        <v>0</v>
      </c>
      <c r="K318" s="33">
        <v>0</v>
      </c>
      <c r="L318" s="33">
        <v>0</v>
      </c>
      <c r="M318">
        <v>6</v>
      </c>
      <c r="N318">
        <v>0</v>
      </c>
      <c r="O318">
        <v>6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27</v>
      </c>
      <c r="AK318">
        <v>19</v>
      </c>
      <c r="AL318">
        <v>18</v>
      </c>
      <c r="AM318">
        <v>17</v>
      </c>
      <c r="AN318" s="22">
        <v>0</v>
      </c>
      <c r="AO318" s="22">
        <v>0</v>
      </c>
      <c r="AP318" s="22">
        <v>0</v>
      </c>
      <c r="AQ318" s="22">
        <v>0</v>
      </c>
      <c r="AR318" s="35">
        <v>0</v>
      </c>
      <c r="AS318" s="35">
        <v>0</v>
      </c>
      <c r="AT318" s="35">
        <v>6</v>
      </c>
      <c r="AU318" s="31" t="str">
        <f t="shared" si="8"/>
        <v>库存为6</v>
      </c>
      <c r="AV318" s="36" t="str">
        <f>IFERROR(时间!$B$4+AU318,"上周无销量")</f>
        <v>上周无销量</v>
      </c>
    </row>
    <row r="319" spans="1:48">
      <c r="A319" s="20" t="s">
        <v>759</v>
      </c>
      <c r="B319" t="s">
        <v>760</v>
      </c>
      <c r="C319" t="s">
        <v>754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1</v>
      </c>
      <c r="J319" s="33">
        <v>0</v>
      </c>
      <c r="K319" s="33">
        <v>0</v>
      </c>
      <c r="L319" s="33">
        <v>0</v>
      </c>
      <c r="M319">
        <v>1</v>
      </c>
      <c r="N319">
        <v>0</v>
      </c>
      <c r="O319">
        <v>0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1</v>
      </c>
      <c r="AK319">
        <v>4</v>
      </c>
      <c r="AL319">
        <v>2</v>
      </c>
      <c r="AM319">
        <v>3</v>
      </c>
      <c r="AN319" s="22">
        <v>0</v>
      </c>
      <c r="AO319" s="22">
        <v>0</v>
      </c>
      <c r="AP319" s="22">
        <v>0</v>
      </c>
      <c r="AQ319" s="22">
        <v>0</v>
      </c>
      <c r="AR319" s="35">
        <v>0</v>
      </c>
      <c r="AS319" s="35">
        <v>0</v>
      </c>
      <c r="AT319" s="35">
        <v>1</v>
      </c>
      <c r="AU319" s="31" t="str">
        <f t="shared" si="8"/>
        <v>库存为1</v>
      </c>
      <c r="AV319" s="36" t="str">
        <f>IFERROR(时间!$B$4+AU319,"上周无销量")</f>
        <v>上周无销量</v>
      </c>
    </row>
    <row r="320" spans="1:48">
      <c r="A320" s="20" t="s">
        <v>761</v>
      </c>
      <c r="B320" t="s">
        <v>762</v>
      </c>
      <c r="C320" t="s">
        <v>763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7</v>
      </c>
      <c r="J320" s="33">
        <v>0</v>
      </c>
      <c r="K320" s="33">
        <v>0</v>
      </c>
      <c r="L320" s="33">
        <v>0</v>
      </c>
      <c r="M320">
        <v>7</v>
      </c>
      <c r="N320">
        <v>0</v>
      </c>
      <c r="O320">
        <v>7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0</v>
      </c>
      <c r="AK320">
        <v>4</v>
      </c>
      <c r="AL320">
        <v>3</v>
      </c>
      <c r="AM320">
        <v>1</v>
      </c>
      <c r="AN320" s="22" t="s">
        <v>53</v>
      </c>
      <c r="AO320" s="22">
        <v>0</v>
      </c>
      <c r="AP320" s="22">
        <v>0</v>
      </c>
      <c r="AQ320" s="22">
        <v>0</v>
      </c>
      <c r="AR320" s="35">
        <v>0</v>
      </c>
      <c r="AS320" s="35">
        <v>0</v>
      </c>
      <c r="AT320" s="35">
        <v>7</v>
      </c>
      <c r="AU320" s="31" t="str">
        <f t="shared" si="8"/>
        <v>库存为7</v>
      </c>
      <c r="AV320" s="36" t="str">
        <f>IFERROR(时间!$B$4+AU320,"上周无销量")</f>
        <v>上周无销量</v>
      </c>
    </row>
    <row r="321" spans="1:48">
      <c r="A321" s="20" t="s">
        <v>764</v>
      </c>
      <c r="B321" t="s">
        <v>765</v>
      </c>
      <c r="C321" t="s">
        <v>763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0</v>
      </c>
      <c r="AK321">
        <v>5</v>
      </c>
      <c r="AL321">
        <v>3</v>
      </c>
      <c r="AM321">
        <v>4</v>
      </c>
      <c r="AN321" s="22" t="s">
        <v>53</v>
      </c>
      <c r="AO321" s="22">
        <v>0</v>
      </c>
      <c r="AP321" s="22">
        <v>0</v>
      </c>
      <c r="AQ321" s="22">
        <v>0</v>
      </c>
      <c r="AR321" s="35">
        <v>0</v>
      </c>
      <c r="AS321" s="35">
        <v>0</v>
      </c>
      <c r="AT321" s="35">
        <v>0</v>
      </c>
      <c r="AU321" s="31" t="str">
        <f t="shared" si="8"/>
        <v>库存为0</v>
      </c>
      <c r="AV321" s="36" t="str">
        <f>IFERROR(时间!$B$4+AU321,"上周无销量")</f>
        <v>上周无销量</v>
      </c>
    </row>
    <row r="322" spans="1:48">
      <c r="A322" s="20" t="s">
        <v>766</v>
      </c>
      <c r="B322" t="s">
        <v>767</v>
      </c>
      <c r="C322" t="s">
        <v>768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769</v>
      </c>
      <c r="B323" t="s">
        <v>770</v>
      </c>
      <c r="C323" t="s">
        <v>771</v>
      </c>
      <c r="D323" s="31">
        <v>2</v>
      </c>
      <c r="E323" s="31">
        <v>1</v>
      </c>
      <c r="F323" s="31">
        <v>1</v>
      </c>
      <c r="G323" s="31">
        <v>0</v>
      </c>
      <c r="H323" s="32">
        <v>17.025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1</v>
      </c>
      <c r="AK323">
        <v>2</v>
      </c>
      <c r="AL323">
        <v>2</v>
      </c>
      <c r="AM323">
        <v>7</v>
      </c>
      <c r="AN323" s="22">
        <v>2</v>
      </c>
      <c r="AO323" s="22">
        <v>0.5</v>
      </c>
      <c r="AP323" s="22">
        <v>0.5</v>
      </c>
      <c r="AQ323" s="22">
        <v>0</v>
      </c>
      <c r="AR323" s="35">
        <v>0.285714285714286</v>
      </c>
      <c r="AS323" s="35">
        <v>17.1428571428571</v>
      </c>
      <c r="AT323" s="35">
        <v>-17.1428571428571</v>
      </c>
      <c r="AU323" s="31">
        <f t="shared" si="8"/>
        <v>0</v>
      </c>
      <c r="AV323" s="36">
        <f>IFERROR(时间!$B$4+AU323,"上周无销量")</f>
        <v>43332</v>
      </c>
    </row>
    <row r="324" spans="1:48">
      <c r="A324" s="20" t="s">
        <v>772</v>
      </c>
      <c r="B324" t="s">
        <v>773</v>
      </c>
      <c r="C324" t="s">
        <v>771</v>
      </c>
      <c r="D324" s="31">
        <v>0</v>
      </c>
      <c r="E324" s="31">
        <v>0</v>
      </c>
      <c r="F324" s="31">
        <v>0</v>
      </c>
      <c r="G324" s="31">
        <v>1</v>
      </c>
      <c r="H324" s="32">
        <v>22.7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1</v>
      </c>
      <c r="AK324">
        <v>3</v>
      </c>
      <c r="AL324">
        <v>4</v>
      </c>
      <c r="AM324">
        <v>6</v>
      </c>
      <c r="AN324" s="22">
        <v>0</v>
      </c>
      <c r="AO324" s="22">
        <v>0</v>
      </c>
      <c r="AP324" s="22">
        <v>0</v>
      </c>
      <c r="AQ324" s="22">
        <v>0.166666666666667</v>
      </c>
      <c r="AR324" s="35">
        <v>0</v>
      </c>
      <c r="AS324" s="35">
        <v>0</v>
      </c>
      <c r="AT324" s="35">
        <v>0</v>
      </c>
      <c r="AU324" s="31" t="str">
        <f t="shared" si="8"/>
        <v>库存为0</v>
      </c>
      <c r="AV324" s="36" t="str">
        <f>IFERROR(时间!$B$4+AU324,"上周无销量")</f>
        <v>上周无销量</v>
      </c>
    </row>
    <row r="325" spans="1:48">
      <c r="A325" s="20" t="s">
        <v>774</v>
      </c>
      <c r="B325" t="s">
        <v>775</v>
      </c>
      <c r="C325" t="s">
        <v>771</v>
      </c>
      <c r="D325" s="31">
        <v>0</v>
      </c>
      <c r="E325" s="31">
        <v>1</v>
      </c>
      <c r="F325" s="31">
        <v>0</v>
      </c>
      <c r="G325" s="31">
        <v>0</v>
      </c>
      <c r="H325" s="32">
        <v>22.7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3</v>
      </c>
      <c r="AM325">
        <v>7</v>
      </c>
      <c r="AN325" s="22" t="s">
        <v>53</v>
      </c>
      <c r="AO325" s="22" t="s">
        <v>53</v>
      </c>
      <c r="AP325" s="22">
        <v>0</v>
      </c>
      <c r="AQ325" s="22">
        <v>0</v>
      </c>
      <c r="AR325" s="35">
        <v>0</v>
      </c>
      <c r="AS325" s="35">
        <v>0</v>
      </c>
      <c r="AT325" s="35">
        <v>0</v>
      </c>
      <c r="AU325" s="31" t="str">
        <f t="shared" ref="AU325:AU388" si="9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0" t="s">
        <v>776</v>
      </c>
      <c r="B326" t="s">
        <v>777</v>
      </c>
      <c r="C326" t="s">
        <v>771</v>
      </c>
      <c r="D326" s="31">
        <v>0</v>
      </c>
      <c r="E326" s="31">
        <v>1</v>
      </c>
      <c r="F326" s="31">
        <v>0</v>
      </c>
      <c r="G326" s="31">
        <v>0</v>
      </c>
      <c r="H326" s="32">
        <v>22.7</v>
      </c>
      <c r="I326">
        <v>5</v>
      </c>
      <c r="J326" s="33">
        <v>0</v>
      </c>
      <c r="K326" s="33">
        <v>0</v>
      </c>
      <c r="L326" s="33">
        <v>0</v>
      </c>
      <c r="M326">
        <v>5</v>
      </c>
      <c r="N326">
        <v>0</v>
      </c>
      <c r="O326">
        <v>4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8</v>
      </c>
      <c r="AK326">
        <v>9</v>
      </c>
      <c r="AL326">
        <v>14</v>
      </c>
      <c r="AM326">
        <v>12</v>
      </c>
      <c r="AN326" s="22">
        <v>0</v>
      </c>
      <c r="AO326" s="22">
        <v>0.111111111111111</v>
      </c>
      <c r="AP326" s="22">
        <v>0</v>
      </c>
      <c r="AQ326" s="22">
        <v>0</v>
      </c>
      <c r="AR326" s="35">
        <v>0</v>
      </c>
      <c r="AS326" s="35">
        <v>0</v>
      </c>
      <c r="AT326" s="35">
        <v>5</v>
      </c>
      <c r="AU326" s="31" t="str">
        <f t="shared" si="9"/>
        <v>库存为5</v>
      </c>
      <c r="AV326" s="36" t="str">
        <f>IFERROR(时间!$B$4+AU326,"上周无销量")</f>
        <v>上周无销量</v>
      </c>
    </row>
    <row r="327" spans="1:48">
      <c r="A327" s="20" t="s">
        <v>778</v>
      </c>
      <c r="B327" t="s">
        <v>779</v>
      </c>
      <c r="C327" t="s">
        <v>771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0</v>
      </c>
      <c r="AU327" s="31" t="str">
        <f t="shared" si="9"/>
        <v>库存为0</v>
      </c>
      <c r="AV327" s="36" t="str">
        <f>IFERROR(时间!$B$4+AU327,"上周无销量")</f>
        <v>上周无销量</v>
      </c>
    </row>
    <row r="328" spans="1:48">
      <c r="A328" s="20" t="s">
        <v>780</v>
      </c>
      <c r="B328" t="s">
        <v>781</v>
      </c>
      <c r="C328" t="s">
        <v>771</v>
      </c>
      <c r="D328" s="31">
        <v>0</v>
      </c>
      <c r="E328" s="31">
        <v>0</v>
      </c>
      <c r="F328" s="31">
        <v>1</v>
      </c>
      <c r="G328" s="31">
        <v>0</v>
      </c>
      <c r="H328" s="32">
        <v>22.7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4</v>
      </c>
      <c r="AM328">
        <v>6</v>
      </c>
      <c r="AN328" s="22" t="s">
        <v>53</v>
      </c>
      <c r="AO328" s="22" t="s">
        <v>53</v>
      </c>
      <c r="AP328" s="22">
        <v>0.25</v>
      </c>
      <c r="AQ328" s="22">
        <v>0</v>
      </c>
      <c r="AR328" s="35">
        <v>0</v>
      </c>
      <c r="AS328" s="35">
        <v>0</v>
      </c>
      <c r="AT328" s="35">
        <v>0</v>
      </c>
      <c r="AU328" s="31" t="str">
        <f t="shared" si="9"/>
        <v>库存为0</v>
      </c>
      <c r="AV328" s="36" t="str">
        <f>IFERROR(时间!$B$4+AU328,"上周无销量")</f>
        <v>上周无销量</v>
      </c>
    </row>
    <row r="329" spans="1:48">
      <c r="A329" s="20" t="s">
        <v>782</v>
      </c>
      <c r="B329" t="s">
        <v>783</v>
      </c>
      <c r="C329" t="s">
        <v>782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4</v>
      </c>
      <c r="J329" s="33">
        <v>0</v>
      </c>
      <c r="K329" s="33">
        <v>0</v>
      </c>
      <c r="L329" s="33">
        <v>0</v>
      </c>
      <c r="M329">
        <v>4</v>
      </c>
      <c r="N329">
        <v>0</v>
      </c>
      <c r="O329">
        <v>4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10</v>
      </c>
      <c r="AK329">
        <v>4</v>
      </c>
      <c r="AL329">
        <v>1</v>
      </c>
      <c r="AM329">
        <v>4</v>
      </c>
      <c r="AN329" s="22">
        <v>0</v>
      </c>
      <c r="AO329" s="22">
        <v>0</v>
      </c>
      <c r="AP329" s="22">
        <v>0</v>
      </c>
      <c r="AQ329" s="22">
        <v>0</v>
      </c>
      <c r="AR329" s="35">
        <v>0</v>
      </c>
      <c r="AS329" s="35">
        <v>0</v>
      </c>
      <c r="AT329" s="35">
        <v>4</v>
      </c>
      <c r="AU329" s="31" t="str">
        <f t="shared" si="9"/>
        <v>库存为4</v>
      </c>
      <c r="AV329" s="36" t="str">
        <f>IFERROR(时间!$B$4+AU329,"上周无销量")</f>
        <v>上周无销量</v>
      </c>
    </row>
    <row r="330" spans="1:48">
      <c r="A330" s="20" t="s">
        <v>784</v>
      </c>
      <c r="B330" t="s">
        <v>785</v>
      </c>
      <c r="C330" t="s">
        <v>784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1</v>
      </c>
      <c r="AK330">
        <v>5</v>
      </c>
      <c r="AL330">
        <v>3</v>
      </c>
      <c r="AM330">
        <v>5</v>
      </c>
      <c r="AN330" s="22">
        <v>0</v>
      </c>
      <c r="AO330" s="22">
        <v>0</v>
      </c>
      <c r="AP330" s="22">
        <v>0</v>
      </c>
      <c r="AQ330" s="22">
        <v>0</v>
      </c>
      <c r="AR330" s="35">
        <v>0</v>
      </c>
      <c r="AS330" s="35">
        <v>0</v>
      </c>
      <c r="AT330" s="35">
        <v>0</v>
      </c>
      <c r="AU330" s="31" t="str">
        <f t="shared" si="9"/>
        <v>库存为0</v>
      </c>
      <c r="AV330" s="36" t="str">
        <f>IFERROR(时间!$B$4+AU330,"上周无销量")</f>
        <v>上周无销量</v>
      </c>
    </row>
    <row r="331" spans="1:48">
      <c r="A331" s="20" t="s">
        <v>786</v>
      </c>
      <c r="B331" t="s">
        <v>787</v>
      </c>
      <c r="C331" t="s">
        <v>788</v>
      </c>
      <c r="D331" s="31">
        <v>4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3</v>
      </c>
      <c r="AK331">
        <v>16</v>
      </c>
      <c r="AL331">
        <v>6</v>
      </c>
      <c r="AM331">
        <v>5</v>
      </c>
      <c r="AN331" s="22">
        <v>1.33333333333333</v>
      </c>
      <c r="AO331" s="22">
        <v>0</v>
      </c>
      <c r="AP331" s="22">
        <v>0</v>
      </c>
      <c r="AQ331" s="22">
        <v>0</v>
      </c>
      <c r="AR331" s="35">
        <v>0.571428571428571</v>
      </c>
      <c r="AS331" s="35">
        <v>34.2857142857143</v>
      </c>
      <c r="AT331" s="35">
        <v>-34.2857142857143</v>
      </c>
      <c r="AU331" s="31">
        <f t="shared" si="9"/>
        <v>0</v>
      </c>
      <c r="AV331" s="36">
        <f>IFERROR(时间!$B$4+AU331,"上周无销量")</f>
        <v>43332</v>
      </c>
    </row>
    <row r="332" spans="1:48">
      <c r="A332" s="20" t="s">
        <v>789</v>
      </c>
      <c r="B332" t="s">
        <v>790</v>
      </c>
      <c r="C332" t="s">
        <v>791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7</v>
      </c>
      <c r="J332" s="33">
        <v>0</v>
      </c>
      <c r="K332" s="33">
        <v>0</v>
      </c>
      <c r="L332" s="33">
        <v>0</v>
      </c>
      <c r="M332">
        <v>7</v>
      </c>
      <c r="N332">
        <v>0</v>
      </c>
      <c r="O332">
        <v>7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9</v>
      </c>
      <c r="AK332">
        <v>5</v>
      </c>
      <c r="AL332">
        <v>4</v>
      </c>
      <c r="AM332">
        <v>3</v>
      </c>
      <c r="AN332" s="22">
        <v>0</v>
      </c>
      <c r="AO332" s="22">
        <v>0</v>
      </c>
      <c r="AP332" s="22">
        <v>0</v>
      </c>
      <c r="AQ332" s="22">
        <v>0</v>
      </c>
      <c r="AR332" s="35">
        <v>0</v>
      </c>
      <c r="AS332" s="35">
        <v>0</v>
      </c>
      <c r="AT332" s="35">
        <v>7</v>
      </c>
      <c r="AU332" s="31" t="str">
        <f t="shared" si="9"/>
        <v>库存为7</v>
      </c>
      <c r="AV332" s="36" t="str">
        <f>IFERROR(时间!$B$4+AU332,"上周无销量")</f>
        <v>上周无销量</v>
      </c>
    </row>
    <row r="333" spans="1:48">
      <c r="A333" s="20" t="s">
        <v>792</v>
      </c>
      <c r="B333" t="s">
        <v>793</v>
      </c>
      <c r="C333" t="s">
        <v>791</v>
      </c>
      <c r="D333" s="31">
        <v>6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15</v>
      </c>
      <c r="AL333">
        <v>7</v>
      </c>
      <c r="AM333">
        <v>7</v>
      </c>
      <c r="AN333" s="22" t="s">
        <v>53</v>
      </c>
      <c r="AO333" s="22">
        <v>0</v>
      </c>
      <c r="AP333" s="22">
        <v>0</v>
      </c>
      <c r="AQ333" s="22">
        <v>0</v>
      </c>
      <c r="AR333" s="35">
        <v>0.857142857142857</v>
      </c>
      <c r="AS333" s="35">
        <v>51.4285714285714</v>
      </c>
      <c r="AT333" s="35">
        <v>-51.4285714285714</v>
      </c>
      <c r="AU333" s="31">
        <f t="shared" si="9"/>
        <v>0</v>
      </c>
      <c r="AV333" s="36">
        <f>IFERROR(时间!$B$4+AU333,"上周无销量")</f>
        <v>43332</v>
      </c>
    </row>
    <row r="334" spans="1:48">
      <c r="A334" s="20" t="s">
        <v>794</v>
      </c>
      <c r="B334" t="s">
        <v>795</v>
      </c>
      <c r="C334" t="s">
        <v>796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28</v>
      </c>
      <c r="J334" s="33">
        <v>0</v>
      </c>
      <c r="K334" s="33">
        <v>0</v>
      </c>
      <c r="L334" s="33">
        <v>0</v>
      </c>
      <c r="M334">
        <v>28</v>
      </c>
      <c r="N334">
        <v>0</v>
      </c>
      <c r="O334">
        <v>28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5</v>
      </c>
      <c r="AK334">
        <v>3</v>
      </c>
      <c r="AL334">
        <v>2</v>
      </c>
      <c r="AM334">
        <v>2</v>
      </c>
      <c r="AN334" s="22">
        <v>0</v>
      </c>
      <c r="AO334" s="22">
        <v>0</v>
      </c>
      <c r="AP334" s="22">
        <v>0</v>
      </c>
      <c r="AQ334" s="22">
        <v>0</v>
      </c>
      <c r="AR334" s="35">
        <v>0</v>
      </c>
      <c r="AS334" s="35">
        <v>0</v>
      </c>
      <c r="AT334" s="35">
        <v>28</v>
      </c>
      <c r="AU334" s="31" t="str">
        <f t="shared" si="9"/>
        <v>库存为28</v>
      </c>
      <c r="AV334" s="36" t="str">
        <f>IFERROR(时间!$B$4+AU334,"上周无销量")</f>
        <v>上周无销量</v>
      </c>
    </row>
    <row r="335" spans="1:48">
      <c r="A335" s="20" t="s">
        <v>797</v>
      </c>
      <c r="B335" t="s">
        <v>798</v>
      </c>
      <c r="C335" t="s">
        <v>796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2</v>
      </c>
      <c r="J335" s="33">
        <v>0</v>
      </c>
      <c r="K335" s="33">
        <v>0</v>
      </c>
      <c r="L335" s="33">
        <v>0</v>
      </c>
      <c r="M335">
        <v>2</v>
      </c>
      <c r="N335">
        <v>0</v>
      </c>
      <c r="O335">
        <v>2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2</v>
      </c>
      <c r="AK335">
        <v>3</v>
      </c>
      <c r="AL335">
        <v>1</v>
      </c>
      <c r="AM335">
        <v>2</v>
      </c>
      <c r="AN335" s="22">
        <v>0</v>
      </c>
      <c r="AO335" s="22">
        <v>0</v>
      </c>
      <c r="AP335" s="22">
        <v>0</v>
      </c>
      <c r="AQ335" s="22">
        <v>0</v>
      </c>
      <c r="AR335" s="35">
        <v>0</v>
      </c>
      <c r="AS335" s="35">
        <v>0</v>
      </c>
      <c r="AT335" s="35">
        <v>2</v>
      </c>
      <c r="AU335" s="31" t="str">
        <f t="shared" si="9"/>
        <v>库存为2</v>
      </c>
      <c r="AV335" s="36" t="str">
        <f>IFERROR(时间!$B$4+AU335,"上周无销量")</f>
        <v>上周无销量</v>
      </c>
    </row>
    <row r="336" spans="1:48">
      <c r="A336" s="20" t="s">
        <v>799</v>
      </c>
      <c r="B336" t="s">
        <v>800</v>
      </c>
      <c r="C336" t="s">
        <v>796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26</v>
      </c>
      <c r="J336" s="33">
        <v>0</v>
      </c>
      <c r="K336" s="33">
        <v>0</v>
      </c>
      <c r="L336" s="33">
        <v>0</v>
      </c>
      <c r="M336">
        <v>26</v>
      </c>
      <c r="N336">
        <v>0</v>
      </c>
      <c r="O336">
        <v>26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3</v>
      </c>
      <c r="AK336">
        <v>5</v>
      </c>
      <c r="AL336">
        <v>1</v>
      </c>
      <c r="AM336">
        <v>4</v>
      </c>
      <c r="AN336" s="22">
        <v>0</v>
      </c>
      <c r="AO336" s="22">
        <v>0</v>
      </c>
      <c r="AP336" s="22">
        <v>0</v>
      </c>
      <c r="AQ336" s="22">
        <v>0</v>
      </c>
      <c r="AR336" s="35">
        <v>0</v>
      </c>
      <c r="AS336" s="35">
        <v>0</v>
      </c>
      <c r="AT336" s="35">
        <v>26</v>
      </c>
      <c r="AU336" s="31" t="str">
        <f t="shared" si="9"/>
        <v>库存为26</v>
      </c>
      <c r="AV336" s="36" t="str">
        <f>IFERROR(时间!$B$4+AU336,"上周无销量")</f>
        <v>上周无销量</v>
      </c>
    </row>
    <row r="337" spans="1:48">
      <c r="A337" s="20" t="s">
        <v>801</v>
      </c>
      <c r="B337" t="s">
        <v>802</v>
      </c>
      <c r="C337" t="s">
        <v>796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18</v>
      </c>
      <c r="J337" s="33">
        <v>0</v>
      </c>
      <c r="K337" s="33">
        <v>0</v>
      </c>
      <c r="L337" s="33">
        <v>0</v>
      </c>
      <c r="M337">
        <v>18</v>
      </c>
      <c r="N337">
        <v>0</v>
      </c>
      <c r="O337">
        <v>18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4</v>
      </c>
      <c r="AK337">
        <v>5</v>
      </c>
      <c r="AL337">
        <v>4</v>
      </c>
      <c r="AM337">
        <v>2</v>
      </c>
      <c r="AN337" s="22">
        <v>0</v>
      </c>
      <c r="AO337" s="22">
        <v>0</v>
      </c>
      <c r="AP337" s="22">
        <v>0</v>
      </c>
      <c r="AQ337" s="22">
        <v>0</v>
      </c>
      <c r="AR337" s="35">
        <v>0</v>
      </c>
      <c r="AS337" s="35">
        <v>0</v>
      </c>
      <c r="AT337" s="35">
        <v>18</v>
      </c>
      <c r="AU337" s="31" t="str">
        <f t="shared" si="9"/>
        <v>库存为18</v>
      </c>
      <c r="AV337" s="36" t="str">
        <f>IFERROR(时间!$B$4+AU337,"上周无销量")</f>
        <v>上周无销量</v>
      </c>
    </row>
    <row r="338" spans="1:48">
      <c r="A338" s="20" t="s">
        <v>803</v>
      </c>
      <c r="B338" t="s">
        <v>804</v>
      </c>
      <c r="C338" t="s">
        <v>796</v>
      </c>
      <c r="D338" s="31">
        <v>1</v>
      </c>
      <c r="E338" s="31">
        <v>0</v>
      </c>
      <c r="F338" s="31">
        <v>0</v>
      </c>
      <c r="G338" s="31">
        <v>0</v>
      </c>
      <c r="H338" s="32">
        <v>22.9</v>
      </c>
      <c r="I338">
        <v>14</v>
      </c>
      <c r="J338" s="33">
        <v>0</v>
      </c>
      <c r="K338" s="33">
        <v>0</v>
      </c>
      <c r="L338" s="33">
        <v>0</v>
      </c>
      <c r="M338">
        <v>14</v>
      </c>
      <c r="N338">
        <v>0</v>
      </c>
      <c r="O338">
        <v>13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19</v>
      </c>
      <c r="AK338">
        <v>20</v>
      </c>
      <c r="AL338">
        <v>11</v>
      </c>
      <c r="AM338">
        <v>6</v>
      </c>
      <c r="AN338" s="22">
        <v>0.0526315789473684</v>
      </c>
      <c r="AO338" s="22">
        <v>0</v>
      </c>
      <c r="AP338" s="22">
        <v>0</v>
      </c>
      <c r="AQ338" s="22">
        <v>0</v>
      </c>
      <c r="AR338" s="35">
        <v>0.142857142857143</v>
      </c>
      <c r="AS338" s="35">
        <v>8.57142857142857</v>
      </c>
      <c r="AT338" s="35">
        <v>5.42857142857143</v>
      </c>
      <c r="AU338" s="31">
        <f t="shared" si="9"/>
        <v>98</v>
      </c>
      <c r="AV338" s="36">
        <f>IFERROR(时间!$B$4+AU338,"上周无销量")</f>
        <v>43430</v>
      </c>
    </row>
    <row r="339" spans="1:48">
      <c r="A339" s="20" t="s">
        <v>805</v>
      </c>
      <c r="B339" t="s">
        <v>806</v>
      </c>
      <c r="C339" t="s">
        <v>807</v>
      </c>
      <c r="D339" s="31">
        <v>0</v>
      </c>
      <c r="E339" s="31">
        <v>1</v>
      </c>
      <c r="F339" s="31">
        <v>0</v>
      </c>
      <c r="G339" s="31">
        <v>0</v>
      </c>
      <c r="H339" s="32">
        <v>22.7</v>
      </c>
      <c r="I339">
        <v>8</v>
      </c>
      <c r="J339" s="33">
        <v>0</v>
      </c>
      <c r="K339" s="33">
        <v>0</v>
      </c>
      <c r="L339" s="33">
        <v>0</v>
      </c>
      <c r="M339">
        <v>8</v>
      </c>
      <c r="N339">
        <v>0</v>
      </c>
      <c r="O339">
        <v>8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6</v>
      </c>
      <c r="AK339">
        <v>2</v>
      </c>
      <c r="AL339">
        <v>2</v>
      </c>
      <c r="AM339">
        <v>5</v>
      </c>
      <c r="AN339" s="22">
        <v>0</v>
      </c>
      <c r="AO339" s="22">
        <v>0.5</v>
      </c>
      <c r="AP339" s="22">
        <v>0</v>
      </c>
      <c r="AQ339" s="22">
        <v>0</v>
      </c>
      <c r="AR339" s="35">
        <v>0</v>
      </c>
      <c r="AS339" s="35">
        <v>0</v>
      </c>
      <c r="AT339" s="35">
        <v>8</v>
      </c>
      <c r="AU339" s="31" t="str">
        <f t="shared" si="9"/>
        <v>库存为8</v>
      </c>
      <c r="AV339" s="36" t="str">
        <f>IFERROR(时间!$B$4+AU339,"上周无销量")</f>
        <v>上周无销量</v>
      </c>
    </row>
    <row r="340" spans="1:48">
      <c r="A340" s="20" t="s">
        <v>808</v>
      </c>
      <c r="B340" t="s">
        <v>809</v>
      </c>
      <c r="C340" t="s">
        <v>810</v>
      </c>
      <c r="D340" s="31">
        <v>2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6</v>
      </c>
      <c r="AL340">
        <v>1</v>
      </c>
      <c r="AM340">
        <v>0</v>
      </c>
      <c r="AN340" s="22" t="s">
        <v>53</v>
      </c>
      <c r="AO340" s="22">
        <v>0</v>
      </c>
      <c r="AP340" s="22">
        <v>0</v>
      </c>
      <c r="AQ340" s="22" t="s">
        <v>53</v>
      </c>
      <c r="AR340" s="35">
        <v>0.285714285714286</v>
      </c>
      <c r="AS340" s="35">
        <v>17.1428571428571</v>
      </c>
      <c r="AT340" s="35">
        <v>-17.1428571428571</v>
      </c>
      <c r="AU340" s="31">
        <f t="shared" si="9"/>
        <v>0</v>
      </c>
      <c r="AV340" s="36">
        <f>IFERROR(时间!$B$4+AU340,"上周无销量")</f>
        <v>43332</v>
      </c>
    </row>
    <row r="341" spans="1:48">
      <c r="A341" s="20" t="s">
        <v>811</v>
      </c>
      <c r="B341" t="s">
        <v>812</v>
      </c>
      <c r="C341" t="s">
        <v>810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8</v>
      </c>
      <c r="AL341">
        <v>0</v>
      </c>
      <c r="AM341">
        <v>1</v>
      </c>
      <c r="AN341" s="22" t="s">
        <v>53</v>
      </c>
      <c r="AO341" s="22">
        <v>0</v>
      </c>
      <c r="AP341" s="22" t="s">
        <v>53</v>
      </c>
      <c r="AQ341" s="22">
        <v>0</v>
      </c>
      <c r="AR341" s="35">
        <v>0</v>
      </c>
      <c r="AS341" s="35">
        <v>0</v>
      </c>
      <c r="AT341" s="35">
        <v>0</v>
      </c>
      <c r="AU341" s="31" t="str">
        <f t="shared" si="9"/>
        <v>库存为0</v>
      </c>
      <c r="AV341" s="36" t="str">
        <f>IFERROR(时间!$B$4+AU341,"上周无销量")</f>
        <v>上周无销量</v>
      </c>
    </row>
    <row r="342" spans="1:48">
      <c r="A342" s="20" t="s">
        <v>813</v>
      </c>
      <c r="B342" t="s">
        <v>814</v>
      </c>
      <c r="C342" t="s">
        <v>810</v>
      </c>
      <c r="D342" s="31">
        <v>0</v>
      </c>
      <c r="E342" s="31">
        <v>2</v>
      </c>
      <c r="F342" s="31">
        <v>0</v>
      </c>
      <c r="G342" s="31">
        <v>0</v>
      </c>
      <c r="H342" s="32">
        <v>15.59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2</v>
      </c>
      <c r="AM342">
        <v>4</v>
      </c>
      <c r="AN342" s="22" t="s">
        <v>53</v>
      </c>
      <c r="AO342" s="22" t="s">
        <v>53</v>
      </c>
      <c r="AP342" s="22">
        <v>0</v>
      </c>
      <c r="AQ342" s="22">
        <v>0</v>
      </c>
      <c r="AR342" s="35">
        <v>0</v>
      </c>
      <c r="AS342" s="35">
        <v>0</v>
      </c>
      <c r="AT342" s="35">
        <v>0</v>
      </c>
      <c r="AU342" s="31" t="str">
        <f t="shared" si="9"/>
        <v>库存为0</v>
      </c>
      <c r="AV342" s="36" t="str">
        <f>IFERROR(时间!$B$4+AU342,"上周无销量")</f>
        <v>上周无销量</v>
      </c>
    </row>
    <row r="343" spans="1:48">
      <c r="A343" s="20" t="s">
        <v>815</v>
      </c>
      <c r="B343" t="s">
        <v>816</v>
      </c>
      <c r="C343" t="s">
        <v>810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1</v>
      </c>
      <c r="AK343">
        <v>6</v>
      </c>
      <c r="AL343">
        <v>1</v>
      </c>
      <c r="AM343">
        <v>1</v>
      </c>
      <c r="AN343" s="22">
        <v>0</v>
      </c>
      <c r="AO343" s="22">
        <v>0</v>
      </c>
      <c r="AP343" s="22">
        <v>0</v>
      </c>
      <c r="AQ343" s="22">
        <v>0</v>
      </c>
      <c r="AR343" s="35">
        <v>0</v>
      </c>
      <c r="AS343" s="35">
        <v>0</v>
      </c>
      <c r="AT343" s="35">
        <v>0</v>
      </c>
      <c r="AU343" s="31" t="str">
        <f t="shared" si="9"/>
        <v>库存为0</v>
      </c>
      <c r="AV343" s="36" t="str">
        <f>IFERROR(时间!$B$4+AU343,"上周无销量")</f>
        <v>上周无销量</v>
      </c>
    </row>
    <row r="344" spans="1:48">
      <c r="A344" s="20" t="s">
        <v>817</v>
      </c>
      <c r="B344" t="s">
        <v>818</v>
      </c>
      <c r="C344" t="s">
        <v>810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0</v>
      </c>
      <c r="AU344" s="31" t="str">
        <f t="shared" si="9"/>
        <v>库存为0</v>
      </c>
      <c r="AV344" s="36" t="str">
        <f>IFERROR(时间!$B$4+AU344,"上周无销量")</f>
        <v>上周无销量</v>
      </c>
    </row>
    <row r="345" spans="1:48">
      <c r="A345" s="20" t="s">
        <v>819</v>
      </c>
      <c r="B345" t="s">
        <v>820</v>
      </c>
      <c r="C345" t="s">
        <v>821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6</v>
      </c>
      <c r="J345" s="33">
        <v>0</v>
      </c>
      <c r="K345" s="33">
        <v>0</v>
      </c>
      <c r="L345" s="33">
        <v>0</v>
      </c>
      <c r="M345">
        <v>6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6</v>
      </c>
      <c r="AU345" s="31" t="str">
        <f t="shared" si="9"/>
        <v>库存为6</v>
      </c>
      <c r="AV345" s="36" t="str">
        <f>IFERROR(时间!$B$4+AU345,"上周无销量")</f>
        <v>上周无销量</v>
      </c>
    </row>
    <row r="346" spans="1:48">
      <c r="A346" s="20" t="s">
        <v>822</v>
      </c>
      <c r="B346" t="s">
        <v>823</v>
      </c>
      <c r="C346" t="s">
        <v>821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6</v>
      </c>
      <c r="J346" s="33">
        <v>0</v>
      </c>
      <c r="K346" s="33">
        <v>0</v>
      </c>
      <c r="L346" s="33">
        <v>0</v>
      </c>
      <c r="M346">
        <v>6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6</v>
      </c>
      <c r="AU346" s="31" t="str">
        <f t="shared" si="9"/>
        <v>库存为6</v>
      </c>
      <c r="AV346" s="36" t="str">
        <f>IFERROR(时间!$B$4+AU346,"上周无销量")</f>
        <v>上周无销量</v>
      </c>
    </row>
    <row r="347" spans="1:48">
      <c r="A347" s="20" t="s">
        <v>824</v>
      </c>
      <c r="B347" t="s">
        <v>825</v>
      </c>
      <c r="C347" t="s">
        <v>821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6</v>
      </c>
      <c r="J347" s="33">
        <v>0</v>
      </c>
      <c r="K347" s="33">
        <v>0</v>
      </c>
      <c r="L347" s="33">
        <v>0</v>
      </c>
      <c r="M347">
        <v>6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6</v>
      </c>
      <c r="AU347" s="31" t="str">
        <f t="shared" si="9"/>
        <v>库存为6</v>
      </c>
      <c r="AV347" s="36" t="str">
        <f>IFERROR(时间!$B$4+AU347,"上周无销量")</f>
        <v>上周无销量</v>
      </c>
    </row>
    <row r="348" spans="1:48">
      <c r="A348" s="20" t="s">
        <v>826</v>
      </c>
      <c r="B348" t="s">
        <v>827</v>
      </c>
      <c r="C348" t="s">
        <v>821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6</v>
      </c>
      <c r="J348" s="33">
        <v>0</v>
      </c>
      <c r="K348" s="33">
        <v>0</v>
      </c>
      <c r="L348" s="33">
        <v>0</v>
      </c>
      <c r="M348">
        <v>6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6</v>
      </c>
      <c r="AU348" s="31" t="str">
        <f t="shared" si="9"/>
        <v>库存为6</v>
      </c>
      <c r="AV348" s="36" t="str">
        <f>IFERROR(时间!$B$4+AU348,"上周无销量")</f>
        <v>上周无销量</v>
      </c>
    </row>
    <row r="349" spans="1:48">
      <c r="A349" s="20" t="s">
        <v>828</v>
      </c>
      <c r="B349" t="s">
        <v>829</v>
      </c>
      <c r="C349" t="s">
        <v>821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6</v>
      </c>
      <c r="J349" s="33">
        <v>0</v>
      </c>
      <c r="K349" s="33">
        <v>0</v>
      </c>
      <c r="L349" s="33">
        <v>0</v>
      </c>
      <c r="M349">
        <v>6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6</v>
      </c>
      <c r="AU349" s="31" t="str">
        <f t="shared" si="9"/>
        <v>库存为6</v>
      </c>
      <c r="AV349" s="36" t="str">
        <f>IFERROR(时间!$B$4+AU349,"上周无销量")</f>
        <v>上周无销量</v>
      </c>
    </row>
    <row r="350" spans="1:48">
      <c r="A350" s="20" t="s">
        <v>830</v>
      </c>
      <c r="B350" t="s">
        <v>831</v>
      </c>
      <c r="C350" t="s">
        <v>821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6</v>
      </c>
      <c r="J350" s="33">
        <v>0</v>
      </c>
      <c r="K350" s="33">
        <v>0</v>
      </c>
      <c r="L350" s="33">
        <v>0</v>
      </c>
      <c r="M350">
        <v>6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6</v>
      </c>
      <c r="AU350" s="31" t="str">
        <f t="shared" si="9"/>
        <v>库存为6</v>
      </c>
      <c r="AV350" s="36" t="str">
        <f>IFERROR(时间!$B$4+AU350,"上周无销量")</f>
        <v>上周无销量</v>
      </c>
    </row>
    <row r="351" spans="1:48">
      <c r="A351" s="20" t="s">
        <v>832</v>
      </c>
      <c r="B351" t="s">
        <v>833</v>
      </c>
      <c r="C351" t="s">
        <v>821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6</v>
      </c>
      <c r="J351" s="33">
        <v>0</v>
      </c>
      <c r="K351" s="33">
        <v>0</v>
      </c>
      <c r="L351" s="33">
        <v>0</v>
      </c>
      <c r="M351">
        <v>6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6</v>
      </c>
      <c r="AU351" s="31" t="str">
        <f t="shared" si="9"/>
        <v>库存为6</v>
      </c>
      <c r="AV351" s="36" t="str">
        <f>IFERROR(时间!$B$4+AU351,"上周无销量")</f>
        <v>上周无销量</v>
      </c>
    </row>
    <row r="352" spans="1:48">
      <c r="A352" s="20" t="s">
        <v>834</v>
      </c>
      <c r="B352" t="s">
        <v>835</v>
      </c>
      <c r="C352" t="s">
        <v>821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6</v>
      </c>
      <c r="J352" s="33">
        <v>0</v>
      </c>
      <c r="K352" s="33">
        <v>0</v>
      </c>
      <c r="L352" s="33">
        <v>0</v>
      </c>
      <c r="M352">
        <v>6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6</v>
      </c>
      <c r="AU352" s="31" t="str">
        <f t="shared" si="9"/>
        <v>库存为6</v>
      </c>
      <c r="AV352" s="36" t="str">
        <f>IFERROR(时间!$B$4+AU352,"上周无销量")</f>
        <v>上周无销量</v>
      </c>
    </row>
    <row r="353" spans="1:48">
      <c r="A353" s="20" t="s">
        <v>836</v>
      </c>
      <c r="B353" t="s">
        <v>837</v>
      </c>
      <c r="C353" t="s">
        <v>821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6</v>
      </c>
      <c r="J353" s="33">
        <v>0</v>
      </c>
      <c r="K353" s="33">
        <v>0</v>
      </c>
      <c r="L353" s="33">
        <v>0</v>
      </c>
      <c r="M353">
        <v>6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6</v>
      </c>
      <c r="AU353" s="31" t="str">
        <f t="shared" si="9"/>
        <v>库存为6</v>
      </c>
      <c r="AV353" s="36" t="str">
        <f>IFERROR(时间!$B$4+AU353,"上周无销量")</f>
        <v>上周无销量</v>
      </c>
    </row>
    <row r="354" spans="1:48">
      <c r="A354" s="20" t="s">
        <v>838</v>
      </c>
      <c r="B354" t="s">
        <v>839</v>
      </c>
      <c r="C354" t="s">
        <v>840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6</v>
      </c>
      <c r="K354" s="33">
        <v>0</v>
      </c>
      <c r="L354" s="33">
        <v>0</v>
      </c>
      <c r="M354">
        <v>6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6</v>
      </c>
      <c r="AU354" s="31" t="str">
        <f t="shared" si="9"/>
        <v>库存为6</v>
      </c>
      <c r="AV354" s="36" t="str">
        <f>IFERROR(时间!$B$4+AU354,"上周无销量")</f>
        <v>上周无销量</v>
      </c>
    </row>
    <row r="355" spans="1:48">
      <c r="A355" s="20" t="s">
        <v>841</v>
      </c>
      <c r="B355" t="s">
        <v>842</v>
      </c>
      <c r="C355" t="s">
        <v>840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6</v>
      </c>
      <c r="K355" s="33">
        <v>0</v>
      </c>
      <c r="L355" s="33">
        <v>0</v>
      </c>
      <c r="M355">
        <v>6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6</v>
      </c>
      <c r="AU355" s="31" t="str">
        <f t="shared" si="9"/>
        <v>库存为6</v>
      </c>
      <c r="AV355" s="36" t="str">
        <f>IFERROR(时间!$B$4+AU355,"上周无销量")</f>
        <v>上周无销量</v>
      </c>
    </row>
    <row r="356" spans="1:48">
      <c r="A356" s="20" t="s">
        <v>843</v>
      </c>
      <c r="B356" t="s">
        <v>844</v>
      </c>
      <c r="C356" t="s">
        <v>840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6</v>
      </c>
      <c r="K356" s="33">
        <v>0</v>
      </c>
      <c r="L356" s="33">
        <v>0</v>
      </c>
      <c r="M356">
        <v>6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6</v>
      </c>
      <c r="AU356" s="31" t="str">
        <f t="shared" si="9"/>
        <v>库存为6</v>
      </c>
      <c r="AV356" s="36" t="str">
        <f>IFERROR(时间!$B$4+AU356,"上周无销量")</f>
        <v>上周无销量</v>
      </c>
    </row>
    <row r="357" spans="1:48">
      <c r="A357" s="20" t="s">
        <v>845</v>
      </c>
      <c r="B357" t="s">
        <v>846</v>
      </c>
      <c r="C357" t="s">
        <v>840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6</v>
      </c>
      <c r="K357" s="33">
        <v>0</v>
      </c>
      <c r="L357" s="33">
        <v>0</v>
      </c>
      <c r="M357">
        <v>6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6</v>
      </c>
      <c r="AU357" s="31" t="str">
        <f t="shared" si="9"/>
        <v>库存为6</v>
      </c>
      <c r="AV357" s="36" t="str">
        <f>IFERROR(时间!$B$4+AU357,"上周无销量")</f>
        <v>上周无销量</v>
      </c>
    </row>
    <row r="358" spans="1:48">
      <c r="A358" s="20" t="s">
        <v>847</v>
      </c>
      <c r="B358" t="s">
        <v>848</v>
      </c>
      <c r="C358" t="s">
        <v>840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6</v>
      </c>
      <c r="K358" s="33">
        <v>0</v>
      </c>
      <c r="L358" s="33">
        <v>0</v>
      </c>
      <c r="M358">
        <v>6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0</v>
      </c>
      <c r="AK358">
        <v>0</v>
      </c>
      <c r="AL358">
        <v>0</v>
      </c>
      <c r="AM358">
        <v>0</v>
      </c>
      <c r="AN358" s="22" t="s">
        <v>53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6</v>
      </c>
      <c r="AU358" s="31" t="str">
        <f t="shared" si="9"/>
        <v>库存为6</v>
      </c>
      <c r="AV358" s="36" t="str">
        <f>IFERROR(时间!$B$4+AU358,"上周无销量")</f>
        <v>上周无销量</v>
      </c>
    </row>
    <row r="359" spans="1:48">
      <c r="A359" s="20" t="s">
        <v>849</v>
      </c>
      <c r="B359" t="s">
        <v>850</v>
      </c>
      <c r="C359" t="s">
        <v>840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6</v>
      </c>
      <c r="K359" s="33">
        <v>0</v>
      </c>
      <c r="L359" s="33">
        <v>0</v>
      </c>
      <c r="M359">
        <v>6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0</v>
      </c>
      <c r="AK359">
        <v>0</v>
      </c>
      <c r="AL359">
        <v>0</v>
      </c>
      <c r="AM359">
        <v>0</v>
      </c>
      <c r="AN359" s="22" t="s">
        <v>53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6</v>
      </c>
      <c r="AU359" s="31" t="str">
        <f t="shared" si="9"/>
        <v>库存为6</v>
      </c>
      <c r="AV359" s="36" t="str">
        <f>IFERROR(时间!$B$4+AU359,"上周无销量")</f>
        <v>上周无销量</v>
      </c>
    </row>
    <row r="360" spans="1:48">
      <c r="A360" s="20" t="s">
        <v>851</v>
      </c>
      <c r="B360" t="s">
        <v>852</v>
      </c>
      <c r="C360" t="s">
        <v>840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6</v>
      </c>
      <c r="K360" s="33">
        <v>0</v>
      </c>
      <c r="L360" s="33">
        <v>0</v>
      </c>
      <c r="M360">
        <v>6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0</v>
      </c>
      <c r="AK360">
        <v>0</v>
      </c>
      <c r="AL360">
        <v>0</v>
      </c>
      <c r="AM360">
        <v>0</v>
      </c>
      <c r="AN360" s="22" t="s">
        <v>53</v>
      </c>
      <c r="AO360" s="22" t="s">
        <v>53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6</v>
      </c>
      <c r="AU360" s="31" t="str">
        <f t="shared" si="9"/>
        <v>库存为6</v>
      </c>
      <c r="AV360" s="36" t="str">
        <f>IFERROR(时间!$B$4+AU360,"上周无销量")</f>
        <v>上周无销量</v>
      </c>
    </row>
    <row r="361" spans="1:48">
      <c r="A361" s="20" t="s">
        <v>853</v>
      </c>
      <c r="B361" t="s">
        <v>854</v>
      </c>
      <c r="C361" t="s">
        <v>840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6</v>
      </c>
      <c r="K361" s="33">
        <v>0</v>
      </c>
      <c r="L361" s="33">
        <v>0</v>
      </c>
      <c r="M361">
        <v>6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0</v>
      </c>
      <c r="AL361">
        <v>0</v>
      </c>
      <c r="AM361">
        <v>0</v>
      </c>
      <c r="AN361" s="22" t="s">
        <v>53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6</v>
      </c>
      <c r="AU361" s="31" t="str">
        <f t="shared" si="9"/>
        <v>库存为6</v>
      </c>
      <c r="AV361" s="36" t="str">
        <f>IFERROR(时间!$B$4+AU361,"上周无销量")</f>
        <v>上周无销量</v>
      </c>
    </row>
    <row r="362" spans="1:48">
      <c r="A362" s="20" t="s">
        <v>855</v>
      </c>
      <c r="B362" t="s">
        <v>856</v>
      </c>
      <c r="C362" t="s">
        <v>840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6</v>
      </c>
      <c r="K362" s="33">
        <v>0</v>
      </c>
      <c r="L362" s="33">
        <v>0</v>
      </c>
      <c r="M362">
        <v>6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6</v>
      </c>
      <c r="AU362" s="31" t="str">
        <f t="shared" si="9"/>
        <v>库存为6</v>
      </c>
      <c r="AV362" s="36" t="str">
        <f>IFERROR(时间!$B$4+AU362,"上周无销量")</f>
        <v>上周无销量</v>
      </c>
    </row>
    <row r="363" spans="1:48">
      <c r="A363" s="20" t="s">
        <v>857</v>
      </c>
      <c r="B363" t="s">
        <v>858</v>
      </c>
      <c r="C363" t="s">
        <v>859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6</v>
      </c>
      <c r="J363" s="33">
        <v>0</v>
      </c>
      <c r="K363" s="33">
        <v>0</v>
      </c>
      <c r="L363" s="33">
        <v>0</v>
      </c>
      <c r="M363">
        <v>6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0</v>
      </c>
      <c r="AK363">
        <v>0</v>
      </c>
      <c r="AL363">
        <v>0</v>
      </c>
      <c r="AM363">
        <v>0</v>
      </c>
      <c r="AN363" s="22" t="s">
        <v>53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6</v>
      </c>
      <c r="AU363" s="31" t="str">
        <f t="shared" si="9"/>
        <v>库存为6</v>
      </c>
      <c r="AV363" s="36" t="str">
        <f>IFERROR(时间!$B$4+AU363,"上周无销量")</f>
        <v>上周无销量</v>
      </c>
    </row>
    <row r="364" spans="1:48">
      <c r="A364" s="20" t="s">
        <v>860</v>
      </c>
      <c r="B364" t="s">
        <v>861</v>
      </c>
      <c r="C364" t="s">
        <v>859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6</v>
      </c>
      <c r="J364" s="33">
        <v>0</v>
      </c>
      <c r="K364" s="33">
        <v>0</v>
      </c>
      <c r="L364" s="33">
        <v>0</v>
      </c>
      <c r="M364">
        <v>6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0</v>
      </c>
      <c r="AK364">
        <v>0</v>
      </c>
      <c r="AL364">
        <v>0</v>
      </c>
      <c r="AM364">
        <v>0</v>
      </c>
      <c r="AN364" s="22" t="s">
        <v>53</v>
      </c>
      <c r="AO364" s="22" t="s">
        <v>53</v>
      </c>
      <c r="AP364" s="22" t="s">
        <v>53</v>
      </c>
      <c r="AQ364" s="22" t="s">
        <v>53</v>
      </c>
      <c r="AR364" s="35">
        <v>0</v>
      </c>
      <c r="AS364" s="35">
        <v>0</v>
      </c>
      <c r="AT364" s="35">
        <v>6</v>
      </c>
      <c r="AU364" s="31" t="str">
        <f t="shared" si="9"/>
        <v>库存为6</v>
      </c>
      <c r="AV364" s="36" t="str">
        <f>IFERROR(时间!$B$4+AU364,"上周无销量")</f>
        <v>上周无销量</v>
      </c>
    </row>
    <row r="365" spans="1:48">
      <c r="A365" s="20" t="s">
        <v>862</v>
      </c>
      <c r="B365" t="s">
        <v>863</v>
      </c>
      <c r="C365" t="s">
        <v>859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6</v>
      </c>
      <c r="J365" s="33">
        <v>0</v>
      </c>
      <c r="K365" s="33">
        <v>0</v>
      </c>
      <c r="L365" s="33">
        <v>0</v>
      </c>
      <c r="M365">
        <v>6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0</v>
      </c>
      <c r="AK365">
        <v>0</v>
      </c>
      <c r="AL365">
        <v>0</v>
      </c>
      <c r="AM365">
        <v>0</v>
      </c>
      <c r="AN365" s="22" t="s">
        <v>53</v>
      </c>
      <c r="AO365" s="22" t="s">
        <v>53</v>
      </c>
      <c r="AP365" s="22" t="s">
        <v>53</v>
      </c>
      <c r="AQ365" s="22" t="s">
        <v>53</v>
      </c>
      <c r="AR365" s="35">
        <v>0</v>
      </c>
      <c r="AS365" s="35">
        <v>0</v>
      </c>
      <c r="AT365" s="35">
        <v>6</v>
      </c>
      <c r="AU365" s="31" t="str">
        <f t="shared" si="9"/>
        <v>库存为6</v>
      </c>
      <c r="AV365" s="36" t="str">
        <f>IFERROR(时间!$B$4+AU365,"上周无销量")</f>
        <v>上周无销量</v>
      </c>
    </row>
    <row r="366" spans="1:48">
      <c r="A366" s="20" t="s">
        <v>864</v>
      </c>
      <c r="B366" t="s">
        <v>865</v>
      </c>
      <c r="C366" t="s">
        <v>859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5</v>
      </c>
      <c r="J366" s="33">
        <v>0</v>
      </c>
      <c r="K366" s="33">
        <v>1</v>
      </c>
      <c r="L366" s="33">
        <v>0</v>
      </c>
      <c r="M366">
        <v>6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0</v>
      </c>
      <c r="AK366">
        <v>0</v>
      </c>
      <c r="AL366">
        <v>0</v>
      </c>
      <c r="AM366">
        <v>0</v>
      </c>
      <c r="AN366" s="22" t="s">
        <v>53</v>
      </c>
      <c r="AO366" s="22" t="s">
        <v>53</v>
      </c>
      <c r="AP366" s="22" t="s">
        <v>53</v>
      </c>
      <c r="AQ366" s="22" t="s">
        <v>53</v>
      </c>
      <c r="AR366" s="35">
        <v>0</v>
      </c>
      <c r="AS366" s="35">
        <v>0</v>
      </c>
      <c r="AT366" s="35">
        <v>6</v>
      </c>
      <c r="AU366" s="31" t="str">
        <f t="shared" si="9"/>
        <v>库存为6</v>
      </c>
      <c r="AV366" s="36" t="str">
        <f>IFERROR(时间!$B$4+AU366,"上周无销量")</f>
        <v>上周无销量</v>
      </c>
    </row>
    <row r="367" spans="1:48">
      <c r="A367" s="20" t="s">
        <v>866</v>
      </c>
      <c r="B367" t="s">
        <v>867</v>
      </c>
      <c r="C367" t="s">
        <v>859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6</v>
      </c>
      <c r="J367" s="33">
        <v>0</v>
      </c>
      <c r="K367" s="33">
        <v>0</v>
      </c>
      <c r="L367" s="33">
        <v>0</v>
      </c>
      <c r="M367">
        <v>6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0</v>
      </c>
      <c r="AK367">
        <v>0</v>
      </c>
      <c r="AL367">
        <v>0</v>
      </c>
      <c r="AM367">
        <v>0</v>
      </c>
      <c r="AN367" s="22" t="s">
        <v>53</v>
      </c>
      <c r="AO367" s="22" t="s">
        <v>53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6</v>
      </c>
      <c r="AU367" s="31" t="str">
        <f t="shared" si="9"/>
        <v>库存为6</v>
      </c>
      <c r="AV367" s="36" t="str">
        <f>IFERROR(时间!$B$4+AU367,"上周无销量")</f>
        <v>上周无销量</v>
      </c>
    </row>
    <row r="368" spans="1:48">
      <c r="A368" s="20" t="s">
        <v>868</v>
      </c>
      <c r="B368" t="s">
        <v>869</v>
      </c>
      <c r="C368" t="s">
        <v>859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6</v>
      </c>
      <c r="J368" s="33">
        <v>0</v>
      </c>
      <c r="K368" s="33">
        <v>0</v>
      </c>
      <c r="L368" s="33">
        <v>0</v>
      </c>
      <c r="M368">
        <v>6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6</v>
      </c>
      <c r="AU368" s="31" t="str">
        <f t="shared" si="9"/>
        <v>库存为6</v>
      </c>
      <c r="AV368" s="36" t="str">
        <f>IFERROR(时间!$B$4+AU368,"上周无销量")</f>
        <v>上周无销量</v>
      </c>
    </row>
    <row r="369" spans="1:48">
      <c r="A369" s="20" t="s">
        <v>870</v>
      </c>
      <c r="B369" t="s">
        <v>871</v>
      </c>
      <c r="C369" t="s">
        <v>859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6</v>
      </c>
      <c r="J369" s="33">
        <v>0</v>
      </c>
      <c r="K369" s="33">
        <v>0</v>
      </c>
      <c r="L369" s="33">
        <v>0</v>
      </c>
      <c r="M369">
        <v>6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0</v>
      </c>
      <c r="AK369">
        <v>0</v>
      </c>
      <c r="AL369">
        <v>0</v>
      </c>
      <c r="AM369">
        <v>0</v>
      </c>
      <c r="AN369" s="22" t="s">
        <v>53</v>
      </c>
      <c r="AO369" s="22" t="s">
        <v>53</v>
      </c>
      <c r="AP369" s="22" t="s">
        <v>53</v>
      </c>
      <c r="AQ369" s="22" t="s">
        <v>53</v>
      </c>
      <c r="AR369" s="35">
        <v>0</v>
      </c>
      <c r="AS369" s="35">
        <v>0</v>
      </c>
      <c r="AT369" s="35">
        <v>6</v>
      </c>
      <c r="AU369" s="31" t="str">
        <f t="shared" si="9"/>
        <v>库存为6</v>
      </c>
      <c r="AV369" s="36" t="str">
        <f>IFERROR(时间!$B$4+AU369,"上周无销量")</f>
        <v>上周无销量</v>
      </c>
    </row>
    <row r="370" spans="1:48">
      <c r="A370" s="20" t="s">
        <v>872</v>
      </c>
      <c r="B370" t="s">
        <v>873</v>
      </c>
      <c r="C370" t="s">
        <v>859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6</v>
      </c>
      <c r="J370" s="33">
        <v>0</v>
      </c>
      <c r="K370" s="33">
        <v>0</v>
      </c>
      <c r="L370" s="33">
        <v>0</v>
      </c>
      <c r="M370">
        <v>6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0</v>
      </c>
      <c r="AK370">
        <v>0</v>
      </c>
      <c r="AL370">
        <v>0</v>
      </c>
      <c r="AM370">
        <v>0</v>
      </c>
      <c r="AN370" s="22" t="s">
        <v>53</v>
      </c>
      <c r="AO370" s="22" t="s">
        <v>53</v>
      </c>
      <c r="AP370" s="22" t="s">
        <v>53</v>
      </c>
      <c r="AQ370" s="22" t="s">
        <v>53</v>
      </c>
      <c r="AR370" s="35">
        <v>0</v>
      </c>
      <c r="AS370" s="35">
        <v>0</v>
      </c>
      <c r="AT370" s="35">
        <v>6</v>
      </c>
      <c r="AU370" s="31" t="str">
        <f t="shared" si="9"/>
        <v>库存为6</v>
      </c>
      <c r="AV370" s="36" t="str">
        <f>IFERROR(时间!$B$4+AU370,"上周无销量")</f>
        <v>上周无销量</v>
      </c>
    </row>
    <row r="371" spans="1:48">
      <c r="A371" s="20" t="s">
        <v>874</v>
      </c>
      <c r="B371" t="s">
        <v>875</v>
      </c>
      <c r="C371" t="s">
        <v>859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6</v>
      </c>
      <c r="J371" s="33">
        <v>0</v>
      </c>
      <c r="K371" s="33">
        <v>0</v>
      </c>
      <c r="L371" s="33">
        <v>0</v>
      </c>
      <c r="M371">
        <v>6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0</v>
      </c>
      <c r="AK371">
        <v>0</v>
      </c>
      <c r="AL371">
        <v>0</v>
      </c>
      <c r="AM371">
        <v>0</v>
      </c>
      <c r="AN371" s="22" t="s">
        <v>53</v>
      </c>
      <c r="AO371" s="22" t="s">
        <v>53</v>
      </c>
      <c r="AP371" s="22" t="s">
        <v>53</v>
      </c>
      <c r="AQ371" s="22" t="s">
        <v>53</v>
      </c>
      <c r="AR371" s="35">
        <v>0</v>
      </c>
      <c r="AS371" s="35">
        <v>0</v>
      </c>
      <c r="AT371" s="35">
        <v>6</v>
      </c>
      <c r="AU371" s="31" t="str">
        <f t="shared" si="9"/>
        <v>库存为6</v>
      </c>
      <c r="AV371" s="36" t="str">
        <f>IFERROR(时间!$B$4+AU371,"上周无销量")</f>
        <v>上周无销量</v>
      </c>
    </row>
    <row r="372" spans="1:48">
      <c r="A372" s="20" t="s">
        <v>876</v>
      </c>
      <c r="B372" t="s">
        <v>877</v>
      </c>
      <c r="C372" t="s">
        <v>878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0</v>
      </c>
      <c r="AK372">
        <v>0</v>
      </c>
      <c r="AL372">
        <v>0</v>
      </c>
      <c r="AM372">
        <v>0</v>
      </c>
      <c r="AN372" s="22" t="s">
        <v>53</v>
      </c>
      <c r="AO372" s="22" t="s">
        <v>53</v>
      </c>
      <c r="AP372" s="22" t="s">
        <v>53</v>
      </c>
      <c r="AQ372" s="22" t="s">
        <v>53</v>
      </c>
      <c r="AR372" s="35">
        <v>0</v>
      </c>
      <c r="AS372" s="35">
        <v>0</v>
      </c>
      <c r="AT372" s="35">
        <v>0</v>
      </c>
      <c r="AU372" s="31" t="str">
        <f t="shared" si="9"/>
        <v>库存为0</v>
      </c>
      <c r="AV372" s="36" t="str">
        <f>IFERROR(时间!$B$4+AU372,"上周无销量")</f>
        <v>上周无销量</v>
      </c>
    </row>
    <row r="373" spans="1:48">
      <c r="A373" s="20" t="s">
        <v>879</v>
      </c>
      <c r="B373" t="s">
        <v>880</v>
      </c>
      <c r="C373" t="s">
        <v>878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6</v>
      </c>
      <c r="K373" s="33">
        <v>0</v>
      </c>
      <c r="L373" s="33">
        <v>0</v>
      </c>
      <c r="M373">
        <v>6</v>
      </c>
      <c r="N373">
        <v>0</v>
      </c>
      <c r="O373">
        <v>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0</v>
      </c>
      <c r="AK373">
        <v>0</v>
      </c>
      <c r="AL373">
        <v>0</v>
      </c>
      <c r="AM373">
        <v>0</v>
      </c>
      <c r="AN373" s="22" t="s">
        <v>53</v>
      </c>
      <c r="AO373" s="22" t="s">
        <v>53</v>
      </c>
      <c r="AP373" s="22" t="s">
        <v>53</v>
      </c>
      <c r="AQ373" s="22" t="s">
        <v>53</v>
      </c>
      <c r="AR373" s="35">
        <v>0</v>
      </c>
      <c r="AS373" s="35">
        <v>0</v>
      </c>
      <c r="AT373" s="35">
        <v>6</v>
      </c>
      <c r="AU373" s="31" t="str">
        <f t="shared" si="9"/>
        <v>库存为6</v>
      </c>
      <c r="AV373" s="36" t="str">
        <f>IFERROR(时间!$B$4+AU373,"上周无销量")</f>
        <v>上周无销量</v>
      </c>
    </row>
    <row r="374" spans="1:48">
      <c r="A374" s="20" t="s">
        <v>881</v>
      </c>
      <c r="B374" t="s">
        <v>882</v>
      </c>
      <c r="C374" t="s">
        <v>878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6</v>
      </c>
      <c r="K374" s="33">
        <v>0</v>
      </c>
      <c r="L374" s="33">
        <v>0</v>
      </c>
      <c r="M374">
        <v>6</v>
      </c>
      <c r="N374">
        <v>0</v>
      </c>
      <c r="O374">
        <v>0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0</v>
      </c>
      <c r="AK374">
        <v>0</v>
      </c>
      <c r="AL374">
        <v>0</v>
      </c>
      <c r="AM374">
        <v>0</v>
      </c>
      <c r="AN374" s="22" t="s">
        <v>53</v>
      </c>
      <c r="AO374" s="22" t="s">
        <v>53</v>
      </c>
      <c r="AP374" s="22" t="s">
        <v>53</v>
      </c>
      <c r="AQ374" s="22" t="s">
        <v>53</v>
      </c>
      <c r="AR374" s="35">
        <v>0</v>
      </c>
      <c r="AS374" s="35">
        <v>0</v>
      </c>
      <c r="AT374" s="35">
        <v>6</v>
      </c>
      <c r="AU374" s="31" t="str">
        <f t="shared" si="9"/>
        <v>库存为6</v>
      </c>
      <c r="AV374" s="36" t="str">
        <f>IFERROR(时间!$B$4+AU374,"上周无销量")</f>
        <v>上周无销量</v>
      </c>
    </row>
    <row r="375" spans="1:48">
      <c r="A375" s="20" t="s">
        <v>883</v>
      </c>
      <c r="B375" t="s">
        <v>884</v>
      </c>
      <c r="C375" t="s">
        <v>878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0</v>
      </c>
      <c r="AK375">
        <v>0</v>
      </c>
      <c r="AL375">
        <v>0</v>
      </c>
      <c r="AM375">
        <v>0</v>
      </c>
      <c r="AN375" s="22" t="s">
        <v>53</v>
      </c>
      <c r="AO375" s="22" t="s">
        <v>53</v>
      </c>
      <c r="AP375" s="22" t="s">
        <v>53</v>
      </c>
      <c r="AQ375" s="22" t="s">
        <v>53</v>
      </c>
      <c r="AR375" s="35">
        <v>0</v>
      </c>
      <c r="AS375" s="35">
        <v>0</v>
      </c>
      <c r="AT375" s="35">
        <v>0</v>
      </c>
      <c r="AU375" s="31" t="str">
        <f t="shared" si="9"/>
        <v>库存为0</v>
      </c>
      <c r="AV375" s="36" t="str">
        <f>IFERROR(时间!$B$4+AU375,"上周无销量")</f>
        <v>上周无销量</v>
      </c>
    </row>
    <row r="376" spans="1:48">
      <c r="A376" s="20" t="s">
        <v>885</v>
      </c>
      <c r="B376" t="s">
        <v>886</v>
      </c>
      <c r="C376" t="s">
        <v>878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6</v>
      </c>
      <c r="K376" s="33">
        <v>0</v>
      </c>
      <c r="L376" s="33">
        <v>0</v>
      </c>
      <c r="M376">
        <v>6</v>
      </c>
      <c r="N376">
        <v>0</v>
      </c>
      <c r="O376">
        <v>0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0</v>
      </c>
      <c r="AK376">
        <v>0</v>
      </c>
      <c r="AL376">
        <v>0</v>
      </c>
      <c r="AM376">
        <v>0</v>
      </c>
      <c r="AN376" s="22" t="s">
        <v>53</v>
      </c>
      <c r="AO376" s="22" t="s">
        <v>53</v>
      </c>
      <c r="AP376" s="22" t="s">
        <v>53</v>
      </c>
      <c r="AQ376" s="22" t="s">
        <v>53</v>
      </c>
      <c r="AR376" s="35">
        <v>0</v>
      </c>
      <c r="AS376" s="35">
        <v>0</v>
      </c>
      <c r="AT376" s="35">
        <v>6</v>
      </c>
      <c r="AU376" s="31" t="str">
        <f t="shared" si="9"/>
        <v>库存为6</v>
      </c>
      <c r="AV376" s="36" t="str">
        <f>IFERROR(时间!$B$4+AU376,"上周无销量")</f>
        <v>上周无销量</v>
      </c>
    </row>
    <row r="377" spans="1:48">
      <c r="A377" s="20" t="s">
        <v>887</v>
      </c>
      <c r="B377" t="s">
        <v>888</v>
      </c>
      <c r="C377" t="s">
        <v>878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6</v>
      </c>
      <c r="K377" s="33">
        <v>0</v>
      </c>
      <c r="L377" s="33">
        <v>0</v>
      </c>
      <c r="M377">
        <v>6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0</v>
      </c>
      <c r="AK377">
        <v>0</v>
      </c>
      <c r="AL377">
        <v>0</v>
      </c>
      <c r="AM377">
        <v>0</v>
      </c>
      <c r="AN377" s="22" t="s">
        <v>53</v>
      </c>
      <c r="AO377" s="22" t="s">
        <v>53</v>
      </c>
      <c r="AP377" s="22" t="s">
        <v>53</v>
      </c>
      <c r="AQ377" s="22" t="s">
        <v>53</v>
      </c>
      <c r="AR377" s="35">
        <v>0</v>
      </c>
      <c r="AS377" s="35">
        <v>0</v>
      </c>
      <c r="AT377" s="35">
        <v>6</v>
      </c>
      <c r="AU377" s="31" t="str">
        <f t="shared" si="9"/>
        <v>库存为6</v>
      </c>
      <c r="AV377" s="36" t="str">
        <f>IFERROR(时间!$B$4+AU377,"上周无销量")</f>
        <v>上周无销量</v>
      </c>
    </row>
    <row r="378" spans="1:48">
      <c r="A378" s="20" t="s">
        <v>889</v>
      </c>
      <c r="B378" t="s">
        <v>890</v>
      </c>
      <c r="C378" t="s">
        <v>878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6</v>
      </c>
      <c r="K378" s="33">
        <v>0</v>
      </c>
      <c r="L378" s="33">
        <v>0</v>
      </c>
      <c r="M378">
        <v>6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0</v>
      </c>
      <c r="AK378">
        <v>0</v>
      </c>
      <c r="AL378">
        <v>0</v>
      </c>
      <c r="AM378">
        <v>0</v>
      </c>
      <c r="AN378" s="22" t="s">
        <v>53</v>
      </c>
      <c r="AO378" s="22" t="s">
        <v>53</v>
      </c>
      <c r="AP378" s="22" t="s">
        <v>53</v>
      </c>
      <c r="AQ378" s="22" t="s">
        <v>53</v>
      </c>
      <c r="AR378" s="35">
        <v>0</v>
      </c>
      <c r="AS378" s="35">
        <v>0</v>
      </c>
      <c r="AT378" s="35">
        <v>6</v>
      </c>
      <c r="AU378" s="31" t="str">
        <f t="shared" si="9"/>
        <v>库存为6</v>
      </c>
      <c r="AV378" s="36" t="str">
        <f>IFERROR(时间!$B$4+AU378,"上周无销量")</f>
        <v>上周无销量</v>
      </c>
    </row>
    <row r="379" spans="1:48">
      <c r="A379" s="20" t="s">
        <v>891</v>
      </c>
      <c r="B379" t="s">
        <v>892</v>
      </c>
      <c r="C379" t="s">
        <v>878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0</v>
      </c>
      <c r="AK379">
        <v>0</v>
      </c>
      <c r="AL379">
        <v>0</v>
      </c>
      <c r="AM379">
        <v>0</v>
      </c>
      <c r="AN379" s="22" t="s">
        <v>53</v>
      </c>
      <c r="AO379" s="22" t="s">
        <v>53</v>
      </c>
      <c r="AP379" s="22" t="s">
        <v>53</v>
      </c>
      <c r="AQ379" s="22" t="s">
        <v>53</v>
      </c>
      <c r="AR379" s="35">
        <v>0</v>
      </c>
      <c r="AS379" s="35">
        <v>0</v>
      </c>
      <c r="AT379" s="35">
        <v>0</v>
      </c>
      <c r="AU379" s="31" t="str">
        <f t="shared" si="9"/>
        <v>库存为0</v>
      </c>
      <c r="AV379" s="36" t="str">
        <f>IFERROR(时间!$B$4+AU379,"上周无销量")</f>
        <v>上周无销量</v>
      </c>
    </row>
    <row r="380" spans="1:48">
      <c r="A380" s="20" t="s">
        <v>893</v>
      </c>
      <c r="B380" t="s">
        <v>894</v>
      </c>
      <c r="C380" t="s">
        <v>878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6</v>
      </c>
      <c r="K380" s="33">
        <v>0</v>
      </c>
      <c r="L380" s="33">
        <v>0</v>
      </c>
      <c r="M380">
        <v>6</v>
      </c>
      <c r="N380">
        <v>0</v>
      </c>
      <c r="O380">
        <v>0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0</v>
      </c>
      <c r="AK380">
        <v>0</v>
      </c>
      <c r="AL380">
        <v>0</v>
      </c>
      <c r="AM380">
        <v>0</v>
      </c>
      <c r="AN380" s="22" t="s">
        <v>53</v>
      </c>
      <c r="AO380" s="22" t="s">
        <v>53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6</v>
      </c>
      <c r="AU380" s="31" t="str">
        <f t="shared" si="9"/>
        <v>库存为6</v>
      </c>
      <c r="AV380" s="36" t="str">
        <f>IFERROR(时间!$B$4+AU380,"上周无销量")</f>
        <v>上周无销量</v>
      </c>
    </row>
    <row r="381" spans="1:48">
      <c r="A381" s="20" t="s">
        <v>895</v>
      </c>
      <c r="B381" t="s">
        <v>896</v>
      </c>
      <c r="C381" t="s">
        <v>897</v>
      </c>
      <c r="D381" s="31">
        <v>0</v>
      </c>
      <c r="E381" s="31">
        <v>0</v>
      </c>
      <c r="F381" s="31">
        <v>1</v>
      </c>
      <c r="G381" s="31">
        <v>0</v>
      </c>
      <c r="H381" s="32">
        <v>15.99</v>
      </c>
      <c r="I381">
        <v>4</v>
      </c>
      <c r="J381" s="33">
        <v>0</v>
      </c>
      <c r="K381" s="33">
        <v>0</v>
      </c>
      <c r="L381" s="33">
        <v>0</v>
      </c>
      <c r="M381">
        <v>4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2</v>
      </c>
      <c r="AK381">
        <v>8</v>
      </c>
      <c r="AL381">
        <v>2</v>
      </c>
      <c r="AM381">
        <v>0</v>
      </c>
      <c r="AN381" s="22">
        <v>0</v>
      </c>
      <c r="AO381" s="22">
        <v>0</v>
      </c>
      <c r="AP381" s="22">
        <v>0.5</v>
      </c>
      <c r="AQ381" s="22" t="s">
        <v>53</v>
      </c>
      <c r="AR381" s="35">
        <v>0</v>
      </c>
      <c r="AS381" s="35">
        <v>0</v>
      </c>
      <c r="AT381" s="35">
        <v>4</v>
      </c>
      <c r="AU381" s="31" t="str">
        <f t="shared" si="9"/>
        <v>库存为4</v>
      </c>
      <c r="AV381" s="36" t="str">
        <f>IFERROR(时间!$B$4+AU381,"上周无销量")</f>
        <v>上周无销量</v>
      </c>
    </row>
    <row r="382" spans="1:48">
      <c r="A382" s="20" t="s">
        <v>898</v>
      </c>
      <c r="B382" t="s">
        <v>899</v>
      </c>
      <c r="C382" t="s">
        <v>897</v>
      </c>
      <c r="D382" s="31">
        <v>1</v>
      </c>
      <c r="E382" s="31">
        <v>0</v>
      </c>
      <c r="F382" s="31">
        <v>2</v>
      </c>
      <c r="G382" s="31">
        <v>0</v>
      </c>
      <c r="H382" s="32">
        <v>15.99</v>
      </c>
      <c r="I382">
        <v>22</v>
      </c>
      <c r="J382" s="33">
        <v>0</v>
      </c>
      <c r="K382" s="33">
        <v>0</v>
      </c>
      <c r="L382" s="33">
        <v>0</v>
      </c>
      <c r="M382">
        <v>22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8</v>
      </c>
      <c r="AK382">
        <v>6</v>
      </c>
      <c r="AL382">
        <v>4</v>
      </c>
      <c r="AM382">
        <v>0</v>
      </c>
      <c r="AN382" s="22">
        <v>0.125</v>
      </c>
      <c r="AO382" s="22">
        <v>0</v>
      </c>
      <c r="AP382" s="22">
        <v>0.5</v>
      </c>
      <c r="AQ382" s="22" t="s">
        <v>53</v>
      </c>
      <c r="AR382" s="35">
        <v>0.142857142857143</v>
      </c>
      <c r="AS382" s="35">
        <v>8.57142857142857</v>
      </c>
      <c r="AT382" s="35">
        <v>13.4285714285714</v>
      </c>
      <c r="AU382" s="31">
        <f t="shared" si="9"/>
        <v>154</v>
      </c>
      <c r="AV382" s="36">
        <f>IFERROR(时间!$B$4+AU382,"上周无销量")</f>
        <v>43486</v>
      </c>
    </row>
    <row r="383" spans="1:48">
      <c r="A383" s="20" t="s">
        <v>900</v>
      </c>
      <c r="B383" t="s">
        <v>901</v>
      </c>
      <c r="C383" t="s">
        <v>897</v>
      </c>
      <c r="D383" s="31">
        <v>1</v>
      </c>
      <c r="E383" s="31">
        <v>0</v>
      </c>
      <c r="F383" s="31">
        <v>5</v>
      </c>
      <c r="G383" s="31">
        <v>0</v>
      </c>
      <c r="H383" s="32">
        <v>15.99</v>
      </c>
      <c r="I383">
        <v>49</v>
      </c>
      <c r="J383" s="33">
        <v>0</v>
      </c>
      <c r="K383" s="33">
        <v>0</v>
      </c>
      <c r="L383" s="33">
        <v>0</v>
      </c>
      <c r="M383">
        <v>49</v>
      </c>
      <c r="N383">
        <v>0</v>
      </c>
      <c r="O383">
        <v>0</v>
      </c>
      <c r="P383">
        <v>309</v>
      </c>
      <c r="Q383">
        <v>0</v>
      </c>
      <c r="R383">
        <v>909</v>
      </c>
      <c r="S383">
        <v>0</v>
      </c>
      <c r="T383">
        <v>0</v>
      </c>
      <c r="U383">
        <v>0</v>
      </c>
      <c r="V383">
        <v>2</v>
      </c>
      <c r="W383">
        <v>0</v>
      </c>
      <c r="X383" s="22">
        <v>0</v>
      </c>
      <c r="Y383" s="22" t="s">
        <v>53</v>
      </c>
      <c r="Z383" s="22">
        <v>0.0022002200220022</v>
      </c>
      <c r="AA383" s="22" t="s">
        <v>53</v>
      </c>
      <c r="AB383">
        <v>0</v>
      </c>
      <c r="AC383">
        <v>0</v>
      </c>
      <c r="AD383">
        <v>0.74</v>
      </c>
      <c r="AE383">
        <v>0</v>
      </c>
      <c r="AF383" s="22" t="s">
        <v>53</v>
      </c>
      <c r="AG383" s="22" t="s">
        <v>53</v>
      </c>
      <c r="AH383" s="22">
        <v>0.00925578486554096</v>
      </c>
      <c r="AI383" s="22" t="s">
        <v>53</v>
      </c>
      <c r="AJ383">
        <v>7</v>
      </c>
      <c r="AK383">
        <v>0</v>
      </c>
      <c r="AL383">
        <v>7</v>
      </c>
      <c r="AM383">
        <v>4</v>
      </c>
      <c r="AN383" s="22">
        <v>0.142857142857143</v>
      </c>
      <c r="AO383" s="22" t="s">
        <v>53</v>
      </c>
      <c r="AP383" s="22">
        <v>0.714285714285714</v>
      </c>
      <c r="AQ383" s="22">
        <v>0</v>
      </c>
      <c r="AR383" s="35">
        <v>0.142857142857143</v>
      </c>
      <c r="AS383" s="35">
        <v>8.57142857142857</v>
      </c>
      <c r="AT383" s="35">
        <v>40.4285714285714</v>
      </c>
      <c r="AU383" s="31">
        <f t="shared" si="9"/>
        <v>343</v>
      </c>
      <c r="AV383" s="36">
        <f>IFERROR(时间!$B$4+AU383,"上周无销量")</f>
        <v>43675</v>
      </c>
    </row>
    <row r="384" spans="1:48">
      <c r="A384" s="20" t="s">
        <v>902</v>
      </c>
      <c r="B384" t="s">
        <v>903</v>
      </c>
      <c r="C384" t="s">
        <v>897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5</v>
      </c>
      <c r="J384" s="33">
        <v>0</v>
      </c>
      <c r="K384" s="33">
        <v>0</v>
      </c>
      <c r="L384" s="33">
        <v>0</v>
      </c>
      <c r="M384">
        <v>5</v>
      </c>
      <c r="N384">
        <v>0</v>
      </c>
      <c r="O384">
        <v>0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0</v>
      </c>
      <c r="AK384">
        <v>4</v>
      </c>
      <c r="AL384">
        <v>2</v>
      </c>
      <c r="AM384">
        <v>0</v>
      </c>
      <c r="AN384" s="22" t="s">
        <v>53</v>
      </c>
      <c r="AO384" s="22">
        <v>0</v>
      </c>
      <c r="AP384" s="22">
        <v>0</v>
      </c>
      <c r="AQ384" s="22" t="s">
        <v>53</v>
      </c>
      <c r="AR384" s="35">
        <v>0</v>
      </c>
      <c r="AS384" s="35">
        <v>0</v>
      </c>
      <c r="AT384" s="35">
        <v>5</v>
      </c>
      <c r="AU384" s="31" t="str">
        <f t="shared" si="9"/>
        <v>库存为5</v>
      </c>
      <c r="AV384" s="36" t="str">
        <f>IFERROR(时间!$B$4+AU384,"上周无销量")</f>
        <v>上周无销量</v>
      </c>
    </row>
    <row r="385" spans="1:48">
      <c r="A385" s="20" t="s">
        <v>904</v>
      </c>
      <c r="B385" t="s">
        <v>905</v>
      </c>
      <c r="C385" t="s">
        <v>897</v>
      </c>
      <c r="D385" s="31">
        <v>2</v>
      </c>
      <c r="E385" s="31">
        <v>1</v>
      </c>
      <c r="F385" s="31">
        <v>0</v>
      </c>
      <c r="G385" s="31">
        <v>0</v>
      </c>
      <c r="H385" s="32">
        <v>15.99</v>
      </c>
      <c r="I385">
        <v>2</v>
      </c>
      <c r="J385" s="33">
        <v>0</v>
      </c>
      <c r="K385" s="33">
        <v>0</v>
      </c>
      <c r="L385" s="33">
        <v>0</v>
      </c>
      <c r="M385">
        <v>2</v>
      </c>
      <c r="N385">
        <v>0</v>
      </c>
      <c r="O385">
        <v>0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9</v>
      </c>
      <c r="AK385">
        <v>2</v>
      </c>
      <c r="AL385">
        <v>2</v>
      </c>
      <c r="AM385">
        <v>0</v>
      </c>
      <c r="AN385" s="22">
        <v>0.222222222222222</v>
      </c>
      <c r="AO385" s="22">
        <v>0.5</v>
      </c>
      <c r="AP385" s="22">
        <v>0</v>
      </c>
      <c r="AQ385" s="22" t="s">
        <v>53</v>
      </c>
      <c r="AR385" s="35">
        <v>0.285714285714286</v>
      </c>
      <c r="AS385" s="35">
        <v>17.1428571428571</v>
      </c>
      <c r="AT385" s="35">
        <v>-15.1428571428571</v>
      </c>
      <c r="AU385" s="31">
        <f t="shared" si="9"/>
        <v>7</v>
      </c>
      <c r="AV385" s="36">
        <f>IFERROR(时间!$B$4+AU385,"上周无销量")</f>
        <v>43339</v>
      </c>
    </row>
    <row r="386" spans="1:48">
      <c r="A386" s="20" t="s">
        <v>906</v>
      </c>
      <c r="B386" t="s">
        <v>907</v>
      </c>
      <c r="C386" t="s">
        <v>897</v>
      </c>
      <c r="D386" s="31">
        <v>1</v>
      </c>
      <c r="E386" s="31">
        <v>2</v>
      </c>
      <c r="F386" s="31">
        <v>1</v>
      </c>
      <c r="G386" s="31">
        <v>0</v>
      </c>
      <c r="H386" s="32">
        <v>15.99</v>
      </c>
      <c r="I386">
        <v>6</v>
      </c>
      <c r="J386" s="33">
        <v>0</v>
      </c>
      <c r="K386" s="33">
        <v>0</v>
      </c>
      <c r="L386" s="33">
        <v>0</v>
      </c>
      <c r="M386">
        <v>6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7</v>
      </c>
      <c r="AK386">
        <v>10</v>
      </c>
      <c r="AL386">
        <v>4</v>
      </c>
      <c r="AM386">
        <v>0</v>
      </c>
      <c r="AN386" s="22">
        <v>0.142857142857143</v>
      </c>
      <c r="AO386" s="22">
        <v>0.2</v>
      </c>
      <c r="AP386" s="22">
        <v>0.25</v>
      </c>
      <c r="AQ386" s="22" t="s">
        <v>53</v>
      </c>
      <c r="AR386" s="35">
        <v>0.142857142857143</v>
      </c>
      <c r="AS386" s="35">
        <v>8.57142857142857</v>
      </c>
      <c r="AT386" s="35">
        <v>-2.57142857142857</v>
      </c>
      <c r="AU386" s="31">
        <f t="shared" si="9"/>
        <v>42</v>
      </c>
      <c r="AV386" s="36">
        <f>IFERROR(时间!$B$4+AU386,"上周无销量")</f>
        <v>43374</v>
      </c>
    </row>
    <row r="387" spans="1:48">
      <c r="A387" s="20" t="s">
        <v>908</v>
      </c>
      <c r="B387" t="s">
        <v>909</v>
      </c>
      <c r="C387" t="s">
        <v>910</v>
      </c>
      <c r="D387" s="31">
        <v>0</v>
      </c>
      <c r="E387" s="31">
        <v>1</v>
      </c>
      <c r="F387" s="31">
        <v>0</v>
      </c>
      <c r="G387" s="31">
        <v>0</v>
      </c>
      <c r="H387" s="32">
        <v>16.99</v>
      </c>
      <c r="I387">
        <v>2</v>
      </c>
      <c r="J387" s="33">
        <v>0</v>
      </c>
      <c r="K387" s="33">
        <v>0</v>
      </c>
      <c r="L387" s="33">
        <v>0</v>
      </c>
      <c r="M387">
        <v>2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6</v>
      </c>
      <c r="AK387">
        <v>0</v>
      </c>
      <c r="AL387">
        <v>0</v>
      </c>
      <c r="AM387">
        <v>0</v>
      </c>
      <c r="AN387" s="22">
        <v>0</v>
      </c>
      <c r="AO387" s="22" t="s">
        <v>53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2</v>
      </c>
      <c r="AU387" s="31" t="str">
        <f t="shared" si="9"/>
        <v>库存为2</v>
      </c>
      <c r="AV387" s="36" t="str">
        <f>IFERROR(时间!$B$4+AU387,"上周无销量")</f>
        <v>上周无销量</v>
      </c>
    </row>
    <row r="388" spans="1:48">
      <c r="A388" s="20" t="s">
        <v>911</v>
      </c>
      <c r="B388" t="s">
        <v>912</v>
      </c>
      <c r="C388" t="s">
        <v>910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6</v>
      </c>
      <c r="J388" s="33">
        <v>0</v>
      </c>
      <c r="K388" s="33">
        <v>0</v>
      </c>
      <c r="L388" s="33">
        <v>0</v>
      </c>
      <c r="M388">
        <v>6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1</v>
      </c>
      <c r="AK388">
        <v>1</v>
      </c>
      <c r="AL388">
        <v>0</v>
      </c>
      <c r="AM388">
        <v>0</v>
      </c>
      <c r="AN388" s="22">
        <v>0</v>
      </c>
      <c r="AO388" s="22">
        <v>0</v>
      </c>
      <c r="AP388" s="22" t="s">
        <v>53</v>
      </c>
      <c r="AQ388" s="22" t="s">
        <v>53</v>
      </c>
      <c r="AR388" s="35">
        <v>0</v>
      </c>
      <c r="AS388" s="35">
        <v>0</v>
      </c>
      <c r="AT388" s="35">
        <v>6</v>
      </c>
      <c r="AU388" s="31" t="str">
        <f t="shared" si="9"/>
        <v>库存为6</v>
      </c>
      <c r="AV388" s="36" t="str">
        <f>IFERROR(时间!$B$4+AU388,"上周无销量")</f>
        <v>上周无销量</v>
      </c>
    </row>
    <row r="389" spans="1:48">
      <c r="A389" s="20" t="s">
        <v>913</v>
      </c>
      <c r="B389" t="s">
        <v>914</v>
      </c>
      <c r="C389" t="s">
        <v>910</v>
      </c>
      <c r="D389" s="31">
        <v>0</v>
      </c>
      <c r="E389" s="31">
        <v>0</v>
      </c>
      <c r="F389" s="31">
        <v>1</v>
      </c>
      <c r="G389" s="31">
        <v>0</v>
      </c>
      <c r="H389" s="32">
        <v>16.99</v>
      </c>
      <c r="I389">
        <v>13</v>
      </c>
      <c r="J389" s="33">
        <v>0</v>
      </c>
      <c r="K389" s="33">
        <v>0</v>
      </c>
      <c r="L389" s="33">
        <v>0</v>
      </c>
      <c r="M389">
        <v>13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0</v>
      </c>
      <c r="AK389">
        <v>3</v>
      </c>
      <c r="AL389">
        <v>3</v>
      </c>
      <c r="AM389">
        <v>0</v>
      </c>
      <c r="AN389" s="22" t="s">
        <v>53</v>
      </c>
      <c r="AO389" s="22">
        <v>0</v>
      </c>
      <c r="AP389" s="22">
        <v>0.333333333333333</v>
      </c>
      <c r="AQ389" s="22" t="s">
        <v>53</v>
      </c>
      <c r="AR389" s="35">
        <v>0</v>
      </c>
      <c r="AS389" s="35">
        <v>0</v>
      </c>
      <c r="AT389" s="35">
        <v>13</v>
      </c>
      <c r="AU389" s="31" t="str">
        <f t="shared" ref="AU389:AU452" si="10">IF(AR389="","库存为"&amp;M389,IF(AS389=0,"库存为"&amp;M389,INT(M389/AR389)))</f>
        <v>库存为13</v>
      </c>
      <c r="AV389" s="36" t="str">
        <f>IFERROR(时间!$B$4+AU389,"上周无销量")</f>
        <v>上周无销量</v>
      </c>
    </row>
    <row r="390" spans="1:48">
      <c r="A390" s="20" t="s">
        <v>915</v>
      </c>
      <c r="B390" t="s">
        <v>916</v>
      </c>
      <c r="C390" t="s">
        <v>910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5</v>
      </c>
      <c r="J390" s="33">
        <v>0</v>
      </c>
      <c r="K390" s="33">
        <v>0</v>
      </c>
      <c r="L390" s="33">
        <v>0</v>
      </c>
      <c r="M390">
        <v>5</v>
      </c>
      <c r="N390">
        <v>0</v>
      </c>
      <c r="O390">
        <v>0</v>
      </c>
      <c r="P390">
        <v>123</v>
      </c>
      <c r="Q390">
        <v>194</v>
      </c>
      <c r="R390">
        <v>253</v>
      </c>
      <c r="S390">
        <v>0</v>
      </c>
      <c r="T390">
        <v>0</v>
      </c>
      <c r="U390">
        <v>1</v>
      </c>
      <c r="V390">
        <v>0</v>
      </c>
      <c r="W390">
        <v>0</v>
      </c>
      <c r="X390" s="22">
        <v>0</v>
      </c>
      <c r="Y390" s="22">
        <v>0.00515463917525773</v>
      </c>
      <c r="Z390" s="22">
        <v>0</v>
      </c>
      <c r="AA390" s="22" t="s">
        <v>53</v>
      </c>
      <c r="AB390">
        <v>0</v>
      </c>
      <c r="AC390">
        <v>0.27</v>
      </c>
      <c r="AD390">
        <v>0</v>
      </c>
      <c r="AE390">
        <v>0</v>
      </c>
      <c r="AF390" s="22" t="s">
        <v>53</v>
      </c>
      <c r="AG390" s="22" t="s">
        <v>606</v>
      </c>
      <c r="AH390" s="22" t="s">
        <v>53</v>
      </c>
      <c r="AI390" s="22" t="s">
        <v>53</v>
      </c>
      <c r="AJ390">
        <v>1</v>
      </c>
      <c r="AK390">
        <v>4</v>
      </c>
      <c r="AL390">
        <v>5</v>
      </c>
      <c r="AM390">
        <v>0</v>
      </c>
      <c r="AN390" s="22">
        <v>0</v>
      </c>
      <c r="AO390" s="22">
        <v>0</v>
      </c>
      <c r="AP390" s="22">
        <v>0</v>
      </c>
      <c r="AQ390" s="22" t="s">
        <v>53</v>
      </c>
      <c r="AR390" s="35">
        <v>0</v>
      </c>
      <c r="AS390" s="35">
        <v>0</v>
      </c>
      <c r="AT390" s="35">
        <v>5</v>
      </c>
      <c r="AU390" s="31" t="str">
        <f t="shared" si="10"/>
        <v>库存为5</v>
      </c>
      <c r="AV390" s="36" t="str">
        <f>IFERROR(时间!$B$4+AU390,"上周无销量")</f>
        <v>上周无销量</v>
      </c>
    </row>
    <row r="391" spans="1:48">
      <c r="A391" s="20" t="s">
        <v>917</v>
      </c>
      <c r="B391" t="s">
        <v>918</v>
      </c>
      <c r="C391" t="s">
        <v>910</v>
      </c>
      <c r="D391" s="31">
        <v>0</v>
      </c>
      <c r="E391" s="31">
        <v>0</v>
      </c>
      <c r="F391" s="31">
        <v>2</v>
      </c>
      <c r="G391" s="31">
        <v>0</v>
      </c>
      <c r="H391" s="32">
        <v>16.99</v>
      </c>
      <c r="I391">
        <v>17</v>
      </c>
      <c r="J391" s="33">
        <v>0</v>
      </c>
      <c r="K391" s="33">
        <v>0</v>
      </c>
      <c r="L391" s="33">
        <v>0</v>
      </c>
      <c r="M391">
        <v>17</v>
      </c>
      <c r="N391">
        <v>0</v>
      </c>
      <c r="O391">
        <v>0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0</v>
      </c>
      <c r="AK391">
        <v>3</v>
      </c>
      <c r="AL391">
        <v>0</v>
      </c>
      <c r="AM391">
        <v>0</v>
      </c>
      <c r="AN391" s="22" t="s">
        <v>53</v>
      </c>
      <c r="AO391" s="22">
        <v>0</v>
      </c>
      <c r="AP391" s="22" t="s">
        <v>53</v>
      </c>
      <c r="AQ391" s="22" t="s">
        <v>53</v>
      </c>
      <c r="AR391" s="35">
        <v>0</v>
      </c>
      <c r="AS391" s="35">
        <v>0</v>
      </c>
      <c r="AT391" s="35">
        <v>17</v>
      </c>
      <c r="AU391" s="31" t="str">
        <f t="shared" si="10"/>
        <v>库存为17</v>
      </c>
      <c r="AV391" s="36" t="str">
        <f>IFERROR(时间!$B$4+AU391,"上周无销量")</f>
        <v>上周无销量</v>
      </c>
    </row>
    <row r="392" spans="1:48">
      <c r="A392" s="20" t="s">
        <v>919</v>
      </c>
      <c r="B392" t="s">
        <v>920</v>
      </c>
      <c r="C392" t="s">
        <v>910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5</v>
      </c>
      <c r="J392" s="33">
        <v>0</v>
      </c>
      <c r="K392" s="33">
        <v>0</v>
      </c>
      <c r="L392" s="33">
        <v>0</v>
      </c>
      <c r="M392">
        <v>5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1</v>
      </c>
      <c r="AK392">
        <v>2</v>
      </c>
      <c r="AL392">
        <v>2</v>
      </c>
      <c r="AM392">
        <v>0</v>
      </c>
      <c r="AN392" s="22">
        <v>0</v>
      </c>
      <c r="AO392" s="22">
        <v>0</v>
      </c>
      <c r="AP392" s="22">
        <v>0</v>
      </c>
      <c r="AQ392" s="22" t="s">
        <v>53</v>
      </c>
      <c r="AR392" s="35">
        <v>0</v>
      </c>
      <c r="AS392" s="35">
        <v>0</v>
      </c>
      <c r="AT392" s="35">
        <v>5</v>
      </c>
      <c r="AU392" s="31" t="str">
        <f t="shared" si="10"/>
        <v>库存为5</v>
      </c>
      <c r="AV392" s="36" t="str">
        <f>IFERROR(时间!$B$4+AU392,"上周无销量")</f>
        <v>上周无销量</v>
      </c>
    </row>
    <row r="393" spans="1:48">
      <c r="A393" s="20" t="s">
        <v>921</v>
      </c>
      <c r="B393" t="s">
        <v>922</v>
      </c>
      <c r="C393" t="s">
        <v>910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5</v>
      </c>
      <c r="J393" s="33">
        <v>0</v>
      </c>
      <c r="K393" s="33">
        <v>0</v>
      </c>
      <c r="L393" s="33">
        <v>0</v>
      </c>
      <c r="M393">
        <v>5</v>
      </c>
      <c r="N393">
        <v>0</v>
      </c>
      <c r="O393">
        <v>0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3</v>
      </c>
      <c r="AK393">
        <v>5</v>
      </c>
      <c r="AL393">
        <v>0</v>
      </c>
      <c r="AM393">
        <v>0</v>
      </c>
      <c r="AN393" s="22">
        <v>0</v>
      </c>
      <c r="AO393" s="22">
        <v>0</v>
      </c>
      <c r="AP393" s="22" t="s">
        <v>53</v>
      </c>
      <c r="AQ393" s="22" t="s">
        <v>53</v>
      </c>
      <c r="AR393" s="35">
        <v>0</v>
      </c>
      <c r="AS393" s="35">
        <v>0</v>
      </c>
      <c r="AT393" s="35">
        <v>5</v>
      </c>
      <c r="AU393" s="31" t="str">
        <f t="shared" si="10"/>
        <v>库存为5</v>
      </c>
      <c r="AV393" s="36" t="str">
        <f>IFERROR(时间!$B$4+AU393,"上周无销量")</f>
        <v>上周无销量</v>
      </c>
    </row>
    <row r="394" spans="1:48">
      <c r="A394" s="20" t="s">
        <v>923</v>
      </c>
      <c r="B394" t="s">
        <v>924</v>
      </c>
      <c r="C394" t="s">
        <v>910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5</v>
      </c>
      <c r="J394" s="33">
        <v>0</v>
      </c>
      <c r="K394" s="33">
        <v>0</v>
      </c>
      <c r="L394" s="33">
        <v>0</v>
      </c>
      <c r="M394">
        <v>5</v>
      </c>
      <c r="N394">
        <v>0</v>
      </c>
      <c r="O394">
        <v>0</v>
      </c>
      <c r="P394">
        <v>47</v>
      </c>
      <c r="Q394">
        <v>119</v>
      </c>
      <c r="R394">
        <v>165</v>
      </c>
      <c r="S394">
        <v>0</v>
      </c>
      <c r="T394">
        <v>0</v>
      </c>
      <c r="U394">
        <v>0</v>
      </c>
      <c r="V394">
        <v>0</v>
      </c>
      <c r="W394">
        <v>0</v>
      </c>
      <c r="X394" s="22">
        <v>0</v>
      </c>
      <c r="Y394" s="22">
        <v>0</v>
      </c>
      <c r="Z394" s="22">
        <v>0</v>
      </c>
      <c r="AA394" s="22" t="s">
        <v>53</v>
      </c>
      <c r="AB394">
        <v>0</v>
      </c>
      <c r="AC394">
        <v>0</v>
      </c>
      <c r="AD394">
        <v>0</v>
      </c>
      <c r="AE394">
        <v>0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2</v>
      </c>
      <c r="AK394">
        <v>6</v>
      </c>
      <c r="AL394">
        <v>1</v>
      </c>
      <c r="AM394">
        <v>0</v>
      </c>
      <c r="AN394" s="22">
        <v>0</v>
      </c>
      <c r="AO394" s="22">
        <v>0</v>
      </c>
      <c r="AP394" s="22">
        <v>0</v>
      </c>
      <c r="AQ394" s="22" t="s">
        <v>53</v>
      </c>
      <c r="AR394" s="35">
        <v>0</v>
      </c>
      <c r="AS394" s="35">
        <v>0</v>
      </c>
      <c r="AT394" s="35">
        <v>5</v>
      </c>
      <c r="AU394" s="31" t="str">
        <f t="shared" si="10"/>
        <v>库存为5</v>
      </c>
      <c r="AV394" s="36" t="str">
        <f>IFERROR(时间!$B$4+AU394,"上周无销量")</f>
        <v>上周无销量</v>
      </c>
    </row>
    <row r="395" spans="1:48">
      <c r="A395" s="20" t="s">
        <v>925</v>
      </c>
      <c r="B395" t="s">
        <v>926</v>
      </c>
      <c r="C395" t="s">
        <v>910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4</v>
      </c>
      <c r="J395" s="33">
        <v>0</v>
      </c>
      <c r="K395" s="33">
        <v>0</v>
      </c>
      <c r="L395" s="33">
        <v>0</v>
      </c>
      <c r="M395">
        <v>4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3</v>
      </c>
      <c r="AK395">
        <v>2</v>
      </c>
      <c r="AL395">
        <v>2</v>
      </c>
      <c r="AM395">
        <v>0</v>
      </c>
      <c r="AN395" s="22">
        <v>0</v>
      </c>
      <c r="AO395" s="22">
        <v>0</v>
      </c>
      <c r="AP395" s="22">
        <v>0</v>
      </c>
      <c r="AQ395" s="22" t="s">
        <v>53</v>
      </c>
      <c r="AR395" s="35">
        <v>0</v>
      </c>
      <c r="AS395" s="35">
        <v>0</v>
      </c>
      <c r="AT395" s="35">
        <v>4</v>
      </c>
      <c r="AU395" s="31" t="str">
        <f t="shared" si="10"/>
        <v>库存为4</v>
      </c>
      <c r="AV395" s="36" t="str">
        <f>IFERROR(时间!$B$4+AU395,"上周无销量")</f>
        <v>上周无销量</v>
      </c>
    </row>
    <row r="396" spans="1:48">
      <c r="A396" s="20" t="s">
        <v>927</v>
      </c>
      <c r="B396" t="s">
        <v>928</v>
      </c>
      <c r="C396" t="s">
        <v>929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5</v>
      </c>
      <c r="J396" s="33">
        <v>0</v>
      </c>
      <c r="K396" s="33">
        <v>0</v>
      </c>
      <c r="L396" s="33">
        <v>0</v>
      </c>
      <c r="M396">
        <v>5</v>
      </c>
      <c r="N396">
        <v>0</v>
      </c>
      <c r="O396">
        <v>0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2</v>
      </c>
      <c r="AK396">
        <v>5</v>
      </c>
      <c r="AL396">
        <v>1</v>
      </c>
      <c r="AM396">
        <v>0</v>
      </c>
      <c r="AN396" s="22">
        <v>0</v>
      </c>
      <c r="AO396" s="22">
        <v>0</v>
      </c>
      <c r="AP396" s="22">
        <v>0</v>
      </c>
      <c r="AQ396" s="22" t="s">
        <v>53</v>
      </c>
      <c r="AR396" s="35">
        <v>0</v>
      </c>
      <c r="AS396" s="35">
        <v>0</v>
      </c>
      <c r="AT396" s="35">
        <v>5</v>
      </c>
      <c r="AU396" s="31" t="str">
        <f t="shared" si="10"/>
        <v>库存为5</v>
      </c>
      <c r="AV396" s="36" t="str">
        <f>IFERROR(时间!$B$4+AU396,"上周无销量")</f>
        <v>上周无销量</v>
      </c>
    </row>
    <row r="397" spans="1:48">
      <c r="A397" s="20" t="s">
        <v>930</v>
      </c>
      <c r="B397" t="s">
        <v>931</v>
      </c>
      <c r="C397" t="s">
        <v>929</v>
      </c>
      <c r="D397" s="31">
        <v>0</v>
      </c>
      <c r="E397" s="31">
        <v>2</v>
      </c>
      <c r="F397" s="31">
        <v>0</v>
      </c>
      <c r="G397" s="31">
        <v>0</v>
      </c>
      <c r="H397" s="32">
        <v>15.99</v>
      </c>
      <c r="I397">
        <v>3</v>
      </c>
      <c r="J397" s="33">
        <v>0</v>
      </c>
      <c r="K397" s="33">
        <v>0</v>
      </c>
      <c r="L397" s="33">
        <v>0</v>
      </c>
      <c r="M397">
        <v>3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2</v>
      </c>
      <c r="AK397">
        <v>4</v>
      </c>
      <c r="AL397">
        <v>2</v>
      </c>
      <c r="AM397">
        <v>0</v>
      </c>
      <c r="AN397" s="22">
        <v>0</v>
      </c>
      <c r="AO397" s="22">
        <v>0.5</v>
      </c>
      <c r="AP397" s="22">
        <v>0</v>
      </c>
      <c r="AQ397" s="22" t="s">
        <v>53</v>
      </c>
      <c r="AR397" s="35">
        <v>0</v>
      </c>
      <c r="AS397" s="35">
        <v>0</v>
      </c>
      <c r="AT397" s="35">
        <v>3</v>
      </c>
      <c r="AU397" s="31" t="str">
        <f t="shared" si="10"/>
        <v>库存为3</v>
      </c>
      <c r="AV397" s="36" t="str">
        <f>IFERROR(时间!$B$4+AU397,"上周无销量")</f>
        <v>上周无销量</v>
      </c>
    </row>
    <row r="398" spans="1:48">
      <c r="A398" s="20" t="s">
        <v>932</v>
      </c>
      <c r="B398" t="s">
        <v>933</v>
      </c>
      <c r="C398" t="s">
        <v>929</v>
      </c>
      <c r="D398" s="31">
        <v>0</v>
      </c>
      <c r="E398" s="31">
        <v>0</v>
      </c>
      <c r="F398" s="31">
        <v>1</v>
      </c>
      <c r="G398" s="31">
        <v>0</v>
      </c>
      <c r="H398" s="32">
        <v>15.99</v>
      </c>
      <c r="I398">
        <v>9</v>
      </c>
      <c r="J398" s="33">
        <v>0</v>
      </c>
      <c r="K398" s="33">
        <v>0</v>
      </c>
      <c r="L398" s="33">
        <v>0</v>
      </c>
      <c r="M398">
        <v>9</v>
      </c>
      <c r="N398">
        <v>0</v>
      </c>
      <c r="O398">
        <v>0</v>
      </c>
      <c r="P398">
        <v>193</v>
      </c>
      <c r="Q398">
        <v>849</v>
      </c>
      <c r="R398">
        <v>1076</v>
      </c>
      <c r="S398">
        <v>0</v>
      </c>
      <c r="T398">
        <v>0</v>
      </c>
      <c r="U398">
        <v>4</v>
      </c>
      <c r="V398">
        <v>1</v>
      </c>
      <c r="W398">
        <v>0</v>
      </c>
      <c r="X398" s="22">
        <v>0</v>
      </c>
      <c r="Y398" s="22">
        <v>0.00471142520612485</v>
      </c>
      <c r="Z398" s="22">
        <v>0.000929368029739777</v>
      </c>
      <c r="AA398" s="22" t="s">
        <v>53</v>
      </c>
      <c r="AB398">
        <v>0</v>
      </c>
      <c r="AC398">
        <v>1.42</v>
      </c>
      <c r="AD398">
        <v>0.2</v>
      </c>
      <c r="AE398">
        <v>0</v>
      </c>
      <c r="AF398" s="22" t="s">
        <v>53</v>
      </c>
      <c r="AG398" s="22" t="s">
        <v>934</v>
      </c>
      <c r="AH398" s="22">
        <v>0.0125078173858662</v>
      </c>
      <c r="AI398" s="22" t="s">
        <v>53</v>
      </c>
      <c r="AJ398">
        <v>1</v>
      </c>
      <c r="AK398">
        <v>8</v>
      </c>
      <c r="AL398">
        <v>0</v>
      </c>
      <c r="AM398">
        <v>1</v>
      </c>
      <c r="AN398" s="22">
        <v>0</v>
      </c>
      <c r="AO398" s="22">
        <v>0</v>
      </c>
      <c r="AP398" s="22" t="s">
        <v>53</v>
      </c>
      <c r="AQ398" s="22">
        <v>0</v>
      </c>
      <c r="AR398" s="35">
        <v>0</v>
      </c>
      <c r="AS398" s="35">
        <v>0</v>
      </c>
      <c r="AT398" s="35">
        <v>9</v>
      </c>
      <c r="AU398" s="31" t="str">
        <f t="shared" si="10"/>
        <v>库存为9</v>
      </c>
      <c r="AV398" s="36" t="str">
        <f>IFERROR(时间!$B$4+AU398,"上周无销量")</f>
        <v>上周无销量</v>
      </c>
    </row>
    <row r="399" spans="1:48">
      <c r="A399" s="20" t="s">
        <v>935</v>
      </c>
      <c r="B399" t="s">
        <v>936</v>
      </c>
      <c r="C399" t="s">
        <v>929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5</v>
      </c>
      <c r="J399" s="33">
        <v>0</v>
      </c>
      <c r="K399" s="33">
        <v>0</v>
      </c>
      <c r="L399" s="33">
        <v>0</v>
      </c>
      <c r="M399">
        <v>5</v>
      </c>
      <c r="N399">
        <v>0</v>
      </c>
      <c r="O399">
        <v>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</v>
      </c>
      <c r="AK399">
        <v>3</v>
      </c>
      <c r="AL399">
        <v>0</v>
      </c>
      <c r="AM399">
        <v>0</v>
      </c>
      <c r="AN399" s="22">
        <v>0</v>
      </c>
      <c r="AO399" s="22">
        <v>0</v>
      </c>
      <c r="AP399" s="22" t="s">
        <v>53</v>
      </c>
      <c r="AQ399" s="22" t="s">
        <v>53</v>
      </c>
      <c r="AR399" s="35">
        <v>0</v>
      </c>
      <c r="AS399" s="35">
        <v>0</v>
      </c>
      <c r="AT399" s="35">
        <v>5</v>
      </c>
      <c r="AU399" s="31" t="str">
        <f t="shared" si="10"/>
        <v>库存为5</v>
      </c>
      <c r="AV399" s="36" t="str">
        <f>IFERROR(时间!$B$4+AU399,"上周无销量")</f>
        <v>上周无销量</v>
      </c>
    </row>
    <row r="400" spans="1:48">
      <c r="A400" s="20" t="s">
        <v>937</v>
      </c>
      <c r="B400" t="s">
        <v>938</v>
      </c>
      <c r="C400" t="s">
        <v>929</v>
      </c>
      <c r="D400" s="31">
        <v>0</v>
      </c>
      <c r="E400" s="31">
        <v>0</v>
      </c>
      <c r="F400" s="31">
        <v>1</v>
      </c>
      <c r="G400" s="31">
        <v>0</v>
      </c>
      <c r="H400" s="32">
        <v>15.99</v>
      </c>
      <c r="I400">
        <v>14</v>
      </c>
      <c r="J400" s="33">
        <v>0</v>
      </c>
      <c r="K400" s="33">
        <v>0</v>
      </c>
      <c r="L400" s="33">
        <v>0</v>
      </c>
      <c r="M400">
        <v>14</v>
      </c>
      <c r="N400">
        <v>0</v>
      </c>
      <c r="O400">
        <v>0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1</v>
      </c>
      <c r="AK400">
        <v>4</v>
      </c>
      <c r="AL400">
        <v>1</v>
      </c>
      <c r="AM400">
        <v>0</v>
      </c>
      <c r="AN400" s="22">
        <v>0</v>
      </c>
      <c r="AO400" s="22">
        <v>0</v>
      </c>
      <c r="AP400" s="22">
        <v>1</v>
      </c>
      <c r="AQ400" s="22" t="s">
        <v>53</v>
      </c>
      <c r="AR400" s="35">
        <v>0</v>
      </c>
      <c r="AS400" s="35">
        <v>0</v>
      </c>
      <c r="AT400" s="35">
        <v>14</v>
      </c>
      <c r="AU400" s="31" t="str">
        <f t="shared" si="10"/>
        <v>库存为14</v>
      </c>
      <c r="AV400" s="36" t="str">
        <f>IFERROR(时间!$B$4+AU400,"上周无销量")</f>
        <v>上周无销量</v>
      </c>
    </row>
    <row r="401" spans="1:48">
      <c r="A401" s="20" t="s">
        <v>939</v>
      </c>
      <c r="B401" t="s">
        <v>940</v>
      </c>
      <c r="C401" t="s">
        <v>929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5</v>
      </c>
      <c r="J401" s="33">
        <v>0</v>
      </c>
      <c r="K401" s="33">
        <v>0</v>
      </c>
      <c r="L401" s="33">
        <v>0</v>
      </c>
      <c r="M401">
        <v>5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3</v>
      </c>
      <c r="AK401">
        <v>2</v>
      </c>
      <c r="AL401">
        <v>1</v>
      </c>
      <c r="AM401">
        <v>0</v>
      </c>
      <c r="AN401" s="22">
        <v>0</v>
      </c>
      <c r="AO401" s="22">
        <v>0</v>
      </c>
      <c r="AP401" s="22">
        <v>0</v>
      </c>
      <c r="AQ401" s="22" t="s">
        <v>53</v>
      </c>
      <c r="AR401" s="35">
        <v>0</v>
      </c>
      <c r="AS401" s="35">
        <v>0</v>
      </c>
      <c r="AT401" s="35">
        <v>5</v>
      </c>
      <c r="AU401" s="31" t="str">
        <f t="shared" si="10"/>
        <v>库存为5</v>
      </c>
      <c r="AV401" s="36" t="str">
        <f>IFERROR(时间!$B$4+AU401,"上周无销量")</f>
        <v>上周无销量</v>
      </c>
    </row>
    <row r="402" spans="1:48">
      <c r="A402" s="20" t="s">
        <v>941</v>
      </c>
      <c r="B402" t="s">
        <v>942</v>
      </c>
      <c r="C402" t="s">
        <v>929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5</v>
      </c>
      <c r="J402" s="33">
        <v>0</v>
      </c>
      <c r="K402" s="33">
        <v>0</v>
      </c>
      <c r="L402" s="33">
        <v>0</v>
      </c>
      <c r="M402">
        <v>5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1</v>
      </c>
      <c r="AK402">
        <v>3</v>
      </c>
      <c r="AL402">
        <v>1</v>
      </c>
      <c r="AM402">
        <v>0</v>
      </c>
      <c r="AN402" s="22">
        <v>0</v>
      </c>
      <c r="AO402" s="22">
        <v>0</v>
      </c>
      <c r="AP402" s="22">
        <v>0</v>
      </c>
      <c r="AQ402" s="22" t="s">
        <v>53</v>
      </c>
      <c r="AR402" s="35">
        <v>0</v>
      </c>
      <c r="AS402" s="35">
        <v>0</v>
      </c>
      <c r="AT402" s="35">
        <v>5</v>
      </c>
      <c r="AU402" s="31" t="str">
        <f t="shared" si="10"/>
        <v>库存为5</v>
      </c>
      <c r="AV402" s="36" t="str">
        <f>IFERROR(时间!$B$4+AU402,"上周无销量")</f>
        <v>上周无销量</v>
      </c>
    </row>
    <row r="403" spans="1:48">
      <c r="A403" s="20" t="s">
        <v>943</v>
      </c>
      <c r="B403" t="s">
        <v>944</v>
      </c>
      <c r="C403" t="s">
        <v>929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5</v>
      </c>
      <c r="J403" s="33">
        <v>0</v>
      </c>
      <c r="K403" s="33">
        <v>0</v>
      </c>
      <c r="L403" s="33">
        <v>0</v>
      </c>
      <c r="M403">
        <v>5</v>
      </c>
      <c r="N403">
        <v>0</v>
      </c>
      <c r="O403">
        <v>0</v>
      </c>
      <c r="P403">
        <v>642</v>
      </c>
      <c r="Q403">
        <v>1227</v>
      </c>
      <c r="R403">
        <v>2505</v>
      </c>
      <c r="S403">
        <v>0</v>
      </c>
      <c r="T403">
        <v>1</v>
      </c>
      <c r="U403">
        <v>2</v>
      </c>
      <c r="V403">
        <v>4</v>
      </c>
      <c r="W403">
        <v>0</v>
      </c>
      <c r="X403" s="22">
        <v>0.00155763239875389</v>
      </c>
      <c r="Y403" s="22">
        <v>0.00162999185004075</v>
      </c>
      <c r="Z403" s="22">
        <v>0.00159680638722555</v>
      </c>
      <c r="AA403" s="22" t="s">
        <v>53</v>
      </c>
      <c r="AB403">
        <v>0.25</v>
      </c>
      <c r="AC403">
        <v>0.89</v>
      </c>
      <c r="AD403">
        <v>1.57</v>
      </c>
      <c r="AE403">
        <v>0</v>
      </c>
      <c r="AF403" s="22" t="s">
        <v>945</v>
      </c>
      <c r="AG403" s="22" t="s">
        <v>946</v>
      </c>
      <c r="AH403" s="22" t="s">
        <v>947</v>
      </c>
      <c r="AI403" s="22" t="s">
        <v>53</v>
      </c>
      <c r="AJ403">
        <v>3</v>
      </c>
      <c r="AK403">
        <v>0</v>
      </c>
      <c r="AL403">
        <v>7</v>
      </c>
      <c r="AM403">
        <v>0</v>
      </c>
      <c r="AN403" s="22">
        <v>0</v>
      </c>
      <c r="AO403" s="22" t="s">
        <v>53</v>
      </c>
      <c r="AP403" s="22">
        <v>0</v>
      </c>
      <c r="AQ403" s="22" t="s">
        <v>53</v>
      </c>
      <c r="AR403" s="35">
        <v>0</v>
      </c>
      <c r="AS403" s="35">
        <v>0</v>
      </c>
      <c r="AT403" s="35">
        <v>5</v>
      </c>
      <c r="AU403" s="31" t="str">
        <f t="shared" si="10"/>
        <v>库存为5</v>
      </c>
      <c r="AV403" s="36" t="str">
        <f>IFERROR(时间!$B$4+AU403,"上周无销量")</f>
        <v>上周无销量</v>
      </c>
    </row>
    <row r="404" spans="1:48">
      <c r="A404" s="20" t="s">
        <v>948</v>
      </c>
      <c r="B404" t="s">
        <v>949</v>
      </c>
      <c r="C404" t="s">
        <v>929</v>
      </c>
      <c r="D404" s="31">
        <v>1</v>
      </c>
      <c r="E404" s="31">
        <v>0</v>
      </c>
      <c r="F404" s="31">
        <v>1</v>
      </c>
      <c r="G404" s="31">
        <v>0</v>
      </c>
      <c r="H404" s="32">
        <v>15.99</v>
      </c>
      <c r="I404">
        <v>8</v>
      </c>
      <c r="J404" s="33">
        <v>0</v>
      </c>
      <c r="K404" s="33">
        <v>0</v>
      </c>
      <c r="L404" s="33">
        <v>0</v>
      </c>
      <c r="M404">
        <v>8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2</v>
      </c>
      <c r="AK404">
        <v>1</v>
      </c>
      <c r="AL404">
        <v>0</v>
      </c>
      <c r="AM404">
        <v>0</v>
      </c>
      <c r="AN404" s="22">
        <v>0.5</v>
      </c>
      <c r="AO404" s="22">
        <v>0</v>
      </c>
      <c r="AP404" s="22" t="s">
        <v>53</v>
      </c>
      <c r="AQ404" s="22" t="s">
        <v>53</v>
      </c>
      <c r="AR404" s="35">
        <v>0.142857142857143</v>
      </c>
      <c r="AS404" s="35">
        <v>8.57142857142857</v>
      </c>
      <c r="AT404" s="35">
        <v>-0.571428571428571</v>
      </c>
      <c r="AU404" s="31">
        <f t="shared" si="10"/>
        <v>56</v>
      </c>
      <c r="AV404" s="36">
        <f>IFERROR(时间!$B$4+AU404,"上周无销量")</f>
        <v>43388</v>
      </c>
    </row>
    <row r="405" spans="1:48">
      <c r="A405" s="20" t="s">
        <v>950</v>
      </c>
      <c r="B405" t="s">
        <v>951</v>
      </c>
      <c r="C405" t="s">
        <v>952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5</v>
      </c>
      <c r="J405" s="33">
        <v>0</v>
      </c>
      <c r="K405" s="33">
        <v>0</v>
      </c>
      <c r="L405" s="33">
        <v>0</v>
      </c>
      <c r="M405">
        <v>5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1</v>
      </c>
      <c r="AK405">
        <v>4</v>
      </c>
      <c r="AL405">
        <v>2</v>
      </c>
      <c r="AM405">
        <v>0</v>
      </c>
      <c r="AN405" s="22">
        <v>0</v>
      </c>
      <c r="AO405" s="22">
        <v>0</v>
      </c>
      <c r="AP405" s="22">
        <v>0</v>
      </c>
      <c r="AQ405" s="22" t="s">
        <v>53</v>
      </c>
      <c r="AR405" s="35">
        <v>0</v>
      </c>
      <c r="AS405" s="35">
        <v>0</v>
      </c>
      <c r="AT405" s="35">
        <v>5</v>
      </c>
      <c r="AU405" s="31" t="str">
        <f t="shared" si="10"/>
        <v>库存为5</v>
      </c>
      <c r="AV405" s="36" t="str">
        <f>IFERROR(时间!$B$4+AU405,"上周无销量")</f>
        <v>上周无销量</v>
      </c>
    </row>
    <row r="406" spans="1:48">
      <c r="A406" s="20" t="s">
        <v>953</v>
      </c>
      <c r="B406" t="s">
        <v>954</v>
      </c>
      <c r="C406" t="s">
        <v>952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5</v>
      </c>
      <c r="J406" s="33">
        <v>0</v>
      </c>
      <c r="K406" s="33">
        <v>0</v>
      </c>
      <c r="L406" s="33">
        <v>0</v>
      </c>
      <c r="M406">
        <v>5</v>
      </c>
      <c r="N406">
        <v>0</v>
      </c>
      <c r="O406">
        <v>0</v>
      </c>
      <c r="P406">
        <v>64</v>
      </c>
      <c r="Q406">
        <v>72</v>
      </c>
      <c r="R406">
        <v>102</v>
      </c>
      <c r="S406">
        <v>0</v>
      </c>
      <c r="T406">
        <v>0</v>
      </c>
      <c r="U406">
        <v>0</v>
      </c>
      <c r="V406">
        <v>0</v>
      </c>
      <c r="W406">
        <v>0</v>
      </c>
      <c r="X406" s="22">
        <v>0</v>
      </c>
      <c r="Y406" s="22">
        <v>0</v>
      </c>
      <c r="Z406" s="22">
        <v>0</v>
      </c>
      <c r="AA406" s="22" t="s">
        <v>53</v>
      </c>
      <c r="AB406">
        <v>0</v>
      </c>
      <c r="AC406">
        <v>0</v>
      </c>
      <c r="AD406">
        <v>0</v>
      </c>
      <c r="AE406">
        <v>0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2</v>
      </c>
      <c r="AK406">
        <v>5</v>
      </c>
      <c r="AL406">
        <v>1</v>
      </c>
      <c r="AM406">
        <v>0</v>
      </c>
      <c r="AN406" s="22">
        <v>0</v>
      </c>
      <c r="AO406" s="22">
        <v>0</v>
      </c>
      <c r="AP406" s="22">
        <v>0</v>
      </c>
      <c r="AQ406" s="22" t="s">
        <v>53</v>
      </c>
      <c r="AR406" s="35">
        <v>0</v>
      </c>
      <c r="AS406" s="35">
        <v>0</v>
      </c>
      <c r="AT406" s="35">
        <v>5</v>
      </c>
      <c r="AU406" s="31" t="str">
        <f t="shared" si="10"/>
        <v>库存为5</v>
      </c>
      <c r="AV406" s="36" t="str">
        <f>IFERROR(时间!$B$4+AU406,"上周无销量")</f>
        <v>上周无销量</v>
      </c>
    </row>
    <row r="407" spans="1:48">
      <c r="A407" s="20" t="s">
        <v>955</v>
      </c>
      <c r="B407" t="s">
        <v>956</v>
      </c>
      <c r="C407" t="s">
        <v>952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5</v>
      </c>
      <c r="J407" s="33">
        <v>0</v>
      </c>
      <c r="K407" s="33">
        <v>0</v>
      </c>
      <c r="L407" s="33">
        <v>0</v>
      </c>
      <c r="M407">
        <v>5</v>
      </c>
      <c r="N407">
        <v>0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1</v>
      </c>
      <c r="AK407">
        <v>5</v>
      </c>
      <c r="AL407">
        <v>0</v>
      </c>
      <c r="AM407">
        <v>0</v>
      </c>
      <c r="AN407" s="22">
        <v>0</v>
      </c>
      <c r="AO407" s="22">
        <v>0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5</v>
      </c>
      <c r="AU407" s="31" t="str">
        <f t="shared" si="10"/>
        <v>库存为5</v>
      </c>
      <c r="AV407" s="36" t="str">
        <f>IFERROR(时间!$B$4+AU407,"上周无销量")</f>
        <v>上周无销量</v>
      </c>
    </row>
    <row r="408" spans="1:48">
      <c r="A408" s="20" t="s">
        <v>957</v>
      </c>
      <c r="B408" t="s">
        <v>958</v>
      </c>
      <c r="C408" t="s">
        <v>952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5</v>
      </c>
      <c r="J408" s="33">
        <v>0</v>
      </c>
      <c r="K408" s="33">
        <v>0</v>
      </c>
      <c r="L408" s="33">
        <v>0</v>
      </c>
      <c r="M408">
        <v>5</v>
      </c>
      <c r="N408">
        <v>0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1</v>
      </c>
      <c r="AK408">
        <v>5</v>
      </c>
      <c r="AL408">
        <v>0</v>
      </c>
      <c r="AM408">
        <v>0</v>
      </c>
      <c r="AN408" s="22">
        <v>0</v>
      </c>
      <c r="AO408" s="22">
        <v>0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5</v>
      </c>
      <c r="AU408" s="31" t="str">
        <f t="shared" si="10"/>
        <v>库存为5</v>
      </c>
      <c r="AV408" s="36" t="str">
        <f>IFERROR(时间!$B$4+AU408,"上周无销量")</f>
        <v>上周无销量</v>
      </c>
    </row>
    <row r="409" spans="1:48">
      <c r="A409" s="20" t="s">
        <v>959</v>
      </c>
      <c r="B409" t="s">
        <v>960</v>
      </c>
      <c r="C409" t="s">
        <v>952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4</v>
      </c>
      <c r="AK409">
        <v>6</v>
      </c>
      <c r="AL409">
        <v>2</v>
      </c>
      <c r="AM409">
        <v>0</v>
      </c>
      <c r="AN409" s="22">
        <v>0</v>
      </c>
      <c r="AO409" s="22">
        <v>0</v>
      </c>
      <c r="AP409" s="22">
        <v>0</v>
      </c>
      <c r="AQ409" s="22" t="s">
        <v>53</v>
      </c>
      <c r="AR409" s="35">
        <v>0</v>
      </c>
      <c r="AS409" s="35">
        <v>0</v>
      </c>
      <c r="AT409" s="35">
        <v>5</v>
      </c>
      <c r="AU409" s="31" t="str">
        <f t="shared" si="10"/>
        <v>库存为5</v>
      </c>
      <c r="AV409" s="36" t="str">
        <f>IFERROR(时间!$B$4+AU409,"上周无销量")</f>
        <v>上周无销量</v>
      </c>
    </row>
    <row r="410" spans="1:48">
      <c r="A410" s="20" t="s">
        <v>961</v>
      </c>
      <c r="B410" t="s">
        <v>962</v>
      </c>
      <c r="C410" t="s">
        <v>952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5</v>
      </c>
      <c r="J410" s="33">
        <v>0</v>
      </c>
      <c r="K410" s="33">
        <v>0</v>
      </c>
      <c r="L410" s="33">
        <v>0</v>
      </c>
      <c r="M410">
        <v>5</v>
      </c>
      <c r="N410">
        <v>0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1</v>
      </c>
      <c r="AK410">
        <v>3</v>
      </c>
      <c r="AL410">
        <v>3</v>
      </c>
      <c r="AM410">
        <v>0</v>
      </c>
      <c r="AN410" s="22">
        <v>0</v>
      </c>
      <c r="AO410" s="22">
        <v>0</v>
      </c>
      <c r="AP410" s="22">
        <v>0</v>
      </c>
      <c r="AQ410" s="22" t="s">
        <v>53</v>
      </c>
      <c r="AR410" s="35">
        <v>0</v>
      </c>
      <c r="AS410" s="35">
        <v>0</v>
      </c>
      <c r="AT410" s="35">
        <v>5</v>
      </c>
      <c r="AU410" s="31" t="str">
        <f t="shared" si="10"/>
        <v>库存为5</v>
      </c>
      <c r="AV410" s="36" t="str">
        <f>IFERROR(时间!$B$4+AU410,"上周无销量")</f>
        <v>上周无销量</v>
      </c>
    </row>
    <row r="411" spans="1:48">
      <c r="A411" s="20" t="s">
        <v>963</v>
      </c>
      <c r="B411" t="s">
        <v>964</v>
      </c>
      <c r="C411" t="s">
        <v>952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5</v>
      </c>
      <c r="J411" s="33">
        <v>0</v>
      </c>
      <c r="K411" s="33">
        <v>0</v>
      </c>
      <c r="L411" s="33">
        <v>0</v>
      </c>
      <c r="M411">
        <v>5</v>
      </c>
      <c r="N411">
        <v>0</v>
      </c>
      <c r="O411">
        <v>0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1</v>
      </c>
      <c r="AK411">
        <v>4</v>
      </c>
      <c r="AL411">
        <v>3</v>
      </c>
      <c r="AM411">
        <v>0</v>
      </c>
      <c r="AN411" s="22">
        <v>0</v>
      </c>
      <c r="AO411" s="22">
        <v>0</v>
      </c>
      <c r="AP411" s="22">
        <v>0</v>
      </c>
      <c r="AQ411" s="22" t="s">
        <v>53</v>
      </c>
      <c r="AR411" s="35">
        <v>0</v>
      </c>
      <c r="AS411" s="35">
        <v>0</v>
      </c>
      <c r="AT411" s="35">
        <v>5</v>
      </c>
      <c r="AU411" s="31" t="str">
        <f t="shared" si="10"/>
        <v>库存为5</v>
      </c>
      <c r="AV411" s="36" t="str">
        <f>IFERROR(时间!$B$4+AU411,"上周无销量")</f>
        <v>上周无销量</v>
      </c>
    </row>
    <row r="412" spans="1:48">
      <c r="A412" s="20" t="s">
        <v>965</v>
      </c>
      <c r="B412" t="s">
        <v>966</v>
      </c>
      <c r="C412" t="s">
        <v>952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5</v>
      </c>
      <c r="J412" s="33">
        <v>0</v>
      </c>
      <c r="K412" s="33">
        <v>0</v>
      </c>
      <c r="L412" s="33">
        <v>0</v>
      </c>
      <c r="M412">
        <v>5</v>
      </c>
      <c r="N412">
        <v>0</v>
      </c>
      <c r="O412">
        <v>0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1</v>
      </c>
      <c r="AK412">
        <v>0</v>
      </c>
      <c r="AL412">
        <v>0</v>
      </c>
      <c r="AM412">
        <v>0</v>
      </c>
      <c r="AN412" s="22">
        <v>0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5</v>
      </c>
      <c r="AU412" s="31" t="str">
        <f t="shared" si="10"/>
        <v>库存为5</v>
      </c>
      <c r="AV412" s="36" t="str">
        <f>IFERROR(时间!$B$4+AU412,"上周无销量")</f>
        <v>上周无销量</v>
      </c>
    </row>
    <row r="413" spans="1:48">
      <c r="A413" s="20" t="s">
        <v>967</v>
      </c>
      <c r="B413" t="s">
        <v>968</v>
      </c>
      <c r="C413" t="s">
        <v>952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5</v>
      </c>
      <c r="J413" s="33">
        <v>0</v>
      </c>
      <c r="K413" s="33">
        <v>0</v>
      </c>
      <c r="L413" s="33">
        <v>0</v>
      </c>
      <c r="M413">
        <v>5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1</v>
      </c>
      <c r="AK413">
        <v>3</v>
      </c>
      <c r="AL413">
        <v>3</v>
      </c>
      <c r="AM413">
        <v>0</v>
      </c>
      <c r="AN413" s="22">
        <v>0</v>
      </c>
      <c r="AO413" s="22">
        <v>0</v>
      </c>
      <c r="AP413" s="22">
        <v>0</v>
      </c>
      <c r="AQ413" s="22" t="s">
        <v>53</v>
      </c>
      <c r="AR413" s="35">
        <v>0</v>
      </c>
      <c r="AS413" s="35">
        <v>0</v>
      </c>
      <c r="AT413" s="35">
        <v>5</v>
      </c>
      <c r="AU413" s="31" t="str">
        <f t="shared" si="10"/>
        <v>库存为5</v>
      </c>
      <c r="AV413" s="36" t="str">
        <f>IFERROR(时间!$B$4+AU413,"上周无销量")</f>
        <v>上周无销量</v>
      </c>
    </row>
    <row r="414" spans="1:48">
      <c r="A414" s="20" t="s">
        <v>969</v>
      </c>
      <c r="B414" t="s">
        <v>970</v>
      </c>
      <c r="C414" t="s">
        <v>952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4</v>
      </c>
      <c r="J414" s="33">
        <v>0</v>
      </c>
      <c r="K414" s="33">
        <v>0</v>
      </c>
      <c r="L414" s="33">
        <v>0</v>
      </c>
      <c r="M414">
        <v>4</v>
      </c>
      <c r="N414">
        <v>0</v>
      </c>
      <c r="O414">
        <v>0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1</v>
      </c>
      <c r="AK414">
        <v>0</v>
      </c>
      <c r="AL414">
        <v>0</v>
      </c>
      <c r="AM414">
        <v>0</v>
      </c>
      <c r="AN414" s="22">
        <v>0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4</v>
      </c>
      <c r="AU414" s="31" t="str">
        <f t="shared" si="10"/>
        <v>库存为4</v>
      </c>
      <c r="AV414" s="36" t="str">
        <f>IFERROR(时间!$B$4+AU414,"上周无销量")</f>
        <v>上周无销量</v>
      </c>
    </row>
    <row r="415" spans="1:48">
      <c r="A415" s="20" t="s">
        <v>971</v>
      </c>
      <c r="B415" t="s">
        <v>972</v>
      </c>
      <c r="C415" t="s">
        <v>952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5</v>
      </c>
      <c r="J415" s="33">
        <v>0</v>
      </c>
      <c r="K415" s="33">
        <v>0</v>
      </c>
      <c r="L415" s="33">
        <v>0</v>
      </c>
      <c r="M415">
        <v>5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3</v>
      </c>
      <c r="AK415">
        <v>1</v>
      </c>
      <c r="AL415">
        <v>0</v>
      </c>
      <c r="AM415">
        <v>0</v>
      </c>
      <c r="AN415" s="22">
        <v>0</v>
      </c>
      <c r="AO415" s="22">
        <v>0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5</v>
      </c>
      <c r="AU415" s="31" t="str">
        <f t="shared" si="10"/>
        <v>库存为5</v>
      </c>
      <c r="AV415" s="36" t="str">
        <f>IFERROR(时间!$B$4+AU415,"上周无销量")</f>
        <v>上周无销量</v>
      </c>
    </row>
    <row r="416" spans="1:48">
      <c r="A416" s="20" t="s">
        <v>973</v>
      </c>
      <c r="B416" t="s">
        <v>974</v>
      </c>
      <c r="C416" t="s">
        <v>952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5</v>
      </c>
      <c r="J416" s="33">
        <v>0</v>
      </c>
      <c r="K416" s="33">
        <v>0</v>
      </c>
      <c r="L416" s="33">
        <v>0</v>
      </c>
      <c r="M416">
        <v>5</v>
      </c>
      <c r="N416">
        <v>0</v>
      </c>
      <c r="O416">
        <v>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1</v>
      </c>
      <c r="AK416">
        <v>0</v>
      </c>
      <c r="AL416">
        <v>0</v>
      </c>
      <c r="AM416">
        <v>0</v>
      </c>
      <c r="AN416" s="22">
        <v>0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5</v>
      </c>
      <c r="AU416" s="31" t="str">
        <f t="shared" si="10"/>
        <v>库存为5</v>
      </c>
      <c r="AV416" s="36" t="str">
        <f>IFERROR(时间!$B$4+AU416,"上周无销量")</f>
        <v>上周无销量</v>
      </c>
    </row>
    <row r="417" spans="1:48">
      <c r="A417" s="20" t="s">
        <v>975</v>
      </c>
      <c r="B417" t="s">
        <v>976</v>
      </c>
      <c r="C417" t="s">
        <v>977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5</v>
      </c>
      <c r="J417" s="33">
        <v>0</v>
      </c>
      <c r="K417" s="33">
        <v>0</v>
      </c>
      <c r="L417" s="33">
        <v>0</v>
      </c>
      <c r="M417">
        <v>5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1</v>
      </c>
      <c r="AK417">
        <v>7</v>
      </c>
      <c r="AL417">
        <v>5</v>
      </c>
      <c r="AM417">
        <v>0</v>
      </c>
      <c r="AN417" s="22">
        <v>0</v>
      </c>
      <c r="AO417" s="22">
        <v>0</v>
      </c>
      <c r="AP417" s="22">
        <v>0</v>
      </c>
      <c r="AQ417" s="22" t="s">
        <v>53</v>
      </c>
      <c r="AR417" s="35">
        <v>0</v>
      </c>
      <c r="AS417" s="35">
        <v>0</v>
      </c>
      <c r="AT417" s="35">
        <v>5</v>
      </c>
      <c r="AU417" s="31" t="str">
        <f t="shared" si="10"/>
        <v>库存为5</v>
      </c>
      <c r="AV417" s="36" t="str">
        <f>IFERROR(时间!$B$4+AU417,"上周无销量")</f>
        <v>上周无销量</v>
      </c>
    </row>
    <row r="418" spans="1:48">
      <c r="A418" s="20" t="s">
        <v>978</v>
      </c>
      <c r="B418" t="s">
        <v>979</v>
      </c>
      <c r="C418" t="s">
        <v>977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5</v>
      </c>
      <c r="J418" s="33">
        <v>0</v>
      </c>
      <c r="K418" s="33">
        <v>0</v>
      </c>
      <c r="L418" s="33">
        <v>0</v>
      </c>
      <c r="M418">
        <v>5</v>
      </c>
      <c r="N418">
        <v>0</v>
      </c>
      <c r="O418">
        <v>0</v>
      </c>
      <c r="P418">
        <v>5</v>
      </c>
      <c r="Q418">
        <v>6</v>
      </c>
      <c r="R418">
        <v>4</v>
      </c>
      <c r="S418">
        <v>0</v>
      </c>
      <c r="T418">
        <v>0</v>
      </c>
      <c r="U418">
        <v>0</v>
      </c>
      <c r="V418">
        <v>0</v>
      </c>
      <c r="W418">
        <v>0</v>
      </c>
      <c r="X418" s="22">
        <v>0</v>
      </c>
      <c r="Y418" s="22">
        <v>0</v>
      </c>
      <c r="Z418" s="22">
        <v>0</v>
      </c>
      <c r="AA418" s="22" t="s">
        <v>53</v>
      </c>
      <c r="AB418">
        <v>0</v>
      </c>
      <c r="AC418">
        <v>0</v>
      </c>
      <c r="AD418">
        <v>0</v>
      </c>
      <c r="AE418">
        <v>0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3</v>
      </c>
      <c r="AK418">
        <v>6</v>
      </c>
      <c r="AL418">
        <v>3</v>
      </c>
      <c r="AM418">
        <v>0</v>
      </c>
      <c r="AN418" s="22">
        <v>0</v>
      </c>
      <c r="AO418" s="22">
        <v>0</v>
      </c>
      <c r="AP418" s="22">
        <v>0</v>
      </c>
      <c r="AQ418" s="22" t="s">
        <v>53</v>
      </c>
      <c r="AR418" s="35">
        <v>0</v>
      </c>
      <c r="AS418" s="35">
        <v>0</v>
      </c>
      <c r="AT418" s="35">
        <v>5</v>
      </c>
      <c r="AU418" s="31" t="str">
        <f t="shared" si="10"/>
        <v>库存为5</v>
      </c>
      <c r="AV418" s="36" t="str">
        <f>IFERROR(时间!$B$4+AU418,"上周无销量")</f>
        <v>上周无销量</v>
      </c>
    </row>
    <row r="419" spans="1:48">
      <c r="A419" s="20" t="s">
        <v>980</v>
      </c>
      <c r="B419" t="s">
        <v>981</v>
      </c>
      <c r="C419" t="s">
        <v>977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5</v>
      </c>
      <c r="J419" s="33">
        <v>0</v>
      </c>
      <c r="K419" s="33">
        <v>0</v>
      </c>
      <c r="L419" s="33">
        <v>0</v>
      </c>
      <c r="M419">
        <v>5</v>
      </c>
      <c r="N419">
        <v>0</v>
      </c>
      <c r="O419">
        <v>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1</v>
      </c>
      <c r="AK419">
        <v>3</v>
      </c>
      <c r="AL419">
        <v>2</v>
      </c>
      <c r="AM419">
        <v>0</v>
      </c>
      <c r="AN419" s="22">
        <v>0</v>
      </c>
      <c r="AO419" s="22">
        <v>0</v>
      </c>
      <c r="AP419" s="22">
        <v>0</v>
      </c>
      <c r="AQ419" s="22" t="s">
        <v>53</v>
      </c>
      <c r="AR419" s="35">
        <v>0</v>
      </c>
      <c r="AS419" s="35">
        <v>0</v>
      </c>
      <c r="AT419" s="35">
        <v>5</v>
      </c>
      <c r="AU419" s="31" t="str">
        <f t="shared" si="10"/>
        <v>库存为5</v>
      </c>
      <c r="AV419" s="36" t="str">
        <f>IFERROR(时间!$B$4+AU419,"上周无销量")</f>
        <v>上周无销量</v>
      </c>
    </row>
    <row r="420" spans="1:48">
      <c r="A420" s="20" t="s">
        <v>982</v>
      </c>
      <c r="B420" t="s">
        <v>983</v>
      </c>
      <c r="C420" t="s">
        <v>977</v>
      </c>
      <c r="D420" s="31">
        <v>0</v>
      </c>
      <c r="E420" s="31">
        <v>0</v>
      </c>
      <c r="F420" s="31">
        <v>1</v>
      </c>
      <c r="G420" s="31">
        <v>0</v>
      </c>
      <c r="H420" s="32">
        <v>11.99</v>
      </c>
      <c r="I420">
        <v>4</v>
      </c>
      <c r="J420" s="33">
        <v>0</v>
      </c>
      <c r="K420" s="33">
        <v>0</v>
      </c>
      <c r="L420" s="33">
        <v>0</v>
      </c>
      <c r="M420">
        <v>4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1</v>
      </c>
      <c r="AK420">
        <v>9</v>
      </c>
      <c r="AL420">
        <v>1</v>
      </c>
      <c r="AM420">
        <v>0</v>
      </c>
      <c r="AN420" s="22">
        <v>0</v>
      </c>
      <c r="AO420" s="22">
        <v>0</v>
      </c>
      <c r="AP420" s="22">
        <v>1</v>
      </c>
      <c r="AQ420" s="22" t="s">
        <v>53</v>
      </c>
      <c r="AR420" s="35">
        <v>0</v>
      </c>
      <c r="AS420" s="35">
        <v>0</v>
      </c>
      <c r="AT420" s="35">
        <v>4</v>
      </c>
      <c r="AU420" s="31" t="str">
        <f t="shared" si="10"/>
        <v>库存为4</v>
      </c>
      <c r="AV420" s="36" t="str">
        <f>IFERROR(时间!$B$4+AU420,"上周无销量")</f>
        <v>上周无销量</v>
      </c>
    </row>
    <row r="421" spans="1:48">
      <c r="A421" s="20" t="s">
        <v>984</v>
      </c>
      <c r="B421" t="s">
        <v>985</v>
      </c>
      <c r="C421" t="s">
        <v>977</v>
      </c>
      <c r="D421" s="31">
        <v>1</v>
      </c>
      <c r="E421" s="31">
        <v>0</v>
      </c>
      <c r="F421" s="31">
        <v>0</v>
      </c>
      <c r="G421" s="31">
        <v>0</v>
      </c>
      <c r="H421" s="32">
        <v>11.99</v>
      </c>
      <c r="I421">
        <v>4</v>
      </c>
      <c r="J421" s="33">
        <v>0</v>
      </c>
      <c r="K421" s="33">
        <v>0</v>
      </c>
      <c r="L421" s="33">
        <v>0</v>
      </c>
      <c r="M421">
        <v>4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2</v>
      </c>
      <c r="AK421">
        <v>2</v>
      </c>
      <c r="AL421">
        <v>0</v>
      </c>
      <c r="AM421">
        <v>0</v>
      </c>
      <c r="AN421" s="22">
        <v>0.5</v>
      </c>
      <c r="AO421" s="22">
        <v>0</v>
      </c>
      <c r="AP421" s="22" t="s">
        <v>53</v>
      </c>
      <c r="AQ421" s="22" t="s">
        <v>53</v>
      </c>
      <c r="AR421" s="35">
        <v>0.142857142857143</v>
      </c>
      <c r="AS421" s="35">
        <v>8.57142857142857</v>
      </c>
      <c r="AT421" s="35">
        <v>-4.57142857142857</v>
      </c>
      <c r="AU421" s="31">
        <f t="shared" si="10"/>
        <v>28</v>
      </c>
      <c r="AV421" s="36">
        <f>IFERROR(时间!$B$4+AU421,"上周无销量")</f>
        <v>43360</v>
      </c>
    </row>
    <row r="422" spans="1:48">
      <c r="A422" s="20" t="s">
        <v>986</v>
      </c>
      <c r="B422" t="s">
        <v>987</v>
      </c>
      <c r="C422" t="s">
        <v>977</v>
      </c>
      <c r="D422" s="31">
        <v>0</v>
      </c>
      <c r="E422" s="31">
        <v>1</v>
      </c>
      <c r="F422" s="31">
        <v>0</v>
      </c>
      <c r="G422" s="31">
        <v>0</v>
      </c>
      <c r="H422" s="32">
        <v>11.99</v>
      </c>
      <c r="I422">
        <v>4</v>
      </c>
      <c r="J422" s="33">
        <v>0</v>
      </c>
      <c r="K422" s="33">
        <v>0</v>
      </c>
      <c r="L422" s="33">
        <v>0</v>
      </c>
      <c r="M422">
        <v>4</v>
      </c>
      <c r="N422">
        <v>0</v>
      </c>
      <c r="O422">
        <v>0</v>
      </c>
      <c r="P422">
        <v>1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 s="22">
        <v>0</v>
      </c>
      <c r="Y422" s="22">
        <v>0</v>
      </c>
      <c r="Z422" s="22" t="s">
        <v>53</v>
      </c>
      <c r="AA422" s="22" t="s">
        <v>53</v>
      </c>
      <c r="AB422">
        <v>0</v>
      </c>
      <c r="AC422">
        <v>0</v>
      </c>
      <c r="AD422">
        <v>0</v>
      </c>
      <c r="AE422">
        <v>0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4</v>
      </c>
      <c r="AK422">
        <v>1</v>
      </c>
      <c r="AL422">
        <v>0</v>
      </c>
      <c r="AM422">
        <v>0</v>
      </c>
      <c r="AN422" s="22">
        <v>0</v>
      </c>
      <c r="AO422" s="22">
        <v>1</v>
      </c>
      <c r="AP422" s="22" t="s">
        <v>53</v>
      </c>
      <c r="AQ422" s="22" t="s">
        <v>53</v>
      </c>
      <c r="AR422" s="35">
        <v>0</v>
      </c>
      <c r="AS422" s="35">
        <v>0</v>
      </c>
      <c r="AT422" s="35">
        <v>4</v>
      </c>
      <c r="AU422" s="31" t="str">
        <f t="shared" si="10"/>
        <v>库存为4</v>
      </c>
      <c r="AV422" s="36" t="str">
        <f>IFERROR(时间!$B$4+AU422,"上周无销量")</f>
        <v>上周无销量</v>
      </c>
    </row>
    <row r="423" spans="1:48">
      <c r="A423" s="20" t="s">
        <v>988</v>
      </c>
      <c r="B423" t="s">
        <v>989</v>
      </c>
      <c r="C423" t="s">
        <v>990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6</v>
      </c>
      <c r="K423" s="33">
        <v>0</v>
      </c>
      <c r="L423" s="33">
        <v>0</v>
      </c>
      <c r="M423">
        <v>6</v>
      </c>
      <c r="N423">
        <v>0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6</v>
      </c>
      <c r="AU423" s="31" t="str">
        <f t="shared" si="10"/>
        <v>库存为6</v>
      </c>
      <c r="AV423" s="36" t="str">
        <f>IFERROR(时间!$B$4+AU423,"上周无销量")</f>
        <v>上周无销量</v>
      </c>
    </row>
    <row r="424" spans="1:48">
      <c r="A424" s="20" t="s">
        <v>991</v>
      </c>
      <c r="B424" t="s">
        <v>992</v>
      </c>
      <c r="C424" t="s">
        <v>990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6</v>
      </c>
      <c r="K424" s="33">
        <v>0</v>
      </c>
      <c r="L424" s="33">
        <v>0</v>
      </c>
      <c r="M424">
        <v>6</v>
      </c>
      <c r="N424">
        <v>0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0</v>
      </c>
      <c r="AK424">
        <v>0</v>
      </c>
      <c r="AL424">
        <v>0</v>
      </c>
      <c r="AM424">
        <v>0</v>
      </c>
      <c r="AN424" s="22" t="s">
        <v>53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6</v>
      </c>
      <c r="AU424" s="31" t="str">
        <f t="shared" si="10"/>
        <v>库存为6</v>
      </c>
      <c r="AV424" s="36" t="str">
        <f>IFERROR(时间!$B$4+AU424,"上周无销量")</f>
        <v>上周无销量</v>
      </c>
    </row>
    <row r="425" spans="1:48">
      <c r="A425" s="20" t="s">
        <v>993</v>
      </c>
      <c r="B425" t="s">
        <v>994</v>
      </c>
      <c r="C425" t="s">
        <v>990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6</v>
      </c>
      <c r="K425" s="33">
        <v>0</v>
      </c>
      <c r="L425" s="33">
        <v>0</v>
      </c>
      <c r="M425">
        <v>6</v>
      </c>
      <c r="N425">
        <v>0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0</v>
      </c>
      <c r="AK425">
        <v>0</v>
      </c>
      <c r="AL425">
        <v>0</v>
      </c>
      <c r="AM425">
        <v>0</v>
      </c>
      <c r="AN425" s="22" t="s">
        <v>53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6</v>
      </c>
      <c r="AU425" s="31" t="str">
        <f t="shared" si="10"/>
        <v>库存为6</v>
      </c>
      <c r="AV425" s="36" t="str">
        <f>IFERROR(时间!$B$4+AU425,"上周无销量")</f>
        <v>上周无销量</v>
      </c>
    </row>
    <row r="426" spans="1:48">
      <c r="A426" s="20" t="s">
        <v>995</v>
      </c>
      <c r="B426" t="s">
        <v>996</v>
      </c>
      <c r="C426" t="s">
        <v>990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7</v>
      </c>
      <c r="K426" s="33">
        <v>0</v>
      </c>
      <c r="L426" s="33">
        <v>0</v>
      </c>
      <c r="M426">
        <v>7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7</v>
      </c>
      <c r="AU426" s="31" t="str">
        <f t="shared" si="10"/>
        <v>库存为7</v>
      </c>
      <c r="AV426" s="36" t="str">
        <f>IFERROR(时间!$B$4+AU426,"上周无销量")</f>
        <v>上周无销量</v>
      </c>
    </row>
    <row r="427" spans="1:48">
      <c r="A427" s="20" t="s">
        <v>997</v>
      </c>
      <c r="B427" t="s">
        <v>998</v>
      </c>
      <c r="C427" t="s">
        <v>990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8</v>
      </c>
      <c r="K427" s="33">
        <v>0</v>
      </c>
      <c r="L427" s="33">
        <v>0</v>
      </c>
      <c r="M427">
        <v>8</v>
      </c>
      <c r="N427">
        <v>0</v>
      </c>
      <c r="O427">
        <v>0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0</v>
      </c>
      <c r="AK427">
        <v>0</v>
      </c>
      <c r="AL427">
        <v>0</v>
      </c>
      <c r="AM427">
        <v>0</v>
      </c>
      <c r="AN427" s="22" t="s">
        <v>53</v>
      </c>
      <c r="AO427" s="22" t="s">
        <v>53</v>
      </c>
      <c r="AP427" s="22" t="s">
        <v>53</v>
      </c>
      <c r="AQ427" s="22" t="s">
        <v>53</v>
      </c>
      <c r="AR427" s="35">
        <v>0</v>
      </c>
      <c r="AS427" s="35">
        <v>0</v>
      </c>
      <c r="AT427" s="35">
        <v>8</v>
      </c>
      <c r="AU427" s="31" t="str">
        <f t="shared" si="10"/>
        <v>库存为8</v>
      </c>
      <c r="AV427" s="36" t="str">
        <f>IFERROR(时间!$B$4+AU427,"上周无销量")</f>
        <v>上周无销量</v>
      </c>
    </row>
    <row r="428" spans="1:48">
      <c r="A428" s="20" t="s">
        <v>999</v>
      </c>
      <c r="B428" t="s">
        <v>1000</v>
      </c>
      <c r="C428" t="s">
        <v>990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3</v>
      </c>
      <c r="K428" s="33">
        <v>0</v>
      </c>
      <c r="L428" s="33">
        <v>0</v>
      </c>
      <c r="M428">
        <v>3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0</v>
      </c>
      <c r="AK428">
        <v>0</v>
      </c>
      <c r="AL428">
        <v>0</v>
      </c>
      <c r="AM428">
        <v>0</v>
      </c>
      <c r="AN428" s="22" t="s">
        <v>53</v>
      </c>
      <c r="AO428" s="22" t="s">
        <v>53</v>
      </c>
      <c r="AP428" s="22" t="s">
        <v>53</v>
      </c>
      <c r="AQ428" s="22" t="s">
        <v>53</v>
      </c>
      <c r="AR428" s="35">
        <v>0</v>
      </c>
      <c r="AS428" s="35">
        <v>0</v>
      </c>
      <c r="AT428" s="35">
        <v>3</v>
      </c>
      <c r="AU428" s="31" t="str">
        <f t="shared" si="10"/>
        <v>库存为3</v>
      </c>
      <c r="AV428" s="36" t="str">
        <f>IFERROR(时间!$B$4+AU428,"上周无销量")</f>
        <v>上周无销量</v>
      </c>
    </row>
    <row r="429" spans="1:48">
      <c r="A429" s="20" t="s">
        <v>1001</v>
      </c>
      <c r="B429" t="s">
        <v>1002</v>
      </c>
      <c r="C429" t="s">
        <v>990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6</v>
      </c>
      <c r="K429" s="33">
        <v>0</v>
      </c>
      <c r="L429" s="33">
        <v>0</v>
      </c>
      <c r="M429">
        <v>6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6</v>
      </c>
      <c r="AU429" s="31" t="str">
        <f t="shared" si="10"/>
        <v>库存为6</v>
      </c>
      <c r="AV429" s="36" t="str">
        <f>IFERROR(时间!$B$4+AU429,"上周无销量")</f>
        <v>上周无销量</v>
      </c>
    </row>
    <row r="430" spans="1:48">
      <c r="A430" s="20" t="s">
        <v>1003</v>
      </c>
      <c r="B430" t="s">
        <v>1004</v>
      </c>
      <c r="C430" t="s">
        <v>990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6</v>
      </c>
      <c r="K430" s="33">
        <v>0</v>
      </c>
      <c r="L430" s="33">
        <v>0</v>
      </c>
      <c r="M430">
        <v>6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0</v>
      </c>
      <c r="AK430">
        <v>0</v>
      </c>
      <c r="AL430">
        <v>0</v>
      </c>
      <c r="AM430">
        <v>0</v>
      </c>
      <c r="AN430" s="22" t="s">
        <v>53</v>
      </c>
      <c r="AO430" s="22" t="s">
        <v>53</v>
      </c>
      <c r="AP430" s="22" t="s">
        <v>53</v>
      </c>
      <c r="AQ430" s="22" t="s">
        <v>53</v>
      </c>
      <c r="AR430" s="35">
        <v>0</v>
      </c>
      <c r="AS430" s="35">
        <v>0</v>
      </c>
      <c r="AT430" s="35">
        <v>6</v>
      </c>
      <c r="AU430" s="31" t="str">
        <f t="shared" si="10"/>
        <v>库存为6</v>
      </c>
      <c r="AV430" s="36" t="str">
        <f>IFERROR(时间!$B$4+AU430,"上周无销量")</f>
        <v>上周无销量</v>
      </c>
    </row>
    <row r="431" spans="1:48">
      <c r="A431" s="20" t="s">
        <v>1005</v>
      </c>
      <c r="B431" t="s">
        <v>1006</v>
      </c>
      <c r="C431" t="s">
        <v>990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6</v>
      </c>
      <c r="K431" s="33">
        <v>0</v>
      </c>
      <c r="L431" s="33">
        <v>0</v>
      </c>
      <c r="M431">
        <v>6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6</v>
      </c>
      <c r="AU431" s="31" t="str">
        <f t="shared" si="10"/>
        <v>库存为6</v>
      </c>
      <c r="AV431" s="36" t="str">
        <f>IFERROR(时间!$B$4+AU431,"上周无销量")</f>
        <v>上周无销量</v>
      </c>
    </row>
    <row r="432" spans="1:48">
      <c r="A432" s="20" t="s">
        <v>1007</v>
      </c>
      <c r="B432" t="s">
        <v>1008</v>
      </c>
      <c r="C432" t="s">
        <v>1009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7</v>
      </c>
      <c r="K432" s="33">
        <v>0</v>
      </c>
      <c r="L432" s="33">
        <v>0</v>
      </c>
      <c r="M432">
        <v>7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0</v>
      </c>
      <c r="AK432">
        <v>0</v>
      </c>
      <c r="AL432">
        <v>0</v>
      </c>
      <c r="AM432">
        <v>0</v>
      </c>
      <c r="AN432" s="22" t="s">
        <v>53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7</v>
      </c>
      <c r="AU432" s="31" t="str">
        <f t="shared" si="10"/>
        <v>库存为7</v>
      </c>
      <c r="AV432" s="36" t="str">
        <f>IFERROR(时间!$B$4+AU432,"上周无销量")</f>
        <v>上周无销量</v>
      </c>
    </row>
    <row r="433" spans="1:48">
      <c r="A433" s="20" t="s">
        <v>1010</v>
      </c>
      <c r="B433" t="s">
        <v>1011</v>
      </c>
      <c r="C433" t="s">
        <v>1009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6</v>
      </c>
      <c r="K433" s="33">
        <v>0</v>
      </c>
      <c r="L433" s="33">
        <v>0</v>
      </c>
      <c r="M433">
        <v>6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6</v>
      </c>
      <c r="AU433" s="31" t="str">
        <f t="shared" si="10"/>
        <v>库存为6</v>
      </c>
      <c r="AV433" s="36" t="str">
        <f>IFERROR(时间!$B$4+AU433,"上周无销量")</f>
        <v>上周无销量</v>
      </c>
    </row>
    <row r="434" spans="1:48">
      <c r="A434" s="20" t="s">
        <v>1012</v>
      </c>
      <c r="B434" t="s">
        <v>1013</v>
      </c>
      <c r="C434" t="s">
        <v>1009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5</v>
      </c>
      <c r="K434" s="33">
        <v>0</v>
      </c>
      <c r="L434" s="33">
        <v>0</v>
      </c>
      <c r="M434">
        <v>5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0</v>
      </c>
      <c r="AK434">
        <v>0</v>
      </c>
      <c r="AL434">
        <v>0</v>
      </c>
      <c r="AM434">
        <v>0</v>
      </c>
      <c r="AN434" s="22" t="s">
        <v>53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5</v>
      </c>
      <c r="AU434" s="31" t="str">
        <f t="shared" si="10"/>
        <v>库存为5</v>
      </c>
      <c r="AV434" s="36" t="str">
        <f>IFERROR(时间!$B$4+AU434,"上周无销量")</f>
        <v>上周无销量</v>
      </c>
    </row>
    <row r="435" spans="1:48">
      <c r="A435" s="20" t="s">
        <v>1014</v>
      </c>
      <c r="B435" t="s">
        <v>1015</v>
      </c>
      <c r="C435" t="s">
        <v>1009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6</v>
      </c>
      <c r="K435" s="33">
        <v>0</v>
      </c>
      <c r="L435" s="33">
        <v>0</v>
      </c>
      <c r="M435">
        <v>6</v>
      </c>
      <c r="N435">
        <v>0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0</v>
      </c>
      <c r="AK435">
        <v>0</v>
      </c>
      <c r="AL435">
        <v>0</v>
      </c>
      <c r="AM435">
        <v>0</v>
      </c>
      <c r="AN435" s="22" t="s">
        <v>53</v>
      </c>
      <c r="AO435" s="22" t="s">
        <v>53</v>
      </c>
      <c r="AP435" s="22" t="s">
        <v>53</v>
      </c>
      <c r="AQ435" s="22" t="s">
        <v>53</v>
      </c>
      <c r="AR435" s="35">
        <v>0</v>
      </c>
      <c r="AS435" s="35">
        <v>0</v>
      </c>
      <c r="AT435" s="35">
        <v>6</v>
      </c>
      <c r="AU435" s="31" t="str">
        <f t="shared" si="10"/>
        <v>库存为6</v>
      </c>
      <c r="AV435" s="36" t="str">
        <f>IFERROR(时间!$B$4+AU435,"上周无销量")</f>
        <v>上周无销量</v>
      </c>
    </row>
    <row r="436" spans="1:48">
      <c r="A436" s="20" t="s">
        <v>1016</v>
      </c>
      <c r="B436" t="s">
        <v>1017</v>
      </c>
      <c r="C436" t="s">
        <v>1009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6</v>
      </c>
      <c r="K436" s="33">
        <v>0</v>
      </c>
      <c r="L436" s="33">
        <v>0</v>
      </c>
      <c r="M436">
        <v>6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6</v>
      </c>
      <c r="AU436" s="31" t="str">
        <f t="shared" si="10"/>
        <v>库存为6</v>
      </c>
      <c r="AV436" s="36" t="str">
        <f>IFERROR(时间!$B$4+AU436,"上周无销量")</f>
        <v>上周无销量</v>
      </c>
    </row>
    <row r="437" spans="1:48">
      <c r="A437" s="20" t="s">
        <v>1018</v>
      </c>
      <c r="B437" t="s">
        <v>1019</v>
      </c>
      <c r="C437" t="s">
        <v>1009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6</v>
      </c>
      <c r="K437" s="33">
        <v>0</v>
      </c>
      <c r="L437" s="33">
        <v>0</v>
      </c>
      <c r="M437">
        <v>6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0</v>
      </c>
      <c r="AL437">
        <v>0</v>
      </c>
      <c r="AM437">
        <v>0</v>
      </c>
      <c r="AN437" s="22" t="s">
        <v>53</v>
      </c>
      <c r="AO437" s="22" t="s">
        <v>53</v>
      </c>
      <c r="AP437" s="22" t="s">
        <v>53</v>
      </c>
      <c r="AQ437" s="22" t="s">
        <v>53</v>
      </c>
      <c r="AR437" s="35">
        <v>0</v>
      </c>
      <c r="AS437" s="35">
        <v>0</v>
      </c>
      <c r="AT437" s="35">
        <v>6</v>
      </c>
      <c r="AU437" s="31" t="str">
        <f t="shared" si="10"/>
        <v>库存为6</v>
      </c>
      <c r="AV437" s="36" t="str">
        <f>IFERROR(时间!$B$4+AU437,"上周无销量")</f>
        <v>上周无销量</v>
      </c>
    </row>
    <row r="438" spans="1:48">
      <c r="A438" s="20" t="s">
        <v>1020</v>
      </c>
      <c r="B438" t="s">
        <v>1021</v>
      </c>
      <c r="C438" t="s">
        <v>1009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6</v>
      </c>
      <c r="K438" s="33">
        <v>0</v>
      </c>
      <c r="L438" s="33">
        <v>0</v>
      </c>
      <c r="M438">
        <v>6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6</v>
      </c>
      <c r="AU438" s="31" t="str">
        <f t="shared" si="10"/>
        <v>库存为6</v>
      </c>
      <c r="AV438" s="36" t="str">
        <f>IFERROR(时间!$B$4+AU438,"上周无销量")</f>
        <v>上周无销量</v>
      </c>
    </row>
    <row r="439" spans="1:48">
      <c r="A439" s="20" t="s">
        <v>1022</v>
      </c>
      <c r="B439" t="s">
        <v>1023</v>
      </c>
      <c r="C439" t="s">
        <v>1009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6</v>
      </c>
      <c r="K439" s="33">
        <v>0</v>
      </c>
      <c r="L439" s="33">
        <v>0</v>
      </c>
      <c r="M439">
        <v>6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0</v>
      </c>
      <c r="AK439">
        <v>0</v>
      </c>
      <c r="AL439">
        <v>0</v>
      </c>
      <c r="AM439">
        <v>0</v>
      </c>
      <c r="AN439" s="22" t="s">
        <v>53</v>
      </c>
      <c r="AO439" s="22" t="s">
        <v>53</v>
      </c>
      <c r="AP439" s="22" t="s">
        <v>53</v>
      </c>
      <c r="AQ439" s="22" t="s">
        <v>53</v>
      </c>
      <c r="AR439" s="35">
        <v>0</v>
      </c>
      <c r="AS439" s="35">
        <v>0</v>
      </c>
      <c r="AT439" s="35">
        <v>6</v>
      </c>
      <c r="AU439" s="31" t="str">
        <f t="shared" si="10"/>
        <v>库存为6</v>
      </c>
      <c r="AV439" s="36" t="str">
        <f>IFERROR(时间!$B$4+AU439,"上周无销量")</f>
        <v>上周无销量</v>
      </c>
    </row>
    <row r="440" spans="1:48">
      <c r="A440" s="20" t="s">
        <v>1024</v>
      </c>
      <c r="B440" t="s">
        <v>1025</v>
      </c>
      <c r="C440" t="s">
        <v>1009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6</v>
      </c>
      <c r="K440" s="33">
        <v>0</v>
      </c>
      <c r="L440" s="33">
        <v>0</v>
      </c>
      <c r="M440">
        <v>6</v>
      </c>
      <c r="N440">
        <v>0</v>
      </c>
      <c r="O440">
        <v>0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0</v>
      </c>
      <c r="AK440">
        <v>0</v>
      </c>
      <c r="AL440">
        <v>0</v>
      </c>
      <c r="AM440">
        <v>0</v>
      </c>
      <c r="AN440" s="22" t="s">
        <v>53</v>
      </c>
      <c r="AO440" s="22" t="s">
        <v>53</v>
      </c>
      <c r="AP440" s="22" t="s">
        <v>53</v>
      </c>
      <c r="AQ440" s="22" t="s">
        <v>53</v>
      </c>
      <c r="AR440" s="35">
        <v>0</v>
      </c>
      <c r="AS440" s="35">
        <v>0</v>
      </c>
      <c r="AT440" s="35">
        <v>6</v>
      </c>
      <c r="AU440" s="31" t="str">
        <f t="shared" si="10"/>
        <v>库存为6</v>
      </c>
      <c r="AV440" s="36" t="str">
        <f>IFERROR(时间!$B$4+AU440,"上周无销量")</f>
        <v>上周无销量</v>
      </c>
    </row>
    <row r="441" spans="1:48">
      <c r="A441" s="20" t="s">
        <v>1026</v>
      </c>
      <c r="B441" t="s">
        <v>1027</v>
      </c>
      <c r="C441" t="s">
        <v>1028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6</v>
      </c>
      <c r="J441" s="33">
        <v>0</v>
      </c>
      <c r="K441" s="33">
        <v>0</v>
      </c>
      <c r="L441" s="33">
        <v>0</v>
      </c>
      <c r="M441">
        <v>6</v>
      </c>
      <c r="N441">
        <v>0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0</v>
      </c>
      <c r="AL441">
        <v>0</v>
      </c>
      <c r="AM441">
        <v>0</v>
      </c>
      <c r="AN441" s="22" t="s">
        <v>53</v>
      </c>
      <c r="AO441" s="22" t="s">
        <v>53</v>
      </c>
      <c r="AP441" s="22" t="s">
        <v>53</v>
      </c>
      <c r="AQ441" s="22" t="s">
        <v>53</v>
      </c>
      <c r="AR441" s="35">
        <v>0</v>
      </c>
      <c r="AS441" s="35">
        <v>0</v>
      </c>
      <c r="AT441" s="35">
        <v>6</v>
      </c>
      <c r="AU441" s="31" t="str">
        <f t="shared" si="10"/>
        <v>库存为6</v>
      </c>
      <c r="AV441" s="36" t="str">
        <f>IFERROR(时间!$B$4+AU441,"上周无销量")</f>
        <v>上周无销量</v>
      </c>
    </row>
    <row r="442" spans="1:48">
      <c r="A442" s="20" t="s">
        <v>1029</v>
      </c>
      <c r="B442" t="s">
        <v>1030</v>
      </c>
      <c r="C442" t="s">
        <v>1028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6</v>
      </c>
      <c r="J442" s="33">
        <v>0</v>
      </c>
      <c r="K442" s="33">
        <v>0</v>
      </c>
      <c r="L442" s="33">
        <v>0</v>
      </c>
      <c r="M442">
        <v>6</v>
      </c>
      <c r="N442">
        <v>0</v>
      </c>
      <c r="O442">
        <v>0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0</v>
      </c>
      <c r="AK442">
        <v>0</v>
      </c>
      <c r="AL442">
        <v>0</v>
      </c>
      <c r="AM442">
        <v>0</v>
      </c>
      <c r="AN442" s="22" t="s">
        <v>53</v>
      </c>
      <c r="AO442" s="22" t="s">
        <v>53</v>
      </c>
      <c r="AP442" s="22" t="s">
        <v>53</v>
      </c>
      <c r="AQ442" s="22" t="s">
        <v>53</v>
      </c>
      <c r="AR442" s="35">
        <v>0</v>
      </c>
      <c r="AS442" s="35">
        <v>0</v>
      </c>
      <c r="AT442" s="35">
        <v>6</v>
      </c>
      <c r="AU442" s="31" t="str">
        <f t="shared" si="10"/>
        <v>库存为6</v>
      </c>
      <c r="AV442" s="36" t="str">
        <f>IFERROR(时间!$B$4+AU442,"上周无销量")</f>
        <v>上周无销量</v>
      </c>
    </row>
    <row r="443" spans="1:48">
      <c r="A443" s="20" t="s">
        <v>1031</v>
      </c>
      <c r="B443" t="s">
        <v>1032</v>
      </c>
      <c r="C443" t="s">
        <v>1028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6</v>
      </c>
      <c r="J443" s="33">
        <v>0</v>
      </c>
      <c r="K443" s="33">
        <v>0</v>
      </c>
      <c r="L443" s="33">
        <v>0</v>
      </c>
      <c r="M443">
        <v>6</v>
      </c>
      <c r="N443">
        <v>0</v>
      </c>
      <c r="O443">
        <v>0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0</v>
      </c>
      <c r="AK443">
        <v>0</v>
      </c>
      <c r="AL443">
        <v>0</v>
      </c>
      <c r="AM443">
        <v>0</v>
      </c>
      <c r="AN443" s="22" t="s">
        <v>53</v>
      </c>
      <c r="AO443" s="22" t="s">
        <v>53</v>
      </c>
      <c r="AP443" s="22" t="s">
        <v>53</v>
      </c>
      <c r="AQ443" s="22" t="s">
        <v>53</v>
      </c>
      <c r="AR443" s="35">
        <v>0</v>
      </c>
      <c r="AS443" s="35">
        <v>0</v>
      </c>
      <c r="AT443" s="35">
        <v>6</v>
      </c>
      <c r="AU443" s="31" t="str">
        <f t="shared" si="10"/>
        <v>库存为6</v>
      </c>
      <c r="AV443" s="36" t="str">
        <f>IFERROR(时间!$B$4+AU443,"上周无销量")</f>
        <v>上周无销量</v>
      </c>
    </row>
    <row r="444" spans="1:48">
      <c r="A444" s="20" t="s">
        <v>1033</v>
      </c>
      <c r="B444" t="s">
        <v>1034</v>
      </c>
      <c r="C444" t="s">
        <v>1028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6</v>
      </c>
      <c r="J444" s="33">
        <v>0</v>
      </c>
      <c r="K444" s="33">
        <v>0</v>
      </c>
      <c r="L444" s="33">
        <v>0</v>
      </c>
      <c r="M444">
        <v>6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6</v>
      </c>
      <c r="AU444" s="31" t="str">
        <f t="shared" si="10"/>
        <v>库存为6</v>
      </c>
      <c r="AV444" s="36" t="str">
        <f>IFERROR(时间!$B$4+AU444,"上周无销量")</f>
        <v>上周无销量</v>
      </c>
    </row>
    <row r="445" spans="1:48">
      <c r="A445" s="20" t="s">
        <v>1035</v>
      </c>
      <c r="B445" t="s">
        <v>1036</v>
      </c>
      <c r="C445" t="s">
        <v>1028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6</v>
      </c>
      <c r="J445" s="33">
        <v>0</v>
      </c>
      <c r="K445" s="33">
        <v>0</v>
      </c>
      <c r="L445" s="33">
        <v>0</v>
      </c>
      <c r="M445">
        <v>6</v>
      </c>
      <c r="N445">
        <v>0</v>
      </c>
      <c r="O445">
        <v>0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1</v>
      </c>
      <c r="AK445">
        <v>0</v>
      </c>
      <c r="AL445">
        <v>0</v>
      </c>
      <c r="AM445">
        <v>0</v>
      </c>
      <c r="AN445" s="22">
        <v>0</v>
      </c>
      <c r="AO445" s="22" t="s">
        <v>53</v>
      </c>
      <c r="AP445" s="22" t="s">
        <v>53</v>
      </c>
      <c r="AQ445" s="22" t="s">
        <v>53</v>
      </c>
      <c r="AR445" s="35">
        <v>0</v>
      </c>
      <c r="AS445" s="35">
        <v>0</v>
      </c>
      <c r="AT445" s="35">
        <v>6</v>
      </c>
      <c r="AU445" s="31" t="str">
        <f t="shared" si="10"/>
        <v>库存为6</v>
      </c>
      <c r="AV445" s="36" t="str">
        <f>IFERROR(时间!$B$4+AU445,"上周无销量")</f>
        <v>上周无销量</v>
      </c>
    </row>
    <row r="446" spans="1:48">
      <c r="A446" s="20" t="s">
        <v>1037</v>
      </c>
      <c r="B446" t="s">
        <v>1038</v>
      </c>
      <c r="C446" t="s">
        <v>1028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6</v>
      </c>
      <c r="J446" s="33">
        <v>0</v>
      </c>
      <c r="K446" s="33">
        <v>0</v>
      </c>
      <c r="L446" s="33">
        <v>0</v>
      </c>
      <c r="M446">
        <v>6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0</v>
      </c>
      <c r="AK446">
        <v>0</v>
      </c>
      <c r="AL446">
        <v>0</v>
      </c>
      <c r="AM446">
        <v>0</v>
      </c>
      <c r="AN446" s="22" t="s">
        <v>53</v>
      </c>
      <c r="AO446" s="22" t="s">
        <v>53</v>
      </c>
      <c r="AP446" s="22" t="s">
        <v>53</v>
      </c>
      <c r="AQ446" s="22" t="s">
        <v>53</v>
      </c>
      <c r="AR446" s="35">
        <v>0</v>
      </c>
      <c r="AS446" s="35">
        <v>0</v>
      </c>
      <c r="AT446" s="35">
        <v>6</v>
      </c>
      <c r="AU446" s="31" t="str">
        <f t="shared" si="10"/>
        <v>库存为6</v>
      </c>
      <c r="AV446" s="36" t="str">
        <f>IFERROR(时间!$B$4+AU446,"上周无销量")</f>
        <v>上周无销量</v>
      </c>
    </row>
    <row r="447" spans="1:48">
      <c r="A447" s="20" t="s">
        <v>1039</v>
      </c>
      <c r="B447" t="s">
        <v>1040</v>
      </c>
      <c r="C447" t="s">
        <v>1041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6</v>
      </c>
      <c r="J447" s="33">
        <v>0</v>
      </c>
      <c r="K447" s="33">
        <v>0</v>
      </c>
      <c r="L447" s="33">
        <v>0</v>
      </c>
      <c r="M447">
        <v>6</v>
      </c>
      <c r="N447">
        <v>0</v>
      </c>
      <c r="O447">
        <v>0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0</v>
      </c>
      <c r="AK447">
        <v>0</v>
      </c>
      <c r="AL447">
        <v>0</v>
      </c>
      <c r="AM447">
        <v>0</v>
      </c>
      <c r="AN447" s="22" t="s">
        <v>53</v>
      </c>
      <c r="AO447" s="22" t="s">
        <v>53</v>
      </c>
      <c r="AP447" s="22" t="s">
        <v>53</v>
      </c>
      <c r="AQ447" s="22" t="s">
        <v>53</v>
      </c>
      <c r="AR447" s="35">
        <v>0</v>
      </c>
      <c r="AS447" s="35">
        <v>0</v>
      </c>
      <c r="AT447" s="35">
        <v>6</v>
      </c>
      <c r="AU447" s="31" t="str">
        <f t="shared" si="10"/>
        <v>库存为6</v>
      </c>
      <c r="AV447" s="36" t="str">
        <f>IFERROR(时间!$B$4+AU447,"上周无销量")</f>
        <v>上周无销量</v>
      </c>
    </row>
    <row r="448" spans="1:48">
      <c r="A448" s="20" t="s">
        <v>1042</v>
      </c>
      <c r="B448" t="s">
        <v>1043</v>
      </c>
      <c r="C448" t="s">
        <v>1041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6</v>
      </c>
      <c r="J448" s="33">
        <v>0</v>
      </c>
      <c r="K448" s="33">
        <v>0</v>
      </c>
      <c r="L448" s="33">
        <v>0</v>
      </c>
      <c r="M448">
        <v>6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0</v>
      </c>
      <c r="AK448">
        <v>0</v>
      </c>
      <c r="AL448">
        <v>0</v>
      </c>
      <c r="AM448">
        <v>0</v>
      </c>
      <c r="AN448" s="22" t="s">
        <v>53</v>
      </c>
      <c r="AO448" s="22" t="s">
        <v>53</v>
      </c>
      <c r="AP448" s="22" t="s">
        <v>53</v>
      </c>
      <c r="AQ448" s="22" t="s">
        <v>53</v>
      </c>
      <c r="AR448" s="35">
        <v>0</v>
      </c>
      <c r="AS448" s="35">
        <v>0</v>
      </c>
      <c r="AT448" s="35">
        <v>6</v>
      </c>
      <c r="AU448" s="31" t="str">
        <f t="shared" si="10"/>
        <v>库存为6</v>
      </c>
      <c r="AV448" s="36" t="str">
        <f>IFERROR(时间!$B$4+AU448,"上周无销量")</f>
        <v>上周无销量</v>
      </c>
    </row>
    <row r="449" spans="1:48">
      <c r="A449" s="20" t="s">
        <v>1044</v>
      </c>
      <c r="B449" t="s">
        <v>1045</v>
      </c>
      <c r="C449" t="s">
        <v>1041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6</v>
      </c>
      <c r="J449" s="33">
        <v>0</v>
      </c>
      <c r="K449" s="33">
        <v>0</v>
      </c>
      <c r="L449" s="33">
        <v>0</v>
      </c>
      <c r="M449">
        <v>6</v>
      </c>
      <c r="N449">
        <v>0</v>
      </c>
      <c r="O449">
        <v>0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0</v>
      </c>
      <c r="AK449">
        <v>0</v>
      </c>
      <c r="AL449">
        <v>0</v>
      </c>
      <c r="AM449">
        <v>0</v>
      </c>
      <c r="AN449" s="22" t="s">
        <v>53</v>
      </c>
      <c r="AO449" s="22" t="s">
        <v>53</v>
      </c>
      <c r="AP449" s="22" t="s">
        <v>53</v>
      </c>
      <c r="AQ449" s="22" t="s">
        <v>53</v>
      </c>
      <c r="AR449" s="35">
        <v>0</v>
      </c>
      <c r="AS449" s="35">
        <v>0</v>
      </c>
      <c r="AT449" s="35">
        <v>6</v>
      </c>
      <c r="AU449" s="31" t="str">
        <f t="shared" si="10"/>
        <v>库存为6</v>
      </c>
      <c r="AV449" s="36" t="str">
        <f>IFERROR(时间!$B$4+AU449,"上周无销量")</f>
        <v>上周无销量</v>
      </c>
    </row>
    <row r="450" spans="1:48">
      <c r="A450" s="20" t="s">
        <v>1046</v>
      </c>
      <c r="B450" t="s">
        <v>1047</v>
      </c>
      <c r="C450" t="s">
        <v>1041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6</v>
      </c>
      <c r="J450" s="33">
        <v>0</v>
      </c>
      <c r="K450" s="33">
        <v>0</v>
      </c>
      <c r="L450" s="33">
        <v>0</v>
      </c>
      <c r="M450">
        <v>6</v>
      </c>
      <c r="N450">
        <v>0</v>
      </c>
      <c r="O450">
        <v>0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0</v>
      </c>
      <c r="AK450">
        <v>0</v>
      </c>
      <c r="AL450">
        <v>0</v>
      </c>
      <c r="AM450">
        <v>0</v>
      </c>
      <c r="AN450" s="22" t="s">
        <v>53</v>
      </c>
      <c r="AO450" s="22" t="s">
        <v>53</v>
      </c>
      <c r="AP450" s="22" t="s">
        <v>53</v>
      </c>
      <c r="AQ450" s="22" t="s">
        <v>53</v>
      </c>
      <c r="AR450" s="35">
        <v>0</v>
      </c>
      <c r="AS450" s="35">
        <v>0</v>
      </c>
      <c r="AT450" s="35">
        <v>6</v>
      </c>
      <c r="AU450" s="31" t="str">
        <f t="shared" si="10"/>
        <v>库存为6</v>
      </c>
      <c r="AV450" s="36" t="str">
        <f>IFERROR(时间!$B$4+AU450,"上周无销量")</f>
        <v>上周无销量</v>
      </c>
    </row>
    <row r="451" spans="1:48">
      <c r="A451" s="20" t="s">
        <v>1048</v>
      </c>
      <c r="B451" t="s">
        <v>1049</v>
      </c>
      <c r="C451" t="s">
        <v>1041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6</v>
      </c>
      <c r="J451" s="33">
        <v>0</v>
      </c>
      <c r="K451" s="33">
        <v>0</v>
      </c>
      <c r="L451" s="33">
        <v>0</v>
      </c>
      <c r="M451">
        <v>6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1</v>
      </c>
      <c r="AK451">
        <v>0</v>
      </c>
      <c r="AL451">
        <v>0</v>
      </c>
      <c r="AM451">
        <v>0</v>
      </c>
      <c r="AN451" s="22">
        <v>0</v>
      </c>
      <c r="AO451" s="22" t="s">
        <v>53</v>
      </c>
      <c r="AP451" s="22" t="s">
        <v>53</v>
      </c>
      <c r="AQ451" s="22" t="s">
        <v>53</v>
      </c>
      <c r="AR451" s="35">
        <v>0</v>
      </c>
      <c r="AS451" s="35">
        <v>0</v>
      </c>
      <c r="AT451" s="35">
        <v>6</v>
      </c>
      <c r="AU451" s="31" t="str">
        <f t="shared" si="10"/>
        <v>库存为6</v>
      </c>
      <c r="AV451" s="36" t="str">
        <f>IFERROR(时间!$B$4+AU451,"上周无销量")</f>
        <v>上周无销量</v>
      </c>
    </row>
    <row r="452" spans="1:48">
      <c r="A452" s="20" t="s">
        <v>1050</v>
      </c>
      <c r="B452" t="s">
        <v>1051</v>
      </c>
      <c r="C452" t="s">
        <v>1041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6</v>
      </c>
      <c r="J452" s="33">
        <v>0</v>
      </c>
      <c r="K452" s="33">
        <v>0</v>
      </c>
      <c r="L452" s="33">
        <v>0</v>
      </c>
      <c r="M452">
        <v>6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0</v>
      </c>
      <c r="AK452">
        <v>0</v>
      </c>
      <c r="AL452">
        <v>0</v>
      </c>
      <c r="AM452">
        <v>0</v>
      </c>
      <c r="AN452" s="22" t="s">
        <v>53</v>
      </c>
      <c r="AO452" s="22" t="s">
        <v>53</v>
      </c>
      <c r="AP452" s="22" t="s">
        <v>53</v>
      </c>
      <c r="AQ452" s="22" t="s">
        <v>53</v>
      </c>
      <c r="AR452" s="35">
        <v>0</v>
      </c>
      <c r="AS452" s="35">
        <v>0</v>
      </c>
      <c r="AT452" s="35">
        <v>6</v>
      </c>
      <c r="AU452" s="31" t="str">
        <f t="shared" si="10"/>
        <v>库存为6</v>
      </c>
      <c r="AV452" s="36" t="str">
        <f>IFERROR(时间!$B$4+AU452,"上周无销量")</f>
        <v>上周无销量</v>
      </c>
    </row>
    <row r="453" spans="1:48">
      <c r="A453" s="20" t="s">
        <v>1052</v>
      </c>
      <c r="B453" t="s">
        <v>1053</v>
      </c>
      <c r="C453" t="s">
        <v>1054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2</v>
      </c>
      <c r="J453" s="33">
        <v>0</v>
      </c>
      <c r="K453" s="33">
        <v>0</v>
      </c>
      <c r="L453" s="33">
        <v>0</v>
      </c>
      <c r="M453">
        <v>2</v>
      </c>
      <c r="N453">
        <v>0</v>
      </c>
      <c r="O453">
        <v>0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1</v>
      </c>
      <c r="AK453">
        <v>0</v>
      </c>
      <c r="AL453">
        <v>0</v>
      </c>
      <c r="AM453">
        <v>0</v>
      </c>
      <c r="AN453" s="22">
        <v>0</v>
      </c>
      <c r="AO453" s="22" t="s">
        <v>53</v>
      </c>
      <c r="AP453" s="22" t="s">
        <v>53</v>
      </c>
      <c r="AQ453" s="22" t="s">
        <v>53</v>
      </c>
      <c r="AR453" s="35">
        <v>0</v>
      </c>
      <c r="AS453" s="35">
        <v>0</v>
      </c>
      <c r="AT453" s="35">
        <v>2</v>
      </c>
      <c r="AU453" s="31" t="str">
        <f t="shared" ref="AU453:AU516" si="11">IF(AR453="","库存为"&amp;M453,IF(AS453=0,"库存为"&amp;M453,INT(M453/AR453)))</f>
        <v>库存为2</v>
      </c>
      <c r="AV453" s="36" t="str">
        <f>IFERROR(时间!$B$4+AU453,"上周无销量")</f>
        <v>上周无销量</v>
      </c>
    </row>
    <row r="454" spans="1:48">
      <c r="A454" s="20" t="s">
        <v>1055</v>
      </c>
      <c r="B454" t="s">
        <v>1056</v>
      </c>
      <c r="C454" t="s">
        <v>1054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6</v>
      </c>
      <c r="J454" s="33">
        <v>0</v>
      </c>
      <c r="K454" s="33">
        <v>0</v>
      </c>
      <c r="L454" s="33">
        <v>0</v>
      </c>
      <c r="M454">
        <v>6</v>
      </c>
      <c r="N454">
        <v>0</v>
      </c>
      <c r="O454">
        <v>0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0</v>
      </c>
      <c r="AK454">
        <v>0</v>
      </c>
      <c r="AL454">
        <v>0</v>
      </c>
      <c r="AM454">
        <v>0</v>
      </c>
      <c r="AN454" s="22" t="s">
        <v>53</v>
      </c>
      <c r="AO454" s="22" t="s">
        <v>53</v>
      </c>
      <c r="AP454" s="22" t="s">
        <v>53</v>
      </c>
      <c r="AQ454" s="22" t="s">
        <v>53</v>
      </c>
      <c r="AR454" s="35">
        <v>0</v>
      </c>
      <c r="AS454" s="35">
        <v>0</v>
      </c>
      <c r="AT454" s="35">
        <v>6</v>
      </c>
      <c r="AU454" s="31" t="str">
        <f t="shared" si="11"/>
        <v>库存为6</v>
      </c>
      <c r="AV454" s="36" t="str">
        <f>IFERROR(时间!$B$4+AU454,"上周无销量")</f>
        <v>上周无销量</v>
      </c>
    </row>
    <row r="455" spans="1:48">
      <c r="A455" s="20" t="s">
        <v>1057</v>
      </c>
      <c r="B455" t="s">
        <v>1058</v>
      </c>
      <c r="C455" t="s">
        <v>1054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6</v>
      </c>
      <c r="J455" s="33">
        <v>0</v>
      </c>
      <c r="K455" s="33">
        <v>0</v>
      </c>
      <c r="L455" s="33">
        <v>0</v>
      </c>
      <c r="M455">
        <v>6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0</v>
      </c>
      <c r="AK455">
        <v>0</v>
      </c>
      <c r="AL455">
        <v>0</v>
      </c>
      <c r="AM455">
        <v>0</v>
      </c>
      <c r="AN455" s="22" t="s">
        <v>53</v>
      </c>
      <c r="AO455" s="22" t="s">
        <v>53</v>
      </c>
      <c r="AP455" s="22" t="s">
        <v>53</v>
      </c>
      <c r="AQ455" s="22" t="s">
        <v>53</v>
      </c>
      <c r="AR455" s="35">
        <v>0</v>
      </c>
      <c r="AS455" s="35">
        <v>0</v>
      </c>
      <c r="AT455" s="35">
        <v>6</v>
      </c>
      <c r="AU455" s="31" t="str">
        <f t="shared" si="11"/>
        <v>库存为6</v>
      </c>
      <c r="AV455" s="36" t="str">
        <f>IFERROR(时间!$B$4+AU455,"上周无销量")</f>
        <v>上周无销量</v>
      </c>
    </row>
    <row r="456" spans="1:48">
      <c r="A456" s="20" t="s">
        <v>1059</v>
      </c>
      <c r="B456" t="s">
        <v>1060</v>
      </c>
      <c r="C456" t="s">
        <v>1054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8</v>
      </c>
      <c r="J456" s="33">
        <v>0</v>
      </c>
      <c r="K456" s="33">
        <v>0</v>
      </c>
      <c r="L456" s="33">
        <v>0</v>
      </c>
      <c r="M456">
        <v>8</v>
      </c>
      <c r="N456">
        <v>0</v>
      </c>
      <c r="O456">
        <v>0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1</v>
      </c>
      <c r="AK456">
        <v>0</v>
      </c>
      <c r="AL456">
        <v>0</v>
      </c>
      <c r="AM456">
        <v>0</v>
      </c>
      <c r="AN456" s="22">
        <v>0</v>
      </c>
      <c r="AO456" s="22" t="s">
        <v>53</v>
      </c>
      <c r="AP456" s="22" t="s">
        <v>53</v>
      </c>
      <c r="AQ456" s="22" t="s">
        <v>53</v>
      </c>
      <c r="AR456" s="35">
        <v>0</v>
      </c>
      <c r="AS456" s="35">
        <v>0</v>
      </c>
      <c r="AT456" s="35">
        <v>8</v>
      </c>
      <c r="AU456" s="31" t="str">
        <f t="shared" si="11"/>
        <v>库存为8</v>
      </c>
      <c r="AV456" s="36" t="str">
        <f>IFERROR(时间!$B$4+AU456,"上周无销量")</f>
        <v>上周无销量</v>
      </c>
    </row>
    <row r="457" spans="1:48">
      <c r="A457" s="20" t="s">
        <v>1061</v>
      </c>
      <c r="B457" t="s">
        <v>1062</v>
      </c>
      <c r="C457" t="s">
        <v>1054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6</v>
      </c>
      <c r="J457" s="33">
        <v>0</v>
      </c>
      <c r="K457" s="33">
        <v>0</v>
      </c>
      <c r="L457" s="33">
        <v>0</v>
      </c>
      <c r="M457">
        <v>6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0</v>
      </c>
      <c r="AK457">
        <v>0</v>
      </c>
      <c r="AL457">
        <v>0</v>
      </c>
      <c r="AM457">
        <v>0</v>
      </c>
      <c r="AN457" s="22" t="s">
        <v>53</v>
      </c>
      <c r="AO457" s="22" t="s">
        <v>53</v>
      </c>
      <c r="AP457" s="22" t="s">
        <v>53</v>
      </c>
      <c r="AQ457" s="22" t="s">
        <v>53</v>
      </c>
      <c r="AR457" s="35">
        <v>0</v>
      </c>
      <c r="AS457" s="35">
        <v>0</v>
      </c>
      <c r="AT457" s="35">
        <v>6</v>
      </c>
      <c r="AU457" s="31" t="str">
        <f t="shared" si="11"/>
        <v>库存为6</v>
      </c>
      <c r="AV457" s="36" t="str">
        <f>IFERROR(时间!$B$4+AU457,"上周无销量")</f>
        <v>上周无销量</v>
      </c>
    </row>
    <row r="458" spans="1:48">
      <c r="A458" s="20" t="s">
        <v>1063</v>
      </c>
      <c r="B458" t="s">
        <v>1064</v>
      </c>
      <c r="C458" t="s">
        <v>1054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5</v>
      </c>
      <c r="J458" s="33">
        <v>0</v>
      </c>
      <c r="K458" s="33">
        <v>1</v>
      </c>
      <c r="L458" s="33">
        <v>0</v>
      </c>
      <c r="M458">
        <v>6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0</v>
      </c>
      <c r="AK458">
        <v>0</v>
      </c>
      <c r="AL458">
        <v>0</v>
      </c>
      <c r="AM458">
        <v>0</v>
      </c>
      <c r="AN458" s="22" t="s">
        <v>53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6</v>
      </c>
      <c r="AU458" s="31" t="str">
        <f t="shared" si="11"/>
        <v>库存为6</v>
      </c>
      <c r="AV458" s="36" t="str">
        <f>IFERROR(时间!$B$4+AU458,"上周无销量")</f>
        <v>上周无销量</v>
      </c>
    </row>
    <row r="459" spans="1:48">
      <c r="A459" s="20" t="s">
        <v>1065</v>
      </c>
      <c r="B459" t="s">
        <v>1066</v>
      </c>
      <c r="C459" t="s">
        <v>1054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8</v>
      </c>
      <c r="J459" s="33">
        <v>0</v>
      </c>
      <c r="K459" s="33">
        <v>0</v>
      </c>
      <c r="L459" s="33">
        <v>0</v>
      </c>
      <c r="M459">
        <v>8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0</v>
      </c>
      <c r="AK459">
        <v>0</v>
      </c>
      <c r="AL459">
        <v>0</v>
      </c>
      <c r="AM459">
        <v>0</v>
      </c>
      <c r="AN459" s="22" t="s">
        <v>53</v>
      </c>
      <c r="AO459" s="22" t="s">
        <v>53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8</v>
      </c>
      <c r="AU459" s="31" t="str">
        <f t="shared" si="11"/>
        <v>库存为8</v>
      </c>
      <c r="AV459" s="36" t="str">
        <f>IFERROR(时间!$B$4+AU459,"上周无销量")</f>
        <v>上周无销量</v>
      </c>
    </row>
    <row r="460" spans="1:48">
      <c r="A460" s="20" t="s">
        <v>1067</v>
      </c>
      <c r="B460" t="s">
        <v>1068</v>
      </c>
      <c r="C460" t="s">
        <v>1054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6</v>
      </c>
      <c r="J460" s="33">
        <v>0</v>
      </c>
      <c r="K460" s="33">
        <v>0</v>
      </c>
      <c r="L460" s="33">
        <v>0</v>
      </c>
      <c r="M460">
        <v>6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1</v>
      </c>
      <c r="AK460">
        <v>0</v>
      </c>
      <c r="AL460">
        <v>0</v>
      </c>
      <c r="AM460">
        <v>0</v>
      </c>
      <c r="AN460" s="22">
        <v>0</v>
      </c>
      <c r="AO460" s="22" t="s">
        <v>53</v>
      </c>
      <c r="AP460" s="22" t="s">
        <v>53</v>
      </c>
      <c r="AQ460" s="22" t="s">
        <v>53</v>
      </c>
      <c r="AR460" s="35">
        <v>0</v>
      </c>
      <c r="AS460" s="35">
        <v>0</v>
      </c>
      <c r="AT460" s="35">
        <v>6</v>
      </c>
      <c r="AU460" s="31" t="str">
        <f t="shared" si="11"/>
        <v>库存为6</v>
      </c>
      <c r="AV460" s="36" t="str">
        <f>IFERROR(时间!$B$4+AU460,"上周无销量")</f>
        <v>上周无销量</v>
      </c>
    </row>
    <row r="461" spans="1:48">
      <c r="A461" s="20" t="s">
        <v>1069</v>
      </c>
      <c r="B461" t="s">
        <v>1070</v>
      </c>
      <c r="C461" t="s">
        <v>1054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6</v>
      </c>
      <c r="J461" s="33">
        <v>0</v>
      </c>
      <c r="K461" s="33">
        <v>0</v>
      </c>
      <c r="L461" s="33">
        <v>0</v>
      </c>
      <c r="M461">
        <v>6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0</v>
      </c>
      <c r="AK461">
        <v>0</v>
      </c>
      <c r="AL461">
        <v>0</v>
      </c>
      <c r="AM461">
        <v>0</v>
      </c>
      <c r="AN461" s="22" t="s">
        <v>53</v>
      </c>
      <c r="AO461" s="22" t="s">
        <v>53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6</v>
      </c>
      <c r="AU461" s="31" t="str">
        <f t="shared" si="11"/>
        <v>库存为6</v>
      </c>
      <c r="AV461" s="36" t="str">
        <f>IFERROR(时间!$B$4+AU461,"上周无销量")</f>
        <v>上周无销量</v>
      </c>
    </row>
    <row r="462" spans="1:48">
      <c r="A462" s="20" t="s">
        <v>1071</v>
      </c>
      <c r="B462" t="s">
        <v>1072</v>
      </c>
      <c r="C462" t="s">
        <v>1073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0</v>
      </c>
      <c r="AL462">
        <v>0</v>
      </c>
      <c r="AM462">
        <v>0</v>
      </c>
      <c r="AN462" s="22" t="s">
        <v>53</v>
      </c>
      <c r="AO462" s="22" t="s">
        <v>53</v>
      </c>
      <c r="AP462" s="22" t="s">
        <v>53</v>
      </c>
      <c r="AQ462" s="22" t="s">
        <v>53</v>
      </c>
      <c r="AR462" s="35">
        <v>0</v>
      </c>
      <c r="AS462" s="35">
        <v>0</v>
      </c>
      <c r="AT462" s="35">
        <v>0</v>
      </c>
      <c r="AU462" s="31" t="str">
        <f t="shared" si="11"/>
        <v>库存为0</v>
      </c>
      <c r="AV462" s="36" t="str">
        <f>IFERROR(时间!$B$4+AU462,"上周无销量")</f>
        <v>上周无销量</v>
      </c>
    </row>
    <row r="463" spans="1:48">
      <c r="A463" s="20" t="s">
        <v>1074</v>
      </c>
      <c r="B463" t="s">
        <v>1075</v>
      </c>
      <c r="C463" t="s">
        <v>1076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5</v>
      </c>
      <c r="J463" s="33">
        <v>0</v>
      </c>
      <c r="K463" s="33">
        <v>0</v>
      </c>
      <c r="L463" s="33">
        <v>0</v>
      </c>
      <c r="M463">
        <v>5</v>
      </c>
      <c r="N463">
        <v>0</v>
      </c>
      <c r="O463">
        <v>5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3</v>
      </c>
      <c r="AK463">
        <v>2</v>
      </c>
      <c r="AL463">
        <v>1</v>
      </c>
      <c r="AM463">
        <v>0</v>
      </c>
      <c r="AN463" s="22">
        <v>0</v>
      </c>
      <c r="AO463" s="22">
        <v>0</v>
      </c>
      <c r="AP463" s="22">
        <v>0</v>
      </c>
      <c r="AQ463" s="22" t="s">
        <v>53</v>
      </c>
      <c r="AR463" s="35">
        <v>0</v>
      </c>
      <c r="AS463" s="35">
        <v>0</v>
      </c>
      <c r="AT463" s="35">
        <v>5</v>
      </c>
      <c r="AU463" s="31" t="str">
        <f t="shared" si="11"/>
        <v>库存为5</v>
      </c>
      <c r="AV463" s="36" t="str">
        <f>IFERROR(时间!$B$4+AU463,"上周无销量")</f>
        <v>上周无销量</v>
      </c>
    </row>
    <row r="464" spans="1:48">
      <c r="A464" s="20" t="s">
        <v>1077</v>
      </c>
      <c r="B464" t="s">
        <v>1078</v>
      </c>
      <c r="C464" t="s">
        <v>1076</v>
      </c>
      <c r="D464" s="31">
        <v>0</v>
      </c>
      <c r="E464" s="31">
        <v>0</v>
      </c>
      <c r="F464" s="31">
        <v>1</v>
      </c>
      <c r="G464" s="31">
        <v>0</v>
      </c>
      <c r="H464" s="32">
        <v>25.8</v>
      </c>
      <c r="I464">
        <v>9</v>
      </c>
      <c r="J464" s="33">
        <v>0</v>
      </c>
      <c r="K464" s="33">
        <v>0</v>
      </c>
      <c r="L464" s="33">
        <v>0</v>
      </c>
      <c r="M464">
        <v>9</v>
      </c>
      <c r="N464">
        <v>0</v>
      </c>
      <c r="O464">
        <v>2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124</v>
      </c>
      <c r="AK464">
        <v>98</v>
      </c>
      <c r="AL464">
        <v>35</v>
      </c>
      <c r="AM464">
        <v>60</v>
      </c>
      <c r="AN464" s="22">
        <v>0</v>
      </c>
      <c r="AO464" s="22">
        <v>0</v>
      </c>
      <c r="AP464" s="22">
        <v>0.0285714285714286</v>
      </c>
      <c r="AQ464" s="22">
        <v>0</v>
      </c>
      <c r="AR464" s="35">
        <v>0</v>
      </c>
      <c r="AS464" s="35">
        <v>0</v>
      </c>
      <c r="AT464" s="35">
        <v>9</v>
      </c>
      <c r="AU464" s="31" t="str">
        <f t="shared" si="11"/>
        <v>库存为9</v>
      </c>
      <c r="AV464" s="36" t="str">
        <f>IFERROR(时间!$B$4+AU464,"上周无销量")</f>
        <v>上周无销量</v>
      </c>
    </row>
    <row r="465" spans="1:48">
      <c r="A465" s="20" t="s">
        <v>1079</v>
      </c>
      <c r="B465" t="s">
        <v>1080</v>
      </c>
      <c r="C465" t="s">
        <v>1076</v>
      </c>
      <c r="D465" s="31">
        <v>0</v>
      </c>
      <c r="E465" s="31">
        <v>0</v>
      </c>
      <c r="F465" s="31">
        <v>1</v>
      </c>
      <c r="G465" s="31">
        <v>0</v>
      </c>
      <c r="H465" s="32">
        <v>31.4</v>
      </c>
      <c r="I465">
        <v>5</v>
      </c>
      <c r="J465" s="33">
        <v>0</v>
      </c>
      <c r="K465" s="33">
        <v>0</v>
      </c>
      <c r="L465" s="33">
        <v>0</v>
      </c>
      <c r="M465">
        <v>5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26</v>
      </c>
      <c r="AK465">
        <v>31</v>
      </c>
      <c r="AL465">
        <v>16</v>
      </c>
      <c r="AM465">
        <v>13</v>
      </c>
      <c r="AN465" s="22">
        <v>0</v>
      </c>
      <c r="AO465" s="22">
        <v>0</v>
      </c>
      <c r="AP465" s="22">
        <v>0.0625</v>
      </c>
      <c r="AQ465" s="22">
        <v>0</v>
      </c>
      <c r="AR465" s="35">
        <v>0</v>
      </c>
      <c r="AS465" s="35">
        <v>0</v>
      </c>
      <c r="AT465" s="35">
        <v>5</v>
      </c>
      <c r="AU465" s="31" t="str">
        <f t="shared" si="11"/>
        <v>库存为5</v>
      </c>
      <c r="AV465" s="36" t="str">
        <f>IFERROR(时间!$B$4+AU465,"上周无销量")</f>
        <v>上周无销量</v>
      </c>
    </row>
    <row r="466" spans="1:48">
      <c r="A466" s="20" t="s">
        <v>1081</v>
      </c>
      <c r="B466" t="s">
        <v>1082</v>
      </c>
      <c r="C466" t="s">
        <v>1076</v>
      </c>
      <c r="D466" s="31">
        <v>2</v>
      </c>
      <c r="E466" s="31">
        <v>0</v>
      </c>
      <c r="F466" s="31">
        <v>0</v>
      </c>
      <c r="G466" s="31">
        <v>1</v>
      </c>
      <c r="H466" s="32">
        <v>21</v>
      </c>
      <c r="I466">
        <v>15</v>
      </c>
      <c r="J466" s="33">
        <v>0</v>
      </c>
      <c r="K466" s="33">
        <v>0</v>
      </c>
      <c r="L466" s="33">
        <v>0</v>
      </c>
      <c r="M466">
        <v>15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20</v>
      </c>
      <c r="AK466">
        <v>12</v>
      </c>
      <c r="AL466">
        <v>14</v>
      </c>
      <c r="AM466">
        <v>13</v>
      </c>
      <c r="AN466" s="22">
        <v>0.1</v>
      </c>
      <c r="AO466" s="22">
        <v>0</v>
      </c>
      <c r="AP466" s="22">
        <v>0</v>
      </c>
      <c r="AQ466" s="22">
        <v>0.0769230769230769</v>
      </c>
      <c r="AR466" s="35">
        <v>0.285714285714286</v>
      </c>
      <c r="AS466" s="35">
        <v>17.1428571428571</v>
      </c>
      <c r="AT466" s="35">
        <v>-2.14285714285714</v>
      </c>
      <c r="AU466" s="31">
        <f t="shared" si="11"/>
        <v>52</v>
      </c>
      <c r="AV466" s="36">
        <f>IFERROR(时间!$B$4+AU466,"上周无销量")</f>
        <v>43384</v>
      </c>
    </row>
    <row r="467" spans="1:48">
      <c r="A467" s="20" t="s">
        <v>1083</v>
      </c>
      <c r="B467" t="s">
        <v>1084</v>
      </c>
      <c r="C467" t="s">
        <v>1085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11</v>
      </c>
      <c r="J467" s="33">
        <v>0</v>
      </c>
      <c r="K467" s="33">
        <v>0</v>
      </c>
      <c r="L467" s="33">
        <v>0</v>
      </c>
      <c r="M467">
        <v>11</v>
      </c>
      <c r="N467">
        <v>0</v>
      </c>
      <c r="O467">
        <v>11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2</v>
      </c>
      <c r="AK467">
        <v>4</v>
      </c>
      <c r="AL467">
        <v>3</v>
      </c>
      <c r="AM467">
        <v>3</v>
      </c>
      <c r="AN467" s="22">
        <v>0</v>
      </c>
      <c r="AO467" s="22">
        <v>0</v>
      </c>
      <c r="AP467" s="22">
        <v>0</v>
      </c>
      <c r="AQ467" s="22">
        <v>0</v>
      </c>
      <c r="AR467" s="35">
        <v>0</v>
      </c>
      <c r="AS467" s="35">
        <v>0</v>
      </c>
      <c r="AT467" s="35">
        <v>11</v>
      </c>
      <c r="AU467" s="31" t="str">
        <f t="shared" si="11"/>
        <v>库存为11</v>
      </c>
      <c r="AV467" s="36" t="str">
        <f>IFERROR(时间!$B$4+AU467,"上周无销量")</f>
        <v>上周无销量</v>
      </c>
    </row>
    <row r="468" spans="1:48">
      <c r="A468" s="20" t="s">
        <v>1086</v>
      </c>
      <c r="B468" t="s">
        <v>1087</v>
      </c>
      <c r="C468" t="s">
        <v>1085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3</v>
      </c>
      <c r="AK468">
        <v>5</v>
      </c>
      <c r="AL468">
        <v>6</v>
      </c>
      <c r="AM468">
        <v>6</v>
      </c>
      <c r="AN468" s="22">
        <v>0</v>
      </c>
      <c r="AO468" s="22">
        <v>0</v>
      </c>
      <c r="AP468" s="22">
        <v>0</v>
      </c>
      <c r="AQ468" s="22">
        <v>0</v>
      </c>
      <c r="AR468" s="35">
        <v>0</v>
      </c>
      <c r="AS468" s="35">
        <v>0</v>
      </c>
      <c r="AT468" s="35">
        <v>0</v>
      </c>
      <c r="AU468" s="31" t="str">
        <f t="shared" si="11"/>
        <v>库存为0</v>
      </c>
      <c r="AV468" s="36" t="str">
        <f>IFERROR(时间!$B$4+AU468,"上周无销量")</f>
        <v>上周无销量</v>
      </c>
    </row>
    <row r="469" spans="1:48">
      <c r="A469" s="20" t="s">
        <v>1088</v>
      </c>
      <c r="B469" t="s">
        <v>1089</v>
      </c>
      <c r="C469" t="s">
        <v>1085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1</v>
      </c>
      <c r="J469" s="33">
        <v>0</v>
      </c>
      <c r="K469" s="33">
        <v>0</v>
      </c>
      <c r="L469" s="33">
        <v>0</v>
      </c>
      <c r="M469">
        <v>1</v>
      </c>
      <c r="N469">
        <v>0</v>
      </c>
      <c r="O469">
        <v>1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4</v>
      </c>
      <c r="AK469">
        <v>7</v>
      </c>
      <c r="AL469">
        <v>5</v>
      </c>
      <c r="AM469">
        <v>4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1</v>
      </c>
      <c r="AU469" s="31" t="str">
        <f t="shared" si="11"/>
        <v>库存为1</v>
      </c>
      <c r="AV469" s="36" t="str">
        <f>IFERROR(时间!$B$4+AU469,"上周无销量")</f>
        <v>上周无销量</v>
      </c>
    </row>
    <row r="470" spans="1:48">
      <c r="A470" s="20" t="s">
        <v>1090</v>
      </c>
      <c r="B470" t="s">
        <v>1091</v>
      </c>
      <c r="C470" t="s">
        <v>1085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2</v>
      </c>
      <c r="AK470">
        <v>7</v>
      </c>
      <c r="AL470">
        <v>7</v>
      </c>
      <c r="AM470">
        <v>3</v>
      </c>
      <c r="AN470" s="22">
        <v>0</v>
      </c>
      <c r="AO470" s="22">
        <v>0</v>
      </c>
      <c r="AP470" s="22">
        <v>0</v>
      </c>
      <c r="AQ470" s="22">
        <v>0</v>
      </c>
      <c r="AR470" s="35">
        <v>0</v>
      </c>
      <c r="AS470" s="35">
        <v>0</v>
      </c>
      <c r="AT470" s="35">
        <v>0</v>
      </c>
      <c r="AU470" s="31" t="str">
        <f t="shared" si="11"/>
        <v>库存为0</v>
      </c>
      <c r="AV470" s="36" t="str">
        <f>IFERROR(时间!$B$4+AU470,"上周无销量")</f>
        <v>上周无销量</v>
      </c>
    </row>
    <row r="471" spans="1:48">
      <c r="A471" s="20" t="s">
        <v>1092</v>
      </c>
      <c r="B471" t="s">
        <v>1093</v>
      </c>
      <c r="C471" t="s">
        <v>1085</v>
      </c>
      <c r="D471" s="31">
        <v>4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0</v>
      </c>
      <c r="AK471">
        <v>10</v>
      </c>
      <c r="AL471">
        <v>6</v>
      </c>
      <c r="AM471">
        <v>0</v>
      </c>
      <c r="AN471" s="22" t="s">
        <v>53</v>
      </c>
      <c r="AO471" s="22">
        <v>0</v>
      </c>
      <c r="AP471" s="22">
        <v>0</v>
      </c>
      <c r="AQ471" s="22" t="s">
        <v>53</v>
      </c>
      <c r="AR471" s="35">
        <v>0.571428571428571</v>
      </c>
      <c r="AS471" s="35">
        <v>34.2857142857143</v>
      </c>
      <c r="AT471" s="35">
        <v>-34.2857142857143</v>
      </c>
      <c r="AU471" s="31">
        <f t="shared" si="11"/>
        <v>0</v>
      </c>
      <c r="AV471" s="36">
        <f>IFERROR(时间!$B$4+AU471,"上周无销量")</f>
        <v>43332</v>
      </c>
    </row>
    <row r="472" spans="1:48">
      <c r="A472" s="20" t="s">
        <v>1094</v>
      </c>
      <c r="B472" t="s">
        <v>1095</v>
      </c>
      <c r="C472" t="s">
        <v>1085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1</v>
      </c>
      <c r="J472" s="33">
        <v>0</v>
      </c>
      <c r="K472" s="33">
        <v>0</v>
      </c>
      <c r="L472" s="33">
        <v>0</v>
      </c>
      <c r="M472">
        <v>1</v>
      </c>
      <c r="N472">
        <v>0</v>
      </c>
      <c r="O472">
        <v>1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6</v>
      </c>
      <c r="AK472">
        <v>4</v>
      </c>
      <c r="AL472">
        <v>1</v>
      </c>
      <c r="AM472">
        <v>3</v>
      </c>
      <c r="AN472" s="22">
        <v>0</v>
      </c>
      <c r="AO472" s="22">
        <v>0</v>
      </c>
      <c r="AP472" s="22">
        <v>0</v>
      </c>
      <c r="AQ472" s="22">
        <v>0</v>
      </c>
      <c r="AR472" s="35">
        <v>0</v>
      </c>
      <c r="AS472" s="35">
        <v>0</v>
      </c>
      <c r="AT472" s="35">
        <v>1</v>
      </c>
      <c r="AU472" s="31" t="str">
        <f t="shared" si="11"/>
        <v>库存为1</v>
      </c>
      <c r="AV472" s="36" t="str">
        <f>IFERROR(时间!$B$4+AU472,"上周无销量")</f>
        <v>上周无销量</v>
      </c>
    </row>
    <row r="473" spans="1:48">
      <c r="A473" s="20" t="s">
        <v>1096</v>
      </c>
      <c r="B473" t="s">
        <v>1097</v>
      </c>
      <c r="C473" t="s">
        <v>1085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8</v>
      </c>
      <c r="J473" s="33">
        <v>0</v>
      </c>
      <c r="K473" s="33">
        <v>0</v>
      </c>
      <c r="L473" s="33">
        <v>0</v>
      </c>
      <c r="M473">
        <v>8</v>
      </c>
      <c r="N473">
        <v>0</v>
      </c>
      <c r="O473">
        <v>8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22</v>
      </c>
      <c r="AK473">
        <v>24</v>
      </c>
      <c r="AL473">
        <v>16</v>
      </c>
      <c r="AM473">
        <v>12</v>
      </c>
      <c r="AN473" s="22">
        <v>0</v>
      </c>
      <c r="AO473" s="22">
        <v>0</v>
      </c>
      <c r="AP473" s="22">
        <v>0</v>
      </c>
      <c r="AQ473" s="22">
        <v>0</v>
      </c>
      <c r="AR473" s="35">
        <v>0</v>
      </c>
      <c r="AS473" s="35">
        <v>0</v>
      </c>
      <c r="AT473" s="35">
        <v>8</v>
      </c>
      <c r="AU473" s="31" t="str">
        <f t="shared" si="11"/>
        <v>库存为8</v>
      </c>
      <c r="AV473" s="36" t="str">
        <f>IFERROR(时间!$B$4+AU473,"上周无销量")</f>
        <v>上周无销量</v>
      </c>
    </row>
    <row r="474" spans="1:48">
      <c r="A474" s="20" t="s">
        <v>1098</v>
      </c>
      <c r="B474" t="s">
        <v>1099</v>
      </c>
      <c r="C474" t="s">
        <v>1100</v>
      </c>
      <c r="D474" s="31">
        <v>0</v>
      </c>
      <c r="E474" s="31">
        <v>0</v>
      </c>
      <c r="F474" s="31">
        <v>1</v>
      </c>
      <c r="G474" s="31">
        <v>0</v>
      </c>
      <c r="H474" s="32">
        <v>23.9</v>
      </c>
      <c r="I474">
        <v>2</v>
      </c>
      <c r="J474" s="33">
        <v>0</v>
      </c>
      <c r="K474" s="33">
        <v>0</v>
      </c>
      <c r="L474" s="33">
        <v>0</v>
      </c>
      <c r="M474">
        <v>2</v>
      </c>
      <c r="N474">
        <v>0</v>
      </c>
      <c r="O474">
        <v>0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7</v>
      </c>
      <c r="AK474">
        <v>10</v>
      </c>
      <c r="AL474">
        <v>4</v>
      </c>
      <c r="AM474">
        <v>12</v>
      </c>
      <c r="AN474" s="22">
        <v>0</v>
      </c>
      <c r="AO474" s="22">
        <v>0</v>
      </c>
      <c r="AP474" s="22">
        <v>0.25</v>
      </c>
      <c r="AQ474" s="22">
        <v>0</v>
      </c>
      <c r="AR474" s="35">
        <v>0</v>
      </c>
      <c r="AS474" s="35">
        <v>0</v>
      </c>
      <c r="AT474" s="35">
        <v>2</v>
      </c>
      <c r="AU474" s="31" t="str">
        <f t="shared" si="11"/>
        <v>库存为2</v>
      </c>
      <c r="AV474" s="36" t="str">
        <f>IFERROR(时间!$B$4+AU474,"上周无销量")</f>
        <v>上周无销量</v>
      </c>
    </row>
    <row r="475" spans="1:48">
      <c r="A475" s="20" t="s">
        <v>1101</v>
      </c>
      <c r="B475" t="s">
        <v>1102</v>
      </c>
      <c r="C475" t="s">
        <v>1103</v>
      </c>
      <c r="D475" s="31">
        <v>4</v>
      </c>
      <c r="E475" s="31">
        <v>3</v>
      </c>
      <c r="F475" s="31">
        <v>3</v>
      </c>
      <c r="G475" s="31">
        <v>3</v>
      </c>
      <c r="H475" s="32">
        <v>15.9</v>
      </c>
      <c r="I475">
        <v>12</v>
      </c>
      <c r="J475" s="33">
        <v>9</v>
      </c>
      <c r="K475" s="33">
        <v>0</v>
      </c>
      <c r="L475" s="33">
        <v>0</v>
      </c>
      <c r="M475">
        <v>21</v>
      </c>
      <c r="N475">
        <v>0</v>
      </c>
      <c r="O475">
        <v>0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77</v>
      </c>
      <c r="AK475">
        <v>56</v>
      </c>
      <c r="AL475">
        <v>25</v>
      </c>
      <c r="AM475">
        <v>29</v>
      </c>
      <c r="AN475" s="22">
        <v>0.051948051948052</v>
      </c>
      <c r="AO475" s="22">
        <v>0.0535714285714286</v>
      </c>
      <c r="AP475" s="22">
        <v>0.12</v>
      </c>
      <c r="AQ475" s="22">
        <v>0.103448275862069</v>
      </c>
      <c r="AR475" s="35">
        <v>0.571428571428571</v>
      </c>
      <c r="AS475" s="35">
        <v>34.2857142857143</v>
      </c>
      <c r="AT475" s="35">
        <v>-13.2857142857143</v>
      </c>
      <c r="AU475" s="31">
        <f t="shared" si="11"/>
        <v>36</v>
      </c>
      <c r="AV475" s="36">
        <f>IFERROR(时间!$B$4+AU475,"上周无销量")</f>
        <v>43368</v>
      </c>
    </row>
    <row r="476" spans="1:48">
      <c r="A476" s="20" t="s">
        <v>1104</v>
      </c>
      <c r="B476" t="s">
        <v>1105</v>
      </c>
      <c r="C476" t="s">
        <v>1103</v>
      </c>
      <c r="D476" s="31">
        <v>3</v>
      </c>
      <c r="E476" s="31">
        <v>3</v>
      </c>
      <c r="F476" s="31">
        <v>2</v>
      </c>
      <c r="G476" s="31">
        <v>6</v>
      </c>
      <c r="H476" s="32">
        <v>19</v>
      </c>
      <c r="I476">
        <v>6</v>
      </c>
      <c r="J476" s="33">
        <v>0</v>
      </c>
      <c r="K476" s="33">
        <v>0</v>
      </c>
      <c r="L476" s="33">
        <v>0</v>
      </c>
      <c r="M476">
        <v>6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71</v>
      </c>
      <c r="AK476">
        <v>51</v>
      </c>
      <c r="AL476">
        <v>26</v>
      </c>
      <c r="AM476">
        <v>47</v>
      </c>
      <c r="AN476" s="22">
        <v>0.0422535211267606</v>
      </c>
      <c r="AO476" s="22">
        <v>0.0588235294117647</v>
      </c>
      <c r="AP476" s="22">
        <v>0.0769230769230769</v>
      </c>
      <c r="AQ476" s="22">
        <v>0.127659574468085</v>
      </c>
      <c r="AR476" s="35">
        <v>0.428571428571429</v>
      </c>
      <c r="AS476" s="35">
        <v>25.7142857142857</v>
      </c>
      <c r="AT476" s="35">
        <v>-19.7142857142857</v>
      </c>
      <c r="AU476" s="31">
        <f t="shared" si="11"/>
        <v>14</v>
      </c>
      <c r="AV476" s="36">
        <f>IFERROR(时间!$B$4+AU476,"上周无销量")</f>
        <v>43346</v>
      </c>
    </row>
    <row r="477" spans="1:48">
      <c r="A477" s="20" t="s">
        <v>1106</v>
      </c>
      <c r="B477" t="s">
        <v>1107</v>
      </c>
      <c r="C477" t="s">
        <v>1103</v>
      </c>
      <c r="D477" s="31">
        <v>0</v>
      </c>
      <c r="E477" s="31">
        <v>1</v>
      </c>
      <c r="F477" s="31">
        <v>1</v>
      </c>
      <c r="G477" s="31">
        <v>1</v>
      </c>
      <c r="H477" s="32">
        <v>25.8</v>
      </c>
      <c r="I477">
        <v>23</v>
      </c>
      <c r="J477" s="33">
        <v>0</v>
      </c>
      <c r="K477" s="33">
        <v>0</v>
      </c>
      <c r="L477" s="33">
        <v>0</v>
      </c>
      <c r="M477">
        <v>23</v>
      </c>
      <c r="N477">
        <v>0</v>
      </c>
      <c r="O477">
        <v>22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9</v>
      </c>
      <c r="AK477">
        <v>22</v>
      </c>
      <c r="AL477">
        <v>13</v>
      </c>
      <c r="AM477">
        <v>10</v>
      </c>
      <c r="AN477" s="22">
        <v>0</v>
      </c>
      <c r="AO477" s="22">
        <v>0.0454545454545455</v>
      </c>
      <c r="AP477" s="22">
        <v>0.0769230769230769</v>
      </c>
      <c r="AQ477" s="22">
        <v>0.1</v>
      </c>
      <c r="AR477" s="35">
        <v>0</v>
      </c>
      <c r="AS477" s="35">
        <v>0</v>
      </c>
      <c r="AT477" s="35">
        <v>23</v>
      </c>
      <c r="AU477" s="31" t="str">
        <f t="shared" si="11"/>
        <v>库存为23</v>
      </c>
      <c r="AV477" s="36" t="str">
        <f>IFERROR(时间!$B$4+AU477,"上周无销量")</f>
        <v>上周无销量</v>
      </c>
    </row>
    <row r="478" spans="1:48">
      <c r="A478" s="20" t="s">
        <v>1108</v>
      </c>
      <c r="B478" t="s">
        <v>1109</v>
      </c>
      <c r="C478" t="s">
        <v>1103</v>
      </c>
      <c r="D478" s="31">
        <v>1</v>
      </c>
      <c r="E478" s="31">
        <v>1</v>
      </c>
      <c r="F478" s="31">
        <v>0</v>
      </c>
      <c r="G478" s="31">
        <v>1</v>
      </c>
      <c r="H478" s="32">
        <v>29.3</v>
      </c>
      <c r="I478">
        <v>1</v>
      </c>
      <c r="J478" s="33">
        <v>0</v>
      </c>
      <c r="K478" s="33">
        <v>0</v>
      </c>
      <c r="L478" s="33">
        <v>0</v>
      </c>
      <c r="M478">
        <v>1</v>
      </c>
      <c r="N478">
        <v>0</v>
      </c>
      <c r="O478">
        <v>2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8</v>
      </c>
      <c r="AK478">
        <v>13</v>
      </c>
      <c r="AL478">
        <v>13</v>
      </c>
      <c r="AM478">
        <v>13</v>
      </c>
      <c r="AN478" s="22">
        <v>0.125</v>
      </c>
      <c r="AO478" s="22">
        <v>0.0769230769230769</v>
      </c>
      <c r="AP478" s="22">
        <v>0</v>
      </c>
      <c r="AQ478" s="22">
        <v>0.0769230769230769</v>
      </c>
      <c r="AR478" s="35">
        <v>0.142857142857143</v>
      </c>
      <c r="AS478" s="35">
        <v>8.57142857142857</v>
      </c>
      <c r="AT478" s="35">
        <v>-7.57142857142857</v>
      </c>
      <c r="AU478" s="31">
        <f t="shared" si="11"/>
        <v>7</v>
      </c>
      <c r="AV478" s="36">
        <f>IFERROR(时间!$B$4+AU478,"上周无销量")</f>
        <v>43339</v>
      </c>
    </row>
    <row r="479" spans="1:48">
      <c r="A479" s="20" t="s">
        <v>1110</v>
      </c>
      <c r="B479" t="s">
        <v>1111</v>
      </c>
      <c r="C479" t="s">
        <v>1103</v>
      </c>
      <c r="D479" s="31">
        <v>26</v>
      </c>
      <c r="E479" s="31">
        <v>1</v>
      </c>
      <c r="F479" s="31">
        <v>1</v>
      </c>
      <c r="G479" s="31">
        <v>3</v>
      </c>
      <c r="H479" s="32">
        <v>6.10967741935484</v>
      </c>
      <c r="I479">
        <v>5</v>
      </c>
      <c r="J479" s="33">
        <v>0</v>
      </c>
      <c r="K479" s="33">
        <v>0</v>
      </c>
      <c r="L479" s="33">
        <v>0</v>
      </c>
      <c r="M479">
        <v>5</v>
      </c>
      <c r="N479">
        <v>0</v>
      </c>
      <c r="O479">
        <v>4</v>
      </c>
      <c r="P479">
        <v>143</v>
      </c>
      <c r="Q479">
        <v>169</v>
      </c>
      <c r="R479">
        <v>140</v>
      </c>
      <c r="S479">
        <v>105</v>
      </c>
      <c r="T479">
        <v>0</v>
      </c>
      <c r="U479">
        <v>0</v>
      </c>
      <c r="V479">
        <v>0</v>
      </c>
      <c r="W479">
        <v>1</v>
      </c>
      <c r="X479" s="22">
        <v>0</v>
      </c>
      <c r="Y479" s="22">
        <v>0</v>
      </c>
      <c r="Z479" s="22">
        <v>0</v>
      </c>
      <c r="AA479" s="22">
        <v>0.00952380952380952</v>
      </c>
      <c r="AB479">
        <v>0</v>
      </c>
      <c r="AC479">
        <v>0</v>
      </c>
      <c r="AD479">
        <v>0</v>
      </c>
      <c r="AE479">
        <v>0.17</v>
      </c>
      <c r="AF479" s="22" t="s">
        <v>53</v>
      </c>
      <c r="AG479" s="22" t="s">
        <v>53</v>
      </c>
      <c r="AH479" s="22" t="s">
        <v>53</v>
      </c>
      <c r="AI479" s="22">
        <v>0.0092749032030975</v>
      </c>
      <c r="AJ479">
        <v>20</v>
      </c>
      <c r="AK479">
        <v>30</v>
      </c>
      <c r="AL479">
        <v>22</v>
      </c>
      <c r="AM479">
        <v>23</v>
      </c>
      <c r="AN479" s="22">
        <v>1.3</v>
      </c>
      <c r="AO479" s="22">
        <v>0.0333333333333333</v>
      </c>
      <c r="AP479" s="22">
        <v>0.0454545454545455</v>
      </c>
      <c r="AQ479" s="22">
        <v>0.130434782608696</v>
      </c>
      <c r="AR479" s="35">
        <v>3.71428571428571</v>
      </c>
      <c r="AS479" s="35">
        <v>222.857142857143</v>
      </c>
      <c r="AT479" s="35">
        <v>-217.857142857143</v>
      </c>
      <c r="AU479" s="31">
        <f t="shared" si="11"/>
        <v>1</v>
      </c>
      <c r="AV479" s="36">
        <f>IFERROR(时间!$B$4+AU479,"上周无销量")</f>
        <v>43333</v>
      </c>
    </row>
    <row r="480" spans="1:48">
      <c r="A480" s="20" t="s">
        <v>1112</v>
      </c>
      <c r="B480" t="s">
        <v>1113</v>
      </c>
      <c r="C480" t="s">
        <v>1103</v>
      </c>
      <c r="D480" s="31">
        <v>10</v>
      </c>
      <c r="E480" s="31">
        <v>0</v>
      </c>
      <c r="F480" s="31">
        <v>1</v>
      </c>
      <c r="G480" s="31">
        <v>0</v>
      </c>
      <c r="H480" s="32">
        <v>3.21818181818182</v>
      </c>
      <c r="I480">
        <v>6</v>
      </c>
      <c r="J480" s="33">
        <v>0</v>
      </c>
      <c r="K480" s="33">
        <v>0</v>
      </c>
      <c r="L480" s="33">
        <v>0</v>
      </c>
      <c r="M480">
        <v>6</v>
      </c>
      <c r="N480">
        <v>0</v>
      </c>
      <c r="O480">
        <v>6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22</v>
      </c>
      <c r="AK480">
        <v>16</v>
      </c>
      <c r="AL480">
        <v>15</v>
      </c>
      <c r="AM480">
        <v>19</v>
      </c>
      <c r="AN480" s="22">
        <v>0.454545454545455</v>
      </c>
      <c r="AO480" s="22">
        <v>0</v>
      </c>
      <c r="AP480" s="22">
        <v>0.0666666666666667</v>
      </c>
      <c r="AQ480" s="22">
        <v>0</v>
      </c>
      <c r="AR480" s="35">
        <v>1.42857142857143</v>
      </c>
      <c r="AS480" s="35">
        <v>85.7142857142857</v>
      </c>
      <c r="AT480" s="35">
        <v>-79.7142857142857</v>
      </c>
      <c r="AU480" s="31">
        <f t="shared" si="11"/>
        <v>4</v>
      </c>
      <c r="AV480" s="36">
        <f>IFERROR(时间!$B$4+AU480,"上周无销量")</f>
        <v>43336</v>
      </c>
    </row>
    <row r="481" spans="1:48">
      <c r="A481" s="20" t="s">
        <v>1114</v>
      </c>
      <c r="B481" t="s">
        <v>1115</v>
      </c>
      <c r="C481" t="s">
        <v>1103</v>
      </c>
      <c r="D481" s="31">
        <v>1</v>
      </c>
      <c r="E481" s="31">
        <v>4</v>
      </c>
      <c r="F481" s="31">
        <v>2</v>
      </c>
      <c r="G481" s="31">
        <v>1</v>
      </c>
      <c r="H481" s="32">
        <v>8.3</v>
      </c>
      <c r="I481">
        <v>9</v>
      </c>
      <c r="J481" s="33">
        <v>0</v>
      </c>
      <c r="K481" s="33">
        <v>0</v>
      </c>
      <c r="L481" s="33">
        <v>1</v>
      </c>
      <c r="M481">
        <v>10</v>
      </c>
      <c r="N481">
        <v>0</v>
      </c>
      <c r="O481">
        <v>1</v>
      </c>
      <c r="P481">
        <v>3583</v>
      </c>
      <c r="Q481">
        <v>5457</v>
      </c>
      <c r="R481">
        <v>4127</v>
      </c>
      <c r="S481">
        <v>4143</v>
      </c>
      <c r="T481">
        <v>37</v>
      </c>
      <c r="U481">
        <v>45</v>
      </c>
      <c r="V481">
        <v>43</v>
      </c>
      <c r="W481">
        <v>42</v>
      </c>
      <c r="X481" s="22">
        <v>0.0103265420039073</v>
      </c>
      <c r="Y481" s="22">
        <v>0.00824628916987356</v>
      </c>
      <c r="Z481" s="22">
        <v>0.0104191906954204</v>
      </c>
      <c r="AA481" s="22">
        <v>0.0101375814627082</v>
      </c>
      <c r="AB481">
        <v>7.08</v>
      </c>
      <c r="AC481">
        <v>7.95</v>
      </c>
      <c r="AD481">
        <v>5.91</v>
      </c>
      <c r="AE481">
        <v>7.01</v>
      </c>
      <c r="AF481" s="22">
        <v>0.853012048192771</v>
      </c>
      <c r="AG481" s="22">
        <v>0.239457831325301</v>
      </c>
      <c r="AH481" s="22">
        <v>0.356024096385542</v>
      </c>
      <c r="AI481" s="22">
        <v>0.844578313253012</v>
      </c>
      <c r="AJ481">
        <v>129</v>
      </c>
      <c r="AK481">
        <v>105</v>
      </c>
      <c r="AL481">
        <v>41</v>
      </c>
      <c r="AM481">
        <v>69</v>
      </c>
      <c r="AN481" s="22">
        <v>0.00775193798449612</v>
      </c>
      <c r="AO481" s="22">
        <v>0.0380952380952381</v>
      </c>
      <c r="AP481" s="22">
        <v>0.0487804878048781</v>
      </c>
      <c r="AQ481" s="22">
        <v>0.0144927536231884</v>
      </c>
      <c r="AR481" s="35">
        <v>0.142857142857143</v>
      </c>
      <c r="AS481" s="35">
        <v>8.57142857142857</v>
      </c>
      <c r="AT481" s="35">
        <v>1.42857142857143</v>
      </c>
      <c r="AU481" s="31">
        <f t="shared" si="11"/>
        <v>70</v>
      </c>
      <c r="AV481" s="36">
        <f>IFERROR(时间!$B$4+AU481,"上周无销量")</f>
        <v>43402</v>
      </c>
    </row>
    <row r="482" spans="1:48">
      <c r="A482" s="20" t="s">
        <v>1116</v>
      </c>
      <c r="B482" t="s">
        <v>1117</v>
      </c>
      <c r="C482" t="s">
        <v>1103</v>
      </c>
      <c r="D482" s="31">
        <v>0</v>
      </c>
      <c r="E482" s="31">
        <v>3</v>
      </c>
      <c r="F482" s="31">
        <v>1</v>
      </c>
      <c r="G482" s="31">
        <v>1</v>
      </c>
      <c r="H482" s="32">
        <v>12.4</v>
      </c>
      <c r="I482">
        <v>0</v>
      </c>
      <c r="J482" s="33">
        <v>6</v>
      </c>
      <c r="K482" s="33">
        <v>0</v>
      </c>
      <c r="L482" s="33">
        <v>0</v>
      </c>
      <c r="M482">
        <v>6</v>
      </c>
      <c r="N482">
        <v>0</v>
      </c>
      <c r="O482">
        <v>0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0</v>
      </c>
      <c r="AK482">
        <v>38</v>
      </c>
      <c r="AL482">
        <v>21</v>
      </c>
      <c r="AM482">
        <v>17</v>
      </c>
      <c r="AN482" s="22" t="s">
        <v>53</v>
      </c>
      <c r="AO482" s="22">
        <v>0.0789473684210526</v>
      </c>
      <c r="AP482" s="22">
        <v>0.0476190476190476</v>
      </c>
      <c r="AQ482" s="22">
        <v>0.0588235294117647</v>
      </c>
      <c r="AR482" s="35">
        <v>0</v>
      </c>
      <c r="AS482" s="35">
        <v>0</v>
      </c>
      <c r="AT482" s="35">
        <v>6</v>
      </c>
      <c r="AU482" s="31" t="str">
        <f t="shared" si="11"/>
        <v>库存为6</v>
      </c>
      <c r="AV482" s="36" t="str">
        <f>IFERROR(时间!$B$4+AU482,"上周无销量")</f>
        <v>上周无销量</v>
      </c>
    </row>
    <row r="483" spans="1:48">
      <c r="A483" s="20" t="s">
        <v>1118</v>
      </c>
      <c r="B483" t="s">
        <v>1119</v>
      </c>
      <c r="C483" t="s">
        <v>1103</v>
      </c>
      <c r="D483" s="31">
        <v>4</v>
      </c>
      <c r="E483" s="31">
        <v>11</v>
      </c>
      <c r="F483" s="31">
        <v>10</v>
      </c>
      <c r="G483" s="31">
        <v>9</v>
      </c>
      <c r="H483" s="32">
        <v>15.9</v>
      </c>
      <c r="I483">
        <v>45</v>
      </c>
      <c r="J483" s="33">
        <v>0</v>
      </c>
      <c r="K483" s="33">
        <v>0</v>
      </c>
      <c r="L483" s="33">
        <v>19</v>
      </c>
      <c r="M483">
        <v>64</v>
      </c>
      <c r="N483">
        <v>0</v>
      </c>
      <c r="O483">
        <v>0</v>
      </c>
      <c r="P483">
        <v>2238</v>
      </c>
      <c r="Q483">
        <v>2353</v>
      </c>
      <c r="R483">
        <v>14339</v>
      </c>
      <c r="S483">
        <v>9333</v>
      </c>
      <c r="T483">
        <v>20</v>
      </c>
      <c r="U483">
        <v>22</v>
      </c>
      <c r="V483">
        <v>96</v>
      </c>
      <c r="W483">
        <v>90</v>
      </c>
      <c r="X483" s="22">
        <v>0.00893655049151028</v>
      </c>
      <c r="Y483" s="22">
        <v>0.0093497662558436</v>
      </c>
      <c r="Z483" s="22">
        <v>0.00669502754724876</v>
      </c>
      <c r="AA483" s="22">
        <v>0.00964320154291225</v>
      </c>
      <c r="AB483">
        <v>12.08</v>
      </c>
      <c r="AC483">
        <v>13.59</v>
      </c>
      <c r="AD483">
        <v>73.09</v>
      </c>
      <c r="AE483">
        <v>62.68</v>
      </c>
      <c r="AF483" s="22">
        <v>0.189937106918239</v>
      </c>
      <c r="AG483" s="22">
        <v>0.0777015437392796</v>
      </c>
      <c r="AH483" s="22">
        <v>0.459685534591195</v>
      </c>
      <c r="AI483" s="22">
        <v>0.43801537386443</v>
      </c>
      <c r="AJ483">
        <v>165</v>
      </c>
      <c r="AK483">
        <v>101</v>
      </c>
      <c r="AL483">
        <v>127</v>
      </c>
      <c r="AM483">
        <v>125</v>
      </c>
      <c r="AN483" s="22">
        <v>0.0242424242424242</v>
      </c>
      <c r="AO483" s="22">
        <v>0.108910891089109</v>
      </c>
      <c r="AP483" s="22">
        <v>0.078740157480315</v>
      </c>
      <c r="AQ483" s="22">
        <v>0.072</v>
      </c>
      <c r="AR483" s="35">
        <v>0.571428571428571</v>
      </c>
      <c r="AS483" s="35">
        <v>34.2857142857143</v>
      </c>
      <c r="AT483" s="35">
        <v>29.7142857142857</v>
      </c>
      <c r="AU483" s="31">
        <f t="shared" si="11"/>
        <v>112</v>
      </c>
      <c r="AV483" s="36">
        <f>IFERROR(时间!$B$4+AU483,"上周无销量")</f>
        <v>43444</v>
      </c>
    </row>
    <row r="484" spans="1:48">
      <c r="A484" s="20" t="s">
        <v>1120</v>
      </c>
      <c r="B484" t="s">
        <v>1121</v>
      </c>
      <c r="C484" t="s">
        <v>1103</v>
      </c>
      <c r="D484" s="31">
        <v>3</v>
      </c>
      <c r="E484" s="31">
        <v>6</v>
      </c>
      <c r="F484" s="31">
        <v>2</v>
      </c>
      <c r="G484" s="31">
        <v>18</v>
      </c>
      <c r="H484" s="32">
        <v>19</v>
      </c>
      <c r="I484">
        <v>29</v>
      </c>
      <c r="J484" s="33">
        <v>0</v>
      </c>
      <c r="K484" s="33">
        <v>0</v>
      </c>
      <c r="L484" s="33">
        <v>0</v>
      </c>
      <c r="M484">
        <v>29</v>
      </c>
      <c r="N484">
        <v>0</v>
      </c>
      <c r="O484">
        <v>0</v>
      </c>
      <c r="P484">
        <v>10421</v>
      </c>
      <c r="Q484">
        <v>10723</v>
      </c>
      <c r="R484">
        <v>9150</v>
      </c>
      <c r="S484">
        <v>32314</v>
      </c>
      <c r="T484">
        <v>69</v>
      </c>
      <c r="U484">
        <v>71</v>
      </c>
      <c r="V484">
        <v>40</v>
      </c>
      <c r="W484">
        <v>128</v>
      </c>
      <c r="X484" s="22">
        <v>0.00662124556184627</v>
      </c>
      <c r="Y484" s="22">
        <v>0.00662128135782897</v>
      </c>
      <c r="Z484" s="22">
        <v>0.00437158469945355</v>
      </c>
      <c r="AA484" s="22">
        <v>0.0039611313981556</v>
      </c>
      <c r="AB484">
        <v>43.29</v>
      </c>
      <c r="AC484">
        <v>46.55</v>
      </c>
      <c r="AD484">
        <v>26.06</v>
      </c>
      <c r="AE484">
        <v>83.86</v>
      </c>
      <c r="AF484" s="22">
        <v>0.759473684210526</v>
      </c>
      <c r="AG484" s="22">
        <v>0.408333333333333</v>
      </c>
      <c r="AH484" s="22">
        <v>0.685789473684211</v>
      </c>
      <c r="AI484" s="22">
        <v>0.245204678362573</v>
      </c>
      <c r="AJ484">
        <v>183</v>
      </c>
      <c r="AK484">
        <v>145</v>
      </c>
      <c r="AL484">
        <v>54</v>
      </c>
      <c r="AM484">
        <v>154</v>
      </c>
      <c r="AN484" s="22">
        <v>0.0163934426229508</v>
      </c>
      <c r="AO484" s="22">
        <v>0.0413793103448276</v>
      </c>
      <c r="AP484" s="22">
        <v>0.037037037037037</v>
      </c>
      <c r="AQ484" s="22">
        <v>0.116883116883117</v>
      </c>
      <c r="AR484" s="35">
        <v>0.428571428571429</v>
      </c>
      <c r="AS484" s="35">
        <v>25.7142857142857</v>
      </c>
      <c r="AT484" s="35">
        <v>3.28571428571429</v>
      </c>
      <c r="AU484" s="31">
        <f t="shared" si="11"/>
        <v>67</v>
      </c>
      <c r="AV484" s="36">
        <f>IFERROR(时间!$B$4+AU484,"上周无销量")</f>
        <v>43399</v>
      </c>
    </row>
    <row r="485" spans="1:48">
      <c r="A485" s="20" t="s">
        <v>1122</v>
      </c>
      <c r="B485" t="s">
        <v>1123</v>
      </c>
      <c r="C485" t="s">
        <v>1103</v>
      </c>
      <c r="D485" s="31">
        <v>3</v>
      </c>
      <c r="E485" s="31">
        <v>8</v>
      </c>
      <c r="F485" s="31">
        <v>1</v>
      </c>
      <c r="G485" s="31">
        <v>19</v>
      </c>
      <c r="H485" s="32">
        <v>25.8</v>
      </c>
      <c r="I485">
        <v>0</v>
      </c>
      <c r="J485" s="33">
        <v>1</v>
      </c>
      <c r="K485" s="33">
        <v>0</v>
      </c>
      <c r="L485" s="33">
        <v>0</v>
      </c>
      <c r="M485">
        <v>1</v>
      </c>
      <c r="N485">
        <v>0</v>
      </c>
      <c r="O485">
        <v>0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30</v>
      </c>
      <c r="AK485">
        <v>60</v>
      </c>
      <c r="AL485">
        <v>30</v>
      </c>
      <c r="AM485">
        <v>38</v>
      </c>
      <c r="AN485" s="22">
        <v>0.1</v>
      </c>
      <c r="AO485" s="22">
        <v>0.133333333333333</v>
      </c>
      <c r="AP485" s="22">
        <v>0.0333333333333333</v>
      </c>
      <c r="AQ485" s="22">
        <v>0.5</v>
      </c>
      <c r="AR485" s="35">
        <v>0.428571428571429</v>
      </c>
      <c r="AS485" s="35">
        <v>25.7142857142857</v>
      </c>
      <c r="AT485" s="35">
        <v>-24.7142857142857</v>
      </c>
      <c r="AU485" s="31">
        <f t="shared" si="11"/>
        <v>2</v>
      </c>
      <c r="AV485" s="36">
        <f>IFERROR(时间!$B$4+AU485,"上周无销量")</f>
        <v>43334</v>
      </c>
    </row>
    <row r="486" spans="1:48">
      <c r="A486" s="20" t="s">
        <v>1124</v>
      </c>
      <c r="B486" t="s">
        <v>1125</v>
      </c>
      <c r="C486" t="s">
        <v>1103</v>
      </c>
      <c r="D486" s="31">
        <v>1</v>
      </c>
      <c r="E486" s="31">
        <v>3</v>
      </c>
      <c r="F486" s="31">
        <v>0</v>
      </c>
      <c r="G486" s="31">
        <v>2</v>
      </c>
      <c r="H486" s="32">
        <v>29.3</v>
      </c>
      <c r="I486">
        <v>13</v>
      </c>
      <c r="J486" s="33">
        <v>0</v>
      </c>
      <c r="K486" s="33">
        <v>0</v>
      </c>
      <c r="L486" s="33">
        <v>0</v>
      </c>
      <c r="M486">
        <v>13</v>
      </c>
      <c r="N486">
        <v>0</v>
      </c>
      <c r="O486">
        <v>6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27</v>
      </c>
      <c r="AK486">
        <v>35</v>
      </c>
      <c r="AL486">
        <v>27</v>
      </c>
      <c r="AM486">
        <v>28</v>
      </c>
      <c r="AN486" s="22">
        <v>0.037037037037037</v>
      </c>
      <c r="AO486" s="22">
        <v>0.0857142857142857</v>
      </c>
      <c r="AP486" s="22">
        <v>0</v>
      </c>
      <c r="AQ486" s="22">
        <v>0.0714285714285714</v>
      </c>
      <c r="AR486" s="35">
        <v>0.142857142857143</v>
      </c>
      <c r="AS486" s="35">
        <v>8.57142857142857</v>
      </c>
      <c r="AT486" s="35">
        <v>4.42857142857143</v>
      </c>
      <c r="AU486" s="31">
        <f t="shared" si="11"/>
        <v>91</v>
      </c>
      <c r="AV486" s="36">
        <f>IFERROR(时间!$B$4+AU486,"上周无销量")</f>
        <v>43423</v>
      </c>
    </row>
    <row r="487" spans="1:48">
      <c r="A487" s="20" t="s">
        <v>1126</v>
      </c>
      <c r="B487" t="s">
        <v>1127</v>
      </c>
      <c r="C487" t="s">
        <v>1103</v>
      </c>
      <c r="D487" s="31">
        <v>10</v>
      </c>
      <c r="E487" s="31">
        <v>3</v>
      </c>
      <c r="F487" s="31">
        <v>2</v>
      </c>
      <c r="G487" s="31">
        <v>4</v>
      </c>
      <c r="H487" s="32">
        <v>32.6</v>
      </c>
      <c r="I487">
        <v>1</v>
      </c>
      <c r="J487" s="33">
        <v>0</v>
      </c>
      <c r="K487" s="33">
        <v>0</v>
      </c>
      <c r="L487" s="33">
        <v>0</v>
      </c>
      <c r="M487">
        <v>1</v>
      </c>
      <c r="N487">
        <v>0</v>
      </c>
      <c r="O487">
        <v>0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46</v>
      </c>
      <c r="AK487">
        <v>63</v>
      </c>
      <c r="AL487">
        <v>67</v>
      </c>
      <c r="AM487">
        <v>60</v>
      </c>
      <c r="AN487" s="22">
        <v>0.217391304347826</v>
      </c>
      <c r="AO487" s="22">
        <v>0.0476190476190476</v>
      </c>
      <c r="AP487" s="22">
        <v>0.0298507462686567</v>
      </c>
      <c r="AQ487" s="22">
        <v>0.0666666666666667</v>
      </c>
      <c r="AR487" s="35">
        <v>1.42857142857143</v>
      </c>
      <c r="AS487" s="35">
        <v>85.7142857142857</v>
      </c>
      <c r="AT487" s="35">
        <v>-84.7142857142857</v>
      </c>
      <c r="AU487" s="31">
        <f t="shared" si="11"/>
        <v>0</v>
      </c>
      <c r="AV487" s="36">
        <f>IFERROR(时间!$B$4+AU487,"上周无销量")</f>
        <v>43332</v>
      </c>
    </row>
    <row r="488" spans="1:48">
      <c r="A488" s="20" t="s">
        <v>1128</v>
      </c>
      <c r="B488" t="s">
        <v>1129</v>
      </c>
      <c r="C488" t="s">
        <v>1103</v>
      </c>
      <c r="D488" s="31">
        <v>3</v>
      </c>
      <c r="E488" s="31">
        <v>3</v>
      </c>
      <c r="F488" s="31">
        <v>5</v>
      </c>
      <c r="G488" s="31">
        <v>6</v>
      </c>
      <c r="H488" s="32">
        <v>35.4</v>
      </c>
      <c r="I488">
        <v>1</v>
      </c>
      <c r="J488" s="33">
        <v>0</v>
      </c>
      <c r="K488" s="33">
        <v>0</v>
      </c>
      <c r="L488" s="33">
        <v>0</v>
      </c>
      <c r="M488">
        <v>1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58</v>
      </c>
      <c r="AK488">
        <v>67</v>
      </c>
      <c r="AL488">
        <v>41</v>
      </c>
      <c r="AM488">
        <v>39</v>
      </c>
      <c r="AN488" s="22">
        <v>0.0517241379310345</v>
      </c>
      <c r="AO488" s="22">
        <v>0.0447761194029851</v>
      </c>
      <c r="AP488" s="22">
        <v>0.121951219512195</v>
      </c>
      <c r="AQ488" s="22">
        <v>0.153846153846154</v>
      </c>
      <c r="AR488" s="35">
        <v>0.428571428571429</v>
      </c>
      <c r="AS488" s="35">
        <v>25.7142857142857</v>
      </c>
      <c r="AT488" s="35">
        <v>-24.7142857142857</v>
      </c>
      <c r="AU488" s="31">
        <f t="shared" si="11"/>
        <v>2</v>
      </c>
      <c r="AV488" s="36">
        <f>IFERROR(时间!$B$4+AU488,"上周无销量")</f>
        <v>43334</v>
      </c>
    </row>
    <row r="489" spans="1:48">
      <c r="A489" s="20" t="s">
        <v>1130</v>
      </c>
      <c r="B489" t="s">
        <v>1131</v>
      </c>
      <c r="C489" t="s">
        <v>1103</v>
      </c>
      <c r="D489" s="31">
        <v>4</v>
      </c>
      <c r="E489" s="31">
        <v>6</v>
      </c>
      <c r="F489" s="31">
        <v>10</v>
      </c>
      <c r="G489" s="31">
        <v>5</v>
      </c>
      <c r="H489" s="32">
        <v>8.3</v>
      </c>
      <c r="I489">
        <v>19</v>
      </c>
      <c r="J489" s="33">
        <v>0</v>
      </c>
      <c r="K489" s="33">
        <v>0</v>
      </c>
      <c r="L489" s="33">
        <v>24</v>
      </c>
      <c r="M489">
        <v>43</v>
      </c>
      <c r="N489">
        <v>1</v>
      </c>
      <c r="O489">
        <v>0</v>
      </c>
      <c r="P489">
        <v>4127</v>
      </c>
      <c r="Q489">
        <v>6810</v>
      </c>
      <c r="R489">
        <v>4001</v>
      </c>
      <c r="S489">
        <v>17730</v>
      </c>
      <c r="T489">
        <v>71</v>
      </c>
      <c r="U489">
        <v>82</v>
      </c>
      <c r="V489">
        <v>32</v>
      </c>
      <c r="W489">
        <v>87</v>
      </c>
      <c r="X489" s="22">
        <v>0.0172037799854616</v>
      </c>
      <c r="Y489" s="22">
        <v>0.0120411160058737</v>
      </c>
      <c r="Z489" s="22">
        <v>0.00799800049987503</v>
      </c>
      <c r="AA489" s="22">
        <v>0.00490693739424704</v>
      </c>
      <c r="AB489">
        <v>24.53</v>
      </c>
      <c r="AC489">
        <v>25.39</v>
      </c>
      <c r="AD489">
        <v>10.21</v>
      </c>
      <c r="AE489">
        <v>21.65</v>
      </c>
      <c r="AF489" s="22">
        <v>0.738855421686747</v>
      </c>
      <c r="AG489" s="22">
        <v>0.509839357429719</v>
      </c>
      <c r="AH489" s="22">
        <v>0.123012048192771</v>
      </c>
      <c r="AI489" s="22">
        <v>0.521686746987952</v>
      </c>
      <c r="AJ489">
        <v>477</v>
      </c>
      <c r="AK489">
        <v>444</v>
      </c>
      <c r="AL489">
        <v>224</v>
      </c>
      <c r="AM489">
        <v>356</v>
      </c>
      <c r="AN489" s="22">
        <v>0.00838574423480084</v>
      </c>
      <c r="AO489" s="22">
        <v>0.0135135135135135</v>
      </c>
      <c r="AP489" s="22">
        <v>0.0446428571428571</v>
      </c>
      <c r="AQ489" s="22">
        <v>0.0140449438202247</v>
      </c>
      <c r="AR489" s="35">
        <v>0.571428571428571</v>
      </c>
      <c r="AS489" s="35">
        <v>34.2857142857143</v>
      </c>
      <c r="AT489" s="35">
        <v>8.71428571428572</v>
      </c>
      <c r="AU489" s="31">
        <f t="shared" si="11"/>
        <v>75</v>
      </c>
      <c r="AV489" s="36">
        <f>IFERROR(时间!$B$4+AU489,"上周无销量")</f>
        <v>43407</v>
      </c>
    </row>
    <row r="490" spans="1:48">
      <c r="A490" s="20" t="s">
        <v>1132</v>
      </c>
      <c r="B490" t="s">
        <v>1133</v>
      </c>
      <c r="C490" t="s">
        <v>1103</v>
      </c>
      <c r="D490" s="31">
        <v>1</v>
      </c>
      <c r="E490" s="31">
        <v>5</v>
      </c>
      <c r="F490" s="31">
        <v>7</v>
      </c>
      <c r="G490" s="31">
        <v>3</v>
      </c>
      <c r="H490" s="32">
        <v>12.4</v>
      </c>
      <c r="I490">
        <v>28</v>
      </c>
      <c r="J490" s="33">
        <v>0</v>
      </c>
      <c r="K490" s="33">
        <v>0</v>
      </c>
      <c r="L490" s="33">
        <v>18</v>
      </c>
      <c r="M490">
        <v>46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113</v>
      </c>
      <c r="AK490">
        <v>86</v>
      </c>
      <c r="AL490">
        <v>47</v>
      </c>
      <c r="AM490">
        <v>69</v>
      </c>
      <c r="AN490" s="22">
        <v>0.00884955752212389</v>
      </c>
      <c r="AO490" s="22">
        <v>0.0581395348837209</v>
      </c>
      <c r="AP490" s="22">
        <v>0.148936170212766</v>
      </c>
      <c r="AQ490" s="22">
        <v>0.0434782608695652</v>
      </c>
      <c r="AR490" s="35">
        <v>0.142857142857143</v>
      </c>
      <c r="AS490" s="35">
        <v>8.57142857142857</v>
      </c>
      <c r="AT490" s="35">
        <v>37.4285714285714</v>
      </c>
      <c r="AU490" s="31">
        <f t="shared" si="11"/>
        <v>322</v>
      </c>
      <c r="AV490" s="36">
        <f>IFERROR(时间!$B$4+AU490,"上周无销量")</f>
        <v>43654</v>
      </c>
    </row>
    <row r="491" spans="1:48">
      <c r="A491" s="20" t="s">
        <v>1134</v>
      </c>
      <c r="B491" t="s">
        <v>1135</v>
      </c>
      <c r="C491" t="s">
        <v>1103</v>
      </c>
      <c r="D491" s="31">
        <v>2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0</v>
      </c>
      <c r="AK491">
        <v>0</v>
      </c>
      <c r="AL491">
        <v>0</v>
      </c>
      <c r="AM491">
        <v>0</v>
      </c>
      <c r="AN491" s="22" t="s">
        <v>53</v>
      </c>
      <c r="AO491" s="22" t="s">
        <v>53</v>
      </c>
      <c r="AP491" s="22" t="s">
        <v>53</v>
      </c>
      <c r="AQ491" s="22" t="s">
        <v>53</v>
      </c>
      <c r="AR491" s="35">
        <v>0.285714285714286</v>
      </c>
      <c r="AS491" s="35">
        <v>17.1428571428571</v>
      </c>
      <c r="AT491" s="35">
        <v>-17.1428571428571</v>
      </c>
      <c r="AU491" s="31">
        <f t="shared" si="11"/>
        <v>0</v>
      </c>
      <c r="AV491" s="36">
        <f>IFERROR(时间!$B$4+AU491,"上周无销量")</f>
        <v>43332</v>
      </c>
    </row>
    <row r="492" spans="1:48">
      <c r="A492" s="20" t="s">
        <v>1136</v>
      </c>
      <c r="B492" t="s">
        <v>1137</v>
      </c>
      <c r="C492" t="s">
        <v>1138</v>
      </c>
      <c r="D492" s="31">
        <v>4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0</v>
      </c>
      <c r="AK492">
        <v>0</v>
      </c>
      <c r="AL492">
        <v>0</v>
      </c>
      <c r="AM492">
        <v>0</v>
      </c>
      <c r="AN492" s="22" t="s">
        <v>53</v>
      </c>
      <c r="AO492" s="22" t="s">
        <v>53</v>
      </c>
      <c r="AP492" s="22" t="s">
        <v>53</v>
      </c>
      <c r="AQ492" s="22" t="s">
        <v>53</v>
      </c>
      <c r="AR492" s="35">
        <v>0.571428571428571</v>
      </c>
      <c r="AS492" s="35">
        <v>34.2857142857143</v>
      </c>
      <c r="AT492" s="35">
        <v>-34.2857142857143</v>
      </c>
      <c r="AU492" s="31">
        <f t="shared" si="11"/>
        <v>0</v>
      </c>
      <c r="AV492" s="36">
        <f>IFERROR(时间!$B$4+AU492,"上周无销量")</f>
        <v>43332</v>
      </c>
    </row>
    <row r="493" spans="1:48">
      <c r="A493" s="20" t="s">
        <v>1139</v>
      </c>
      <c r="B493" t="s">
        <v>1140</v>
      </c>
      <c r="C493" t="s">
        <v>1138</v>
      </c>
      <c r="D493" s="31">
        <v>7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0</v>
      </c>
      <c r="AK493">
        <v>0</v>
      </c>
      <c r="AL493">
        <v>0</v>
      </c>
      <c r="AM493">
        <v>0</v>
      </c>
      <c r="AN493" s="22" t="s">
        <v>53</v>
      </c>
      <c r="AO493" s="22" t="s">
        <v>53</v>
      </c>
      <c r="AP493" s="22" t="s">
        <v>53</v>
      </c>
      <c r="AQ493" s="22" t="s">
        <v>53</v>
      </c>
      <c r="AR493" s="35">
        <v>1</v>
      </c>
      <c r="AS493" s="35">
        <v>60</v>
      </c>
      <c r="AT493" s="35">
        <v>-60</v>
      </c>
      <c r="AU493" s="31">
        <f t="shared" si="11"/>
        <v>0</v>
      </c>
      <c r="AV493" s="36">
        <f>IFERROR(时间!$B$4+AU493,"上周无销量")</f>
        <v>43332</v>
      </c>
    </row>
    <row r="494" spans="1:48">
      <c r="A494" s="20" t="s">
        <v>1141</v>
      </c>
      <c r="B494" t="s">
        <v>1142</v>
      </c>
      <c r="C494" t="s">
        <v>1143</v>
      </c>
      <c r="D494" s="31">
        <v>4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0</v>
      </c>
      <c r="AK494">
        <v>0</v>
      </c>
      <c r="AL494">
        <v>0</v>
      </c>
      <c r="AM494">
        <v>0</v>
      </c>
      <c r="AN494" s="22" t="s">
        <v>53</v>
      </c>
      <c r="AO494" s="22" t="s">
        <v>53</v>
      </c>
      <c r="AP494" s="22" t="s">
        <v>53</v>
      </c>
      <c r="AQ494" s="22" t="s">
        <v>53</v>
      </c>
      <c r="AR494" s="35">
        <v>0.571428571428571</v>
      </c>
      <c r="AS494" s="35">
        <v>34.2857142857143</v>
      </c>
      <c r="AT494" s="35">
        <v>-34.2857142857143</v>
      </c>
      <c r="AU494" s="31">
        <f t="shared" si="11"/>
        <v>0</v>
      </c>
      <c r="AV494" s="36">
        <f>IFERROR(时间!$B$4+AU494,"上周无销量")</f>
        <v>43332</v>
      </c>
    </row>
    <row r="495" spans="1:48">
      <c r="A495" s="20" t="s">
        <v>1144</v>
      </c>
      <c r="B495" t="s">
        <v>1145</v>
      </c>
      <c r="C495" t="s">
        <v>1143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0</v>
      </c>
      <c r="AK495">
        <v>0</v>
      </c>
      <c r="AL495">
        <v>0</v>
      </c>
      <c r="AM495">
        <v>0</v>
      </c>
      <c r="AN495" s="22" t="s">
        <v>53</v>
      </c>
      <c r="AO495" s="22" t="s">
        <v>53</v>
      </c>
      <c r="AP495" s="22" t="s">
        <v>53</v>
      </c>
      <c r="AQ495" s="22" t="s">
        <v>53</v>
      </c>
      <c r="AR495" s="35">
        <v>0</v>
      </c>
      <c r="AS495" s="35">
        <v>0</v>
      </c>
      <c r="AT495" s="35">
        <v>0</v>
      </c>
      <c r="AU495" s="31" t="str">
        <f t="shared" si="11"/>
        <v>库存为0</v>
      </c>
      <c r="AV495" s="36" t="str">
        <f>IFERROR(时间!$B$4+AU495,"上周无销量")</f>
        <v>上周无销量</v>
      </c>
    </row>
    <row r="496" spans="1:48">
      <c r="A496" s="20" t="s">
        <v>1146</v>
      </c>
      <c r="B496" t="s">
        <v>1147</v>
      </c>
      <c r="C496" t="s">
        <v>1143</v>
      </c>
      <c r="D496" s="31">
        <v>13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0</v>
      </c>
      <c r="AK496">
        <v>0</v>
      </c>
      <c r="AL496">
        <v>0</v>
      </c>
      <c r="AM496">
        <v>0</v>
      </c>
      <c r="AN496" s="22" t="s">
        <v>53</v>
      </c>
      <c r="AO496" s="22" t="s">
        <v>53</v>
      </c>
      <c r="AP496" s="22" t="s">
        <v>53</v>
      </c>
      <c r="AQ496" s="22" t="s">
        <v>53</v>
      </c>
      <c r="AR496" s="35">
        <v>1.85714285714286</v>
      </c>
      <c r="AS496" s="35">
        <v>111.428571428571</v>
      </c>
      <c r="AT496" s="35">
        <v>-111.428571428571</v>
      </c>
      <c r="AU496" s="31">
        <f t="shared" si="11"/>
        <v>0</v>
      </c>
      <c r="AV496" s="36">
        <f>IFERROR(时间!$B$4+AU496,"上周无销量")</f>
        <v>43332</v>
      </c>
    </row>
    <row r="497" spans="1:48">
      <c r="A497" s="20" t="s">
        <v>1148</v>
      </c>
      <c r="B497" t="s">
        <v>1149</v>
      </c>
      <c r="C497" t="s">
        <v>1150</v>
      </c>
      <c r="D497" s="31">
        <v>12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0</v>
      </c>
      <c r="AK497">
        <v>0</v>
      </c>
      <c r="AL497">
        <v>0</v>
      </c>
      <c r="AM497">
        <v>0</v>
      </c>
      <c r="AN497" s="22" t="s">
        <v>53</v>
      </c>
      <c r="AO497" s="22" t="s">
        <v>53</v>
      </c>
      <c r="AP497" s="22" t="s">
        <v>53</v>
      </c>
      <c r="AQ497" s="22" t="s">
        <v>53</v>
      </c>
      <c r="AR497" s="35">
        <v>1.71428571428571</v>
      </c>
      <c r="AS497" s="35">
        <v>102.857142857143</v>
      </c>
      <c r="AT497" s="35">
        <v>-102.857142857143</v>
      </c>
      <c r="AU497" s="31">
        <f t="shared" si="11"/>
        <v>0</v>
      </c>
      <c r="AV497" s="36">
        <f>IFERROR(时间!$B$4+AU497,"上周无销量")</f>
        <v>43332</v>
      </c>
    </row>
    <row r="498" spans="1:48">
      <c r="A498" s="20" t="s">
        <v>1151</v>
      </c>
      <c r="B498" t="s">
        <v>1152</v>
      </c>
      <c r="C498" t="s">
        <v>1150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9</v>
      </c>
      <c r="J498" s="33">
        <v>0</v>
      </c>
      <c r="K498" s="33">
        <v>0</v>
      </c>
      <c r="L498" s="33">
        <v>0</v>
      </c>
      <c r="M498">
        <v>9</v>
      </c>
      <c r="N498">
        <v>0</v>
      </c>
      <c r="O498">
        <v>9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0</v>
      </c>
      <c r="AN498" s="22" t="s">
        <v>53</v>
      </c>
      <c r="AO498" s="22" t="s">
        <v>53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9</v>
      </c>
      <c r="AU498" s="31" t="str">
        <f t="shared" si="11"/>
        <v>库存为9</v>
      </c>
      <c r="AV498" s="36" t="str">
        <f>IFERROR(时间!$B$4+AU498,"上周无销量")</f>
        <v>上周无销量</v>
      </c>
    </row>
    <row r="499" spans="1:48">
      <c r="A499" s="20" t="s">
        <v>1153</v>
      </c>
      <c r="B499" t="s">
        <v>1154</v>
      </c>
      <c r="C499" t="s">
        <v>1150</v>
      </c>
      <c r="D499" s="31">
        <v>12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0</v>
      </c>
      <c r="AK499">
        <v>0</v>
      </c>
      <c r="AL499">
        <v>0</v>
      </c>
      <c r="AM499">
        <v>0</v>
      </c>
      <c r="AN499" s="22" t="s">
        <v>53</v>
      </c>
      <c r="AO499" s="22" t="s">
        <v>53</v>
      </c>
      <c r="AP499" s="22" t="s">
        <v>53</v>
      </c>
      <c r="AQ499" s="22" t="s">
        <v>53</v>
      </c>
      <c r="AR499" s="35">
        <v>1.71428571428571</v>
      </c>
      <c r="AS499" s="35">
        <v>102.857142857143</v>
      </c>
      <c r="AT499" s="35">
        <v>-102.857142857143</v>
      </c>
      <c r="AU499" s="31">
        <f t="shared" si="11"/>
        <v>0</v>
      </c>
      <c r="AV499" s="36">
        <f>IFERROR(时间!$B$4+AU499,"上周无销量")</f>
        <v>43332</v>
      </c>
    </row>
    <row r="500" spans="1:48">
      <c r="A500" s="20" t="s">
        <v>1155</v>
      </c>
      <c r="B500" t="s">
        <v>1156</v>
      </c>
      <c r="C500" t="s">
        <v>1150</v>
      </c>
      <c r="D500" s="31">
        <v>11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0</v>
      </c>
      <c r="AK500">
        <v>0</v>
      </c>
      <c r="AL500">
        <v>0</v>
      </c>
      <c r="AM500">
        <v>0</v>
      </c>
      <c r="AN500" s="22" t="s">
        <v>53</v>
      </c>
      <c r="AO500" s="22" t="s">
        <v>53</v>
      </c>
      <c r="AP500" s="22" t="s">
        <v>53</v>
      </c>
      <c r="AQ500" s="22" t="s">
        <v>53</v>
      </c>
      <c r="AR500" s="35">
        <v>1.57142857142857</v>
      </c>
      <c r="AS500" s="35">
        <v>94.2857142857143</v>
      </c>
      <c r="AT500" s="35">
        <v>-94.2857142857143</v>
      </c>
      <c r="AU500" s="31">
        <f t="shared" si="11"/>
        <v>0</v>
      </c>
      <c r="AV500" s="36">
        <f>IFERROR(时间!$B$4+AU500,"上周无销量")</f>
        <v>43332</v>
      </c>
    </row>
    <row r="501" spans="1:48">
      <c r="A501" s="20" t="s">
        <v>1157</v>
      </c>
      <c r="B501" t="s">
        <v>1158</v>
      </c>
      <c r="C501" t="s">
        <v>1150</v>
      </c>
      <c r="D501" s="31">
        <v>17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0</v>
      </c>
      <c r="AK501">
        <v>0</v>
      </c>
      <c r="AL501">
        <v>0</v>
      </c>
      <c r="AM501">
        <v>0</v>
      </c>
      <c r="AN501" s="22" t="s">
        <v>53</v>
      </c>
      <c r="AO501" s="22" t="s">
        <v>53</v>
      </c>
      <c r="AP501" s="22" t="s">
        <v>53</v>
      </c>
      <c r="AQ501" s="22" t="s">
        <v>53</v>
      </c>
      <c r="AR501" s="35">
        <v>2.42857142857143</v>
      </c>
      <c r="AS501" s="35">
        <v>145.714285714286</v>
      </c>
      <c r="AT501" s="35">
        <v>-145.714285714286</v>
      </c>
      <c r="AU501" s="31">
        <f t="shared" si="11"/>
        <v>0</v>
      </c>
      <c r="AV501" s="36">
        <f>IFERROR(时间!$B$4+AU501,"上周无销量")</f>
        <v>43332</v>
      </c>
    </row>
    <row r="502" spans="1:48">
      <c r="A502" s="20" t="s">
        <v>1159</v>
      </c>
      <c r="B502" t="s">
        <v>1160</v>
      </c>
      <c r="C502" t="s">
        <v>1150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13</v>
      </c>
      <c r="J502" s="33">
        <v>0</v>
      </c>
      <c r="K502" s="33">
        <v>0</v>
      </c>
      <c r="L502" s="33">
        <v>0</v>
      </c>
      <c r="M502">
        <v>13</v>
      </c>
      <c r="N502">
        <v>0</v>
      </c>
      <c r="O502">
        <v>13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0</v>
      </c>
      <c r="AK502">
        <v>0</v>
      </c>
      <c r="AL502">
        <v>0</v>
      </c>
      <c r="AM502">
        <v>0</v>
      </c>
      <c r="AN502" s="22" t="s">
        <v>53</v>
      </c>
      <c r="AO502" s="22" t="s">
        <v>53</v>
      </c>
      <c r="AP502" s="22" t="s">
        <v>53</v>
      </c>
      <c r="AQ502" s="22" t="s">
        <v>53</v>
      </c>
      <c r="AR502" s="35">
        <v>0</v>
      </c>
      <c r="AS502" s="35">
        <v>0</v>
      </c>
      <c r="AT502" s="35">
        <v>13</v>
      </c>
      <c r="AU502" s="31" t="str">
        <f t="shared" si="11"/>
        <v>库存为13</v>
      </c>
      <c r="AV502" s="36" t="str">
        <f>IFERROR(时间!$B$4+AU502,"上周无销量")</f>
        <v>上周无销量</v>
      </c>
    </row>
    <row r="503" spans="1:48">
      <c r="A503" s="20" t="s">
        <v>1161</v>
      </c>
      <c r="B503" t="s">
        <v>1162</v>
      </c>
      <c r="C503" t="s">
        <v>1150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13</v>
      </c>
      <c r="J503" s="33">
        <v>0</v>
      </c>
      <c r="K503" s="33">
        <v>0</v>
      </c>
      <c r="L503" s="33">
        <v>0</v>
      </c>
      <c r="M503">
        <v>13</v>
      </c>
      <c r="N503">
        <v>0</v>
      </c>
      <c r="O503">
        <v>13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0</v>
      </c>
      <c r="AK503">
        <v>0</v>
      </c>
      <c r="AL503">
        <v>0</v>
      </c>
      <c r="AM503">
        <v>0</v>
      </c>
      <c r="AN503" s="22" t="s">
        <v>53</v>
      </c>
      <c r="AO503" s="22" t="s">
        <v>53</v>
      </c>
      <c r="AP503" s="22" t="s">
        <v>53</v>
      </c>
      <c r="AQ503" s="22" t="s">
        <v>53</v>
      </c>
      <c r="AR503" s="35">
        <v>0</v>
      </c>
      <c r="AS503" s="35">
        <v>0</v>
      </c>
      <c r="AT503" s="35">
        <v>13</v>
      </c>
      <c r="AU503" s="31" t="str">
        <f t="shared" si="11"/>
        <v>库存为13</v>
      </c>
      <c r="AV503" s="36" t="str">
        <f>IFERROR(时间!$B$4+AU503,"上周无销量")</f>
        <v>上周无销量</v>
      </c>
    </row>
    <row r="504" spans="1:48">
      <c r="A504" s="20" t="s">
        <v>1163</v>
      </c>
      <c r="B504" t="s">
        <v>1164</v>
      </c>
      <c r="C504" t="s">
        <v>1150</v>
      </c>
      <c r="D504" s="31">
        <v>16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0</v>
      </c>
      <c r="AK504">
        <v>0</v>
      </c>
      <c r="AL504">
        <v>0</v>
      </c>
      <c r="AM504">
        <v>0</v>
      </c>
      <c r="AN504" s="22" t="s">
        <v>53</v>
      </c>
      <c r="AO504" s="22" t="s">
        <v>53</v>
      </c>
      <c r="AP504" s="22" t="s">
        <v>53</v>
      </c>
      <c r="AQ504" s="22" t="s">
        <v>53</v>
      </c>
      <c r="AR504" s="35">
        <v>2.28571428571429</v>
      </c>
      <c r="AS504" s="35">
        <v>137.142857142857</v>
      </c>
      <c r="AT504" s="35">
        <v>-137.142857142857</v>
      </c>
      <c r="AU504" s="31">
        <f t="shared" si="11"/>
        <v>0</v>
      </c>
      <c r="AV504" s="36">
        <f>IFERROR(时间!$B$4+AU504,"上周无销量")</f>
        <v>43332</v>
      </c>
    </row>
    <row r="505" spans="1:48">
      <c r="A505" s="20" t="s">
        <v>1165</v>
      </c>
      <c r="B505" t="s">
        <v>1166</v>
      </c>
      <c r="C505" t="s">
        <v>1150</v>
      </c>
      <c r="D505" s="31">
        <v>15</v>
      </c>
      <c r="E505" s="31">
        <v>0</v>
      </c>
      <c r="F505" s="31">
        <v>0</v>
      </c>
      <c r="G505" s="31">
        <v>0</v>
      </c>
      <c r="H505" s="32">
        <v>0</v>
      </c>
      <c r="I505">
        <v>2</v>
      </c>
      <c r="J505" s="33">
        <v>0</v>
      </c>
      <c r="K505" s="33">
        <v>0</v>
      </c>
      <c r="L505" s="33">
        <v>0</v>
      </c>
      <c r="M505">
        <v>2</v>
      </c>
      <c r="N505">
        <v>0</v>
      </c>
      <c r="O505">
        <v>2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0</v>
      </c>
      <c r="AK505">
        <v>0</v>
      </c>
      <c r="AL505">
        <v>0</v>
      </c>
      <c r="AM505">
        <v>0</v>
      </c>
      <c r="AN505" s="22" t="s">
        <v>53</v>
      </c>
      <c r="AO505" s="22" t="s">
        <v>53</v>
      </c>
      <c r="AP505" s="22" t="s">
        <v>53</v>
      </c>
      <c r="AQ505" s="22" t="s">
        <v>53</v>
      </c>
      <c r="AR505" s="35">
        <v>2.14285714285714</v>
      </c>
      <c r="AS505" s="35">
        <v>128.571428571429</v>
      </c>
      <c r="AT505" s="35">
        <v>-126.571428571429</v>
      </c>
      <c r="AU505" s="31">
        <f t="shared" si="11"/>
        <v>0</v>
      </c>
      <c r="AV505" s="36">
        <f>IFERROR(时间!$B$4+AU505,"上周无销量")</f>
        <v>43332</v>
      </c>
    </row>
    <row r="506" spans="1:48">
      <c r="A506" s="20" t="s">
        <v>1167</v>
      </c>
      <c r="B506" t="s">
        <v>1168</v>
      </c>
      <c r="C506" t="s">
        <v>1150</v>
      </c>
      <c r="D506" s="31">
        <v>18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0</v>
      </c>
      <c r="AK506">
        <v>0</v>
      </c>
      <c r="AL506">
        <v>0</v>
      </c>
      <c r="AM506">
        <v>0</v>
      </c>
      <c r="AN506" s="22" t="s">
        <v>53</v>
      </c>
      <c r="AO506" s="22" t="s">
        <v>53</v>
      </c>
      <c r="AP506" s="22" t="s">
        <v>53</v>
      </c>
      <c r="AQ506" s="22" t="s">
        <v>53</v>
      </c>
      <c r="AR506" s="35">
        <v>2.57142857142857</v>
      </c>
      <c r="AS506" s="35">
        <v>154.285714285714</v>
      </c>
      <c r="AT506" s="35">
        <v>-154.285714285714</v>
      </c>
      <c r="AU506" s="31">
        <f t="shared" si="11"/>
        <v>0</v>
      </c>
      <c r="AV506" s="36">
        <f>IFERROR(时间!$B$4+AU506,"上周无销量")</f>
        <v>43332</v>
      </c>
    </row>
    <row r="507" spans="1:48">
      <c r="A507" s="20" t="s">
        <v>1169</v>
      </c>
      <c r="B507" t="s">
        <v>1170</v>
      </c>
      <c r="C507" t="s">
        <v>1150</v>
      </c>
      <c r="D507" s="31">
        <v>15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0</v>
      </c>
      <c r="AK507">
        <v>0</v>
      </c>
      <c r="AL507">
        <v>0</v>
      </c>
      <c r="AM507">
        <v>0</v>
      </c>
      <c r="AN507" s="22" t="s">
        <v>53</v>
      </c>
      <c r="AO507" s="22" t="s">
        <v>53</v>
      </c>
      <c r="AP507" s="22" t="s">
        <v>53</v>
      </c>
      <c r="AQ507" s="22" t="s">
        <v>53</v>
      </c>
      <c r="AR507" s="35">
        <v>2.14285714285714</v>
      </c>
      <c r="AS507" s="35">
        <v>128.571428571429</v>
      </c>
      <c r="AT507" s="35">
        <v>-128.571428571429</v>
      </c>
      <c r="AU507" s="31">
        <f t="shared" si="11"/>
        <v>0</v>
      </c>
      <c r="AV507" s="36">
        <f>IFERROR(时间!$B$4+AU507,"上周无销量")</f>
        <v>43332</v>
      </c>
    </row>
    <row r="508" spans="1:48">
      <c r="A508" s="20" t="s">
        <v>1171</v>
      </c>
      <c r="B508" t="s">
        <v>1172</v>
      </c>
      <c r="C508" t="s">
        <v>1150</v>
      </c>
      <c r="D508" s="31">
        <v>13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0</v>
      </c>
      <c r="AK508">
        <v>0</v>
      </c>
      <c r="AL508">
        <v>0</v>
      </c>
      <c r="AM508">
        <v>0</v>
      </c>
      <c r="AN508" s="22" t="s">
        <v>53</v>
      </c>
      <c r="AO508" s="22" t="s">
        <v>53</v>
      </c>
      <c r="AP508" s="22" t="s">
        <v>53</v>
      </c>
      <c r="AQ508" s="22" t="s">
        <v>53</v>
      </c>
      <c r="AR508" s="35">
        <v>1.85714285714286</v>
      </c>
      <c r="AS508" s="35">
        <v>111.428571428571</v>
      </c>
      <c r="AT508" s="35">
        <v>-111.428571428571</v>
      </c>
      <c r="AU508" s="31">
        <f t="shared" si="11"/>
        <v>0</v>
      </c>
      <c r="AV508" s="36">
        <f>IFERROR(时间!$B$4+AU508,"上周无销量")</f>
        <v>43332</v>
      </c>
    </row>
    <row r="509" spans="1:48">
      <c r="A509" s="20" t="s">
        <v>1173</v>
      </c>
      <c r="B509" t="s">
        <v>1174</v>
      </c>
      <c r="C509" t="s">
        <v>1150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13</v>
      </c>
      <c r="J509" s="33">
        <v>0</v>
      </c>
      <c r="K509" s="33">
        <v>0</v>
      </c>
      <c r="L509" s="33">
        <v>0</v>
      </c>
      <c r="M509">
        <v>13</v>
      </c>
      <c r="N509">
        <v>0</v>
      </c>
      <c r="O509">
        <v>13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0</v>
      </c>
      <c r="AK509">
        <v>0</v>
      </c>
      <c r="AL509">
        <v>0</v>
      </c>
      <c r="AM509">
        <v>0</v>
      </c>
      <c r="AN509" s="22" t="s">
        <v>53</v>
      </c>
      <c r="AO509" s="22" t="s">
        <v>53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13</v>
      </c>
      <c r="AU509" s="31" t="str">
        <f t="shared" si="11"/>
        <v>库存为13</v>
      </c>
      <c r="AV509" s="36" t="str">
        <f>IFERROR(时间!$B$4+AU509,"上周无销量")</f>
        <v>上周无销量</v>
      </c>
    </row>
    <row r="510" spans="1:48">
      <c r="A510" s="20" t="s">
        <v>1175</v>
      </c>
      <c r="B510" t="s">
        <v>1176</v>
      </c>
      <c r="C510" t="s">
        <v>1150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12</v>
      </c>
      <c r="J510" s="33">
        <v>0</v>
      </c>
      <c r="K510" s="33">
        <v>0</v>
      </c>
      <c r="L510" s="33">
        <v>0</v>
      </c>
      <c r="M510">
        <v>12</v>
      </c>
      <c r="N510">
        <v>0</v>
      </c>
      <c r="O510">
        <v>12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0</v>
      </c>
      <c r="AK510">
        <v>0</v>
      </c>
      <c r="AL510">
        <v>0</v>
      </c>
      <c r="AM510">
        <v>0</v>
      </c>
      <c r="AN510" s="22" t="s">
        <v>53</v>
      </c>
      <c r="AO510" s="22" t="s">
        <v>53</v>
      </c>
      <c r="AP510" s="22" t="s">
        <v>53</v>
      </c>
      <c r="AQ510" s="22" t="s">
        <v>53</v>
      </c>
      <c r="AR510" s="35">
        <v>0</v>
      </c>
      <c r="AS510" s="35">
        <v>0</v>
      </c>
      <c r="AT510" s="35">
        <v>12</v>
      </c>
      <c r="AU510" s="31" t="str">
        <f t="shared" si="11"/>
        <v>库存为12</v>
      </c>
      <c r="AV510" s="36" t="str">
        <f>IFERROR(时间!$B$4+AU510,"上周无销量")</f>
        <v>上周无销量</v>
      </c>
    </row>
    <row r="511" spans="1:48">
      <c r="A511" s="20" t="s">
        <v>1177</v>
      </c>
      <c r="B511" t="s">
        <v>1178</v>
      </c>
      <c r="C511" t="s">
        <v>1150</v>
      </c>
      <c r="D511" s="31">
        <v>10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0</v>
      </c>
      <c r="AK511">
        <v>0</v>
      </c>
      <c r="AL511">
        <v>0</v>
      </c>
      <c r="AM511">
        <v>0</v>
      </c>
      <c r="AN511" s="22" t="s">
        <v>53</v>
      </c>
      <c r="AO511" s="22" t="s">
        <v>53</v>
      </c>
      <c r="AP511" s="22" t="s">
        <v>53</v>
      </c>
      <c r="AQ511" s="22" t="s">
        <v>53</v>
      </c>
      <c r="AR511" s="35">
        <v>1.42857142857143</v>
      </c>
      <c r="AS511" s="35">
        <v>85.7142857142857</v>
      </c>
      <c r="AT511" s="35">
        <v>-85.7142857142857</v>
      </c>
      <c r="AU511" s="31">
        <f t="shared" si="11"/>
        <v>0</v>
      </c>
      <c r="AV511" s="36">
        <f>IFERROR(时间!$B$4+AU511,"上周无销量")</f>
        <v>43332</v>
      </c>
    </row>
    <row r="512" spans="1:48">
      <c r="A512" s="20" t="s">
        <v>1179</v>
      </c>
      <c r="B512" t="s">
        <v>1180</v>
      </c>
      <c r="C512" t="s">
        <v>1181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2</v>
      </c>
      <c r="J512" s="33">
        <v>0</v>
      </c>
      <c r="K512" s="33">
        <v>0</v>
      </c>
      <c r="L512" s="33">
        <v>0</v>
      </c>
      <c r="M512">
        <v>2</v>
      </c>
      <c r="N512">
        <v>0</v>
      </c>
      <c r="O512">
        <v>1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0</v>
      </c>
      <c r="AK512">
        <v>0</v>
      </c>
      <c r="AL512">
        <v>0</v>
      </c>
      <c r="AM512">
        <v>0</v>
      </c>
      <c r="AN512" s="22" t="s">
        <v>53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2</v>
      </c>
      <c r="AU512" s="31" t="str">
        <f t="shared" si="11"/>
        <v>库存为2</v>
      </c>
      <c r="AV512" s="36" t="str">
        <f>IFERROR(时间!$B$4+AU512,"上周无销量")</f>
        <v>上周无销量</v>
      </c>
    </row>
    <row r="513" spans="1:48">
      <c r="A513" s="20" t="s">
        <v>1182</v>
      </c>
      <c r="B513" t="s">
        <v>1183</v>
      </c>
      <c r="C513" t="s">
        <v>1184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>
        <v>34</v>
      </c>
      <c r="Q513">
        <v>1162</v>
      </c>
      <c r="R513">
        <v>937</v>
      </c>
      <c r="S513">
        <v>0</v>
      </c>
      <c r="T513">
        <v>0</v>
      </c>
      <c r="U513">
        <v>2</v>
      </c>
      <c r="V513">
        <v>0</v>
      </c>
      <c r="W513">
        <v>0</v>
      </c>
      <c r="X513" s="22">
        <v>0</v>
      </c>
      <c r="Y513" s="22">
        <v>0.00172117039586919</v>
      </c>
      <c r="Z513" s="22">
        <v>0</v>
      </c>
      <c r="AA513" s="22" t="s">
        <v>53</v>
      </c>
      <c r="AB513">
        <v>0</v>
      </c>
      <c r="AC513">
        <v>1.08</v>
      </c>
      <c r="AD513">
        <v>0</v>
      </c>
      <c r="AE513">
        <v>0</v>
      </c>
      <c r="AF513" s="22" t="s">
        <v>53</v>
      </c>
      <c r="AG513" s="22" t="s">
        <v>1185</v>
      </c>
      <c r="AH513" s="22" t="s">
        <v>53</v>
      </c>
      <c r="AI513" s="22" t="s">
        <v>53</v>
      </c>
      <c r="AJ513">
        <v>1</v>
      </c>
      <c r="AK513">
        <v>6</v>
      </c>
      <c r="AL513">
        <v>2</v>
      </c>
      <c r="AM513">
        <v>1</v>
      </c>
      <c r="AN513" s="22">
        <v>0</v>
      </c>
      <c r="AO513" s="22">
        <v>0</v>
      </c>
      <c r="AP513" s="22">
        <v>0</v>
      </c>
      <c r="AQ513" s="22">
        <v>0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1186</v>
      </c>
      <c r="B514" t="s">
        <v>1187</v>
      </c>
      <c r="C514" t="s">
        <v>1188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1189</v>
      </c>
      <c r="B515" t="s">
        <v>1190</v>
      </c>
      <c r="C515" t="s">
        <v>1188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6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0</v>
      </c>
      <c r="AK515">
        <v>0</v>
      </c>
      <c r="AL515">
        <v>0</v>
      </c>
      <c r="AM515">
        <v>0</v>
      </c>
      <c r="AN515" s="22" t="s">
        <v>53</v>
      </c>
      <c r="AO515" s="22" t="s">
        <v>53</v>
      </c>
      <c r="AP515" s="22" t="s">
        <v>53</v>
      </c>
      <c r="AQ515" s="22" t="s">
        <v>53</v>
      </c>
      <c r="AR515" s="35">
        <v>0</v>
      </c>
      <c r="AS515" s="35">
        <v>0</v>
      </c>
      <c r="AT515" s="35">
        <v>0</v>
      </c>
      <c r="AU515" s="31" t="str">
        <f t="shared" si="11"/>
        <v>库存为0</v>
      </c>
      <c r="AV515" s="36" t="str">
        <f>IFERROR(时间!$B$4+AU515,"上周无销量")</f>
        <v>上周无销量</v>
      </c>
    </row>
    <row r="516" spans="1:48">
      <c r="A516" s="20" t="s">
        <v>1191</v>
      </c>
      <c r="B516" t="s">
        <v>1192</v>
      </c>
      <c r="C516" t="s">
        <v>1193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5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0</v>
      </c>
      <c r="AL516">
        <v>0</v>
      </c>
      <c r="AM516">
        <v>0</v>
      </c>
      <c r="AN516" s="22" t="s">
        <v>53</v>
      </c>
      <c r="AO516" s="22" t="s">
        <v>53</v>
      </c>
      <c r="AP516" s="22" t="s">
        <v>53</v>
      </c>
      <c r="AQ516" s="22" t="s">
        <v>53</v>
      </c>
      <c r="AR516" s="35">
        <v>0</v>
      </c>
      <c r="AS516" s="35">
        <v>0</v>
      </c>
      <c r="AT516" s="35">
        <v>0</v>
      </c>
      <c r="AU516" s="31" t="str">
        <f t="shared" si="11"/>
        <v>库存为0</v>
      </c>
      <c r="AV516" s="36" t="str">
        <f>IFERROR(时间!$B$4+AU516,"上周无销量")</f>
        <v>上周无销量</v>
      </c>
    </row>
    <row r="517" spans="1:48">
      <c r="A517" s="20" t="s">
        <v>1194</v>
      </c>
      <c r="B517" t="s">
        <v>1195</v>
      </c>
      <c r="C517" t="s">
        <v>1193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15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0</v>
      </c>
      <c r="AK517">
        <v>0</v>
      </c>
      <c r="AL517">
        <v>0</v>
      </c>
      <c r="AM517">
        <v>0</v>
      </c>
      <c r="AN517" s="22" t="s">
        <v>53</v>
      </c>
      <c r="AO517" s="22" t="s">
        <v>53</v>
      </c>
      <c r="AP517" s="22" t="s">
        <v>53</v>
      </c>
      <c r="AQ517" s="22" t="s">
        <v>53</v>
      </c>
      <c r="AR517" s="35">
        <v>0</v>
      </c>
      <c r="AS517" s="35">
        <v>0</v>
      </c>
      <c r="AT517" s="35">
        <v>0</v>
      </c>
      <c r="AU517" s="31" t="str">
        <f t="shared" ref="AU517:AU580" si="12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0" t="s">
        <v>1196</v>
      </c>
      <c r="B518" t="s">
        <v>1197</v>
      </c>
      <c r="C518" t="s">
        <v>1193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14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0</v>
      </c>
      <c r="AL518">
        <v>0</v>
      </c>
      <c r="AM518">
        <v>0</v>
      </c>
      <c r="AN518" s="22" t="s">
        <v>53</v>
      </c>
      <c r="AO518" s="22" t="s">
        <v>53</v>
      </c>
      <c r="AP518" s="22" t="s">
        <v>53</v>
      </c>
      <c r="AQ518" s="22" t="s">
        <v>53</v>
      </c>
      <c r="AR518" s="35">
        <v>0</v>
      </c>
      <c r="AS518" s="35">
        <v>0</v>
      </c>
      <c r="AT518" s="35">
        <v>0</v>
      </c>
      <c r="AU518" s="31" t="str">
        <f t="shared" si="12"/>
        <v>库存为0</v>
      </c>
      <c r="AV518" s="36" t="str">
        <f>IFERROR(时间!$B$4+AU518,"上周无销量")</f>
        <v>上周无销量</v>
      </c>
    </row>
    <row r="519" spans="1:48">
      <c r="A519" s="20" t="s">
        <v>1198</v>
      </c>
      <c r="B519" t="s">
        <v>1199</v>
      </c>
      <c r="C519" t="s">
        <v>1193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11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0</v>
      </c>
      <c r="AK519">
        <v>0</v>
      </c>
      <c r="AL519">
        <v>0</v>
      </c>
      <c r="AM519">
        <v>0</v>
      </c>
      <c r="AN519" s="22" t="s">
        <v>53</v>
      </c>
      <c r="AO519" s="22" t="s">
        <v>53</v>
      </c>
      <c r="AP519" s="22" t="s">
        <v>53</v>
      </c>
      <c r="AQ519" s="22" t="s">
        <v>53</v>
      </c>
      <c r="AR519" s="35">
        <v>0</v>
      </c>
      <c r="AS519" s="35">
        <v>0</v>
      </c>
      <c r="AT519" s="35">
        <v>0</v>
      </c>
      <c r="AU519" s="31" t="str">
        <f t="shared" si="12"/>
        <v>库存为0</v>
      </c>
      <c r="AV519" s="36" t="str">
        <f>IFERROR(时间!$B$4+AU519,"上周无销量")</f>
        <v>上周无销量</v>
      </c>
    </row>
    <row r="520" spans="1:48">
      <c r="A520" s="20" t="s">
        <v>1200</v>
      </c>
      <c r="B520" t="s">
        <v>1201</v>
      </c>
      <c r="C520" t="s">
        <v>1202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0</v>
      </c>
      <c r="AL520">
        <v>0</v>
      </c>
      <c r="AM520">
        <v>0</v>
      </c>
      <c r="AN520" s="22" t="s">
        <v>53</v>
      </c>
      <c r="AO520" s="22" t="s">
        <v>53</v>
      </c>
      <c r="AP520" s="22" t="s">
        <v>53</v>
      </c>
      <c r="AQ520" s="22" t="s">
        <v>53</v>
      </c>
      <c r="AR520" s="35">
        <v>0</v>
      </c>
      <c r="AS520" s="35">
        <v>0</v>
      </c>
      <c r="AT520" s="35">
        <v>0</v>
      </c>
      <c r="AU520" s="31" t="str">
        <f t="shared" si="12"/>
        <v>库存为0</v>
      </c>
      <c r="AV520" s="36" t="str">
        <f>IFERROR(时间!$B$4+AU520,"上周无销量")</f>
        <v>上周无销量</v>
      </c>
    </row>
    <row r="521" spans="1:48">
      <c r="A521" s="20" t="s">
        <v>1203</v>
      </c>
      <c r="B521" t="s">
        <v>1204</v>
      </c>
      <c r="C521" t="s">
        <v>1205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1</v>
      </c>
      <c r="J521" s="33">
        <v>0</v>
      </c>
      <c r="K521" s="33">
        <v>0</v>
      </c>
      <c r="L521" s="33">
        <v>0</v>
      </c>
      <c r="M521">
        <v>1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13</v>
      </c>
      <c r="AK521">
        <v>15</v>
      </c>
      <c r="AL521">
        <v>23</v>
      </c>
      <c r="AM521">
        <v>15</v>
      </c>
      <c r="AN521" s="22">
        <v>0</v>
      </c>
      <c r="AO521" s="22">
        <v>0</v>
      </c>
      <c r="AP521" s="22">
        <v>0</v>
      </c>
      <c r="AQ521" s="22">
        <v>0</v>
      </c>
      <c r="AR521" s="35">
        <v>0</v>
      </c>
      <c r="AS521" s="35">
        <v>0</v>
      </c>
      <c r="AT521" s="35">
        <v>1</v>
      </c>
      <c r="AU521" s="31" t="str">
        <f t="shared" si="12"/>
        <v>库存为1</v>
      </c>
      <c r="AV521" s="36" t="str">
        <f>IFERROR(时间!$B$4+AU521,"上周无销量")</f>
        <v>上周无销量</v>
      </c>
    </row>
    <row r="522" spans="1:48">
      <c r="A522" s="20" t="s">
        <v>1206</v>
      </c>
      <c r="B522" t="s">
        <v>1207</v>
      </c>
      <c r="C522" t="s">
        <v>1208</v>
      </c>
      <c r="D522" s="31">
        <v>1</v>
      </c>
      <c r="E522" s="31">
        <v>1</v>
      </c>
      <c r="F522" s="31">
        <v>4</v>
      </c>
      <c r="G522" s="31">
        <v>3</v>
      </c>
      <c r="H522" s="32">
        <v>14.6566666666667</v>
      </c>
      <c r="I522">
        <v>0</v>
      </c>
      <c r="J522" s="33">
        <v>8</v>
      </c>
      <c r="K522" s="33">
        <v>0</v>
      </c>
      <c r="L522" s="33">
        <v>7</v>
      </c>
      <c r="M522">
        <v>15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15</v>
      </c>
      <c r="AK522">
        <v>38</v>
      </c>
      <c r="AL522">
        <v>27</v>
      </c>
      <c r="AM522">
        <v>20</v>
      </c>
      <c r="AN522" s="22">
        <v>0.0666666666666667</v>
      </c>
      <c r="AO522" s="22">
        <v>0.0263157894736842</v>
      </c>
      <c r="AP522" s="22">
        <v>0.148148148148148</v>
      </c>
      <c r="AQ522" s="22">
        <v>0.15</v>
      </c>
      <c r="AR522" s="35">
        <v>0.142857142857143</v>
      </c>
      <c r="AS522" s="35">
        <v>8.57142857142857</v>
      </c>
      <c r="AT522" s="35">
        <v>6.42857142857143</v>
      </c>
      <c r="AU522" s="31">
        <f t="shared" si="12"/>
        <v>105</v>
      </c>
      <c r="AV522" s="36">
        <f>IFERROR(时间!$B$4+AU522,"上周无销量")</f>
        <v>43437</v>
      </c>
    </row>
    <row r="523" spans="1:48">
      <c r="A523" s="20" t="s">
        <v>1209</v>
      </c>
      <c r="B523" t="s">
        <v>1210</v>
      </c>
      <c r="C523" t="s">
        <v>1208</v>
      </c>
      <c r="D523" s="31">
        <v>0</v>
      </c>
      <c r="E523" s="31">
        <v>0</v>
      </c>
      <c r="F523" s="31">
        <v>0</v>
      </c>
      <c r="G523" s="31">
        <v>2</v>
      </c>
      <c r="H523" s="32">
        <v>27.98</v>
      </c>
      <c r="I523">
        <v>6</v>
      </c>
      <c r="J523" s="33">
        <v>5</v>
      </c>
      <c r="K523" s="33">
        <v>0</v>
      </c>
      <c r="L523" s="33">
        <v>0</v>
      </c>
      <c r="M523">
        <v>11</v>
      </c>
      <c r="N523">
        <v>0</v>
      </c>
      <c r="O523">
        <v>0</v>
      </c>
      <c r="P523">
        <v>1652</v>
      </c>
      <c r="Q523">
        <v>0</v>
      </c>
      <c r="R523">
        <v>0</v>
      </c>
      <c r="S523">
        <v>0</v>
      </c>
      <c r="T523">
        <v>3</v>
      </c>
      <c r="U523">
        <v>0</v>
      </c>
      <c r="V523">
        <v>0</v>
      </c>
      <c r="W523">
        <v>0</v>
      </c>
      <c r="X523" s="22">
        <v>0.00181598062953995</v>
      </c>
      <c r="Y523" s="22" t="s">
        <v>53</v>
      </c>
      <c r="Z523" s="22" t="s">
        <v>53</v>
      </c>
      <c r="AA523" s="22" t="s">
        <v>53</v>
      </c>
      <c r="AB523">
        <v>0.78</v>
      </c>
      <c r="AC523">
        <v>0</v>
      </c>
      <c r="AD523">
        <v>0</v>
      </c>
      <c r="AE523">
        <v>0</v>
      </c>
      <c r="AF523" s="22" t="s">
        <v>308</v>
      </c>
      <c r="AG523" s="22" t="s">
        <v>53</v>
      </c>
      <c r="AH523" s="22" t="s">
        <v>53</v>
      </c>
      <c r="AI523" s="22" t="s">
        <v>53</v>
      </c>
      <c r="AJ523">
        <v>37</v>
      </c>
      <c r="AK523">
        <v>53</v>
      </c>
      <c r="AL523">
        <v>26</v>
      </c>
      <c r="AM523">
        <v>15</v>
      </c>
      <c r="AN523" s="22">
        <v>0</v>
      </c>
      <c r="AO523" s="22">
        <v>0</v>
      </c>
      <c r="AP523" s="22">
        <v>0</v>
      </c>
      <c r="AQ523" s="22">
        <v>0.133333333333333</v>
      </c>
      <c r="AR523" s="35">
        <v>0</v>
      </c>
      <c r="AS523" s="35">
        <v>0</v>
      </c>
      <c r="AT523" s="35">
        <v>11</v>
      </c>
      <c r="AU523" s="31" t="str">
        <f t="shared" si="12"/>
        <v>库存为11</v>
      </c>
      <c r="AV523" s="36" t="str">
        <f>IFERROR(时间!$B$4+AU523,"上周无销量")</f>
        <v>上周无销量</v>
      </c>
    </row>
    <row r="524" spans="1:48">
      <c r="A524" s="20" t="s">
        <v>1211</v>
      </c>
      <c r="B524" t="s">
        <v>1212</v>
      </c>
      <c r="C524" t="s">
        <v>1208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9</v>
      </c>
      <c r="J524" s="33">
        <v>0</v>
      </c>
      <c r="K524" s="33">
        <v>0</v>
      </c>
      <c r="L524" s="33">
        <v>0</v>
      </c>
      <c r="M524">
        <v>9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12</v>
      </c>
      <c r="AK524">
        <v>28</v>
      </c>
      <c r="AL524">
        <v>46</v>
      </c>
      <c r="AM524">
        <v>15</v>
      </c>
      <c r="AN524" s="22">
        <v>0</v>
      </c>
      <c r="AO524" s="22">
        <v>0</v>
      </c>
      <c r="AP524" s="22">
        <v>0</v>
      </c>
      <c r="AQ524" s="22">
        <v>0</v>
      </c>
      <c r="AR524" s="35">
        <v>0</v>
      </c>
      <c r="AS524" s="35">
        <v>0</v>
      </c>
      <c r="AT524" s="35">
        <v>9</v>
      </c>
      <c r="AU524" s="31" t="str">
        <f t="shared" si="12"/>
        <v>库存为9</v>
      </c>
      <c r="AV524" s="36" t="str">
        <f>IFERROR(时间!$B$4+AU524,"上周无销量")</f>
        <v>上周无销量</v>
      </c>
    </row>
    <row r="525" spans="1:48">
      <c r="A525" s="20" t="s">
        <v>1213</v>
      </c>
      <c r="B525" t="s">
        <v>1214</v>
      </c>
      <c r="C525" t="s">
        <v>1215</v>
      </c>
      <c r="D525" s="31">
        <v>1</v>
      </c>
      <c r="E525" s="31">
        <v>0</v>
      </c>
      <c r="F525" s="31">
        <v>0</v>
      </c>
      <c r="G525" s="31">
        <v>2</v>
      </c>
      <c r="H525" s="32">
        <v>18.6533333333333</v>
      </c>
      <c r="I525">
        <v>6</v>
      </c>
      <c r="J525" s="33">
        <v>0</v>
      </c>
      <c r="K525" s="33">
        <v>0</v>
      </c>
      <c r="L525" s="33">
        <v>0</v>
      </c>
      <c r="M525">
        <v>6</v>
      </c>
      <c r="N525">
        <v>0</v>
      </c>
      <c r="O525">
        <v>0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22</v>
      </c>
      <c r="AK525">
        <v>21</v>
      </c>
      <c r="AL525">
        <v>21</v>
      </c>
      <c r="AM525">
        <v>11</v>
      </c>
      <c r="AN525" s="22">
        <v>0.0454545454545455</v>
      </c>
      <c r="AO525" s="22">
        <v>0</v>
      </c>
      <c r="AP525" s="22">
        <v>0</v>
      </c>
      <c r="AQ525" s="22">
        <v>0.181818181818182</v>
      </c>
      <c r="AR525" s="35">
        <v>0.142857142857143</v>
      </c>
      <c r="AS525" s="35">
        <v>8.57142857142857</v>
      </c>
      <c r="AT525" s="35">
        <v>-2.57142857142857</v>
      </c>
      <c r="AU525" s="31">
        <f t="shared" si="12"/>
        <v>42</v>
      </c>
      <c r="AV525" s="36">
        <f>IFERROR(时间!$B$4+AU525,"上周无销量")</f>
        <v>43374</v>
      </c>
    </row>
    <row r="526" spans="1:48">
      <c r="A526" s="20" t="s">
        <v>1216</v>
      </c>
      <c r="B526" t="s">
        <v>1217</v>
      </c>
      <c r="C526" t="s">
        <v>1218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0</v>
      </c>
      <c r="AK526">
        <v>0</v>
      </c>
      <c r="AL526">
        <v>0</v>
      </c>
      <c r="AM526">
        <v>0</v>
      </c>
      <c r="AN526" s="22" t="s">
        <v>53</v>
      </c>
      <c r="AO526" s="22" t="s">
        <v>53</v>
      </c>
      <c r="AP526" s="22" t="s">
        <v>53</v>
      </c>
      <c r="AQ526" s="22" t="s">
        <v>53</v>
      </c>
      <c r="AR526" s="35">
        <v>0</v>
      </c>
      <c r="AS526" s="35">
        <v>0</v>
      </c>
      <c r="AT526" s="35">
        <v>0</v>
      </c>
      <c r="AU526" s="31" t="str">
        <f t="shared" si="12"/>
        <v>库存为0</v>
      </c>
      <c r="AV526" s="36" t="str">
        <f>IFERROR(时间!$B$4+AU526,"上周无销量")</f>
        <v>上周无销量</v>
      </c>
    </row>
    <row r="527" spans="1:48">
      <c r="A527" s="20" t="s">
        <v>1219</v>
      </c>
      <c r="B527" t="s">
        <v>1220</v>
      </c>
      <c r="C527" t="s">
        <v>1221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0</v>
      </c>
      <c r="AL527">
        <v>0</v>
      </c>
      <c r="AM527">
        <v>0</v>
      </c>
      <c r="AN527" s="22" t="s">
        <v>53</v>
      </c>
      <c r="AO527" s="22" t="s">
        <v>53</v>
      </c>
      <c r="AP527" s="22" t="s">
        <v>53</v>
      </c>
      <c r="AQ527" s="22" t="s">
        <v>53</v>
      </c>
      <c r="AR527" s="35">
        <v>0</v>
      </c>
      <c r="AS527" s="35">
        <v>0</v>
      </c>
      <c r="AT527" s="35">
        <v>0</v>
      </c>
      <c r="AU527" s="31" t="str">
        <f t="shared" si="12"/>
        <v>库存为0</v>
      </c>
      <c r="AV527" s="36" t="str">
        <f>IFERROR(时间!$B$4+AU527,"上周无销量")</f>
        <v>上周无销量</v>
      </c>
    </row>
    <row r="528" spans="1:48">
      <c r="A528" s="20" t="s">
        <v>1222</v>
      </c>
      <c r="B528" t="s">
        <v>1223</v>
      </c>
      <c r="C528" t="s">
        <v>1224</v>
      </c>
      <c r="D528" s="31">
        <v>3</v>
      </c>
      <c r="E528" s="31">
        <v>2</v>
      </c>
      <c r="F528" s="31">
        <v>2</v>
      </c>
      <c r="G528" s="31">
        <v>6</v>
      </c>
      <c r="H528" s="32">
        <v>24.99</v>
      </c>
      <c r="I528">
        <v>14</v>
      </c>
      <c r="J528" s="33">
        <v>0</v>
      </c>
      <c r="K528" s="33">
        <v>0</v>
      </c>
      <c r="L528" s="33">
        <v>0</v>
      </c>
      <c r="M528">
        <v>14</v>
      </c>
      <c r="N528">
        <v>0</v>
      </c>
      <c r="O528">
        <v>0</v>
      </c>
      <c r="P528">
        <v>95</v>
      </c>
      <c r="Q528">
        <v>83</v>
      </c>
      <c r="R528">
        <v>477</v>
      </c>
      <c r="S528">
        <v>1083</v>
      </c>
      <c r="T528">
        <v>2</v>
      </c>
      <c r="U528">
        <v>0</v>
      </c>
      <c r="V528">
        <v>2</v>
      </c>
      <c r="W528">
        <v>8</v>
      </c>
      <c r="X528" s="22">
        <v>0.0210526315789474</v>
      </c>
      <c r="Y528" s="22">
        <v>0</v>
      </c>
      <c r="Z528" s="22">
        <v>0.00419287211740042</v>
      </c>
      <c r="AA528" s="22">
        <v>0.00738688827331487</v>
      </c>
      <c r="AB528">
        <v>0.7</v>
      </c>
      <c r="AC528">
        <v>0</v>
      </c>
      <c r="AD528">
        <v>0.44</v>
      </c>
      <c r="AE528">
        <v>4.03</v>
      </c>
      <c r="AF528" s="22">
        <v>0.00933706816059757</v>
      </c>
      <c r="AG528" s="22" t="s">
        <v>53</v>
      </c>
      <c r="AH528" s="22">
        <v>0.00880352140856343</v>
      </c>
      <c r="AI528" s="22">
        <v>0.0268774176337202</v>
      </c>
      <c r="AJ528">
        <v>207</v>
      </c>
      <c r="AK528">
        <v>142</v>
      </c>
      <c r="AL528">
        <v>93</v>
      </c>
      <c r="AM528">
        <v>93</v>
      </c>
      <c r="AN528" s="22">
        <v>0.0144927536231884</v>
      </c>
      <c r="AO528" s="22">
        <v>0.0140845070422535</v>
      </c>
      <c r="AP528" s="22">
        <v>0.021505376344086</v>
      </c>
      <c r="AQ528" s="22">
        <v>0.0645161290322581</v>
      </c>
      <c r="AR528" s="35">
        <v>0.428571428571429</v>
      </c>
      <c r="AS528" s="35">
        <v>25.7142857142857</v>
      </c>
      <c r="AT528" s="35">
        <v>-11.7142857142857</v>
      </c>
      <c r="AU528" s="31">
        <f t="shared" si="12"/>
        <v>32</v>
      </c>
      <c r="AV528" s="36">
        <f>IFERROR(时间!$B$4+AU528,"上周无销量")</f>
        <v>43364</v>
      </c>
    </row>
    <row r="529" spans="1:48">
      <c r="A529" s="20" t="s">
        <v>1225</v>
      </c>
      <c r="B529" t="s">
        <v>1226</v>
      </c>
      <c r="C529" t="s">
        <v>1227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0</v>
      </c>
      <c r="AK529">
        <v>0</v>
      </c>
      <c r="AL529">
        <v>0</v>
      </c>
      <c r="AM529">
        <v>0</v>
      </c>
      <c r="AN529" s="22" t="s">
        <v>53</v>
      </c>
      <c r="AO529" s="22" t="s">
        <v>53</v>
      </c>
      <c r="AP529" s="22" t="s">
        <v>53</v>
      </c>
      <c r="AQ529" s="22" t="s">
        <v>53</v>
      </c>
      <c r="AR529" s="35">
        <v>0</v>
      </c>
      <c r="AS529" s="35">
        <v>0</v>
      </c>
      <c r="AT529" s="35">
        <v>0</v>
      </c>
      <c r="AU529" s="31" t="str">
        <f t="shared" si="12"/>
        <v>库存为0</v>
      </c>
      <c r="AV529" s="36" t="str">
        <f>IFERROR(时间!$B$4+AU529,"上周无销量")</f>
        <v>上周无销量</v>
      </c>
    </row>
    <row r="530" spans="1:48">
      <c r="A530" s="20" t="s">
        <v>1228</v>
      </c>
      <c r="B530" t="s">
        <v>1229</v>
      </c>
      <c r="C530" t="s">
        <v>1227</v>
      </c>
      <c r="D530" s="31">
        <v>0</v>
      </c>
      <c r="E530" s="31">
        <v>2</v>
      </c>
      <c r="F530" s="31">
        <v>1</v>
      </c>
      <c r="G530" s="31">
        <v>1</v>
      </c>
      <c r="H530" s="32">
        <v>12.4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1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0</v>
      </c>
      <c r="AK530">
        <v>15</v>
      </c>
      <c r="AL530">
        <v>4</v>
      </c>
      <c r="AM530">
        <v>20</v>
      </c>
      <c r="AN530" s="22" t="s">
        <v>53</v>
      </c>
      <c r="AO530" s="22">
        <v>0.133333333333333</v>
      </c>
      <c r="AP530" s="22">
        <v>0.25</v>
      </c>
      <c r="AQ530" s="22">
        <v>0.05</v>
      </c>
      <c r="AR530" s="35">
        <v>0</v>
      </c>
      <c r="AS530" s="35">
        <v>0</v>
      </c>
      <c r="AT530" s="35">
        <v>0</v>
      </c>
      <c r="AU530" s="31" t="str">
        <f t="shared" si="12"/>
        <v>库存为0</v>
      </c>
      <c r="AV530" s="36" t="str">
        <f>IFERROR(时间!$B$4+AU530,"上周无销量")</f>
        <v>上周无销量</v>
      </c>
    </row>
    <row r="531" spans="1:48">
      <c r="A531" s="20" t="s">
        <v>1230</v>
      </c>
      <c r="B531" t="s">
        <v>1231</v>
      </c>
      <c r="C531" t="s">
        <v>1227</v>
      </c>
      <c r="D531" s="31">
        <v>1</v>
      </c>
      <c r="E531" s="31">
        <v>0</v>
      </c>
      <c r="F531" s="31">
        <v>0</v>
      </c>
      <c r="G531" s="31">
        <v>0</v>
      </c>
      <c r="H531" s="32">
        <v>16.7</v>
      </c>
      <c r="I531">
        <v>7</v>
      </c>
      <c r="J531" s="33">
        <v>0</v>
      </c>
      <c r="K531" s="33">
        <v>0</v>
      </c>
      <c r="L531" s="33">
        <v>0</v>
      </c>
      <c r="M531">
        <v>7</v>
      </c>
      <c r="N531">
        <v>0</v>
      </c>
      <c r="O531">
        <v>7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13</v>
      </c>
      <c r="AK531">
        <v>8</v>
      </c>
      <c r="AL531">
        <v>2</v>
      </c>
      <c r="AM531">
        <v>2</v>
      </c>
      <c r="AN531" s="22">
        <v>0.0769230769230769</v>
      </c>
      <c r="AO531" s="22">
        <v>0</v>
      </c>
      <c r="AP531" s="22">
        <v>0</v>
      </c>
      <c r="AQ531" s="22">
        <v>0</v>
      </c>
      <c r="AR531" s="35">
        <v>0.142857142857143</v>
      </c>
      <c r="AS531" s="35">
        <v>8.57142857142857</v>
      </c>
      <c r="AT531" s="35">
        <v>-1.57142857142857</v>
      </c>
      <c r="AU531" s="31">
        <f t="shared" si="12"/>
        <v>49</v>
      </c>
      <c r="AV531" s="36">
        <f>IFERROR(时间!$B$4+AU531,"上周无销量")</f>
        <v>43381</v>
      </c>
    </row>
    <row r="532" spans="1:48">
      <c r="A532" s="20" t="s">
        <v>1232</v>
      </c>
      <c r="B532" t="s">
        <v>1233</v>
      </c>
      <c r="C532" t="s">
        <v>1227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3</v>
      </c>
      <c r="J532" s="33">
        <v>0</v>
      </c>
      <c r="K532" s="33">
        <v>0</v>
      </c>
      <c r="L532" s="33">
        <v>0</v>
      </c>
      <c r="M532">
        <v>3</v>
      </c>
      <c r="N532">
        <v>0</v>
      </c>
      <c r="O532">
        <v>3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9</v>
      </c>
      <c r="AK532">
        <v>4</v>
      </c>
      <c r="AL532">
        <v>0</v>
      </c>
      <c r="AM532">
        <v>0</v>
      </c>
      <c r="AN532" s="22">
        <v>0</v>
      </c>
      <c r="AO532" s="22">
        <v>0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3</v>
      </c>
      <c r="AU532" s="31" t="str">
        <f t="shared" si="12"/>
        <v>库存为3</v>
      </c>
      <c r="AV532" s="36" t="str">
        <f>IFERROR(时间!$B$4+AU532,"上周无销量")</f>
        <v>上周无销量</v>
      </c>
    </row>
    <row r="533" spans="1:48">
      <c r="A533" s="20" t="s">
        <v>1234</v>
      </c>
      <c r="B533" t="s">
        <v>1235</v>
      </c>
      <c r="C533" t="s">
        <v>1227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1</v>
      </c>
      <c r="J533" s="33">
        <v>0</v>
      </c>
      <c r="K533" s="33">
        <v>0</v>
      </c>
      <c r="L533" s="33">
        <v>0</v>
      </c>
      <c r="M533">
        <v>1</v>
      </c>
      <c r="N533">
        <v>0</v>
      </c>
      <c r="O533">
        <v>1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4</v>
      </c>
      <c r="AK533">
        <v>3</v>
      </c>
      <c r="AL533">
        <v>0</v>
      </c>
      <c r="AM533">
        <v>1</v>
      </c>
      <c r="AN533" s="22">
        <v>0</v>
      </c>
      <c r="AO533" s="22">
        <v>0</v>
      </c>
      <c r="AP533" s="22" t="s">
        <v>53</v>
      </c>
      <c r="AQ533" s="22">
        <v>0</v>
      </c>
      <c r="AR533" s="35">
        <v>0</v>
      </c>
      <c r="AS533" s="35">
        <v>0</v>
      </c>
      <c r="AT533" s="35">
        <v>1</v>
      </c>
      <c r="AU533" s="31" t="str">
        <f t="shared" si="12"/>
        <v>库存为1</v>
      </c>
      <c r="AV533" s="36" t="str">
        <f>IFERROR(时间!$B$4+AU533,"上周无销量")</f>
        <v>上周无销量</v>
      </c>
    </row>
    <row r="534" spans="1:48">
      <c r="A534" s="20" t="s">
        <v>1236</v>
      </c>
      <c r="B534" t="s">
        <v>1237</v>
      </c>
      <c r="C534" t="s">
        <v>1227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9</v>
      </c>
      <c r="J534" s="33">
        <v>0</v>
      </c>
      <c r="K534" s="33">
        <v>0</v>
      </c>
      <c r="L534" s="33">
        <v>0</v>
      </c>
      <c r="M534">
        <v>9</v>
      </c>
      <c r="N534">
        <v>0</v>
      </c>
      <c r="O534">
        <v>9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5</v>
      </c>
      <c r="AK534">
        <v>5</v>
      </c>
      <c r="AL534">
        <v>2</v>
      </c>
      <c r="AM534">
        <v>2</v>
      </c>
      <c r="AN534" s="22">
        <v>0</v>
      </c>
      <c r="AO534" s="22">
        <v>0</v>
      </c>
      <c r="AP534" s="22">
        <v>0</v>
      </c>
      <c r="AQ534" s="22">
        <v>0</v>
      </c>
      <c r="AR534" s="35">
        <v>0</v>
      </c>
      <c r="AS534" s="35">
        <v>0</v>
      </c>
      <c r="AT534" s="35">
        <v>9</v>
      </c>
      <c r="AU534" s="31" t="str">
        <f t="shared" si="12"/>
        <v>库存为9</v>
      </c>
      <c r="AV534" s="36" t="str">
        <f>IFERROR(时间!$B$4+AU534,"上周无销量")</f>
        <v>上周无销量</v>
      </c>
    </row>
    <row r="535" spans="1:48">
      <c r="A535" s="20" t="s">
        <v>1238</v>
      </c>
      <c r="B535" t="s">
        <v>1239</v>
      </c>
      <c r="C535" t="s">
        <v>1227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0</v>
      </c>
      <c r="AN535" s="22" t="s">
        <v>53</v>
      </c>
      <c r="AO535" s="22" t="s">
        <v>53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0</v>
      </c>
      <c r="AU535" s="31" t="str">
        <f t="shared" si="12"/>
        <v>库存为0</v>
      </c>
      <c r="AV535" s="36" t="str">
        <f>IFERROR(时间!$B$4+AU535,"上周无销量")</f>
        <v>上周无销量</v>
      </c>
    </row>
    <row r="536" spans="1:48">
      <c r="A536" s="20" t="s">
        <v>1240</v>
      </c>
      <c r="B536" t="s">
        <v>1241</v>
      </c>
      <c r="C536" t="s">
        <v>1242</v>
      </c>
      <c r="D536" s="31">
        <v>0</v>
      </c>
      <c r="E536" s="31">
        <v>0</v>
      </c>
      <c r="F536" s="31">
        <v>1</v>
      </c>
      <c r="G536" s="31">
        <v>0</v>
      </c>
      <c r="H536" s="32">
        <v>8.99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2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3</v>
      </c>
      <c r="AK536">
        <v>12</v>
      </c>
      <c r="AL536">
        <v>3</v>
      </c>
      <c r="AM536">
        <v>5</v>
      </c>
      <c r="AN536" s="22">
        <v>0</v>
      </c>
      <c r="AO536" s="22">
        <v>0</v>
      </c>
      <c r="AP536" s="22">
        <v>0.333333333333333</v>
      </c>
      <c r="AQ536" s="22">
        <v>0</v>
      </c>
      <c r="AR536" s="35">
        <v>0</v>
      </c>
      <c r="AS536" s="35">
        <v>0</v>
      </c>
      <c r="AT536" s="35">
        <v>0</v>
      </c>
      <c r="AU536" s="31" t="str">
        <f t="shared" si="12"/>
        <v>库存为0</v>
      </c>
      <c r="AV536" s="36" t="str">
        <f>IFERROR(时间!$B$4+AU536,"上周无销量")</f>
        <v>上周无销量</v>
      </c>
    </row>
    <row r="537" spans="1:48">
      <c r="A537" s="20" t="s">
        <v>1243</v>
      </c>
      <c r="B537" t="s">
        <v>1244</v>
      </c>
      <c r="C537" t="s">
        <v>1242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8</v>
      </c>
      <c r="J537" s="33">
        <v>0</v>
      </c>
      <c r="K537" s="33">
        <v>0</v>
      </c>
      <c r="L537" s="33">
        <v>0</v>
      </c>
      <c r="M537">
        <v>8</v>
      </c>
      <c r="N537">
        <v>0</v>
      </c>
      <c r="O537">
        <v>8</v>
      </c>
      <c r="P537">
        <v>0</v>
      </c>
      <c r="Q537">
        <v>0</v>
      </c>
      <c r="R537">
        <v>0</v>
      </c>
      <c r="S537">
        <v>56</v>
      </c>
      <c r="T537">
        <v>0</v>
      </c>
      <c r="U537">
        <v>0</v>
      </c>
      <c r="V537">
        <v>0</v>
      </c>
      <c r="W537">
        <v>1</v>
      </c>
      <c r="X537" s="22" t="s">
        <v>53</v>
      </c>
      <c r="Y537" s="22" t="s">
        <v>53</v>
      </c>
      <c r="Z537" s="22" t="s">
        <v>53</v>
      </c>
      <c r="AA537" s="22">
        <v>0.0178571428571429</v>
      </c>
      <c r="AB537">
        <v>0</v>
      </c>
      <c r="AC537">
        <v>0</v>
      </c>
      <c r="AD537">
        <v>0</v>
      </c>
      <c r="AE537">
        <v>0.08</v>
      </c>
      <c r="AF537" s="22" t="s">
        <v>53</v>
      </c>
      <c r="AG537" s="22" t="s">
        <v>53</v>
      </c>
      <c r="AH537" s="22" t="s">
        <v>53</v>
      </c>
      <c r="AI537" s="22" t="s">
        <v>449</v>
      </c>
      <c r="AJ537">
        <v>7</v>
      </c>
      <c r="AK537">
        <v>14</v>
      </c>
      <c r="AL537">
        <v>3</v>
      </c>
      <c r="AM537">
        <v>8</v>
      </c>
      <c r="AN537" s="22">
        <v>0</v>
      </c>
      <c r="AO537" s="22">
        <v>0</v>
      </c>
      <c r="AP537" s="22">
        <v>0</v>
      </c>
      <c r="AQ537" s="22">
        <v>0</v>
      </c>
      <c r="AR537" s="35">
        <v>0</v>
      </c>
      <c r="AS537" s="35">
        <v>0</v>
      </c>
      <c r="AT537" s="35">
        <v>8</v>
      </c>
      <c r="AU537" s="31" t="str">
        <f t="shared" si="12"/>
        <v>库存为8</v>
      </c>
      <c r="AV537" s="36" t="str">
        <f>IFERROR(时间!$B$4+AU537,"上周无销量")</f>
        <v>上周无销量</v>
      </c>
    </row>
    <row r="538" spans="1:48">
      <c r="A538" s="20" t="s">
        <v>1245</v>
      </c>
      <c r="B538" t="s">
        <v>1246</v>
      </c>
      <c r="C538" t="s">
        <v>1242</v>
      </c>
      <c r="D538" s="31">
        <v>1</v>
      </c>
      <c r="E538" s="31">
        <v>0</v>
      </c>
      <c r="F538" s="31">
        <v>0</v>
      </c>
      <c r="G538" s="31">
        <v>0</v>
      </c>
      <c r="H538" s="32">
        <v>8.99</v>
      </c>
      <c r="I538">
        <v>5</v>
      </c>
      <c r="J538" s="33">
        <v>0</v>
      </c>
      <c r="K538" s="33">
        <v>0</v>
      </c>
      <c r="L538" s="33">
        <v>0</v>
      </c>
      <c r="M538">
        <v>5</v>
      </c>
      <c r="N538">
        <v>0</v>
      </c>
      <c r="O538">
        <v>6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5</v>
      </c>
      <c r="AK538">
        <v>9</v>
      </c>
      <c r="AL538">
        <v>4</v>
      </c>
      <c r="AM538">
        <v>4</v>
      </c>
      <c r="AN538" s="22">
        <v>0.2</v>
      </c>
      <c r="AO538" s="22">
        <v>0</v>
      </c>
      <c r="AP538" s="22">
        <v>0</v>
      </c>
      <c r="AQ538" s="22">
        <v>0</v>
      </c>
      <c r="AR538" s="35">
        <v>0.142857142857143</v>
      </c>
      <c r="AS538" s="35">
        <v>8.57142857142857</v>
      </c>
      <c r="AT538" s="35">
        <v>-3.57142857142857</v>
      </c>
      <c r="AU538" s="31">
        <f t="shared" si="12"/>
        <v>35</v>
      </c>
      <c r="AV538" s="36">
        <f>IFERROR(时间!$B$4+AU538,"上周无销量")</f>
        <v>43367</v>
      </c>
    </row>
    <row r="539" spans="1:48">
      <c r="A539" s="20" t="s">
        <v>1247</v>
      </c>
      <c r="B539" t="s">
        <v>1248</v>
      </c>
      <c r="C539" t="s">
        <v>1242</v>
      </c>
      <c r="D539" s="31">
        <v>0</v>
      </c>
      <c r="E539" s="31">
        <v>0</v>
      </c>
      <c r="F539" s="31">
        <v>1</v>
      </c>
      <c r="G539" s="31">
        <v>1</v>
      </c>
      <c r="H539" s="32">
        <v>8.99</v>
      </c>
      <c r="I539">
        <v>7</v>
      </c>
      <c r="J539" s="33">
        <v>0</v>
      </c>
      <c r="K539" s="33">
        <v>0</v>
      </c>
      <c r="L539" s="33">
        <v>0</v>
      </c>
      <c r="M539">
        <v>7</v>
      </c>
      <c r="N539">
        <v>0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6</v>
      </c>
      <c r="AK539">
        <v>14</v>
      </c>
      <c r="AL539">
        <v>7</v>
      </c>
      <c r="AM539">
        <v>7</v>
      </c>
      <c r="AN539" s="22">
        <v>0</v>
      </c>
      <c r="AO539" s="22">
        <v>0</v>
      </c>
      <c r="AP539" s="22">
        <v>0.142857142857143</v>
      </c>
      <c r="AQ539" s="22">
        <v>0.142857142857143</v>
      </c>
      <c r="AR539" s="35">
        <v>0</v>
      </c>
      <c r="AS539" s="35">
        <v>0</v>
      </c>
      <c r="AT539" s="35">
        <v>7</v>
      </c>
      <c r="AU539" s="31" t="str">
        <f t="shared" si="12"/>
        <v>库存为7</v>
      </c>
      <c r="AV539" s="36" t="str">
        <f>IFERROR(时间!$B$4+AU539,"上周无销量")</f>
        <v>上周无销量</v>
      </c>
    </row>
    <row r="540" spans="1:48">
      <c r="A540" s="20" t="s">
        <v>1249</v>
      </c>
      <c r="B540" t="s">
        <v>1250</v>
      </c>
      <c r="C540" t="s">
        <v>1251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0</v>
      </c>
      <c r="AK540">
        <v>2</v>
      </c>
      <c r="AL540">
        <v>4</v>
      </c>
      <c r="AM540">
        <v>4</v>
      </c>
      <c r="AN540" s="22" t="s">
        <v>53</v>
      </c>
      <c r="AO540" s="22">
        <v>0</v>
      </c>
      <c r="AP540" s="22">
        <v>0</v>
      </c>
      <c r="AQ540" s="22">
        <v>0</v>
      </c>
      <c r="AR540" s="35">
        <v>0</v>
      </c>
      <c r="AS540" s="35">
        <v>0</v>
      </c>
      <c r="AT540" s="35">
        <v>0</v>
      </c>
      <c r="AU540" s="31" t="str">
        <f t="shared" si="12"/>
        <v>库存为0</v>
      </c>
      <c r="AV540" s="36" t="str">
        <f>IFERROR(时间!$B$4+AU540,"上周无销量")</f>
        <v>上周无销量</v>
      </c>
    </row>
    <row r="541" spans="1:48">
      <c r="A541" s="20" t="s">
        <v>1252</v>
      </c>
      <c r="B541" t="s">
        <v>1253</v>
      </c>
      <c r="C541" t="s">
        <v>1251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0</v>
      </c>
      <c r="AK541">
        <v>6</v>
      </c>
      <c r="AL541">
        <v>0</v>
      </c>
      <c r="AM541">
        <v>1</v>
      </c>
      <c r="AN541" s="22" t="s">
        <v>53</v>
      </c>
      <c r="AO541" s="22">
        <v>0</v>
      </c>
      <c r="AP541" s="22" t="s">
        <v>53</v>
      </c>
      <c r="AQ541" s="22">
        <v>0</v>
      </c>
      <c r="AR541" s="35">
        <v>0</v>
      </c>
      <c r="AS541" s="35">
        <v>0</v>
      </c>
      <c r="AT541" s="35">
        <v>0</v>
      </c>
      <c r="AU541" s="31" t="str">
        <f t="shared" si="12"/>
        <v>库存为0</v>
      </c>
      <c r="AV541" s="36" t="str">
        <f>IFERROR(时间!$B$4+AU541,"上周无销量")</f>
        <v>上周无销量</v>
      </c>
    </row>
    <row r="542" spans="1:48">
      <c r="A542" s="20" t="s">
        <v>1254</v>
      </c>
      <c r="B542" t="s">
        <v>1255</v>
      </c>
      <c r="C542" t="s">
        <v>1251</v>
      </c>
      <c r="D542" s="31">
        <v>4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0</v>
      </c>
      <c r="AK542">
        <v>5</v>
      </c>
      <c r="AL542">
        <v>2</v>
      </c>
      <c r="AM542">
        <v>5</v>
      </c>
      <c r="AN542" s="22" t="s">
        <v>53</v>
      </c>
      <c r="AO542" s="22">
        <v>0</v>
      </c>
      <c r="AP542" s="22">
        <v>0</v>
      </c>
      <c r="AQ542" s="22">
        <v>0</v>
      </c>
      <c r="AR542" s="35">
        <v>0.571428571428571</v>
      </c>
      <c r="AS542" s="35">
        <v>34.2857142857143</v>
      </c>
      <c r="AT542" s="35">
        <v>-34.2857142857143</v>
      </c>
      <c r="AU542" s="31">
        <f t="shared" si="12"/>
        <v>0</v>
      </c>
      <c r="AV542" s="36">
        <f>IFERROR(时间!$B$4+AU542,"上周无销量")</f>
        <v>43332</v>
      </c>
    </row>
    <row r="543" spans="1:48">
      <c r="A543" s="20" t="s">
        <v>1256</v>
      </c>
      <c r="B543" t="s">
        <v>1257</v>
      </c>
      <c r="C543" t="s">
        <v>1251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0</v>
      </c>
      <c r="AK543">
        <v>3</v>
      </c>
      <c r="AL543">
        <v>3</v>
      </c>
      <c r="AM543">
        <v>2</v>
      </c>
      <c r="AN543" s="22" t="s">
        <v>53</v>
      </c>
      <c r="AO543" s="22">
        <v>0</v>
      </c>
      <c r="AP543" s="22">
        <v>0</v>
      </c>
      <c r="AQ543" s="22">
        <v>0</v>
      </c>
      <c r="AR543" s="35">
        <v>0</v>
      </c>
      <c r="AS543" s="35">
        <v>0</v>
      </c>
      <c r="AT543" s="35">
        <v>0</v>
      </c>
      <c r="AU543" s="31" t="str">
        <f t="shared" si="12"/>
        <v>库存为0</v>
      </c>
      <c r="AV543" s="36" t="str">
        <f>IFERROR(时间!$B$4+AU543,"上周无销量")</f>
        <v>上周无销量</v>
      </c>
    </row>
    <row r="544" spans="1:48">
      <c r="A544" s="20" t="s">
        <v>1258</v>
      </c>
      <c r="B544" t="s">
        <v>1259</v>
      </c>
      <c r="C544" t="s">
        <v>1251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0</v>
      </c>
      <c r="AK544">
        <v>5</v>
      </c>
      <c r="AL544">
        <v>2</v>
      </c>
      <c r="AM544">
        <v>5</v>
      </c>
      <c r="AN544" s="22" t="s">
        <v>53</v>
      </c>
      <c r="AO544" s="22">
        <v>0</v>
      </c>
      <c r="AP544" s="22">
        <v>0</v>
      </c>
      <c r="AQ544" s="22">
        <v>0</v>
      </c>
      <c r="AR544" s="35">
        <v>0</v>
      </c>
      <c r="AS544" s="35">
        <v>0</v>
      </c>
      <c r="AT544" s="35">
        <v>0</v>
      </c>
      <c r="AU544" s="31" t="str">
        <f t="shared" si="12"/>
        <v>库存为0</v>
      </c>
      <c r="AV544" s="36" t="str">
        <f>IFERROR(时间!$B$4+AU544,"上周无销量")</f>
        <v>上周无销量</v>
      </c>
    </row>
    <row r="545" spans="1:48">
      <c r="A545" s="20" t="s">
        <v>1260</v>
      </c>
      <c r="B545" t="s">
        <v>1261</v>
      </c>
      <c r="C545" t="s">
        <v>1251</v>
      </c>
      <c r="D545" s="31">
        <v>4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0</v>
      </c>
      <c r="AK545">
        <v>8</v>
      </c>
      <c r="AL545">
        <v>3</v>
      </c>
      <c r="AM545">
        <v>2</v>
      </c>
      <c r="AN545" s="22" t="s">
        <v>53</v>
      </c>
      <c r="AO545" s="22">
        <v>0</v>
      </c>
      <c r="AP545" s="22">
        <v>0</v>
      </c>
      <c r="AQ545" s="22">
        <v>0</v>
      </c>
      <c r="AR545" s="35">
        <v>0.571428571428571</v>
      </c>
      <c r="AS545" s="35">
        <v>34.2857142857143</v>
      </c>
      <c r="AT545" s="35">
        <v>-34.2857142857143</v>
      </c>
      <c r="AU545" s="31">
        <f t="shared" si="12"/>
        <v>0</v>
      </c>
      <c r="AV545" s="36">
        <f>IFERROR(时间!$B$4+AU545,"上周无销量")</f>
        <v>43332</v>
      </c>
    </row>
    <row r="546" spans="1:48">
      <c r="A546" s="20" t="s">
        <v>1262</v>
      </c>
      <c r="B546" t="s">
        <v>1263</v>
      </c>
      <c r="C546" t="s">
        <v>1251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0</v>
      </c>
      <c r="AK546">
        <v>5</v>
      </c>
      <c r="AL546">
        <v>1</v>
      </c>
      <c r="AM546">
        <v>4</v>
      </c>
      <c r="AN546" s="22" t="s">
        <v>53</v>
      </c>
      <c r="AO546" s="22">
        <v>0</v>
      </c>
      <c r="AP546" s="22">
        <v>0</v>
      </c>
      <c r="AQ546" s="22">
        <v>0</v>
      </c>
      <c r="AR546" s="35">
        <v>0</v>
      </c>
      <c r="AS546" s="35">
        <v>0</v>
      </c>
      <c r="AT546" s="35">
        <v>0</v>
      </c>
      <c r="AU546" s="31" t="str">
        <f t="shared" si="12"/>
        <v>库存为0</v>
      </c>
      <c r="AV546" s="36" t="str">
        <f>IFERROR(时间!$B$4+AU546,"上周无销量")</f>
        <v>上周无销量</v>
      </c>
    </row>
    <row r="547" spans="1:48">
      <c r="A547" s="20" t="s">
        <v>1264</v>
      </c>
      <c r="B547" t="s">
        <v>1265</v>
      </c>
      <c r="C547" t="s">
        <v>1251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0</v>
      </c>
      <c r="AK547">
        <v>4</v>
      </c>
      <c r="AL547">
        <v>1</v>
      </c>
      <c r="AM547">
        <v>4</v>
      </c>
      <c r="AN547" s="22" t="s">
        <v>53</v>
      </c>
      <c r="AO547" s="22">
        <v>0</v>
      </c>
      <c r="AP547" s="22">
        <v>0</v>
      </c>
      <c r="AQ547" s="22">
        <v>0</v>
      </c>
      <c r="AR547" s="35">
        <v>0</v>
      </c>
      <c r="AS547" s="35">
        <v>0</v>
      </c>
      <c r="AT547" s="35">
        <v>0</v>
      </c>
      <c r="AU547" s="31" t="str">
        <f t="shared" si="12"/>
        <v>库存为0</v>
      </c>
      <c r="AV547" s="36" t="str">
        <f>IFERROR(时间!$B$4+AU547,"上周无销量")</f>
        <v>上周无销量</v>
      </c>
    </row>
    <row r="548" spans="1:48">
      <c r="A548" s="20" t="s">
        <v>1266</v>
      </c>
      <c r="B548" t="s">
        <v>1267</v>
      </c>
      <c r="C548" t="s">
        <v>1251</v>
      </c>
      <c r="D548" s="31">
        <v>1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1</v>
      </c>
      <c r="AK548">
        <v>5</v>
      </c>
      <c r="AL548">
        <v>2</v>
      </c>
      <c r="AM548">
        <v>8</v>
      </c>
      <c r="AN548" s="22">
        <v>1</v>
      </c>
      <c r="AO548" s="22">
        <v>0</v>
      </c>
      <c r="AP548" s="22">
        <v>0</v>
      </c>
      <c r="AQ548" s="22">
        <v>0</v>
      </c>
      <c r="AR548" s="35">
        <v>0.142857142857143</v>
      </c>
      <c r="AS548" s="35">
        <v>8.57142857142857</v>
      </c>
      <c r="AT548" s="35">
        <v>-8.57142857142857</v>
      </c>
      <c r="AU548" s="31">
        <f t="shared" si="12"/>
        <v>0</v>
      </c>
      <c r="AV548" s="36">
        <f>IFERROR(时间!$B$4+AU548,"上周无销量")</f>
        <v>43332</v>
      </c>
    </row>
    <row r="549" spans="1:48">
      <c r="A549" s="20" t="s">
        <v>1268</v>
      </c>
      <c r="B549" t="s">
        <v>1269</v>
      </c>
      <c r="C549" t="s">
        <v>1270</v>
      </c>
      <c r="D549" s="31">
        <v>1</v>
      </c>
      <c r="E549" s="31">
        <v>1</v>
      </c>
      <c r="F549" s="31">
        <v>0</v>
      </c>
      <c r="G549" s="31">
        <v>0</v>
      </c>
      <c r="H549" s="32">
        <v>4.9</v>
      </c>
      <c r="I549">
        <v>1</v>
      </c>
      <c r="J549" s="33">
        <v>0</v>
      </c>
      <c r="K549" s="33">
        <v>0</v>
      </c>
      <c r="L549" s="33">
        <v>0</v>
      </c>
      <c r="M549">
        <v>1</v>
      </c>
      <c r="N549">
        <v>0</v>
      </c>
      <c r="O549">
        <v>0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16</v>
      </c>
      <c r="AK549">
        <v>4</v>
      </c>
      <c r="AL549">
        <v>0</v>
      </c>
      <c r="AM549">
        <v>0</v>
      </c>
      <c r="AN549" s="22">
        <v>0.0625</v>
      </c>
      <c r="AO549" s="22">
        <v>0.25</v>
      </c>
      <c r="AP549" s="22" t="s">
        <v>53</v>
      </c>
      <c r="AQ549" s="22" t="s">
        <v>53</v>
      </c>
      <c r="AR549" s="35">
        <v>0.142857142857143</v>
      </c>
      <c r="AS549" s="35">
        <v>8.57142857142857</v>
      </c>
      <c r="AT549" s="35">
        <v>-7.57142857142857</v>
      </c>
      <c r="AU549" s="31">
        <f t="shared" si="12"/>
        <v>7</v>
      </c>
      <c r="AV549" s="36">
        <f>IFERROR(时间!$B$4+AU549,"上周无销量")</f>
        <v>43339</v>
      </c>
    </row>
    <row r="550" spans="1:48">
      <c r="A550" s="20" t="s">
        <v>1271</v>
      </c>
      <c r="B550" t="s">
        <v>1272</v>
      </c>
      <c r="C550" t="s">
        <v>1273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0</v>
      </c>
      <c r="AK550">
        <v>0</v>
      </c>
      <c r="AL550">
        <v>0</v>
      </c>
      <c r="AM550">
        <v>0</v>
      </c>
      <c r="AN550" s="22" t="s">
        <v>53</v>
      </c>
      <c r="AO550" s="22" t="s">
        <v>53</v>
      </c>
      <c r="AP550" s="22" t="s">
        <v>53</v>
      </c>
      <c r="AQ550" s="22" t="s">
        <v>53</v>
      </c>
      <c r="AR550" s="35">
        <v>0</v>
      </c>
      <c r="AS550" s="35">
        <v>0</v>
      </c>
      <c r="AT550" s="35">
        <v>0</v>
      </c>
      <c r="AU550" s="31" t="str">
        <f t="shared" si="12"/>
        <v>库存为0</v>
      </c>
      <c r="AV550" s="36" t="str">
        <f>IFERROR(时间!$B$4+AU550,"上周无销量")</f>
        <v>上周无销量</v>
      </c>
    </row>
    <row r="551" spans="1:48">
      <c r="A551" s="20" t="s">
        <v>1274</v>
      </c>
      <c r="B551" t="s">
        <v>1275</v>
      </c>
      <c r="C551" t="s">
        <v>1276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0</v>
      </c>
      <c r="AK551">
        <v>0</v>
      </c>
      <c r="AL551">
        <v>0</v>
      </c>
      <c r="AM551">
        <v>0</v>
      </c>
      <c r="AN551" s="22" t="s">
        <v>53</v>
      </c>
      <c r="AO551" s="22" t="s">
        <v>53</v>
      </c>
      <c r="AP551" s="22" t="s">
        <v>53</v>
      </c>
      <c r="AQ551" s="22" t="s">
        <v>53</v>
      </c>
      <c r="AR551" s="35">
        <v>0</v>
      </c>
      <c r="AS551" s="35">
        <v>0</v>
      </c>
      <c r="AT551" s="35">
        <v>0</v>
      </c>
      <c r="AU551" s="31" t="str">
        <f t="shared" si="12"/>
        <v>库存为0</v>
      </c>
      <c r="AV551" s="36" t="str">
        <f>IFERROR(时间!$B$4+AU551,"上周无销量")</f>
        <v>上周无销量</v>
      </c>
    </row>
    <row r="552" spans="1:48">
      <c r="A552" s="20" t="s">
        <v>1277</v>
      </c>
      <c r="B552" t="s">
        <v>1278</v>
      </c>
      <c r="C552" t="s">
        <v>1276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0</v>
      </c>
      <c r="AK552">
        <v>0</v>
      </c>
      <c r="AL552">
        <v>0</v>
      </c>
      <c r="AM552">
        <v>0</v>
      </c>
      <c r="AN552" s="22" t="s">
        <v>53</v>
      </c>
      <c r="AO552" s="22" t="s">
        <v>53</v>
      </c>
      <c r="AP552" s="22" t="s">
        <v>53</v>
      </c>
      <c r="AQ552" s="22" t="s">
        <v>53</v>
      </c>
      <c r="AR552" s="35">
        <v>0</v>
      </c>
      <c r="AS552" s="35">
        <v>0</v>
      </c>
      <c r="AT552" s="35">
        <v>0</v>
      </c>
      <c r="AU552" s="31" t="str">
        <f t="shared" si="12"/>
        <v>库存为0</v>
      </c>
      <c r="AV552" s="36" t="str">
        <f>IFERROR(时间!$B$4+AU552,"上周无销量")</f>
        <v>上周无销量</v>
      </c>
    </row>
    <row r="553" spans="1:48">
      <c r="A553" s="20" t="s">
        <v>1279</v>
      </c>
      <c r="B553" t="s">
        <v>1280</v>
      </c>
      <c r="C553" t="s">
        <v>1276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0</v>
      </c>
      <c r="AK553">
        <v>0</v>
      </c>
      <c r="AL553">
        <v>0</v>
      </c>
      <c r="AM553">
        <v>0</v>
      </c>
      <c r="AN553" s="22" t="s">
        <v>53</v>
      </c>
      <c r="AO553" s="22" t="s">
        <v>53</v>
      </c>
      <c r="AP553" s="22" t="s">
        <v>53</v>
      </c>
      <c r="AQ553" s="22" t="s">
        <v>53</v>
      </c>
      <c r="AR553" s="35">
        <v>0</v>
      </c>
      <c r="AS553" s="35">
        <v>0</v>
      </c>
      <c r="AT553" s="35">
        <v>0</v>
      </c>
      <c r="AU553" s="31" t="str">
        <f t="shared" si="12"/>
        <v>库存为0</v>
      </c>
      <c r="AV553" s="36" t="str">
        <f>IFERROR(时间!$B$4+AU553,"上周无销量")</f>
        <v>上周无销量</v>
      </c>
    </row>
    <row r="554" spans="1:48">
      <c r="A554" s="20" t="s">
        <v>1281</v>
      </c>
      <c r="B554" t="s">
        <v>1282</v>
      </c>
      <c r="C554" t="s">
        <v>1276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0</v>
      </c>
      <c r="AK554">
        <v>0</v>
      </c>
      <c r="AL554">
        <v>0</v>
      </c>
      <c r="AM554">
        <v>0</v>
      </c>
      <c r="AN554" s="22" t="s">
        <v>53</v>
      </c>
      <c r="AO554" s="22" t="s">
        <v>53</v>
      </c>
      <c r="AP554" s="22" t="s">
        <v>53</v>
      </c>
      <c r="AQ554" s="22" t="s">
        <v>53</v>
      </c>
      <c r="AR554" s="35">
        <v>0</v>
      </c>
      <c r="AS554" s="35">
        <v>0</v>
      </c>
      <c r="AT554" s="35">
        <v>0</v>
      </c>
      <c r="AU554" s="31" t="str">
        <f t="shared" si="12"/>
        <v>库存为0</v>
      </c>
      <c r="AV554" s="36" t="str">
        <f>IFERROR(时间!$B$4+AU554,"上周无销量")</f>
        <v>上周无销量</v>
      </c>
    </row>
    <row r="555" spans="1:48">
      <c r="A555" s="20" t="s">
        <v>1283</v>
      </c>
      <c r="B555" t="s">
        <v>1284</v>
      </c>
      <c r="C555" t="s">
        <v>1285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0</v>
      </c>
      <c r="AK555">
        <v>3</v>
      </c>
      <c r="AL555">
        <v>2</v>
      </c>
      <c r="AM555">
        <v>4</v>
      </c>
      <c r="AN555" s="22" t="s">
        <v>53</v>
      </c>
      <c r="AO555" s="22">
        <v>0</v>
      </c>
      <c r="AP555" s="22">
        <v>0</v>
      </c>
      <c r="AQ555" s="22">
        <v>0</v>
      </c>
      <c r="AR555" s="35">
        <v>0</v>
      </c>
      <c r="AS555" s="35">
        <v>0</v>
      </c>
      <c r="AT555" s="35">
        <v>0</v>
      </c>
      <c r="AU555" s="31" t="str">
        <f t="shared" si="12"/>
        <v>库存为0</v>
      </c>
      <c r="AV555" s="36" t="str">
        <f>IFERROR(时间!$B$4+AU555,"上周无销量")</f>
        <v>上周无销量</v>
      </c>
    </row>
    <row r="556" spans="1:48">
      <c r="A556" s="20" t="s">
        <v>1286</v>
      </c>
      <c r="B556" t="s">
        <v>1287</v>
      </c>
      <c r="C556" t="s">
        <v>1285</v>
      </c>
      <c r="D556" s="31">
        <v>0</v>
      </c>
      <c r="E556" s="31">
        <v>0</v>
      </c>
      <c r="F556" s="31">
        <v>1</v>
      </c>
      <c r="G556" s="31">
        <v>0</v>
      </c>
      <c r="H556" s="32">
        <v>9.99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0</v>
      </c>
      <c r="AK556">
        <v>2</v>
      </c>
      <c r="AL556">
        <v>1</v>
      </c>
      <c r="AM556">
        <v>4</v>
      </c>
      <c r="AN556" s="22" t="s">
        <v>53</v>
      </c>
      <c r="AO556" s="22">
        <v>0</v>
      </c>
      <c r="AP556" s="22">
        <v>1</v>
      </c>
      <c r="AQ556" s="22">
        <v>0</v>
      </c>
      <c r="AR556" s="35">
        <v>0</v>
      </c>
      <c r="AS556" s="35">
        <v>0</v>
      </c>
      <c r="AT556" s="35">
        <v>0</v>
      </c>
      <c r="AU556" s="31" t="str">
        <f t="shared" si="12"/>
        <v>库存为0</v>
      </c>
      <c r="AV556" s="36" t="str">
        <f>IFERROR(时间!$B$4+AU556,"上周无销量")</f>
        <v>上周无销量</v>
      </c>
    </row>
    <row r="557" spans="1:48">
      <c r="A557" s="20" t="s">
        <v>1288</v>
      </c>
      <c r="B557" t="s">
        <v>1289</v>
      </c>
      <c r="C557" t="s">
        <v>1285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1</v>
      </c>
      <c r="AK557">
        <v>3</v>
      </c>
      <c r="AL557">
        <v>2</v>
      </c>
      <c r="AM557">
        <v>4</v>
      </c>
      <c r="AN557" s="22">
        <v>0</v>
      </c>
      <c r="AO557" s="22">
        <v>0</v>
      </c>
      <c r="AP557" s="22">
        <v>0</v>
      </c>
      <c r="AQ557" s="22">
        <v>0</v>
      </c>
      <c r="AR557" s="35">
        <v>0</v>
      </c>
      <c r="AS557" s="35">
        <v>0</v>
      </c>
      <c r="AT557" s="35">
        <v>0</v>
      </c>
      <c r="AU557" s="31" t="str">
        <f t="shared" si="12"/>
        <v>库存为0</v>
      </c>
      <c r="AV557" s="36" t="str">
        <f>IFERROR(时间!$B$4+AU557,"上周无销量")</f>
        <v>上周无销量</v>
      </c>
    </row>
    <row r="558" spans="1:48">
      <c r="A558" s="20" t="s">
        <v>1290</v>
      </c>
      <c r="B558" t="s">
        <v>1291</v>
      </c>
      <c r="C558" t="s">
        <v>1285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0</v>
      </c>
      <c r="AK558">
        <v>4</v>
      </c>
      <c r="AL558">
        <v>3</v>
      </c>
      <c r="AM558">
        <v>2</v>
      </c>
      <c r="AN558" s="22" t="s">
        <v>53</v>
      </c>
      <c r="AO558" s="22">
        <v>0</v>
      </c>
      <c r="AP558" s="22">
        <v>0</v>
      </c>
      <c r="AQ558" s="22">
        <v>0</v>
      </c>
      <c r="AR558" s="35">
        <v>0</v>
      </c>
      <c r="AS558" s="35">
        <v>0</v>
      </c>
      <c r="AT558" s="35">
        <v>0</v>
      </c>
      <c r="AU558" s="31" t="str">
        <f t="shared" si="12"/>
        <v>库存为0</v>
      </c>
      <c r="AV558" s="36" t="str">
        <f>IFERROR(时间!$B$4+AU558,"上周无销量")</f>
        <v>上周无销量</v>
      </c>
    </row>
    <row r="559" spans="1:48">
      <c r="A559" s="20" t="s">
        <v>1292</v>
      </c>
      <c r="B559" t="s">
        <v>1293</v>
      </c>
      <c r="C559" t="s">
        <v>1285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0</v>
      </c>
      <c r="AK559">
        <v>6</v>
      </c>
      <c r="AL559">
        <v>7</v>
      </c>
      <c r="AM559">
        <v>6</v>
      </c>
      <c r="AN559" s="22" t="s">
        <v>53</v>
      </c>
      <c r="AO559" s="22">
        <v>0</v>
      </c>
      <c r="AP559" s="22">
        <v>0</v>
      </c>
      <c r="AQ559" s="22">
        <v>0</v>
      </c>
      <c r="AR559" s="35">
        <v>0</v>
      </c>
      <c r="AS559" s="35">
        <v>0</v>
      </c>
      <c r="AT559" s="35">
        <v>0</v>
      </c>
      <c r="AU559" s="31" t="str">
        <f t="shared" si="12"/>
        <v>库存为0</v>
      </c>
      <c r="AV559" s="36" t="str">
        <f>IFERROR(时间!$B$4+AU559,"上周无销量")</f>
        <v>上周无销量</v>
      </c>
    </row>
    <row r="560" spans="1:48">
      <c r="A560" s="20" t="s">
        <v>1294</v>
      </c>
      <c r="B560" t="s">
        <v>1295</v>
      </c>
      <c r="C560" t="s">
        <v>1285</v>
      </c>
      <c r="D560" s="31">
        <v>17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1</v>
      </c>
      <c r="AK560">
        <v>4</v>
      </c>
      <c r="AL560">
        <v>3</v>
      </c>
      <c r="AM560">
        <v>5</v>
      </c>
      <c r="AN560" s="22">
        <v>17</v>
      </c>
      <c r="AO560" s="22">
        <v>0</v>
      </c>
      <c r="AP560" s="22">
        <v>0</v>
      </c>
      <c r="AQ560" s="22">
        <v>0</v>
      </c>
      <c r="AR560" s="35">
        <v>2.42857142857143</v>
      </c>
      <c r="AS560" s="35">
        <v>145.714285714286</v>
      </c>
      <c r="AT560" s="35">
        <v>-145.714285714286</v>
      </c>
      <c r="AU560" s="31">
        <f t="shared" si="12"/>
        <v>0</v>
      </c>
      <c r="AV560" s="36">
        <f>IFERROR(时间!$B$4+AU560,"上周无销量")</f>
        <v>43332</v>
      </c>
    </row>
    <row r="561" spans="1:48">
      <c r="A561" s="20" t="s">
        <v>1296</v>
      </c>
      <c r="B561" t="s">
        <v>1297</v>
      </c>
      <c r="C561" t="s">
        <v>1285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0</v>
      </c>
      <c r="AK561">
        <v>4</v>
      </c>
      <c r="AL561">
        <v>1</v>
      </c>
      <c r="AM561">
        <v>5</v>
      </c>
      <c r="AN561" s="22" t="s">
        <v>53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0</v>
      </c>
      <c r="AU561" s="31" t="str">
        <f t="shared" si="12"/>
        <v>库存为0</v>
      </c>
      <c r="AV561" s="36" t="str">
        <f>IFERROR(时间!$B$4+AU561,"上周无销量")</f>
        <v>上周无销量</v>
      </c>
    </row>
    <row r="562" spans="1:48">
      <c r="A562" s="20" t="s">
        <v>1298</v>
      </c>
      <c r="B562" t="s">
        <v>1299</v>
      </c>
      <c r="C562" t="s">
        <v>1285</v>
      </c>
      <c r="D562" s="31">
        <v>3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2</v>
      </c>
      <c r="AK562">
        <v>1</v>
      </c>
      <c r="AL562">
        <v>2</v>
      </c>
      <c r="AM562">
        <v>3</v>
      </c>
      <c r="AN562" s="22">
        <v>1.5</v>
      </c>
      <c r="AO562" s="22">
        <v>0</v>
      </c>
      <c r="AP562" s="22">
        <v>0</v>
      </c>
      <c r="AQ562" s="22">
        <v>0</v>
      </c>
      <c r="AR562" s="35">
        <v>0.428571428571429</v>
      </c>
      <c r="AS562" s="35">
        <v>25.7142857142857</v>
      </c>
      <c r="AT562" s="35">
        <v>-25.7142857142857</v>
      </c>
      <c r="AU562" s="31">
        <f t="shared" si="12"/>
        <v>0</v>
      </c>
      <c r="AV562" s="36">
        <f>IFERROR(时间!$B$4+AU562,"上周无销量")</f>
        <v>43332</v>
      </c>
    </row>
    <row r="563" spans="1:48">
      <c r="A563" s="20" t="s">
        <v>1300</v>
      </c>
      <c r="B563" t="s">
        <v>1301</v>
      </c>
      <c r="C563" t="s">
        <v>1285</v>
      </c>
      <c r="D563" s="31">
        <v>0</v>
      </c>
      <c r="E563" s="31">
        <v>0</v>
      </c>
      <c r="F563" s="31">
        <v>0</v>
      </c>
      <c r="G563" s="31">
        <v>1</v>
      </c>
      <c r="H563" s="32">
        <v>9.99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3</v>
      </c>
      <c r="AK563">
        <v>8</v>
      </c>
      <c r="AL563">
        <v>1</v>
      </c>
      <c r="AM563">
        <v>4</v>
      </c>
      <c r="AN563" s="22">
        <v>0</v>
      </c>
      <c r="AO563" s="22">
        <v>0</v>
      </c>
      <c r="AP563" s="22">
        <v>0</v>
      </c>
      <c r="AQ563" s="22">
        <v>0.25</v>
      </c>
      <c r="AR563" s="35">
        <v>0</v>
      </c>
      <c r="AS563" s="35">
        <v>0</v>
      </c>
      <c r="AT563" s="35">
        <v>0</v>
      </c>
      <c r="AU563" s="31" t="str">
        <f t="shared" si="12"/>
        <v>库存为0</v>
      </c>
      <c r="AV563" s="36" t="str">
        <f>IFERROR(时间!$B$4+AU563,"上周无销量")</f>
        <v>上周无销量</v>
      </c>
    </row>
    <row r="564" spans="1:48">
      <c r="A564" s="20" t="s">
        <v>1302</v>
      </c>
      <c r="B564" t="s">
        <v>1303</v>
      </c>
      <c r="C564" t="s">
        <v>1285</v>
      </c>
      <c r="D564" s="31">
        <v>0</v>
      </c>
      <c r="E564" s="31">
        <v>2</v>
      </c>
      <c r="F564" s="31">
        <v>0</v>
      </c>
      <c r="G564" s="31">
        <v>1</v>
      </c>
      <c r="H564" s="32">
        <v>9.99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3</v>
      </c>
      <c r="AK564">
        <v>14</v>
      </c>
      <c r="AL564">
        <v>4</v>
      </c>
      <c r="AM564">
        <v>3</v>
      </c>
      <c r="AN564" s="22">
        <v>0</v>
      </c>
      <c r="AO564" s="22">
        <v>0.142857142857143</v>
      </c>
      <c r="AP564" s="22">
        <v>0</v>
      </c>
      <c r="AQ564" s="22">
        <v>0.333333333333333</v>
      </c>
      <c r="AR564" s="35">
        <v>0</v>
      </c>
      <c r="AS564" s="35">
        <v>0</v>
      </c>
      <c r="AT564" s="35">
        <v>0</v>
      </c>
      <c r="AU564" s="31" t="str">
        <f t="shared" si="12"/>
        <v>库存为0</v>
      </c>
      <c r="AV564" s="36" t="str">
        <f>IFERROR(时间!$B$4+AU564,"上周无销量")</f>
        <v>上周无销量</v>
      </c>
    </row>
    <row r="565" spans="1:48">
      <c r="A565" s="20" t="s">
        <v>1304</v>
      </c>
      <c r="B565" t="s">
        <v>1305</v>
      </c>
      <c r="C565" t="s">
        <v>1285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5</v>
      </c>
      <c r="AK565">
        <v>6</v>
      </c>
      <c r="AL565">
        <v>3</v>
      </c>
      <c r="AM565">
        <v>6</v>
      </c>
      <c r="AN565" s="22">
        <v>0</v>
      </c>
      <c r="AO565" s="22">
        <v>0</v>
      </c>
      <c r="AP565" s="22">
        <v>0</v>
      </c>
      <c r="AQ565" s="22">
        <v>0</v>
      </c>
      <c r="AR565" s="35">
        <v>0</v>
      </c>
      <c r="AS565" s="35">
        <v>0</v>
      </c>
      <c r="AT565" s="35">
        <v>0</v>
      </c>
      <c r="AU565" s="31" t="str">
        <f t="shared" si="12"/>
        <v>库存为0</v>
      </c>
      <c r="AV565" s="36" t="str">
        <f>IFERROR(时间!$B$4+AU565,"上周无销量")</f>
        <v>上周无销量</v>
      </c>
    </row>
    <row r="566" spans="1:48">
      <c r="A566" s="20" t="s">
        <v>1306</v>
      </c>
      <c r="B566" t="s">
        <v>1307</v>
      </c>
      <c r="C566" t="s">
        <v>1285</v>
      </c>
      <c r="D566" s="31">
        <v>1</v>
      </c>
      <c r="E566" s="31">
        <v>0</v>
      </c>
      <c r="F566" s="31">
        <v>0</v>
      </c>
      <c r="G566" s="31">
        <v>0</v>
      </c>
      <c r="H566" s="32">
        <v>12.99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6</v>
      </c>
      <c r="AK566">
        <v>3</v>
      </c>
      <c r="AL566">
        <v>4</v>
      </c>
      <c r="AM566">
        <v>4</v>
      </c>
      <c r="AN566" s="22">
        <v>0.166666666666667</v>
      </c>
      <c r="AO566" s="22">
        <v>0</v>
      </c>
      <c r="AP566" s="22">
        <v>0</v>
      </c>
      <c r="AQ566" s="22">
        <v>0</v>
      </c>
      <c r="AR566" s="35">
        <v>0.142857142857143</v>
      </c>
      <c r="AS566" s="35">
        <v>8.57142857142857</v>
      </c>
      <c r="AT566" s="35">
        <v>-8.57142857142857</v>
      </c>
      <c r="AU566" s="31">
        <f t="shared" si="12"/>
        <v>0</v>
      </c>
      <c r="AV566" s="36">
        <f>IFERROR(时间!$B$4+AU566,"上周无销量")</f>
        <v>43332</v>
      </c>
    </row>
    <row r="567" spans="1:48">
      <c r="A567" s="20" t="s">
        <v>1308</v>
      </c>
      <c r="B567" t="s">
        <v>1309</v>
      </c>
      <c r="C567" t="s">
        <v>1285</v>
      </c>
      <c r="D567" s="31">
        <v>0</v>
      </c>
      <c r="E567" s="31">
        <v>0</v>
      </c>
      <c r="F567" s="31">
        <v>1</v>
      </c>
      <c r="G567" s="31">
        <v>0</v>
      </c>
      <c r="H567" s="32">
        <v>14.99</v>
      </c>
      <c r="I567">
        <v>25</v>
      </c>
      <c r="J567" s="33">
        <v>0</v>
      </c>
      <c r="K567" s="33">
        <v>0</v>
      </c>
      <c r="L567" s="33">
        <v>0</v>
      </c>
      <c r="M567">
        <v>25</v>
      </c>
      <c r="N567">
        <v>0</v>
      </c>
      <c r="O567">
        <v>25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18</v>
      </c>
      <c r="AK567">
        <v>15</v>
      </c>
      <c r="AL567">
        <v>8</v>
      </c>
      <c r="AM567">
        <v>11</v>
      </c>
      <c r="AN567" s="22">
        <v>0</v>
      </c>
      <c r="AO567" s="22">
        <v>0</v>
      </c>
      <c r="AP567" s="22">
        <v>0.125</v>
      </c>
      <c r="AQ567" s="22">
        <v>0</v>
      </c>
      <c r="AR567" s="35">
        <v>0</v>
      </c>
      <c r="AS567" s="35">
        <v>0</v>
      </c>
      <c r="AT567" s="35">
        <v>25</v>
      </c>
      <c r="AU567" s="31" t="str">
        <f t="shared" si="12"/>
        <v>库存为25</v>
      </c>
      <c r="AV567" s="36" t="str">
        <f>IFERROR(时间!$B$4+AU567,"上周无销量")</f>
        <v>上周无销量</v>
      </c>
    </row>
    <row r="568" spans="1:48">
      <c r="A568" s="20" t="s">
        <v>1310</v>
      </c>
      <c r="B568" t="s">
        <v>1311</v>
      </c>
      <c r="C568" t="s">
        <v>1285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3</v>
      </c>
      <c r="J568" s="33">
        <v>0</v>
      </c>
      <c r="K568" s="33">
        <v>0</v>
      </c>
      <c r="L568" s="33">
        <v>0</v>
      </c>
      <c r="M568">
        <v>3</v>
      </c>
      <c r="N568">
        <v>0</v>
      </c>
      <c r="O568">
        <v>3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20</v>
      </c>
      <c r="AK568">
        <v>1</v>
      </c>
      <c r="AL568">
        <v>3</v>
      </c>
      <c r="AM568">
        <v>1</v>
      </c>
      <c r="AN568" s="22">
        <v>0</v>
      </c>
      <c r="AO568" s="22">
        <v>0</v>
      </c>
      <c r="AP568" s="22">
        <v>0</v>
      </c>
      <c r="AQ568" s="22">
        <v>0</v>
      </c>
      <c r="AR568" s="35">
        <v>0</v>
      </c>
      <c r="AS568" s="35">
        <v>0</v>
      </c>
      <c r="AT568" s="35">
        <v>3</v>
      </c>
      <c r="AU568" s="31" t="str">
        <f t="shared" si="12"/>
        <v>库存为3</v>
      </c>
      <c r="AV568" s="36" t="str">
        <f>IFERROR(时间!$B$4+AU568,"上周无销量")</f>
        <v>上周无销量</v>
      </c>
    </row>
    <row r="569" spans="1:48">
      <c r="A569" s="20" t="s">
        <v>1312</v>
      </c>
      <c r="B569" t="s">
        <v>1313</v>
      </c>
      <c r="C569" t="s">
        <v>1285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0</v>
      </c>
      <c r="AK569">
        <v>1</v>
      </c>
      <c r="AL569">
        <v>2</v>
      </c>
      <c r="AM569">
        <v>3</v>
      </c>
      <c r="AN569" s="22" t="s">
        <v>53</v>
      </c>
      <c r="AO569" s="22">
        <v>0</v>
      </c>
      <c r="AP569" s="22">
        <v>0</v>
      </c>
      <c r="AQ569" s="22">
        <v>0</v>
      </c>
      <c r="AR569" s="35">
        <v>0</v>
      </c>
      <c r="AS569" s="35">
        <v>0</v>
      </c>
      <c r="AT569" s="35">
        <v>0</v>
      </c>
      <c r="AU569" s="31" t="str">
        <f t="shared" si="12"/>
        <v>库存为0</v>
      </c>
      <c r="AV569" s="36" t="str">
        <f>IFERROR(时间!$B$4+AU569,"上周无销量")</f>
        <v>上周无销量</v>
      </c>
    </row>
    <row r="570" spans="1:48">
      <c r="A570" s="20" t="s">
        <v>1314</v>
      </c>
      <c r="B570" t="s">
        <v>1315</v>
      </c>
      <c r="C570" t="s">
        <v>1285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0</v>
      </c>
      <c r="AK570">
        <v>2</v>
      </c>
      <c r="AL570">
        <v>0</v>
      </c>
      <c r="AM570">
        <v>4</v>
      </c>
      <c r="AN570" s="22" t="s">
        <v>53</v>
      </c>
      <c r="AO570" s="22">
        <v>0</v>
      </c>
      <c r="AP570" s="22" t="s">
        <v>53</v>
      </c>
      <c r="AQ570" s="22">
        <v>0</v>
      </c>
      <c r="AR570" s="35">
        <v>0</v>
      </c>
      <c r="AS570" s="35">
        <v>0</v>
      </c>
      <c r="AT570" s="35">
        <v>0</v>
      </c>
      <c r="AU570" s="31" t="str">
        <f t="shared" si="12"/>
        <v>库存为0</v>
      </c>
      <c r="AV570" s="36" t="str">
        <f>IFERROR(时间!$B$4+AU570,"上周无销量")</f>
        <v>上周无销量</v>
      </c>
    </row>
    <row r="571" spans="1:48">
      <c r="A571" s="20" t="s">
        <v>1316</v>
      </c>
      <c r="B571" t="s">
        <v>1317</v>
      </c>
      <c r="C571" t="s">
        <v>1285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2</v>
      </c>
      <c r="AK571">
        <v>6</v>
      </c>
      <c r="AL571">
        <v>3</v>
      </c>
      <c r="AM571">
        <v>5</v>
      </c>
      <c r="AN571" s="22">
        <v>0</v>
      </c>
      <c r="AO571" s="22">
        <v>0</v>
      </c>
      <c r="AP571" s="22">
        <v>0</v>
      </c>
      <c r="AQ571" s="22">
        <v>0</v>
      </c>
      <c r="AR571" s="35">
        <v>0</v>
      </c>
      <c r="AS571" s="35">
        <v>0</v>
      </c>
      <c r="AT571" s="35">
        <v>0</v>
      </c>
      <c r="AU571" s="31" t="str">
        <f t="shared" si="12"/>
        <v>库存为0</v>
      </c>
      <c r="AV571" s="36" t="str">
        <f>IFERROR(时间!$B$4+AU571,"上周无销量")</f>
        <v>上周无销量</v>
      </c>
    </row>
    <row r="572" spans="1:48">
      <c r="A572" s="20" t="s">
        <v>1318</v>
      </c>
      <c r="B572" t="s">
        <v>1319</v>
      </c>
      <c r="C572" t="s">
        <v>1285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2</v>
      </c>
      <c r="AK572">
        <v>3</v>
      </c>
      <c r="AL572">
        <v>2</v>
      </c>
      <c r="AM572">
        <v>3</v>
      </c>
      <c r="AN572" s="22">
        <v>0</v>
      </c>
      <c r="AO572" s="22">
        <v>0</v>
      </c>
      <c r="AP572" s="22">
        <v>0</v>
      </c>
      <c r="AQ572" s="22">
        <v>0</v>
      </c>
      <c r="AR572" s="35">
        <v>0</v>
      </c>
      <c r="AS572" s="35">
        <v>0</v>
      </c>
      <c r="AT572" s="35">
        <v>0</v>
      </c>
      <c r="AU572" s="31" t="str">
        <f t="shared" si="12"/>
        <v>库存为0</v>
      </c>
      <c r="AV572" s="36" t="str">
        <f>IFERROR(时间!$B$4+AU572,"上周无销量")</f>
        <v>上周无销量</v>
      </c>
    </row>
    <row r="573" spans="1:48">
      <c r="A573" s="20" t="s">
        <v>1320</v>
      </c>
      <c r="B573" t="s">
        <v>1321</v>
      </c>
      <c r="C573" t="s">
        <v>1285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0</v>
      </c>
      <c r="AK573">
        <v>0</v>
      </c>
      <c r="AL573">
        <v>0</v>
      </c>
      <c r="AM573">
        <v>0</v>
      </c>
      <c r="AN573" s="22" t="s">
        <v>53</v>
      </c>
      <c r="AO573" s="22" t="s">
        <v>53</v>
      </c>
      <c r="AP573" s="22" t="s">
        <v>53</v>
      </c>
      <c r="AQ573" s="22" t="s">
        <v>53</v>
      </c>
      <c r="AR573" s="35">
        <v>0</v>
      </c>
      <c r="AS573" s="35">
        <v>0</v>
      </c>
      <c r="AT573" s="35">
        <v>0</v>
      </c>
      <c r="AU573" s="31" t="str">
        <f t="shared" si="12"/>
        <v>库存为0</v>
      </c>
      <c r="AV573" s="36" t="str">
        <f>IFERROR(时间!$B$4+AU573,"上周无销量")</f>
        <v>上周无销量</v>
      </c>
    </row>
    <row r="574" spans="1:48">
      <c r="A574" s="20" t="s">
        <v>1322</v>
      </c>
      <c r="B574" t="s">
        <v>1323</v>
      </c>
      <c r="C574" t="s">
        <v>1285</v>
      </c>
      <c r="D574" s="31">
        <v>0</v>
      </c>
      <c r="E574" s="31">
        <v>0</v>
      </c>
      <c r="F574" s="31">
        <v>1</v>
      </c>
      <c r="G574" s="31">
        <v>0</v>
      </c>
      <c r="H574" s="32">
        <v>12.99</v>
      </c>
      <c r="I574">
        <v>5</v>
      </c>
      <c r="J574" s="33">
        <v>0</v>
      </c>
      <c r="K574" s="33">
        <v>0</v>
      </c>
      <c r="L574" s="33">
        <v>0</v>
      </c>
      <c r="M574">
        <v>5</v>
      </c>
      <c r="N574">
        <v>0</v>
      </c>
      <c r="O574">
        <v>5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10</v>
      </c>
      <c r="AK574">
        <v>13</v>
      </c>
      <c r="AL574">
        <v>3</v>
      </c>
      <c r="AM574">
        <v>3</v>
      </c>
      <c r="AN574" s="22">
        <v>0</v>
      </c>
      <c r="AO574" s="22">
        <v>0</v>
      </c>
      <c r="AP574" s="22">
        <v>0.333333333333333</v>
      </c>
      <c r="AQ574" s="22">
        <v>0</v>
      </c>
      <c r="AR574" s="35">
        <v>0</v>
      </c>
      <c r="AS574" s="35">
        <v>0</v>
      </c>
      <c r="AT574" s="35">
        <v>5</v>
      </c>
      <c r="AU574" s="31" t="str">
        <f t="shared" si="12"/>
        <v>库存为5</v>
      </c>
      <c r="AV574" s="36" t="str">
        <f>IFERROR(时间!$B$4+AU574,"上周无销量")</f>
        <v>上周无销量</v>
      </c>
    </row>
    <row r="575" spans="1:48">
      <c r="A575" s="20" t="s">
        <v>1324</v>
      </c>
      <c r="B575" t="s">
        <v>1325</v>
      </c>
      <c r="C575" t="s">
        <v>1285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0</v>
      </c>
      <c r="AK575">
        <v>10</v>
      </c>
      <c r="AL575">
        <v>2</v>
      </c>
      <c r="AM575">
        <v>1</v>
      </c>
      <c r="AN575" s="22" t="s">
        <v>53</v>
      </c>
      <c r="AO575" s="22">
        <v>0</v>
      </c>
      <c r="AP575" s="22">
        <v>0</v>
      </c>
      <c r="AQ575" s="22">
        <v>0</v>
      </c>
      <c r="AR575" s="35">
        <v>0</v>
      </c>
      <c r="AS575" s="35">
        <v>0</v>
      </c>
      <c r="AT575" s="35">
        <v>0</v>
      </c>
      <c r="AU575" s="31" t="str">
        <f t="shared" si="12"/>
        <v>库存为0</v>
      </c>
      <c r="AV575" s="36" t="str">
        <f>IFERROR(时间!$B$4+AU575,"上周无销量")</f>
        <v>上周无销量</v>
      </c>
    </row>
    <row r="576" spans="1:48">
      <c r="A576" s="20" t="s">
        <v>1326</v>
      </c>
      <c r="B576" t="s">
        <v>1327</v>
      </c>
      <c r="C576" t="s">
        <v>1285</v>
      </c>
      <c r="D576" s="31">
        <v>1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0</v>
      </c>
      <c r="AK576">
        <v>1</v>
      </c>
      <c r="AL576">
        <v>5</v>
      </c>
      <c r="AM576">
        <v>2</v>
      </c>
      <c r="AN576" s="22" t="s">
        <v>53</v>
      </c>
      <c r="AO576" s="22">
        <v>0</v>
      </c>
      <c r="AP576" s="22">
        <v>0</v>
      </c>
      <c r="AQ576" s="22">
        <v>0</v>
      </c>
      <c r="AR576" s="35">
        <v>0.142857142857143</v>
      </c>
      <c r="AS576" s="35">
        <v>8.57142857142857</v>
      </c>
      <c r="AT576" s="35">
        <v>-8.57142857142857</v>
      </c>
      <c r="AU576" s="31">
        <f t="shared" si="12"/>
        <v>0</v>
      </c>
      <c r="AV576" s="36">
        <f>IFERROR(时间!$B$4+AU576,"上周无销量")</f>
        <v>43332</v>
      </c>
    </row>
    <row r="577" spans="1:48">
      <c r="A577" s="20" t="s">
        <v>1328</v>
      </c>
      <c r="B577" t="s">
        <v>1329</v>
      </c>
      <c r="C577" t="s">
        <v>1330</v>
      </c>
      <c r="D577" s="31">
        <v>0</v>
      </c>
      <c r="E577" s="31">
        <v>1</v>
      </c>
      <c r="F577" s="31">
        <v>2</v>
      </c>
      <c r="G577" s="31">
        <v>1</v>
      </c>
      <c r="H577" s="32">
        <v>13.99</v>
      </c>
      <c r="I577">
        <v>8</v>
      </c>
      <c r="J577" s="33">
        <v>0</v>
      </c>
      <c r="K577" s="33">
        <v>0</v>
      </c>
      <c r="L577" s="33">
        <v>0</v>
      </c>
      <c r="M577">
        <v>8</v>
      </c>
      <c r="N577">
        <v>0</v>
      </c>
      <c r="O577">
        <v>0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10</v>
      </c>
      <c r="AK577">
        <v>19</v>
      </c>
      <c r="AL577">
        <v>15</v>
      </c>
      <c r="AM577">
        <v>19</v>
      </c>
      <c r="AN577" s="22">
        <v>0</v>
      </c>
      <c r="AO577" s="22">
        <v>0.0526315789473684</v>
      </c>
      <c r="AP577" s="22">
        <v>0.133333333333333</v>
      </c>
      <c r="AQ577" s="22">
        <v>0.0526315789473684</v>
      </c>
      <c r="AR577" s="35">
        <v>0</v>
      </c>
      <c r="AS577" s="35">
        <v>0</v>
      </c>
      <c r="AT577" s="35">
        <v>8</v>
      </c>
      <c r="AU577" s="31" t="str">
        <f t="shared" si="12"/>
        <v>库存为8</v>
      </c>
      <c r="AV577" s="36" t="str">
        <f>IFERROR(时间!$B$4+AU577,"上周无销量")</f>
        <v>上周无销量</v>
      </c>
    </row>
    <row r="578" spans="1:48">
      <c r="A578" s="20" t="s">
        <v>1331</v>
      </c>
      <c r="B578" t="s">
        <v>1332</v>
      </c>
      <c r="C578" t="s">
        <v>1330</v>
      </c>
      <c r="D578" s="31">
        <v>9</v>
      </c>
      <c r="E578" s="31">
        <v>0</v>
      </c>
      <c r="F578" s="31">
        <v>0</v>
      </c>
      <c r="G578" s="31">
        <v>0</v>
      </c>
      <c r="H578" s="32">
        <v>3.10888888888889</v>
      </c>
      <c r="I578">
        <v>13</v>
      </c>
      <c r="J578" s="33">
        <v>0</v>
      </c>
      <c r="K578" s="33">
        <v>0</v>
      </c>
      <c r="L578" s="33">
        <v>0</v>
      </c>
      <c r="M578">
        <v>13</v>
      </c>
      <c r="N578">
        <v>0</v>
      </c>
      <c r="O578">
        <v>0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13</v>
      </c>
      <c r="AK578">
        <v>6</v>
      </c>
      <c r="AL578">
        <v>4</v>
      </c>
      <c r="AM578">
        <v>11</v>
      </c>
      <c r="AN578" s="22">
        <v>0.692307692307692</v>
      </c>
      <c r="AO578" s="22">
        <v>0</v>
      </c>
      <c r="AP578" s="22">
        <v>0</v>
      </c>
      <c r="AQ578" s="22">
        <v>0</v>
      </c>
      <c r="AR578" s="35">
        <v>1.28571428571429</v>
      </c>
      <c r="AS578" s="35">
        <v>77.1428571428572</v>
      </c>
      <c r="AT578" s="35">
        <v>-64.1428571428572</v>
      </c>
      <c r="AU578" s="31">
        <f t="shared" si="12"/>
        <v>10</v>
      </c>
      <c r="AV578" s="36">
        <f>IFERROR(时间!$B$4+AU578,"上周无销量")</f>
        <v>43342</v>
      </c>
    </row>
    <row r="579" spans="1:48">
      <c r="A579" s="20" t="s">
        <v>1333</v>
      </c>
      <c r="B579" t="s">
        <v>1334</v>
      </c>
      <c r="C579" t="s">
        <v>1330</v>
      </c>
      <c r="D579" s="31">
        <v>0</v>
      </c>
      <c r="E579" s="31">
        <v>1</v>
      </c>
      <c r="F579" s="31">
        <v>2</v>
      </c>
      <c r="G579" s="31">
        <v>2</v>
      </c>
      <c r="H579" s="32">
        <v>13.99</v>
      </c>
      <c r="I579">
        <v>10</v>
      </c>
      <c r="J579" s="33">
        <v>0</v>
      </c>
      <c r="K579" s="33">
        <v>0</v>
      </c>
      <c r="L579" s="33">
        <v>5</v>
      </c>
      <c r="M579">
        <v>15</v>
      </c>
      <c r="N579">
        <v>0</v>
      </c>
      <c r="O579">
        <v>0</v>
      </c>
      <c r="P579">
        <v>149</v>
      </c>
      <c r="Q579">
        <v>144</v>
      </c>
      <c r="R579">
        <v>149</v>
      </c>
      <c r="S579">
        <v>172</v>
      </c>
      <c r="T579">
        <v>2</v>
      </c>
      <c r="U579">
        <v>2</v>
      </c>
      <c r="V579">
        <v>3</v>
      </c>
      <c r="W579">
        <v>0</v>
      </c>
      <c r="X579" s="22">
        <v>0.0134228187919463</v>
      </c>
      <c r="Y579" s="22">
        <v>0.0138888888888889</v>
      </c>
      <c r="Z579" s="22">
        <v>0.0201342281879195</v>
      </c>
      <c r="AA579" s="22">
        <v>0</v>
      </c>
      <c r="AB579">
        <v>0.28</v>
      </c>
      <c r="AC579">
        <v>0.41</v>
      </c>
      <c r="AD579">
        <v>0.51</v>
      </c>
      <c r="AE579">
        <v>0</v>
      </c>
      <c r="AF579" s="22" t="s">
        <v>1335</v>
      </c>
      <c r="AG579" s="22">
        <v>0.0293066476054324</v>
      </c>
      <c r="AH579" s="22">
        <v>0.0182273052180129</v>
      </c>
      <c r="AI579" s="22" t="s">
        <v>53</v>
      </c>
      <c r="AJ579">
        <v>8</v>
      </c>
      <c r="AK579">
        <v>25</v>
      </c>
      <c r="AL579">
        <v>10</v>
      </c>
      <c r="AM579">
        <v>17</v>
      </c>
      <c r="AN579" s="22">
        <v>0</v>
      </c>
      <c r="AO579" s="22">
        <v>0.04</v>
      </c>
      <c r="AP579" s="22">
        <v>0.2</v>
      </c>
      <c r="AQ579" s="22">
        <v>0.117647058823529</v>
      </c>
      <c r="AR579" s="35">
        <v>0</v>
      </c>
      <c r="AS579" s="35">
        <v>0</v>
      </c>
      <c r="AT579" s="35">
        <v>15</v>
      </c>
      <c r="AU579" s="31" t="str">
        <f t="shared" si="12"/>
        <v>库存为15</v>
      </c>
      <c r="AV579" s="36" t="str">
        <f>IFERROR(时间!$B$4+AU579,"上周无销量")</f>
        <v>上周无销量</v>
      </c>
    </row>
    <row r="580" spans="1:48">
      <c r="A580" s="20" t="s">
        <v>1336</v>
      </c>
      <c r="B580" t="s">
        <v>1337</v>
      </c>
      <c r="C580" t="s">
        <v>1330</v>
      </c>
      <c r="D580" s="31">
        <v>0</v>
      </c>
      <c r="E580" s="31">
        <v>2</v>
      </c>
      <c r="F580" s="31">
        <v>6</v>
      </c>
      <c r="G580" s="31">
        <v>3</v>
      </c>
      <c r="H580" s="32">
        <v>13.99</v>
      </c>
      <c r="I580">
        <v>0</v>
      </c>
      <c r="J580" s="33">
        <v>5</v>
      </c>
      <c r="K580" s="33">
        <v>0</v>
      </c>
      <c r="L580" s="33">
        <v>10</v>
      </c>
      <c r="M580">
        <v>15</v>
      </c>
      <c r="N580">
        <v>6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0</v>
      </c>
      <c r="AK580">
        <v>24</v>
      </c>
      <c r="AL580">
        <v>33</v>
      </c>
      <c r="AM580">
        <v>44</v>
      </c>
      <c r="AN580" s="22" t="s">
        <v>53</v>
      </c>
      <c r="AO580" s="22">
        <v>0.0833333333333333</v>
      </c>
      <c r="AP580" s="22">
        <v>0.181818181818182</v>
      </c>
      <c r="AQ580" s="22">
        <v>0.0681818181818182</v>
      </c>
      <c r="AR580" s="35">
        <v>0</v>
      </c>
      <c r="AS580" s="35">
        <v>0</v>
      </c>
      <c r="AT580" s="35">
        <v>15</v>
      </c>
      <c r="AU580" s="31" t="str">
        <f t="shared" si="12"/>
        <v>库存为15</v>
      </c>
      <c r="AV580" s="36" t="str">
        <f>IFERROR(时间!$B$4+AU580,"上周无销量")</f>
        <v>上周无销量</v>
      </c>
    </row>
    <row r="581" spans="1:48">
      <c r="A581" s="20" t="s">
        <v>1338</v>
      </c>
      <c r="B581" t="s">
        <v>1339</v>
      </c>
      <c r="C581" t="s">
        <v>1330</v>
      </c>
      <c r="D581" s="31">
        <v>0</v>
      </c>
      <c r="E581" s="31">
        <v>2</v>
      </c>
      <c r="F581" s="31">
        <v>0</v>
      </c>
      <c r="G581" s="31">
        <v>4</v>
      </c>
      <c r="H581" s="32">
        <v>13.99</v>
      </c>
      <c r="I581">
        <v>11</v>
      </c>
      <c r="J581" s="33">
        <v>5</v>
      </c>
      <c r="K581" s="33">
        <v>0</v>
      </c>
      <c r="L581" s="33">
        <v>0</v>
      </c>
      <c r="M581">
        <v>16</v>
      </c>
      <c r="N581">
        <v>3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19</v>
      </c>
      <c r="AK581">
        <v>18</v>
      </c>
      <c r="AL581">
        <v>7</v>
      </c>
      <c r="AM581">
        <v>17</v>
      </c>
      <c r="AN581" s="22">
        <v>0</v>
      </c>
      <c r="AO581" s="22">
        <v>0.111111111111111</v>
      </c>
      <c r="AP581" s="22">
        <v>0</v>
      </c>
      <c r="AQ581" s="22">
        <v>0.235294117647059</v>
      </c>
      <c r="AR581" s="35">
        <v>0</v>
      </c>
      <c r="AS581" s="35">
        <v>0</v>
      </c>
      <c r="AT581" s="35">
        <v>16</v>
      </c>
      <c r="AU581" s="31" t="str">
        <f t="shared" ref="AU581:AU644" si="13">IF(AR581="","库存为"&amp;M581,IF(AS581=0,"库存为"&amp;M581,INT(M581/AR581)))</f>
        <v>库存为16</v>
      </c>
      <c r="AV581" s="36" t="str">
        <f>IFERROR(时间!$B$4+AU581,"上周无销量")</f>
        <v>上周无销量</v>
      </c>
    </row>
    <row r="582" spans="1:48">
      <c r="A582" s="20" t="s">
        <v>1340</v>
      </c>
      <c r="B582" t="s">
        <v>1341</v>
      </c>
      <c r="C582" t="s">
        <v>1330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20</v>
      </c>
      <c r="J582" s="33">
        <v>0</v>
      </c>
      <c r="K582" s="33">
        <v>0</v>
      </c>
      <c r="L582" s="33">
        <v>0</v>
      </c>
      <c r="M582">
        <v>20</v>
      </c>
      <c r="N582">
        <v>0</v>
      </c>
      <c r="O582">
        <v>9</v>
      </c>
      <c r="P582">
        <v>121</v>
      </c>
      <c r="Q582">
        <v>96</v>
      </c>
      <c r="R582">
        <v>71</v>
      </c>
      <c r="S582">
        <v>279</v>
      </c>
      <c r="T582">
        <v>0</v>
      </c>
      <c r="U582">
        <v>1</v>
      </c>
      <c r="V582">
        <v>0</v>
      </c>
      <c r="W582">
        <v>0</v>
      </c>
      <c r="X582" s="22">
        <v>0</v>
      </c>
      <c r="Y582" s="22">
        <v>0.0104166666666667</v>
      </c>
      <c r="Z582" s="22">
        <v>0</v>
      </c>
      <c r="AA582" s="22">
        <v>0</v>
      </c>
      <c r="AB582">
        <v>0</v>
      </c>
      <c r="AC582">
        <v>0.15</v>
      </c>
      <c r="AD582">
        <v>0</v>
      </c>
      <c r="AE582">
        <v>0</v>
      </c>
      <c r="AF582" s="22" t="s">
        <v>53</v>
      </c>
      <c r="AG582" s="22" t="s">
        <v>1342</v>
      </c>
      <c r="AH582" s="22" t="s">
        <v>53</v>
      </c>
      <c r="AI582" s="22" t="s">
        <v>53</v>
      </c>
      <c r="AJ582">
        <v>10</v>
      </c>
      <c r="AK582">
        <v>13</v>
      </c>
      <c r="AL582">
        <v>8</v>
      </c>
      <c r="AM582">
        <v>3</v>
      </c>
      <c r="AN582" s="22">
        <v>0</v>
      </c>
      <c r="AO582" s="22">
        <v>0</v>
      </c>
      <c r="AP582" s="22">
        <v>0</v>
      </c>
      <c r="AQ582" s="22">
        <v>0</v>
      </c>
      <c r="AR582" s="35">
        <v>0</v>
      </c>
      <c r="AS582" s="35">
        <v>0</v>
      </c>
      <c r="AT582" s="35">
        <v>20</v>
      </c>
      <c r="AU582" s="31" t="str">
        <f t="shared" si="13"/>
        <v>库存为20</v>
      </c>
      <c r="AV582" s="36" t="str">
        <f>IFERROR(时间!$B$4+AU582,"上周无销量")</f>
        <v>上周无销量</v>
      </c>
    </row>
    <row r="583" spans="1:48">
      <c r="A583" s="20" t="s">
        <v>1343</v>
      </c>
      <c r="B583" t="s">
        <v>1344</v>
      </c>
      <c r="C583" t="s">
        <v>1330</v>
      </c>
      <c r="D583" s="31">
        <v>4</v>
      </c>
      <c r="E583" s="31">
        <v>1</v>
      </c>
      <c r="F583" s="31">
        <v>0</v>
      </c>
      <c r="G583" s="31">
        <v>4</v>
      </c>
      <c r="H583" s="32">
        <v>13.99</v>
      </c>
      <c r="I583">
        <v>14</v>
      </c>
      <c r="J583" s="33">
        <v>0</v>
      </c>
      <c r="K583" s="33">
        <v>0</v>
      </c>
      <c r="L583" s="33">
        <v>0</v>
      </c>
      <c r="M583">
        <v>14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425</v>
      </c>
      <c r="T583">
        <v>0</v>
      </c>
      <c r="U583">
        <v>0</v>
      </c>
      <c r="V583">
        <v>0</v>
      </c>
      <c r="W583">
        <v>0</v>
      </c>
      <c r="X583" s="22" t="s">
        <v>53</v>
      </c>
      <c r="Y583" s="22" t="s">
        <v>53</v>
      </c>
      <c r="Z583" s="22" t="s">
        <v>53</v>
      </c>
      <c r="AA583" s="22">
        <v>0</v>
      </c>
      <c r="AB583">
        <v>0</v>
      </c>
      <c r="AC583">
        <v>0</v>
      </c>
      <c r="AD583">
        <v>0</v>
      </c>
      <c r="AE583">
        <v>0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0</v>
      </c>
      <c r="AK583">
        <v>17</v>
      </c>
      <c r="AL583">
        <v>10</v>
      </c>
      <c r="AM583">
        <v>14</v>
      </c>
      <c r="AN583" s="22" t="s">
        <v>53</v>
      </c>
      <c r="AO583" s="22">
        <v>0.0588235294117647</v>
      </c>
      <c r="AP583" s="22">
        <v>0</v>
      </c>
      <c r="AQ583" s="22">
        <v>0.285714285714286</v>
      </c>
      <c r="AR583" s="35">
        <v>0.571428571428571</v>
      </c>
      <c r="AS583" s="35">
        <v>34.2857142857143</v>
      </c>
      <c r="AT583" s="35">
        <v>-20.2857142857143</v>
      </c>
      <c r="AU583" s="31">
        <f t="shared" si="13"/>
        <v>24</v>
      </c>
      <c r="AV583" s="36">
        <f>IFERROR(时间!$B$4+AU583,"上周无销量")</f>
        <v>43356</v>
      </c>
    </row>
    <row r="584" spans="1:48">
      <c r="A584" s="20" t="s">
        <v>1345</v>
      </c>
      <c r="B584" t="s">
        <v>1346</v>
      </c>
      <c r="C584" t="s">
        <v>1330</v>
      </c>
      <c r="D584" s="31">
        <v>6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1</v>
      </c>
      <c r="AK584">
        <v>11</v>
      </c>
      <c r="AL584">
        <v>11</v>
      </c>
      <c r="AM584">
        <v>18</v>
      </c>
      <c r="AN584" s="22">
        <v>6</v>
      </c>
      <c r="AO584" s="22">
        <v>0</v>
      </c>
      <c r="AP584" s="22">
        <v>0</v>
      </c>
      <c r="AQ584" s="22">
        <v>0</v>
      </c>
      <c r="AR584" s="35">
        <v>0.857142857142857</v>
      </c>
      <c r="AS584" s="35">
        <v>51.4285714285714</v>
      </c>
      <c r="AT584" s="35">
        <v>-51.4285714285714</v>
      </c>
      <c r="AU584" s="31">
        <f t="shared" si="13"/>
        <v>0</v>
      </c>
      <c r="AV584" s="36">
        <f>IFERROR(时间!$B$4+AU584,"上周无销量")</f>
        <v>43332</v>
      </c>
    </row>
    <row r="585" spans="1:48">
      <c r="A585" s="20" t="s">
        <v>1347</v>
      </c>
      <c r="B585" t="s">
        <v>1348</v>
      </c>
      <c r="C585" t="s">
        <v>1330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13</v>
      </c>
      <c r="J585" s="33">
        <v>0</v>
      </c>
      <c r="K585" s="33">
        <v>0</v>
      </c>
      <c r="L585" s="33">
        <v>0</v>
      </c>
      <c r="M585">
        <v>13</v>
      </c>
      <c r="N585">
        <v>0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10</v>
      </c>
      <c r="AK585">
        <v>6</v>
      </c>
      <c r="AL585">
        <v>8</v>
      </c>
      <c r="AM585">
        <v>11</v>
      </c>
      <c r="AN585" s="22">
        <v>0</v>
      </c>
      <c r="AO585" s="22">
        <v>0</v>
      </c>
      <c r="AP585" s="22">
        <v>0</v>
      </c>
      <c r="AQ585" s="22">
        <v>0</v>
      </c>
      <c r="AR585" s="35">
        <v>0</v>
      </c>
      <c r="AS585" s="35">
        <v>0</v>
      </c>
      <c r="AT585" s="35">
        <v>13</v>
      </c>
      <c r="AU585" s="31" t="str">
        <f t="shared" si="13"/>
        <v>库存为13</v>
      </c>
      <c r="AV585" s="36" t="str">
        <f>IFERROR(时间!$B$4+AU585,"上周无销量")</f>
        <v>上周无销量</v>
      </c>
    </row>
    <row r="586" spans="1:48">
      <c r="A586" s="20" t="s">
        <v>1349</v>
      </c>
      <c r="B586" t="s">
        <v>1350</v>
      </c>
      <c r="C586" t="s">
        <v>1330</v>
      </c>
      <c r="D586" s="31">
        <v>1</v>
      </c>
      <c r="E586" s="31">
        <v>2</v>
      </c>
      <c r="F586" s="31">
        <v>0</v>
      </c>
      <c r="G586" s="31">
        <v>3</v>
      </c>
      <c r="H586" s="32">
        <v>13.99</v>
      </c>
      <c r="I586">
        <v>16</v>
      </c>
      <c r="J586" s="33">
        <v>0</v>
      </c>
      <c r="K586" s="33">
        <v>0</v>
      </c>
      <c r="L586" s="33">
        <v>0</v>
      </c>
      <c r="M586">
        <v>16</v>
      </c>
      <c r="N586">
        <v>0</v>
      </c>
      <c r="O586">
        <v>0</v>
      </c>
      <c r="P586">
        <v>181</v>
      </c>
      <c r="Q586">
        <v>142</v>
      </c>
      <c r="R586">
        <v>131</v>
      </c>
      <c r="S586">
        <v>341</v>
      </c>
      <c r="T586">
        <v>3</v>
      </c>
      <c r="U586">
        <v>2</v>
      </c>
      <c r="V586">
        <v>1</v>
      </c>
      <c r="W586">
        <v>2</v>
      </c>
      <c r="X586" s="22">
        <v>0.0165745856353591</v>
      </c>
      <c r="Y586" s="22">
        <v>0.0140845070422535</v>
      </c>
      <c r="Z586" s="22">
        <v>0.00763358778625954</v>
      </c>
      <c r="AA586" s="22">
        <v>0.00586510263929619</v>
      </c>
      <c r="AB586">
        <v>0.53</v>
      </c>
      <c r="AC586">
        <v>0.39</v>
      </c>
      <c r="AD586">
        <v>0.25</v>
      </c>
      <c r="AE586">
        <v>0.43</v>
      </c>
      <c r="AF586" s="22">
        <v>0.0378842030021444</v>
      </c>
      <c r="AG586" s="22">
        <v>0.0139385275196569</v>
      </c>
      <c r="AH586" s="22" t="s">
        <v>945</v>
      </c>
      <c r="AI586" s="22">
        <v>0.010245413390517</v>
      </c>
      <c r="AJ586">
        <v>25</v>
      </c>
      <c r="AK586">
        <v>17</v>
      </c>
      <c r="AL586">
        <v>14</v>
      </c>
      <c r="AM586">
        <v>21</v>
      </c>
      <c r="AN586" s="22">
        <v>0.04</v>
      </c>
      <c r="AO586" s="22">
        <v>0.117647058823529</v>
      </c>
      <c r="AP586" s="22">
        <v>0</v>
      </c>
      <c r="AQ586" s="22">
        <v>0.142857142857143</v>
      </c>
      <c r="AR586" s="35">
        <v>0.142857142857143</v>
      </c>
      <c r="AS586" s="35">
        <v>8.57142857142857</v>
      </c>
      <c r="AT586" s="35">
        <v>7.42857142857143</v>
      </c>
      <c r="AU586" s="31">
        <f t="shared" si="13"/>
        <v>112</v>
      </c>
      <c r="AV586" s="36">
        <f>IFERROR(时间!$B$4+AU586,"上周无销量")</f>
        <v>43444</v>
      </c>
    </row>
    <row r="587" spans="1:48">
      <c r="A587" s="20" t="s">
        <v>1351</v>
      </c>
      <c r="B587" t="s">
        <v>1352</v>
      </c>
      <c r="C587" t="s">
        <v>1351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0</v>
      </c>
      <c r="AK587">
        <v>4</v>
      </c>
      <c r="AL587">
        <v>0</v>
      </c>
      <c r="AM587">
        <v>0</v>
      </c>
      <c r="AN587" s="22" t="s">
        <v>53</v>
      </c>
      <c r="AO587" s="22">
        <v>0</v>
      </c>
      <c r="AP587" s="22" t="s">
        <v>53</v>
      </c>
      <c r="AQ587" s="22" t="s">
        <v>53</v>
      </c>
      <c r="AR587" s="35">
        <v>0</v>
      </c>
      <c r="AS587" s="35">
        <v>0</v>
      </c>
      <c r="AT587" s="35">
        <v>0</v>
      </c>
      <c r="AU587" s="31" t="str">
        <f t="shared" si="13"/>
        <v>库存为0</v>
      </c>
      <c r="AV587" s="36" t="str">
        <f>IFERROR(时间!$B$4+AU587,"上周无销量")</f>
        <v>上周无销量</v>
      </c>
    </row>
    <row r="588" spans="1:48">
      <c r="A588" s="20" t="s">
        <v>1353</v>
      </c>
      <c r="B588" t="s">
        <v>1354</v>
      </c>
      <c r="C588" t="s">
        <v>1355</v>
      </c>
      <c r="D588" s="31">
        <v>96</v>
      </c>
      <c r="E588" s="31">
        <v>110</v>
      </c>
      <c r="F588" s="31">
        <v>166</v>
      </c>
      <c r="G588" s="31">
        <v>71</v>
      </c>
      <c r="H588" s="32">
        <v>23.1051467268622</v>
      </c>
      <c r="I588">
        <v>371</v>
      </c>
      <c r="J588" s="33">
        <v>0</v>
      </c>
      <c r="K588" s="33">
        <v>40</v>
      </c>
      <c r="L588" s="33">
        <v>4</v>
      </c>
      <c r="M588">
        <v>415</v>
      </c>
      <c r="N588">
        <v>3</v>
      </c>
      <c r="O588">
        <v>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968</v>
      </c>
      <c r="AK588">
        <v>952</v>
      </c>
      <c r="AL588">
        <v>799</v>
      </c>
      <c r="AM588">
        <v>636</v>
      </c>
      <c r="AN588" s="22">
        <v>0.0991735537190083</v>
      </c>
      <c r="AO588" s="22">
        <v>0.115546218487395</v>
      </c>
      <c r="AP588" s="22">
        <v>0.207759699624531</v>
      </c>
      <c r="AQ588" s="22">
        <v>0.111635220125786</v>
      </c>
      <c r="AR588" s="35">
        <v>13.7142857142857</v>
      </c>
      <c r="AS588" s="35">
        <v>822.857142857143</v>
      </c>
      <c r="AT588" s="35">
        <v>-407.857142857143</v>
      </c>
      <c r="AU588" s="31">
        <f t="shared" si="13"/>
        <v>30</v>
      </c>
      <c r="AV588" s="36">
        <f>IFERROR(时间!$B$4+AU588,"上周无销量")</f>
        <v>43362</v>
      </c>
    </row>
    <row r="589" spans="1:48">
      <c r="A589" s="20" t="s">
        <v>1356</v>
      </c>
      <c r="B589" t="s">
        <v>1357</v>
      </c>
      <c r="C589" t="s">
        <v>1355</v>
      </c>
      <c r="D589" s="31">
        <v>230</v>
      </c>
      <c r="E589" s="31">
        <v>271</v>
      </c>
      <c r="F589" s="31">
        <v>332</v>
      </c>
      <c r="G589" s="31">
        <v>260</v>
      </c>
      <c r="H589" s="32">
        <v>22.9900000000003</v>
      </c>
      <c r="I589">
        <v>226</v>
      </c>
      <c r="J589" s="33">
        <v>150</v>
      </c>
      <c r="K589" s="33">
        <v>245</v>
      </c>
      <c r="L589" s="33">
        <v>22</v>
      </c>
      <c r="M589">
        <v>643</v>
      </c>
      <c r="N589">
        <v>6</v>
      </c>
      <c r="O589">
        <v>0</v>
      </c>
      <c r="P589">
        <v>0</v>
      </c>
      <c r="Q589">
        <v>77316</v>
      </c>
      <c r="R589">
        <v>46246</v>
      </c>
      <c r="S589">
        <v>23079</v>
      </c>
      <c r="T589">
        <v>0</v>
      </c>
      <c r="U589">
        <v>176</v>
      </c>
      <c r="V589">
        <v>209</v>
      </c>
      <c r="W589">
        <v>143</v>
      </c>
      <c r="X589" s="22" t="s">
        <v>53</v>
      </c>
      <c r="Y589" s="22">
        <v>0.00227637229034094</v>
      </c>
      <c r="Z589" s="22">
        <v>0.00451930977814297</v>
      </c>
      <c r="AA589" s="22">
        <v>0.00619610901685515</v>
      </c>
      <c r="AB589">
        <v>0</v>
      </c>
      <c r="AC589">
        <v>87.78</v>
      </c>
      <c r="AD589">
        <v>119.44</v>
      </c>
      <c r="AE589">
        <v>88.37</v>
      </c>
      <c r="AF589" s="22" t="s">
        <v>53</v>
      </c>
      <c r="AG589" s="22">
        <v>0.0140892318014087</v>
      </c>
      <c r="AH589" s="22">
        <v>0.0156485009197292</v>
      </c>
      <c r="AI589" s="22">
        <v>0.0147840198079431</v>
      </c>
      <c r="AJ589">
        <v>3445</v>
      </c>
      <c r="AK589">
        <v>3358</v>
      </c>
      <c r="AL589">
        <v>2544</v>
      </c>
      <c r="AM589">
        <v>2494</v>
      </c>
      <c r="AN589" s="22">
        <v>0.0667634252539913</v>
      </c>
      <c r="AO589" s="22">
        <v>0.0807027992852889</v>
      </c>
      <c r="AP589" s="22">
        <v>0.130503144654088</v>
      </c>
      <c r="AQ589" s="22">
        <v>0.104250200481155</v>
      </c>
      <c r="AR589" s="35">
        <v>32.8571428571429</v>
      </c>
      <c r="AS589" s="35">
        <v>1971.42857142857</v>
      </c>
      <c r="AT589" s="35">
        <v>-1328.42857142857</v>
      </c>
      <c r="AU589" s="31">
        <f t="shared" si="13"/>
        <v>19</v>
      </c>
      <c r="AV589" s="36">
        <f>IFERROR(时间!$B$4+AU589,"上周无销量")</f>
        <v>43351</v>
      </c>
    </row>
    <row r="590" spans="1:48">
      <c r="A590" s="20" t="s">
        <v>1358</v>
      </c>
      <c r="B590" t="s">
        <v>1359</v>
      </c>
      <c r="C590" t="s">
        <v>1355</v>
      </c>
      <c r="D590" s="31">
        <v>68</v>
      </c>
      <c r="E590" s="31">
        <v>59</v>
      </c>
      <c r="F590" s="31">
        <v>96</v>
      </c>
      <c r="G590" s="31">
        <v>112</v>
      </c>
      <c r="H590" s="32">
        <v>23.6378208955222</v>
      </c>
      <c r="I590">
        <v>204</v>
      </c>
      <c r="J590" s="33">
        <v>280</v>
      </c>
      <c r="K590" s="33">
        <v>0</v>
      </c>
      <c r="L590" s="33">
        <v>6</v>
      </c>
      <c r="M590">
        <v>490</v>
      </c>
      <c r="N590">
        <v>3</v>
      </c>
      <c r="O590">
        <v>0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744</v>
      </c>
      <c r="AK590">
        <v>584</v>
      </c>
      <c r="AL590">
        <v>557</v>
      </c>
      <c r="AM590">
        <v>855</v>
      </c>
      <c r="AN590" s="22">
        <v>0.0913978494623656</v>
      </c>
      <c r="AO590" s="22">
        <v>0.101027397260274</v>
      </c>
      <c r="AP590" s="22">
        <v>0.172351885098743</v>
      </c>
      <c r="AQ590" s="22">
        <v>0.130994152046784</v>
      </c>
      <c r="AR590" s="35">
        <v>9.71428571428571</v>
      </c>
      <c r="AS590" s="35">
        <v>582.857142857143</v>
      </c>
      <c r="AT590" s="35">
        <v>-92.8571428571428</v>
      </c>
      <c r="AU590" s="31">
        <f t="shared" si="13"/>
        <v>50</v>
      </c>
      <c r="AV590" s="36">
        <f>IFERROR(时间!$B$4+AU590,"上周无销量")</f>
        <v>43382</v>
      </c>
    </row>
    <row r="591" spans="1:48">
      <c r="A591" s="20" t="s">
        <v>1360</v>
      </c>
      <c r="B591" t="s">
        <v>1361</v>
      </c>
      <c r="C591" t="s">
        <v>1355</v>
      </c>
      <c r="D591" s="31">
        <v>60</v>
      </c>
      <c r="E591" s="31">
        <v>54</v>
      </c>
      <c r="F591" s="31">
        <v>67</v>
      </c>
      <c r="G591" s="31">
        <v>29</v>
      </c>
      <c r="H591" s="32">
        <v>22.9899999999999</v>
      </c>
      <c r="I591">
        <v>67</v>
      </c>
      <c r="J591" s="33">
        <v>95</v>
      </c>
      <c r="K591" s="33">
        <v>0</v>
      </c>
      <c r="L591" s="33">
        <v>83</v>
      </c>
      <c r="M591">
        <v>245</v>
      </c>
      <c r="N591">
        <v>2</v>
      </c>
      <c r="O591">
        <v>0</v>
      </c>
      <c r="P591">
        <v>0</v>
      </c>
      <c r="Q591">
        <v>0</v>
      </c>
      <c r="R591">
        <v>0</v>
      </c>
      <c r="S591">
        <v>217</v>
      </c>
      <c r="T591">
        <v>0</v>
      </c>
      <c r="U591">
        <v>0</v>
      </c>
      <c r="V591">
        <v>0</v>
      </c>
      <c r="W591">
        <v>3</v>
      </c>
      <c r="X591" s="22" t="s">
        <v>53</v>
      </c>
      <c r="Y591" s="22" t="s">
        <v>53</v>
      </c>
      <c r="Z591" s="22" t="s">
        <v>53</v>
      </c>
      <c r="AA591" s="22">
        <v>0.0138248847926267</v>
      </c>
      <c r="AB591">
        <v>0</v>
      </c>
      <c r="AC591">
        <v>0</v>
      </c>
      <c r="AD591">
        <v>0</v>
      </c>
      <c r="AE591">
        <v>0.38</v>
      </c>
      <c r="AF591" s="22" t="s">
        <v>53</v>
      </c>
      <c r="AG591" s="22" t="s">
        <v>53</v>
      </c>
      <c r="AH591" s="22" t="s">
        <v>53</v>
      </c>
      <c r="AI591" s="22">
        <v>0.000569962952408096</v>
      </c>
      <c r="AJ591">
        <v>1094</v>
      </c>
      <c r="AK591">
        <v>857</v>
      </c>
      <c r="AL591">
        <v>657</v>
      </c>
      <c r="AM591">
        <v>379</v>
      </c>
      <c r="AN591" s="22">
        <v>0.0548446069469835</v>
      </c>
      <c r="AO591" s="22">
        <v>0.0630105017502917</v>
      </c>
      <c r="AP591" s="22">
        <v>0.101978691019787</v>
      </c>
      <c r="AQ591" s="22">
        <v>0.0765171503957784</v>
      </c>
      <c r="AR591" s="35">
        <v>8.57142857142857</v>
      </c>
      <c r="AS591" s="35">
        <v>514.285714285714</v>
      </c>
      <c r="AT591" s="35">
        <v>-269.285714285714</v>
      </c>
      <c r="AU591" s="31">
        <f t="shared" si="13"/>
        <v>28</v>
      </c>
      <c r="AV591" s="36">
        <f>IFERROR(时间!$B$4+AU591,"上周无销量")</f>
        <v>43360</v>
      </c>
    </row>
    <row r="592" spans="1:48">
      <c r="A592" s="20" t="s">
        <v>1362</v>
      </c>
      <c r="B592" t="s">
        <v>1363</v>
      </c>
      <c r="C592" t="s">
        <v>1355</v>
      </c>
      <c r="D592" s="31">
        <v>336</v>
      </c>
      <c r="E592" s="31">
        <v>265</v>
      </c>
      <c r="F592" s="31">
        <v>300</v>
      </c>
      <c r="G592" s="31">
        <v>274</v>
      </c>
      <c r="H592" s="32">
        <v>23.5023319148941</v>
      </c>
      <c r="I592">
        <v>190</v>
      </c>
      <c r="J592" s="33">
        <v>200</v>
      </c>
      <c r="K592" s="33">
        <v>117</v>
      </c>
      <c r="L592" s="33">
        <v>18</v>
      </c>
      <c r="M592">
        <v>525</v>
      </c>
      <c r="N592">
        <v>5</v>
      </c>
      <c r="O592">
        <v>0</v>
      </c>
      <c r="P592">
        <v>355304</v>
      </c>
      <c r="Q592">
        <v>277234</v>
      </c>
      <c r="R592">
        <v>278114</v>
      </c>
      <c r="S592">
        <v>200764</v>
      </c>
      <c r="T592">
        <v>961</v>
      </c>
      <c r="U592">
        <v>735</v>
      </c>
      <c r="V592">
        <v>768</v>
      </c>
      <c r="W592">
        <v>625</v>
      </c>
      <c r="X592" s="22">
        <v>0.0027047260937113</v>
      </c>
      <c r="Y592" s="22">
        <v>0.00265118996948426</v>
      </c>
      <c r="Z592" s="22">
        <v>0.00276145753180351</v>
      </c>
      <c r="AA592" s="22">
        <v>0.00311310792771612</v>
      </c>
      <c r="AB592">
        <v>466.75</v>
      </c>
      <c r="AC592">
        <v>362.95</v>
      </c>
      <c r="AD592">
        <v>414.32</v>
      </c>
      <c r="AE592">
        <v>377.15</v>
      </c>
      <c r="AF592" s="22">
        <v>0.0591063435659152</v>
      </c>
      <c r="AG592" s="22">
        <v>0.0582760317771474</v>
      </c>
      <c r="AH592" s="22">
        <v>0.0587629632526569</v>
      </c>
      <c r="AI592" s="22">
        <v>0.0585669481223817</v>
      </c>
      <c r="AJ592">
        <v>6051</v>
      </c>
      <c r="AK592">
        <v>3988</v>
      </c>
      <c r="AL592">
        <v>3111</v>
      </c>
      <c r="AM592">
        <v>3061</v>
      </c>
      <c r="AN592" s="22">
        <v>0.0555280118988597</v>
      </c>
      <c r="AO592" s="22">
        <v>0.0664493480441324</v>
      </c>
      <c r="AP592" s="22">
        <v>0.0964320154291225</v>
      </c>
      <c r="AQ592" s="22">
        <v>0.0895132309702712</v>
      </c>
      <c r="AR592" s="35">
        <v>48</v>
      </c>
      <c r="AS592" s="35">
        <v>2880</v>
      </c>
      <c r="AT592" s="35">
        <v>-2355</v>
      </c>
      <c r="AU592" s="31">
        <f t="shared" si="13"/>
        <v>10</v>
      </c>
      <c r="AV592" s="36">
        <f>IFERROR(时间!$B$4+AU592,"上周无销量")</f>
        <v>43342</v>
      </c>
    </row>
    <row r="593" spans="1:48">
      <c r="A593" s="20" t="s">
        <v>1364</v>
      </c>
      <c r="B593" t="s">
        <v>1365</v>
      </c>
      <c r="C593" t="s">
        <v>1355</v>
      </c>
      <c r="D593" s="31">
        <v>26</v>
      </c>
      <c r="E593" s="31">
        <v>23</v>
      </c>
      <c r="F593" s="31">
        <v>18</v>
      </c>
      <c r="G593" s="31">
        <v>29</v>
      </c>
      <c r="H593" s="32">
        <v>22.7505208333333</v>
      </c>
      <c r="I593">
        <v>19</v>
      </c>
      <c r="J593" s="33">
        <v>107</v>
      </c>
      <c r="K593" s="33">
        <v>0</v>
      </c>
      <c r="L593" s="33">
        <v>2</v>
      </c>
      <c r="M593">
        <v>128</v>
      </c>
      <c r="N593">
        <v>0</v>
      </c>
      <c r="O593">
        <v>0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735</v>
      </c>
      <c r="AK593">
        <v>631</v>
      </c>
      <c r="AL593">
        <v>468</v>
      </c>
      <c r="AM593">
        <v>627</v>
      </c>
      <c r="AN593" s="22">
        <v>0.0353741496598639</v>
      </c>
      <c r="AO593" s="22">
        <v>0.0364500792393027</v>
      </c>
      <c r="AP593" s="22">
        <v>0.0384615384615385</v>
      </c>
      <c r="AQ593" s="22">
        <v>0.0462519936204147</v>
      </c>
      <c r="AR593" s="35">
        <v>3.71428571428571</v>
      </c>
      <c r="AS593" s="35">
        <v>222.857142857143</v>
      </c>
      <c r="AT593" s="35">
        <v>-94.8571428571429</v>
      </c>
      <c r="AU593" s="31">
        <f t="shared" si="13"/>
        <v>34</v>
      </c>
      <c r="AV593" s="36">
        <f>IFERROR(时间!$B$4+AU593,"上周无销量")</f>
        <v>43366</v>
      </c>
    </row>
    <row r="594" spans="1:48">
      <c r="A594" s="20" t="s">
        <v>1366</v>
      </c>
      <c r="B594" t="s">
        <v>1367</v>
      </c>
      <c r="C594" t="s">
        <v>1355</v>
      </c>
      <c r="D594" s="31">
        <v>21</v>
      </c>
      <c r="E594" s="31">
        <v>29</v>
      </c>
      <c r="F594" s="31">
        <v>28</v>
      </c>
      <c r="G594" s="31">
        <v>18</v>
      </c>
      <c r="H594" s="32">
        <v>23.0096875</v>
      </c>
      <c r="I594">
        <v>0</v>
      </c>
      <c r="J594" s="33">
        <v>142</v>
      </c>
      <c r="K594" s="33">
        <v>0</v>
      </c>
      <c r="L594" s="33">
        <v>33</v>
      </c>
      <c r="M594">
        <v>175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562</v>
      </c>
      <c r="AK594">
        <v>666</v>
      </c>
      <c r="AL594">
        <v>506</v>
      </c>
      <c r="AM594">
        <v>619</v>
      </c>
      <c r="AN594" s="22">
        <v>0.0373665480427046</v>
      </c>
      <c r="AO594" s="22">
        <v>0.0435435435435435</v>
      </c>
      <c r="AP594" s="22">
        <v>0.0553359683794466</v>
      </c>
      <c r="AQ594" s="22">
        <v>0.0290791599353796</v>
      </c>
      <c r="AR594" s="35">
        <v>3</v>
      </c>
      <c r="AS594" s="35">
        <v>180</v>
      </c>
      <c r="AT594" s="35">
        <v>-5</v>
      </c>
      <c r="AU594" s="31">
        <f t="shared" si="13"/>
        <v>58</v>
      </c>
      <c r="AV594" s="36">
        <f>IFERROR(时间!$B$4+AU594,"上周无销量")</f>
        <v>43390</v>
      </c>
    </row>
    <row r="595" spans="1:48">
      <c r="A595" s="20" t="s">
        <v>1368</v>
      </c>
      <c r="B595" t="s">
        <v>1369</v>
      </c>
      <c r="C595" t="s">
        <v>1355</v>
      </c>
      <c r="D595" s="31">
        <v>0</v>
      </c>
      <c r="E595" s="31">
        <v>3</v>
      </c>
      <c r="F595" s="31">
        <v>30</v>
      </c>
      <c r="G595" s="31">
        <v>39</v>
      </c>
      <c r="H595" s="32">
        <v>22.99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161</v>
      </c>
      <c r="AL595">
        <v>431</v>
      </c>
      <c r="AM595">
        <v>642</v>
      </c>
      <c r="AN595" s="22" t="s">
        <v>53</v>
      </c>
      <c r="AO595" s="22">
        <v>0.0186335403726708</v>
      </c>
      <c r="AP595" s="22">
        <v>0.0696055684454756</v>
      </c>
      <c r="AQ595" s="22">
        <v>0.0607476635514019</v>
      </c>
      <c r="AR595" s="35">
        <v>0</v>
      </c>
      <c r="AS595" s="35">
        <v>0</v>
      </c>
      <c r="AT595" s="35">
        <v>0</v>
      </c>
      <c r="AU595" s="31" t="str">
        <f t="shared" si="13"/>
        <v>库存为0</v>
      </c>
      <c r="AV595" s="36" t="str">
        <f>IFERROR(时间!$B$4+AU595,"上周无销量")</f>
        <v>上周无销量</v>
      </c>
    </row>
    <row r="596" spans="1:48">
      <c r="A596" s="20" t="s">
        <v>1370</v>
      </c>
      <c r="B596" t="s">
        <v>1371</v>
      </c>
      <c r="C596" t="s">
        <v>1355</v>
      </c>
      <c r="D596" s="31">
        <v>31</v>
      </c>
      <c r="E596" s="31">
        <v>21</v>
      </c>
      <c r="F596" s="31">
        <v>22</v>
      </c>
      <c r="G596" s="31">
        <v>16</v>
      </c>
      <c r="H596" s="32">
        <v>22.99</v>
      </c>
      <c r="I596">
        <v>13</v>
      </c>
      <c r="J596" s="33">
        <v>69</v>
      </c>
      <c r="K596" s="33">
        <v>0</v>
      </c>
      <c r="L596" s="33">
        <v>31</v>
      </c>
      <c r="M596">
        <v>113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3009</v>
      </c>
      <c r="T596">
        <v>0</v>
      </c>
      <c r="U596">
        <v>0</v>
      </c>
      <c r="V596">
        <v>0</v>
      </c>
      <c r="W596">
        <v>11</v>
      </c>
      <c r="X596" s="22" t="s">
        <v>53</v>
      </c>
      <c r="Y596" s="22" t="s">
        <v>53</v>
      </c>
      <c r="Z596" s="22" t="s">
        <v>53</v>
      </c>
      <c r="AA596" s="22">
        <v>0.00365569956796278</v>
      </c>
      <c r="AB596">
        <v>0</v>
      </c>
      <c r="AC596">
        <v>0</v>
      </c>
      <c r="AD596">
        <v>0</v>
      </c>
      <c r="AE596">
        <v>5.78</v>
      </c>
      <c r="AF596" s="22" t="s">
        <v>53</v>
      </c>
      <c r="AG596" s="22" t="s">
        <v>53</v>
      </c>
      <c r="AH596" s="22" t="s">
        <v>53</v>
      </c>
      <c r="AI596" s="22">
        <v>0.0157133536320139</v>
      </c>
      <c r="AJ596">
        <v>718</v>
      </c>
      <c r="AK596">
        <v>592</v>
      </c>
      <c r="AL596">
        <v>461</v>
      </c>
      <c r="AM596">
        <v>540</v>
      </c>
      <c r="AN596" s="22">
        <v>0.0431754874651811</v>
      </c>
      <c r="AO596" s="22">
        <v>0.035472972972973</v>
      </c>
      <c r="AP596" s="22">
        <v>0.0477223427331887</v>
      </c>
      <c r="AQ596" s="22">
        <v>0.0296296296296296</v>
      </c>
      <c r="AR596" s="35">
        <v>4.42857142857143</v>
      </c>
      <c r="AS596" s="35">
        <v>265.714285714286</v>
      </c>
      <c r="AT596" s="35">
        <v>-152.714285714286</v>
      </c>
      <c r="AU596" s="31">
        <f t="shared" si="13"/>
        <v>25</v>
      </c>
      <c r="AV596" s="36">
        <f>IFERROR(时间!$B$4+AU596,"上周无销量")</f>
        <v>43357</v>
      </c>
    </row>
    <row r="597" spans="1:48">
      <c r="A597" s="20" t="s">
        <v>1372</v>
      </c>
      <c r="B597" t="s">
        <v>1373</v>
      </c>
      <c r="C597" t="s">
        <v>1355</v>
      </c>
      <c r="D597" s="31">
        <v>34</v>
      </c>
      <c r="E597" s="31">
        <v>20</v>
      </c>
      <c r="F597" s="31">
        <v>54</v>
      </c>
      <c r="G597" s="31">
        <v>57</v>
      </c>
      <c r="H597" s="32">
        <v>22.9899999999999</v>
      </c>
      <c r="I597">
        <v>119</v>
      </c>
      <c r="J597" s="33">
        <v>280</v>
      </c>
      <c r="K597" s="33">
        <v>0</v>
      </c>
      <c r="L597" s="33">
        <v>74</v>
      </c>
      <c r="M597">
        <v>473</v>
      </c>
      <c r="N597">
        <v>6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485</v>
      </c>
      <c r="AK597">
        <v>480</v>
      </c>
      <c r="AL597">
        <v>409</v>
      </c>
      <c r="AM597">
        <v>554</v>
      </c>
      <c r="AN597" s="22">
        <v>0.0701030927835052</v>
      </c>
      <c r="AO597" s="22">
        <v>0.0416666666666667</v>
      </c>
      <c r="AP597" s="22">
        <v>0.132029339853301</v>
      </c>
      <c r="AQ597" s="22">
        <v>0.102888086642599</v>
      </c>
      <c r="AR597" s="35">
        <v>4.85714285714286</v>
      </c>
      <c r="AS597" s="35">
        <v>291.428571428571</v>
      </c>
      <c r="AT597" s="35">
        <v>181.571428571429</v>
      </c>
      <c r="AU597" s="31">
        <f t="shared" si="13"/>
        <v>97</v>
      </c>
      <c r="AV597" s="36">
        <f>IFERROR(时间!$B$4+AU597,"上周无销量")</f>
        <v>43429</v>
      </c>
    </row>
    <row r="598" spans="1:48">
      <c r="A598" s="20" t="s">
        <v>1374</v>
      </c>
      <c r="B598" t="s">
        <v>1375</v>
      </c>
      <c r="C598" t="s">
        <v>1355</v>
      </c>
      <c r="D598" s="31">
        <v>39</v>
      </c>
      <c r="E598" s="31">
        <v>31</v>
      </c>
      <c r="F598" s="31">
        <v>26</v>
      </c>
      <c r="G598" s="31">
        <v>39</v>
      </c>
      <c r="H598" s="32">
        <v>22.9899999999999</v>
      </c>
      <c r="I598">
        <v>126</v>
      </c>
      <c r="J598" s="33">
        <v>0</v>
      </c>
      <c r="K598" s="33">
        <v>91</v>
      </c>
      <c r="L598" s="33">
        <v>2</v>
      </c>
      <c r="M598">
        <v>219</v>
      </c>
      <c r="N598">
        <v>0</v>
      </c>
      <c r="O598">
        <v>0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758</v>
      </c>
      <c r="AK598">
        <v>756</v>
      </c>
      <c r="AL598">
        <v>564</v>
      </c>
      <c r="AM598">
        <v>655</v>
      </c>
      <c r="AN598" s="22">
        <v>0.0514511873350923</v>
      </c>
      <c r="AO598" s="22">
        <v>0.041005291005291</v>
      </c>
      <c r="AP598" s="22">
        <v>0.0460992907801418</v>
      </c>
      <c r="AQ598" s="22">
        <v>0.0595419847328244</v>
      </c>
      <c r="AR598" s="35">
        <v>5.57142857142857</v>
      </c>
      <c r="AS598" s="35">
        <v>334.285714285714</v>
      </c>
      <c r="AT598" s="35">
        <v>-115.285714285714</v>
      </c>
      <c r="AU598" s="31">
        <f t="shared" si="13"/>
        <v>39</v>
      </c>
      <c r="AV598" s="36">
        <f>IFERROR(时间!$B$4+AU598,"上周无销量")</f>
        <v>43371</v>
      </c>
    </row>
    <row r="599" spans="1:48">
      <c r="A599" s="20" t="s">
        <v>1376</v>
      </c>
      <c r="B599" t="s">
        <v>1377</v>
      </c>
      <c r="C599" t="s">
        <v>1355</v>
      </c>
      <c r="D599" s="31">
        <v>71</v>
      </c>
      <c r="E599" s="31">
        <v>85</v>
      </c>
      <c r="F599" s="31">
        <v>87</v>
      </c>
      <c r="G599" s="31">
        <v>84</v>
      </c>
      <c r="H599" s="32">
        <v>22.9899999999998</v>
      </c>
      <c r="I599">
        <v>215</v>
      </c>
      <c r="J599" s="33">
        <v>190</v>
      </c>
      <c r="K599" s="33">
        <v>0</v>
      </c>
      <c r="L599" s="33">
        <v>52</v>
      </c>
      <c r="M599">
        <v>457</v>
      </c>
      <c r="N599">
        <v>5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807</v>
      </c>
      <c r="AK599">
        <v>863</v>
      </c>
      <c r="AL599">
        <v>747</v>
      </c>
      <c r="AM599">
        <v>976</v>
      </c>
      <c r="AN599" s="22">
        <v>0.0879801734820322</v>
      </c>
      <c r="AO599" s="22">
        <v>0.0984936268829664</v>
      </c>
      <c r="AP599" s="22">
        <v>0.116465863453815</v>
      </c>
      <c r="AQ599" s="22">
        <v>0.0860655737704918</v>
      </c>
      <c r="AR599" s="35">
        <v>10.1428571428571</v>
      </c>
      <c r="AS599" s="35">
        <v>608.571428571429</v>
      </c>
      <c r="AT599" s="35">
        <v>-151.571428571429</v>
      </c>
      <c r="AU599" s="31">
        <f t="shared" si="13"/>
        <v>45</v>
      </c>
      <c r="AV599" s="36">
        <f>IFERROR(时间!$B$4+AU599,"上周无销量")</f>
        <v>43377</v>
      </c>
    </row>
    <row r="600" spans="1:48">
      <c r="A600" s="20" t="s">
        <v>1378</v>
      </c>
      <c r="B600" t="s">
        <v>1379</v>
      </c>
      <c r="C600" t="s">
        <v>1380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7</v>
      </c>
      <c r="J600" s="33">
        <v>0</v>
      </c>
      <c r="K600" s="33">
        <v>0</v>
      </c>
      <c r="L600" s="33">
        <v>0</v>
      </c>
      <c r="M600">
        <v>7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178</v>
      </c>
      <c r="T600">
        <v>0</v>
      </c>
      <c r="U600">
        <v>0</v>
      </c>
      <c r="V600">
        <v>0</v>
      </c>
      <c r="W600">
        <v>3</v>
      </c>
      <c r="X600" s="22" t="s">
        <v>53</v>
      </c>
      <c r="Y600" s="22" t="s">
        <v>53</v>
      </c>
      <c r="Z600" s="22" t="s">
        <v>53</v>
      </c>
      <c r="AA600" s="22">
        <v>0.0168539325842697</v>
      </c>
      <c r="AB600">
        <v>0</v>
      </c>
      <c r="AC600">
        <v>0</v>
      </c>
      <c r="AD600">
        <v>0</v>
      </c>
      <c r="AE600">
        <v>1.55</v>
      </c>
      <c r="AF600" s="22" t="s">
        <v>53</v>
      </c>
      <c r="AG600" s="22" t="s">
        <v>53</v>
      </c>
      <c r="AH600" s="22" t="s">
        <v>53</v>
      </c>
      <c r="AI600" s="22" t="s">
        <v>1381</v>
      </c>
      <c r="AJ600">
        <v>86</v>
      </c>
      <c r="AK600">
        <v>63</v>
      </c>
      <c r="AL600">
        <v>53</v>
      </c>
      <c r="AM600">
        <v>34</v>
      </c>
      <c r="AN600" s="22">
        <v>0</v>
      </c>
      <c r="AO600" s="22">
        <v>0</v>
      </c>
      <c r="AP600" s="22">
        <v>0</v>
      </c>
      <c r="AQ600" s="22">
        <v>0</v>
      </c>
      <c r="AR600" s="35">
        <v>0</v>
      </c>
      <c r="AS600" s="35">
        <v>0</v>
      </c>
      <c r="AT600" s="35">
        <v>7</v>
      </c>
      <c r="AU600" s="31" t="str">
        <f t="shared" si="13"/>
        <v>库存为7</v>
      </c>
      <c r="AV600" s="36" t="str">
        <f>IFERROR(时间!$B$4+AU600,"上周无销量")</f>
        <v>上周无销量</v>
      </c>
    </row>
    <row r="601" spans="1:48">
      <c r="A601" s="20" t="s">
        <v>1382</v>
      </c>
      <c r="B601" t="s">
        <v>1383</v>
      </c>
      <c r="C601" t="s">
        <v>1380</v>
      </c>
      <c r="D601" s="31">
        <v>0</v>
      </c>
      <c r="E601" s="31">
        <v>0</v>
      </c>
      <c r="F601" s="31">
        <v>0</v>
      </c>
      <c r="G601" s="31">
        <v>1</v>
      </c>
      <c r="H601" s="32">
        <v>25</v>
      </c>
      <c r="I601">
        <v>6</v>
      </c>
      <c r="J601" s="33">
        <v>0</v>
      </c>
      <c r="K601" s="33">
        <v>0</v>
      </c>
      <c r="L601" s="33">
        <v>0</v>
      </c>
      <c r="M601">
        <v>6</v>
      </c>
      <c r="N601">
        <v>0</v>
      </c>
      <c r="O601">
        <v>0</v>
      </c>
      <c r="P601">
        <v>107</v>
      </c>
      <c r="Q601">
        <v>134</v>
      </c>
      <c r="R601">
        <v>246</v>
      </c>
      <c r="S601">
        <v>831</v>
      </c>
      <c r="T601">
        <v>0</v>
      </c>
      <c r="U601">
        <v>0</v>
      </c>
      <c r="V601">
        <v>0</v>
      </c>
      <c r="W601">
        <v>2</v>
      </c>
      <c r="X601" s="22">
        <v>0</v>
      </c>
      <c r="Y601" s="22">
        <v>0</v>
      </c>
      <c r="Z601" s="22">
        <v>0</v>
      </c>
      <c r="AA601" s="22">
        <v>0.00240673886883273</v>
      </c>
      <c r="AB601">
        <v>0</v>
      </c>
      <c r="AC601">
        <v>0</v>
      </c>
      <c r="AD601">
        <v>0</v>
      </c>
      <c r="AE601">
        <v>0.52</v>
      </c>
      <c r="AF601" s="22" t="s">
        <v>53</v>
      </c>
      <c r="AG601" s="22" t="s">
        <v>53</v>
      </c>
      <c r="AH601" s="22" t="s">
        <v>53</v>
      </c>
      <c r="AI601" s="22">
        <v>0.0208</v>
      </c>
      <c r="AJ601">
        <v>50</v>
      </c>
      <c r="AK601">
        <v>57</v>
      </c>
      <c r="AL601">
        <v>47</v>
      </c>
      <c r="AM601">
        <v>30</v>
      </c>
      <c r="AN601" s="22">
        <v>0</v>
      </c>
      <c r="AO601" s="22">
        <v>0</v>
      </c>
      <c r="AP601" s="22">
        <v>0</v>
      </c>
      <c r="AQ601" s="22">
        <v>0.0333333333333333</v>
      </c>
      <c r="AR601" s="35">
        <v>0</v>
      </c>
      <c r="AS601" s="35">
        <v>0</v>
      </c>
      <c r="AT601" s="35">
        <v>6</v>
      </c>
      <c r="AU601" s="31" t="str">
        <f t="shared" si="13"/>
        <v>库存为6</v>
      </c>
      <c r="AV601" s="36" t="str">
        <f>IFERROR(时间!$B$4+AU601,"上周无销量")</f>
        <v>上周无销量</v>
      </c>
    </row>
    <row r="602" spans="1:48">
      <c r="A602" s="20" t="s">
        <v>1384</v>
      </c>
      <c r="B602" t="s">
        <v>1385</v>
      </c>
      <c r="C602" t="s">
        <v>1380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7</v>
      </c>
      <c r="J602" s="33">
        <v>0</v>
      </c>
      <c r="K602" s="33">
        <v>0</v>
      </c>
      <c r="L602" s="33">
        <v>0</v>
      </c>
      <c r="M602">
        <v>7</v>
      </c>
      <c r="N602">
        <v>0</v>
      </c>
      <c r="O602">
        <v>0</v>
      </c>
      <c r="P602">
        <v>90</v>
      </c>
      <c r="Q602">
        <v>89</v>
      </c>
      <c r="R602">
        <v>127</v>
      </c>
      <c r="S602">
        <v>119</v>
      </c>
      <c r="T602">
        <v>2</v>
      </c>
      <c r="U602">
        <v>0</v>
      </c>
      <c r="V602">
        <v>1</v>
      </c>
      <c r="W602">
        <v>0</v>
      </c>
      <c r="X602" s="22">
        <v>0.0222222222222222</v>
      </c>
      <c r="Y602" s="22">
        <v>0</v>
      </c>
      <c r="Z602" s="22">
        <v>0.0078740157480315</v>
      </c>
      <c r="AA602" s="22">
        <v>0</v>
      </c>
      <c r="AB602">
        <v>0.29</v>
      </c>
      <c r="AC602">
        <v>0</v>
      </c>
      <c r="AD602">
        <v>0.23</v>
      </c>
      <c r="AE602">
        <v>0</v>
      </c>
      <c r="AF602" s="22" t="s">
        <v>1386</v>
      </c>
      <c r="AG602" s="22" t="s">
        <v>53</v>
      </c>
      <c r="AH602" s="22" t="s">
        <v>1387</v>
      </c>
      <c r="AI602" s="22" t="s">
        <v>53</v>
      </c>
      <c r="AJ602">
        <v>58</v>
      </c>
      <c r="AK602">
        <v>41</v>
      </c>
      <c r="AL602">
        <v>46</v>
      </c>
      <c r="AM602">
        <v>32</v>
      </c>
      <c r="AN602" s="22">
        <v>0</v>
      </c>
      <c r="AO602" s="22">
        <v>0</v>
      </c>
      <c r="AP602" s="22">
        <v>0</v>
      </c>
      <c r="AQ602" s="22">
        <v>0</v>
      </c>
      <c r="AR602" s="35">
        <v>0</v>
      </c>
      <c r="AS602" s="35">
        <v>0</v>
      </c>
      <c r="AT602" s="35">
        <v>7</v>
      </c>
      <c r="AU602" s="31" t="str">
        <f t="shared" si="13"/>
        <v>库存为7</v>
      </c>
      <c r="AV602" s="36" t="str">
        <f>IFERROR(时间!$B$4+AU602,"上周无销量")</f>
        <v>上周无销量</v>
      </c>
    </row>
    <row r="603" spans="1:48">
      <c r="A603" s="20" t="s">
        <v>1388</v>
      </c>
      <c r="B603" t="s">
        <v>1389</v>
      </c>
      <c r="C603" t="s">
        <v>1390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0</v>
      </c>
      <c r="AK603">
        <v>0</v>
      </c>
      <c r="AL603">
        <v>0</v>
      </c>
      <c r="AM603">
        <v>0</v>
      </c>
      <c r="AN603" s="22" t="s">
        <v>53</v>
      </c>
      <c r="AO603" s="22" t="s">
        <v>53</v>
      </c>
      <c r="AP603" s="22" t="s">
        <v>53</v>
      </c>
      <c r="AQ603" s="22" t="s">
        <v>53</v>
      </c>
      <c r="AR603" s="35">
        <v>0</v>
      </c>
      <c r="AS603" s="35">
        <v>0</v>
      </c>
      <c r="AT603" s="35">
        <v>0</v>
      </c>
      <c r="AU603" s="31" t="str">
        <f t="shared" si="13"/>
        <v>库存为0</v>
      </c>
      <c r="AV603" s="36" t="str">
        <f>IFERROR(时间!$B$4+AU603,"上周无销量")</f>
        <v>上周无销量</v>
      </c>
    </row>
    <row r="604" spans="1:48">
      <c r="A604" s="20" t="s">
        <v>1391</v>
      </c>
      <c r="B604" t="s">
        <v>1392</v>
      </c>
      <c r="C604" t="s">
        <v>1393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0</v>
      </c>
      <c r="AK604">
        <v>0</v>
      </c>
      <c r="AL604">
        <v>0</v>
      </c>
      <c r="AM604">
        <v>0</v>
      </c>
      <c r="AN604" s="22" t="s">
        <v>53</v>
      </c>
      <c r="AO604" s="22" t="s">
        <v>53</v>
      </c>
      <c r="AP604" s="22" t="s">
        <v>53</v>
      </c>
      <c r="AQ604" s="22" t="s">
        <v>53</v>
      </c>
      <c r="AR604" s="35">
        <v>0</v>
      </c>
      <c r="AS604" s="35">
        <v>0</v>
      </c>
      <c r="AT604" s="35">
        <v>0</v>
      </c>
      <c r="AU604" s="31" t="str">
        <f t="shared" si="13"/>
        <v>库存为0</v>
      </c>
      <c r="AV604" s="36" t="str">
        <f>IFERROR(时间!$B$4+AU604,"上周无销量")</f>
        <v>上周无销量</v>
      </c>
    </row>
    <row r="605" spans="1:48">
      <c r="A605" s="20" t="s">
        <v>1394</v>
      </c>
      <c r="B605" t="s">
        <v>1395</v>
      </c>
      <c r="C605" t="s">
        <v>1396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5</v>
      </c>
      <c r="J605" s="33">
        <v>0</v>
      </c>
      <c r="K605" s="33">
        <v>0</v>
      </c>
      <c r="L605" s="33">
        <v>0</v>
      </c>
      <c r="M605">
        <v>5</v>
      </c>
      <c r="N605">
        <v>0</v>
      </c>
      <c r="O605">
        <v>5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5</v>
      </c>
      <c r="AK605">
        <v>5</v>
      </c>
      <c r="AL605">
        <v>1</v>
      </c>
      <c r="AM605">
        <v>1</v>
      </c>
      <c r="AN605" s="22">
        <v>0</v>
      </c>
      <c r="AO605" s="22">
        <v>0</v>
      </c>
      <c r="AP605" s="22">
        <v>0</v>
      </c>
      <c r="AQ605" s="22">
        <v>0</v>
      </c>
      <c r="AR605" s="35">
        <v>0</v>
      </c>
      <c r="AS605" s="35">
        <v>0</v>
      </c>
      <c r="AT605" s="35">
        <v>5</v>
      </c>
      <c r="AU605" s="31" t="str">
        <f t="shared" si="13"/>
        <v>库存为5</v>
      </c>
      <c r="AV605" s="36" t="str">
        <f>IFERROR(时间!$B$4+AU605,"上周无销量")</f>
        <v>上周无销量</v>
      </c>
    </row>
    <row r="606" spans="1:48">
      <c r="A606" s="20" t="s">
        <v>1397</v>
      </c>
      <c r="B606" t="s">
        <v>1398</v>
      </c>
      <c r="C606" t="s">
        <v>1396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3</v>
      </c>
      <c r="J606" s="33">
        <v>0</v>
      </c>
      <c r="K606" s="33">
        <v>0</v>
      </c>
      <c r="L606" s="33">
        <v>0</v>
      </c>
      <c r="M606">
        <v>3</v>
      </c>
      <c r="N606">
        <v>0</v>
      </c>
      <c r="O606">
        <v>3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6</v>
      </c>
      <c r="AK606">
        <v>8</v>
      </c>
      <c r="AL606">
        <v>6</v>
      </c>
      <c r="AM606">
        <v>3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3</v>
      </c>
      <c r="AU606" s="31" t="str">
        <f t="shared" si="13"/>
        <v>库存为3</v>
      </c>
      <c r="AV606" s="36" t="str">
        <f>IFERROR(时间!$B$4+AU606,"上周无销量")</f>
        <v>上周无销量</v>
      </c>
    </row>
    <row r="607" spans="1:48">
      <c r="A607" s="20" t="s">
        <v>1399</v>
      </c>
      <c r="B607" t="s">
        <v>1400</v>
      </c>
      <c r="C607" t="s">
        <v>1396</v>
      </c>
      <c r="D607" s="31">
        <v>0</v>
      </c>
      <c r="E607" s="31">
        <v>0</v>
      </c>
      <c r="F607" s="31">
        <v>6</v>
      </c>
      <c r="G607" s="31">
        <v>3</v>
      </c>
      <c r="H607" s="32">
        <v>13.99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0</v>
      </c>
      <c r="AK607">
        <v>0</v>
      </c>
      <c r="AL607">
        <v>8</v>
      </c>
      <c r="AM607">
        <v>7</v>
      </c>
      <c r="AN607" s="22" t="s">
        <v>53</v>
      </c>
      <c r="AO607" s="22" t="s">
        <v>53</v>
      </c>
      <c r="AP607" s="22">
        <v>0.75</v>
      </c>
      <c r="AQ607" s="22">
        <v>0.428571428571429</v>
      </c>
      <c r="AR607" s="35">
        <v>0</v>
      </c>
      <c r="AS607" s="35">
        <v>0</v>
      </c>
      <c r="AT607" s="35">
        <v>0</v>
      </c>
      <c r="AU607" s="31" t="str">
        <f t="shared" si="13"/>
        <v>库存为0</v>
      </c>
      <c r="AV607" s="36" t="str">
        <f>IFERROR(时间!$B$4+AU607,"上周无销量")</f>
        <v>上周无销量</v>
      </c>
    </row>
    <row r="608" spans="1:48">
      <c r="A608" s="20" t="s">
        <v>1401</v>
      </c>
      <c r="B608" t="s">
        <v>1402</v>
      </c>
      <c r="C608" t="s">
        <v>1396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2</v>
      </c>
      <c r="J608" s="33">
        <v>0</v>
      </c>
      <c r="K608" s="33">
        <v>0</v>
      </c>
      <c r="L608" s="33">
        <v>0</v>
      </c>
      <c r="M608">
        <v>2</v>
      </c>
      <c r="N608">
        <v>0</v>
      </c>
      <c r="O608">
        <v>2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4</v>
      </c>
      <c r="AK608">
        <v>3</v>
      </c>
      <c r="AL608">
        <v>0</v>
      </c>
      <c r="AM608">
        <v>0</v>
      </c>
      <c r="AN608" s="22">
        <v>0</v>
      </c>
      <c r="AO608" s="22">
        <v>0</v>
      </c>
      <c r="AP608" s="22" t="s">
        <v>53</v>
      </c>
      <c r="AQ608" s="22" t="s">
        <v>53</v>
      </c>
      <c r="AR608" s="35">
        <v>0</v>
      </c>
      <c r="AS608" s="35">
        <v>0</v>
      </c>
      <c r="AT608" s="35">
        <v>2</v>
      </c>
      <c r="AU608" s="31" t="str">
        <f t="shared" si="13"/>
        <v>库存为2</v>
      </c>
      <c r="AV608" s="36" t="str">
        <f>IFERROR(时间!$B$4+AU608,"上周无销量")</f>
        <v>上周无销量</v>
      </c>
    </row>
    <row r="609" spans="1:48">
      <c r="A609" s="20" t="s">
        <v>1403</v>
      </c>
      <c r="B609" t="s">
        <v>1404</v>
      </c>
      <c r="C609" t="s">
        <v>1396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5</v>
      </c>
      <c r="J609" s="33">
        <v>0</v>
      </c>
      <c r="K609" s="33">
        <v>0</v>
      </c>
      <c r="L609" s="33">
        <v>0</v>
      </c>
      <c r="M609">
        <v>5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14</v>
      </c>
      <c r="AK609">
        <v>8</v>
      </c>
      <c r="AL609">
        <v>0</v>
      </c>
      <c r="AM609">
        <v>2</v>
      </c>
      <c r="AN609" s="22">
        <v>0</v>
      </c>
      <c r="AO609" s="22">
        <v>0</v>
      </c>
      <c r="AP609" s="22" t="s">
        <v>53</v>
      </c>
      <c r="AQ609" s="22">
        <v>0</v>
      </c>
      <c r="AR609" s="35">
        <v>0</v>
      </c>
      <c r="AS609" s="35">
        <v>0</v>
      </c>
      <c r="AT609" s="35">
        <v>5</v>
      </c>
      <c r="AU609" s="31" t="str">
        <f t="shared" si="13"/>
        <v>库存为5</v>
      </c>
      <c r="AV609" s="36" t="str">
        <f>IFERROR(时间!$B$4+AU609,"上周无销量")</f>
        <v>上周无销量</v>
      </c>
    </row>
    <row r="610" spans="1:48">
      <c r="A610" s="20" t="s">
        <v>1405</v>
      </c>
      <c r="B610" t="s">
        <v>1406</v>
      </c>
      <c r="C610" t="s">
        <v>1396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7</v>
      </c>
      <c r="J610" s="33">
        <v>0</v>
      </c>
      <c r="K610" s="33">
        <v>0</v>
      </c>
      <c r="L610" s="33">
        <v>0</v>
      </c>
      <c r="M610">
        <v>7</v>
      </c>
      <c r="N610">
        <v>0</v>
      </c>
      <c r="O610">
        <v>7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3</v>
      </c>
      <c r="AK610">
        <v>4</v>
      </c>
      <c r="AL610">
        <v>0</v>
      </c>
      <c r="AM610">
        <v>2</v>
      </c>
      <c r="AN610" s="22">
        <v>0</v>
      </c>
      <c r="AO610" s="22">
        <v>0</v>
      </c>
      <c r="AP610" s="22" t="s">
        <v>53</v>
      </c>
      <c r="AQ610" s="22">
        <v>0</v>
      </c>
      <c r="AR610" s="35">
        <v>0</v>
      </c>
      <c r="AS610" s="35">
        <v>0</v>
      </c>
      <c r="AT610" s="35">
        <v>7</v>
      </c>
      <c r="AU610" s="31" t="str">
        <f t="shared" si="13"/>
        <v>库存为7</v>
      </c>
      <c r="AV610" s="36" t="str">
        <f>IFERROR(时间!$B$4+AU610,"上周无销量")</f>
        <v>上周无销量</v>
      </c>
    </row>
    <row r="611" spans="1:48">
      <c r="A611" s="20" t="s">
        <v>1407</v>
      </c>
      <c r="B611" t="s">
        <v>1408</v>
      </c>
      <c r="C611" t="s">
        <v>1396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0</v>
      </c>
      <c r="AK611">
        <v>0</v>
      </c>
      <c r="AL611">
        <v>0</v>
      </c>
      <c r="AM611">
        <v>0</v>
      </c>
      <c r="AN611" s="22" t="s">
        <v>53</v>
      </c>
      <c r="AO611" s="22" t="s">
        <v>53</v>
      </c>
      <c r="AP611" s="22" t="s">
        <v>53</v>
      </c>
      <c r="AQ611" s="22" t="s">
        <v>53</v>
      </c>
      <c r="AR611" s="35">
        <v>0</v>
      </c>
      <c r="AS611" s="35">
        <v>0</v>
      </c>
      <c r="AT611" s="35">
        <v>0</v>
      </c>
      <c r="AU611" s="31" t="str">
        <f t="shared" si="13"/>
        <v>库存为0</v>
      </c>
      <c r="AV611" s="36" t="str">
        <f>IFERROR(时间!$B$4+AU611,"上周无销量")</f>
        <v>上周无销量</v>
      </c>
    </row>
    <row r="612" spans="1:48">
      <c r="A612" s="20" t="s">
        <v>1409</v>
      </c>
      <c r="B612" t="s">
        <v>1410</v>
      </c>
      <c r="C612" t="s">
        <v>1396</v>
      </c>
      <c r="D612" s="31">
        <v>0</v>
      </c>
      <c r="E612" s="31">
        <v>0</v>
      </c>
      <c r="F612" s="31">
        <v>0</v>
      </c>
      <c r="G612" s="31">
        <v>1</v>
      </c>
      <c r="H612" s="32">
        <v>13.99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0</v>
      </c>
      <c r="AK612">
        <v>0</v>
      </c>
      <c r="AL612">
        <v>0</v>
      </c>
      <c r="AM612">
        <v>7</v>
      </c>
      <c r="AN612" s="22" t="s">
        <v>53</v>
      </c>
      <c r="AO612" s="22" t="s">
        <v>53</v>
      </c>
      <c r="AP612" s="22" t="s">
        <v>53</v>
      </c>
      <c r="AQ612" s="22">
        <v>0.142857142857143</v>
      </c>
      <c r="AR612" s="35">
        <v>0</v>
      </c>
      <c r="AS612" s="35">
        <v>0</v>
      </c>
      <c r="AT612" s="35">
        <v>0</v>
      </c>
      <c r="AU612" s="31" t="str">
        <f t="shared" si="13"/>
        <v>库存为0</v>
      </c>
      <c r="AV612" s="36" t="str">
        <f>IFERROR(时间!$B$4+AU612,"上周无销量")</f>
        <v>上周无销量</v>
      </c>
    </row>
    <row r="613" spans="1:48">
      <c r="A613" s="20" t="s">
        <v>1411</v>
      </c>
      <c r="B613" t="s">
        <v>1412</v>
      </c>
      <c r="C613" t="s">
        <v>1396</v>
      </c>
      <c r="D613" s="31">
        <v>1</v>
      </c>
      <c r="E613" s="31">
        <v>2</v>
      </c>
      <c r="F613" s="31">
        <v>0</v>
      </c>
      <c r="G613" s="31">
        <v>0</v>
      </c>
      <c r="H613" s="32">
        <v>22.99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0</v>
      </c>
      <c r="O613">
        <v>2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12</v>
      </c>
      <c r="AK613">
        <v>20</v>
      </c>
      <c r="AL613">
        <v>3</v>
      </c>
      <c r="AM613">
        <v>3</v>
      </c>
      <c r="AN613" s="22">
        <v>0.0833333333333333</v>
      </c>
      <c r="AO613" s="22">
        <v>0.1</v>
      </c>
      <c r="AP613" s="22">
        <v>0</v>
      </c>
      <c r="AQ613" s="22">
        <v>0</v>
      </c>
      <c r="AR613" s="35">
        <v>0.142857142857143</v>
      </c>
      <c r="AS613" s="35">
        <v>8.57142857142857</v>
      </c>
      <c r="AT613" s="35">
        <v>-6.57142857142857</v>
      </c>
      <c r="AU613" s="31">
        <f t="shared" si="13"/>
        <v>14</v>
      </c>
      <c r="AV613" s="36">
        <f>IFERROR(时间!$B$4+AU613,"上周无销量")</f>
        <v>43346</v>
      </c>
    </row>
    <row r="614" spans="1:48">
      <c r="A614" s="20" t="s">
        <v>1413</v>
      </c>
      <c r="B614" t="s">
        <v>1414</v>
      </c>
      <c r="C614" t="s">
        <v>1396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0</v>
      </c>
      <c r="AK614">
        <v>0</v>
      </c>
      <c r="AL614">
        <v>0</v>
      </c>
      <c r="AM614">
        <v>0</v>
      </c>
      <c r="AN614" s="22" t="s">
        <v>53</v>
      </c>
      <c r="AO614" s="22" t="s">
        <v>53</v>
      </c>
      <c r="AP614" s="22" t="s">
        <v>53</v>
      </c>
      <c r="AQ614" s="22" t="s">
        <v>53</v>
      </c>
      <c r="AR614" s="35">
        <v>0</v>
      </c>
      <c r="AS614" s="35">
        <v>0</v>
      </c>
      <c r="AT614" s="35">
        <v>0</v>
      </c>
      <c r="AU614" s="31" t="str">
        <f t="shared" si="13"/>
        <v>库存为0</v>
      </c>
      <c r="AV614" s="36" t="str">
        <f>IFERROR(时间!$B$4+AU614,"上周无销量")</f>
        <v>上周无销量</v>
      </c>
    </row>
    <row r="615" spans="1:48">
      <c r="A615" s="20" t="s">
        <v>1415</v>
      </c>
      <c r="B615" t="s">
        <v>1416</v>
      </c>
      <c r="C615" t="s">
        <v>1396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0</v>
      </c>
      <c r="AK615">
        <v>0</v>
      </c>
      <c r="AL615">
        <v>0</v>
      </c>
      <c r="AM615">
        <v>0</v>
      </c>
      <c r="AN615" s="22" t="s">
        <v>53</v>
      </c>
      <c r="AO615" s="22" t="s">
        <v>53</v>
      </c>
      <c r="AP615" s="22" t="s">
        <v>53</v>
      </c>
      <c r="AQ615" s="22" t="s">
        <v>53</v>
      </c>
      <c r="AR615" s="35">
        <v>0</v>
      </c>
      <c r="AS615" s="35">
        <v>0</v>
      </c>
      <c r="AT615" s="35">
        <v>0</v>
      </c>
      <c r="AU615" s="31" t="str">
        <f t="shared" si="13"/>
        <v>库存为0</v>
      </c>
      <c r="AV615" s="36" t="str">
        <f>IFERROR(时间!$B$4+AU615,"上周无销量")</f>
        <v>上周无销量</v>
      </c>
    </row>
    <row r="616" spans="1:48">
      <c r="A616" s="20" t="s">
        <v>1417</v>
      </c>
      <c r="B616" t="s">
        <v>1418</v>
      </c>
      <c r="C616" t="s">
        <v>1396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8</v>
      </c>
      <c r="J616" s="33">
        <v>0</v>
      </c>
      <c r="K616" s="33">
        <v>0</v>
      </c>
      <c r="L616" s="33">
        <v>0</v>
      </c>
      <c r="M616">
        <v>8</v>
      </c>
      <c r="N616">
        <v>0</v>
      </c>
      <c r="O616">
        <v>3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3</v>
      </c>
      <c r="AK616">
        <v>5</v>
      </c>
      <c r="AL616">
        <v>0</v>
      </c>
      <c r="AM616">
        <v>3</v>
      </c>
      <c r="AN616" s="22">
        <v>0</v>
      </c>
      <c r="AO616" s="22">
        <v>0</v>
      </c>
      <c r="AP616" s="22" t="s">
        <v>53</v>
      </c>
      <c r="AQ616" s="22">
        <v>0</v>
      </c>
      <c r="AR616" s="35">
        <v>0</v>
      </c>
      <c r="AS616" s="35">
        <v>0</v>
      </c>
      <c r="AT616" s="35">
        <v>8</v>
      </c>
      <c r="AU616" s="31" t="str">
        <f t="shared" si="13"/>
        <v>库存为8</v>
      </c>
      <c r="AV616" s="36" t="str">
        <f>IFERROR(时间!$B$4+AU616,"上周无销量")</f>
        <v>上周无销量</v>
      </c>
    </row>
    <row r="617" spans="1:48">
      <c r="A617" s="20" t="s">
        <v>1419</v>
      </c>
      <c r="B617" t="s">
        <v>1420</v>
      </c>
      <c r="C617" t="s">
        <v>1396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6</v>
      </c>
      <c r="J617" s="33">
        <v>0</v>
      </c>
      <c r="K617" s="33">
        <v>0</v>
      </c>
      <c r="L617" s="33">
        <v>0</v>
      </c>
      <c r="M617">
        <v>6</v>
      </c>
      <c r="N617">
        <v>0</v>
      </c>
      <c r="O617">
        <v>0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8</v>
      </c>
      <c r="AK617">
        <v>4</v>
      </c>
      <c r="AL617">
        <v>4</v>
      </c>
      <c r="AM617">
        <v>2</v>
      </c>
      <c r="AN617" s="22">
        <v>0</v>
      </c>
      <c r="AO617" s="22">
        <v>0</v>
      </c>
      <c r="AP617" s="22">
        <v>0</v>
      </c>
      <c r="AQ617" s="22">
        <v>0</v>
      </c>
      <c r="AR617" s="35">
        <v>0</v>
      </c>
      <c r="AS617" s="35">
        <v>0</v>
      </c>
      <c r="AT617" s="35">
        <v>6</v>
      </c>
      <c r="AU617" s="31" t="str">
        <f t="shared" si="13"/>
        <v>库存为6</v>
      </c>
      <c r="AV617" s="36" t="str">
        <f>IFERROR(时间!$B$4+AU617,"上周无销量")</f>
        <v>上周无销量</v>
      </c>
    </row>
    <row r="618" spans="1:48">
      <c r="A618" s="20" t="s">
        <v>1421</v>
      </c>
      <c r="B618" t="s">
        <v>1422</v>
      </c>
      <c r="C618" t="s">
        <v>1396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1</v>
      </c>
      <c r="O618">
        <v>0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0</v>
      </c>
      <c r="AK618">
        <v>0</v>
      </c>
      <c r="AL618">
        <v>0</v>
      </c>
      <c r="AM618">
        <v>0</v>
      </c>
      <c r="AN618" s="22" t="s">
        <v>53</v>
      </c>
      <c r="AO618" s="22" t="s">
        <v>53</v>
      </c>
      <c r="AP618" s="22" t="s">
        <v>53</v>
      </c>
      <c r="AQ618" s="22" t="s">
        <v>53</v>
      </c>
      <c r="AR618" s="35">
        <v>0</v>
      </c>
      <c r="AS618" s="35">
        <v>0</v>
      </c>
      <c r="AT618" s="35">
        <v>0</v>
      </c>
      <c r="AU618" s="31" t="str">
        <f t="shared" si="13"/>
        <v>库存为0</v>
      </c>
      <c r="AV618" s="36" t="str">
        <f>IFERROR(时间!$B$4+AU618,"上周无销量")</f>
        <v>上周无销量</v>
      </c>
    </row>
    <row r="619" spans="1:48">
      <c r="A619" s="20" t="s">
        <v>1423</v>
      </c>
      <c r="B619" t="s">
        <v>1424</v>
      </c>
      <c r="C619" t="s">
        <v>1396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9</v>
      </c>
      <c r="J619" s="33">
        <v>0</v>
      </c>
      <c r="K619" s="33">
        <v>0</v>
      </c>
      <c r="L619" s="33">
        <v>0</v>
      </c>
      <c r="M619">
        <v>9</v>
      </c>
      <c r="N619">
        <v>0</v>
      </c>
      <c r="O619">
        <v>4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4</v>
      </c>
      <c r="AK619">
        <v>8</v>
      </c>
      <c r="AL619">
        <v>4</v>
      </c>
      <c r="AM619">
        <v>0</v>
      </c>
      <c r="AN619" s="22">
        <v>0</v>
      </c>
      <c r="AO619" s="22">
        <v>0</v>
      </c>
      <c r="AP619" s="22">
        <v>0</v>
      </c>
      <c r="AQ619" s="22" t="s">
        <v>53</v>
      </c>
      <c r="AR619" s="35">
        <v>0</v>
      </c>
      <c r="AS619" s="35">
        <v>0</v>
      </c>
      <c r="AT619" s="35">
        <v>9</v>
      </c>
      <c r="AU619" s="31" t="str">
        <f t="shared" si="13"/>
        <v>库存为9</v>
      </c>
      <c r="AV619" s="36" t="str">
        <f>IFERROR(时间!$B$4+AU619,"上周无销量")</f>
        <v>上周无销量</v>
      </c>
    </row>
    <row r="620" spans="1:48">
      <c r="A620" s="20" t="s">
        <v>1425</v>
      </c>
      <c r="B620" t="s">
        <v>1426</v>
      </c>
      <c r="C620" t="s">
        <v>1396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5</v>
      </c>
      <c r="J620" s="33">
        <v>0</v>
      </c>
      <c r="K620" s="33">
        <v>0</v>
      </c>
      <c r="L620" s="33">
        <v>0</v>
      </c>
      <c r="M620">
        <v>5</v>
      </c>
      <c r="N620">
        <v>0</v>
      </c>
      <c r="O620">
        <v>0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8</v>
      </c>
      <c r="AK620">
        <v>0</v>
      </c>
      <c r="AL620">
        <v>0</v>
      </c>
      <c r="AM620">
        <v>0</v>
      </c>
      <c r="AN620" s="22">
        <v>0</v>
      </c>
      <c r="AO620" s="22" t="s">
        <v>53</v>
      </c>
      <c r="AP620" s="22" t="s">
        <v>53</v>
      </c>
      <c r="AQ620" s="22" t="s">
        <v>53</v>
      </c>
      <c r="AR620" s="35">
        <v>0</v>
      </c>
      <c r="AS620" s="35">
        <v>0</v>
      </c>
      <c r="AT620" s="35">
        <v>5</v>
      </c>
      <c r="AU620" s="31" t="str">
        <f t="shared" si="13"/>
        <v>库存为5</v>
      </c>
      <c r="AV620" s="36" t="str">
        <f>IFERROR(时间!$B$4+AU620,"上周无销量")</f>
        <v>上周无销量</v>
      </c>
    </row>
    <row r="621" spans="1:48">
      <c r="A621" s="20" t="s">
        <v>1427</v>
      </c>
      <c r="B621" t="s">
        <v>1428</v>
      </c>
      <c r="C621" t="s">
        <v>1396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0</v>
      </c>
      <c r="AK621">
        <v>0</v>
      </c>
      <c r="AL621">
        <v>0</v>
      </c>
      <c r="AM621">
        <v>0</v>
      </c>
      <c r="AN621" s="22" t="s">
        <v>53</v>
      </c>
      <c r="AO621" s="22" t="s">
        <v>53</v>
      </c>
      <c r="AP621" s="22" t="s">
        <v>53</v>
      </c>
      <c r="AQ621" s="22" t="s">
        <v>53</v>
      </c>
      <c r="AR621" s="35">
        <v>0</v>
      </c>
      <c r="AS621" s="35">
        <v>0</v>
      </c>
      <c r="AT621" s="35">
        <v>0</v>
      </c>
      <c r="AU621" s="31" t="str">
        <f t="shared" si="13"/>
        <v>库存为0</v>
      </c>
      <c r="AV621" s="36" t="str">
        <f>IFERROR(时间!$B$4+AU621,"上周无销量")</f>
        <v>上周无销量</v>
      </c>
    </row>
    <row r="622" spans="1:48">
      <c r="A622" s="20" t="s">
        <v>1429</v>
      </c>
      <c r="B622" t="s">
        <v>1430</v>
      </c>
      <c r="C622" t="s">
        <v>1431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0</v>
      </c>
      <c r="AK622">
        <v>0</v>
      </c>
      <c r="AL622">
        <v>0</v>
      </c>
      <c r="AM622">
        <v>0</v>
      </c>
      <c r="AN622" s="22" t="s">
        <v>53</v>
      </c>
      <c r="AO622" s="22" t="s">
        <v>53</v>
      </c>
      <c r="AP622" s="22" t="s">
        <v>53</v>
      </c>
      <c r="AQ622" s="22" t="s">
        <v>53</v>
      </c>
      <c r="AR622" s="35">
        <v>0</v>
      </c>
      <c r="AS622" s="35">
        <v>0</v>
      </c>
      <c r="AT622" s="35">
        <v>0</v>
      </c>
      <c r="AU622" s="31" t="str">
        <f t="shared" si="13"/>
        <v>库存为0</v>
      </c>
      <c r="AV622" s="36" t="str">
        <f>IFERROR(时间!$B$4+AU622,"上周无销量")</f>
        <v>上周无销量</v>
      </c>
    </row>
    <row r="623" spans="1:48">
      <c r="A623" s="20" t="s">
        <v>1432</v>
      </c>
      <c r="B623" t="s">
        <v>1433</v>
      </c>
      <c r="C623" t="s">
        <v>1431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0</v>
      </c>
      <c r="AK623">
        <v>0</v>
      </c>
      <c r="AL623">
        <v>0</v>
      </c>
      <c r="AM623">
        <v>0</v>
      </c>
      <c r="AN623" s="22" t="s">
        <v>53</v>
      </c>
      <c r="AO623" s="22" t="s">
        <v>53</v>
      </c>
      <c r="AP623" s="22" t="s">
        <v>53</v>
      </c>
      <c r="AQ623" s="22" t="s">
        <v>53</v>
      </c>
      <c r="AR623" s="35">
        <v>0</v>
      </c>
      <c r="AS623" s="35">
        <v>0</v>
      </c>
      <c r="AT623" s="35">
        <v>0</v>
      </c>
      <c r="AU623" s="31" t="str">
        <f t="shared" si="13"/>
        <v>库存为0</v>
      </c>
      <c r="AV623" s="36" t="str">
        <f>IFERROR(时间!$B$4+AU623,"上周无销量")</f>
        <v>上周无销量</v>
      </c>
    </row>
    <row r="624" spans="1:48">
      <c r="A624" s="20" t="s">
        <v>1434</v>
      </c>
      <c r="B624" t="s">
        <v>1435</v>
      </c>
      <c r="C624" t="s">
        <v>1431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0</v>
      </c>
      <c r="AK624">
        <v>0</v>
      </c>
      <c r="AL624">
        <v>0</v>
      </c>
      <c r="AM624">
        <v>0</v>
      </c>
      <c r="AN624" s="22" t="s">
        <v>53</v>
      </c>
      <c r="AO624" s="22" t="s">
        <v>53</v>
      </c>
      <c r="AP624" s="22" t="s">
        <v>53</v>
      </c>
      <c r="AQ624" s="22" t="s">
        <v>53</v>
      </c>
      <c r="AR624" s="35">
        <v>0</v>
      </c>
      <c r="AS624" s="35">
        <v>0</v>
      </c>
      <c r="AT624" s="35">
        <v>0</v>
      </c>
      <c r="AU624" s="31" t="str">
        <f t="shared" si="13"/>
        <v>库存为0</v>
      </c>
      <c r="AV624" s="36" t="str">
        <f>IFERROR(时间!$B$4+AU624,"上周无销量")</f>
        <v>上周无销量</v>
      </c>
    </row>
    <row r="625" spans="1:48">
      <c r="A625" s="20" t="s">
        <v>1436</v>
      </c>
      <c r="B625" t="s">
        <v>1437</v>
      </c>
      <c r="C625" t="s">
        <v>1431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0</v>
      </c>
      <c r="AK625">
        <v>0</v>
      </c>
      <c r="AL625">
        <v>0</v>
      </c>
      <c r="AM625">
        <v>0</v>
      </c>
      <c r="AN625" s="22" t="s">
        <v>53</v>
      </c>
      <c r="AO625" s="22" t="s">
        <v>53</v>
      </c>
      <c r="AP625" s="22" t="s">
        <v>53</v>
      </c>
      <c r="AQ625" s="22" t="s">
        <v>53</v>
      </c>
      <c r="AR625" s="35">
        <v>0</v>
      </c>
      <c r="AS625" s="35">
        <v>0</v>
      </c>
      <c r="AT625" s="35">
        <v>0</v>
      </c>
      <c r="AU625" s="31" t="str">
        <f t="shared" si="13"/>
        <v>库存为0</v>
      </c>
      <c r="AV625" s="36" t="str">
        <f>IFERROR(时间!$B$4+AU625,"上周无销量")</f>
        <v>上周无销量</v>
      </c>
    </row>
    <row r="626" spans="1:48">
      <c r="A626" s="20" t="s">
        <v>1438</v>
      </c>
      <c r="B626" t="s">
        <v>1430</v>
      </c>
      <c r="C626" t="s">
        <v>1439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0</v>
      </c>
      <c r="AK626">
        <v>0</v>
      </c>
      <c r="AL626">
        <v>0</v>
      </c>
      <c r="AM626">
        <v>0</v>
      </c>
      <c r="AN626" s="22" t="s">
        <v>53</v>
      </c>
      <c r="AO626" s="22" t="s">
        <v>53</v>
      </c>
      <c r="AP626" s="22" t="s">
        <v>53</v>
      </c>
      <c r="AQ626" s="22" t="s">
        <v>53</v>
      </c>
      <c r="AR626" s="35">
        <v>0</v>
      </c>
      <c r="AS626" s="35">
        <v>0</v>
      </c>
      <c r="AT626" s="35">
        <v>0</v>
      </c>
      <c r="AU626" s="31" t="str">
        <f t="shared" si="13"/>
        <v>库存为0</v>
      </c>
      <c r="AV626" s="36" t="str">
        <f>IFERROR(时间!$B$4+AU626,"上周无销量")</f>
        <v>上周无销量</v>
      </c>
    </row>
    <row r="627" spans="1:48">
      <c r="A627" s="20" t="s">
        <v>1440</v>
      </c>
      <c r="B627" t="s">
        <v>1433</v>
      </c>
      <c r="C627" t="s">
        <v>1439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0</v>
      </c>
      <c r="AK627">
        <v>0</v>
      </c>
      <c r="AL627">
        <v>0</v>
      </c>
      <c r="AM627">
        <v>0</v>
      </c>
      <c r="AN627" s="22" t="s">
        <v>53</v>
      </c>
      <c r="AO627" s="22" t="s">
        <v>53</v>
      </c>
      <c r="AP627" s="22" t="s">
        <v>53</v>
      </c>
      <c r="AQ627" s="22" t="s">
        <v>53</v>
      </c>
      <c r="AR627" s="35">
        <v>0</v>
      </c>
      <c r="AS627" s="35">
        <v>0</v>
      </c>
      <c r="AT627" s="35">
        <v>0</v>
      </c>
      <c r="AU627" s="31" t="str">
        <f t="shared" si="13"/>
        <v>库存为0</v>
      </c>
      <c r="AV627" s="36" t="str">
        <f>IFERROR(时间!$B$4+AU627,"上周无销量")</f>
        <v>上周无销量</v>
      </c>
    </row>
    <row r="628" spans="1:48">
      <c r="A628" s="20" t="s">
        <v>1441</v>
      </c>
      <c r="B628" t="s">
        <v>1435</v>
      </c>
      <c r="C628" t="s">
        <v>1439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0</v>
      </c>
      <c r="AK628">
        <v>0</v>
      </c>
      <c r="AL628">
        <v>0</v>
      </c>
      <c r="AM628">
        <v>0</v>
      </c>
      <c r="AN628" s="22" t="s">
        <v>53</v>
      </c>
      <c r="AO628" s="22" t="s">
        <v>53</v>
      </c>
      <c r="AP628" s="22" t="s">
        <v>53</v>
      </c>
      <c r="AQ628" s="22" t="s">
        <v>53</v>
      </c>
      <c r="AR628" s="35">
        <v>0</v>
      </c>
      <c r="AS628" s="35">
        <v>0</v>
      </c>
      <c r="AT628" s="35">
        <v>0</v>
      </c>
      <c r="AU628" s="31" t="str">
        <f t="shared" si="13"/>
        <v>库存为0</v>
      </c>
      <c r="AV628" s="36" t="str">
        <f>IFERROR(时间!$B$4+AU628,"上周无销量")</f>
        <v>上周无销量</v>
      </c>
    </row>
    <row r="629" spans="1:48">
      <c r="A629" s="20" t="s">
        <v>1442</v>
      </c>
      <c r="B629" t="s">
        <v>1437</v>
      </c>
      <c r="C629" t="s">
        <v>1439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0</v>
      </c>
      <c r="AK629">
        <v>0</v>
      </c>
      <c r="AL629">
        <v>0</v>
      </c>
      <c r="AM629">
        <v>0</v>
      </c>
      <c r="AN629" s="22" t="s">
        <v>53</v>
      </c>
      <c r="AO629" s="22" t="s">
        <v>53</v>
      </c>
      <c r="AP629" s="22" t="s">
        <v>53</v>
      </c>
      <c r="AQ629" s="22" t="s">
        <v>53</v>
      </c>
      <c r="AR629" s="35">
        <v>0</v>
      </c>
      <c r="AS629" s="35">
        <v>0</v>
      </c>
      <c r="AT629" s="35">
        <v>0</v>
      </c>
      <c r="AU629" s="31" t="str">
        <f t="shared" si="13"/>
        <v>库存为0</v>
      </c>
      <c r="AV629" s="36" t="str">
        <f>IFERROR(时间!$B$4+AU629,"上周无销量")</f>
        <v>上周无销量</v>
      </c>
    </row>
    <row r="630" spans="1:48">
      <c r="A630" s="20" t="s">
        <v>1443</v>
      </c>
      <c r="B630" t="s">
        <v>1444</v>
      </c>
      <c r="C630" t="s">
        <v>1445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0</v>
      </c>
      <c r="AK630">
        <v>0</v>
      </c>
      <c r="AL630">
        <v>0</v>
      </c>
      <c r="AM630">
        <v>0</v>
      </c>
      <c r="AN630" s="22" t="s">
        <v>53</v>
      </c>
      <c r="AO630" s="22" t="s">
        <v>53</v>
      </c>
      <c r="AP630" s="22" t="s">
        <v>53</v>
      </c>
      <c r="AQ630" s="22" t="s">
        <v>53</v>
      </c>
      <c r="AR630" s="35">
        <v>0</v>
      </c>
      <c r="AS630" s="35">
        <v>0</v>
      </c>
      <c r="AT630" s="35">
        <v>0</v>
      </c>
      <c r="AU630" s="31" t="str">
        <f t="shared" si="13"/>
        <v>库存为0</v>
      </c>
      <c r="AV630" s="36" t="str">
        <f>IFERROR(时间!$B$4+AU630,"上周无销量")</f>
        <v>上周无销量</v>
      </c>
    </row>
    <row r="631" spans="1:48">
      <c r="A631" s="20" t="s">
        <v>1446</v>
      </c>
      <c r="B631" t="s">
        <v>1447</v>
      </c>
      <c r="C631" t="s">
        <v>1448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0</v>
      </c>
      <c r="AK631">
        <v>0</v>
      </c>
      <c r="AL631">
        <v>0</v>
      </c>
      <c r="AM631">
        <v>0</v>
      </c>
      <c r="AN631" s="22" t="s">
        <v>53</v>
      </c>
      <c r="AO631" s="22" t="s">
        <v>53</v>
      </c>
      <c r="AP631" s="22" t="s">
        <v>53</v>
      </c>
      <c r="AQ631" s="22" t="s">
        <v>53</v>
      </c>
      <c r="AR631" s="35">
        <v>0</v>
      </c>
      <c r="AS631" s="35">
        <v>0</v>
      </c>
      <c r="AT631" s="35">
        <v>0</v>
      </c>
      <c r="AU631" s="31" t="str">
        <f t="shared" si="13"/>
        <v>库存为0</v>
      </c>
      <c r="AV631" s="36" t="str">
        <f>IFERROR(时间!$B$4+AU631,"上周无销量")</f>
        <v>上周无销量</v>
      </c>
    </row>
    <row r="632" spans="1:48">
      <c r="A632" s="20" t="s">
        <v>1449</v>
      </c>
      <c r="B632" t="s">
        <v>1450</v>
      </c>
      <c r="C632" t="s">
        <v>1451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0</v>
      </c>
      <c r="AK632">
        <v>0</v>
      </c>
      <c r="AL632">
        <v>0</v>
      </c>
      <c r="AM632">
        <v>0</v>
      </c>
      <c r="AN632" s="22" t="s">
        <v>53</v>
      </c>
      <c r="AO632" s="22" t="s">
        <v>53</v>
      </c>
      <c r="AP632" s="22" t="s">
        <v>53</v>
      </c>
      <c r="AQ632" s="22" t="s">
        <v>53</v>
      </c>
      <c r="AR632" s="35">
        <v>0</v>
      </c>
      <c r="AS632" s="35">
        <v>0</v>
      </c>
      <c r="AT632" s="35">
        <v>0</v>
      </c>
      <c r="AU632" s="31" t="str">
        <f t="shared" si="13"/>
        <v>库存为0</v>
      </c>
      <c r="AV632" s="36" t="str">
        <f>IFERROR(时间!$B$4+AU632,"上周无销量")</f>
        <v>上周无销量</v>
      </c>
    </row>
    <row r="633" spans="1:48">
      <c r="A633" s="20" t="s">
        <v>1452</v>
      </c>
      <c r="B633" t="s">
        <v>1453</v>
      </c>
      <c r="C633" t="s">
        <v>1454</v>
      </c>
      <c r="D633" s="31">
        <v>3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1</v>
      </c>
      <c r="AK633">
        <v>6</v>
      </c>
      <c r="AL633">
        <v>0</v>
      </c>
      <c r="AM633">
        <v>1</v>
      </c>
      <c r="AN633" s="22">
        <v>3</v>
      </c>
      <c r="AO633" s="22">
        <v>0</v>
      </c>
      <c r="AP633" s="22" t="s">
        <v>53</v>
      </c>
      <c r="AQ633" s="22">
        <v>0</v>
      </c>
      <c r="AR633" s="35">
        <v>0.428571428571429</v>
      </c>
      <c r="AS633" s="35">
        <v>25.7142857142857</v>
      </c>
      <c r="AT633" s="35">
        <v>-25.7142857142857</v>
      </c>
      <c r="AU633" s="31">
        <f t="shared" si="13"/>
        <v>0</v>
      </c>
      <c r="AV633" s="36">
        <f>IFERROR(时间!$B$4+AU633,"上周无销量")</f>
        <v>43332</v>
      </c>
    </row>
    <row r="634" spans="1:48">
      <c r="A634" s="20" t="s">
        <v>1455</v>
      </c>
      <c r="B634" t="s">
        <v>1456</v>
      </c>
      <c r="C634" t="s">
        <v>1454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1</v>
      </c>
      <c r="AK634">
        <v>5</v>
      </c>
      <c r="AL634">
        <v>1</v>
      </c>
      <c r="AM634">
        <v>2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0</v>
      </c>
      <c r="AU634" s="31" t="str">
        <f t="shared" si="13"/>
        <v>库存为0</v>
      </c>
      <c r="AV634" s="36" t="str">
        <f>IFERROR(时间!$B$4+AU634,"上周无销量")</f>
        <v>上周无销量</v>
      </c>
    </row>
    <row r="635" spans="1:48">
      <c r="A635" s="20" t="s">
        <v>1457</v>
      </c>
      <c r="B635" t="s">
        <v>1458</v>
      </c>
      <c r="C635" t="s">
        <v>1454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0</v>
      </c>
      <c r="AK635">
        <v>3</v>
      </c>
      <c r="AL635">
        <v>0</v>
      </c>
      <c r="AM635">
        <v>2</v>
      </c>
      <c r="AN635" s="22" t="s">
        <v>53</v>
      </c>
      <c r="AO635" s="22">
        <v>0</v>
      </c>
      <c r="AP635" s="22" t="s">
        <v>53</v>
      </c>
      <c r="AQ635" s="22">
        <v>0</v>
      </c>
      <c r="AR635" s="35">
        <v>0</v>
      </c>
      <c r="AS635" s="35">
        <v>0</v>
      </c>
      <c r="AT635" s="35">
        <v>0</v>
      </c>
      <c r="AU635" s="31" t="str">
        <f t="shared" si="13"/>
        <v>库存为0</v>
      </c>
      <c r="AV635" s="36" t="str">
        <f>IFERROR(时间!$B$4+AU635,"上周无销量")</f>
        <v>上周无销量</v>
      </c>
    </row>
    <row r="636" spans="1:48">
      <c r="A636" s="20" t="s">
        <v>1459</v>
      </c>
      <c r="B636" t="s">
        <v>1460</v>
      </c>
      <c r="C636" t="s">
        <v>1454</v>
      </c>
      <c r="D636" s="31">
        <v>3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0</v>
      </c>
      <c r="AK636">
        <v>3</v>
      </c>
      <c r="AL636">
        <v>2</v>
      </c>
      <c r="AM636">
        <v>3</v>
      </c>
      <c r="AN636" s="22" t="s">
        <v>53</v>
      </c>
      <c r="AO636" s="22">
        <v>0</v>
      </c>
      <c r="AP636" s="22">
        <v>0</v>
      </c>
      <c r="AQ636" s="22">
        <v>0</v>
      </c>
      <c r="AR636" s="35">
        <v>0.428571428571429</v>
      </c>
      <c r="AS636" s="35">
        <v>25.7142857142857</v>
      </c>
      <c r="AT636" s="35">
        <v>-25.7142857142857</v>
      </c>
      <c r="AU636" s="31">
        <f t="shared" si="13"/>
        <v>0</v>
      </c>
      <c r="AV636" s="36">
        <f>IFERROR(时间!$B$4+AU636,"上周无销量")</f>
        <v>43332</v>
      </c>
    </row>
    <row r="637" spans="1:48">
      <c r="A637" s="20" t="s">
        <v>1461</v>
      </c>
      <c r="B637" t="s">
        <v>1462</v>
      </c>
      <c r="C637" t="s">
        <v>1454</v>
      </c>
      <c r="D637" s="31">
        <v>3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0</v>
      </c>
      <c r="AK637">
        <v>7</v>
      </c>
      <c r="AL637">
        <v>0</v>
      </c>
      <c r="AM637">
        <v>3</v>
      </c>
      <c r="AN637" s="22" t="s">
        <v>53</v>
      </c>
      <c r="AO637" s="22">
        <v>0</v>
      </c>
      <c r="AP637" s="22" t="s">
        <v>53</v>
      </c>
      <c r="AQ637" s="22">
        <v>0</v>
      </c>
      <c r="AR637" s="35">
        <v>0.428571428571429</v>
      </c>
      <c r="AS637" s="35">
        <v>25.7142857142857</v>
      </c>
      <c r="AT637" s="35">
        <v>-25.7142857142857</v>
      </c>
      <c r="AU637" s="31">
        <f t="shared" si="13"/>
        <v>0</v>
      </c>
      <c r="AV637" s="36">
        <f>IFERROR(时间!$B$4+AU637,"上周无销量")</f>
        <v>43332</v>
      </c>
    </row>
    <row r="638" spans="1:48">
      <c r="A638" s="20" t="s">
        <v>1463</v>
      </c>
      <c r="B638" t="s">
        <v>1464</v>
      </c>
      <c r="C638" t="s">
        <v>1454</v>
      </c>
      <c r="D638" s="31">
        <v>3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0</v>
      </c>
      <c r="AK638">
        <v>7</v>
      </c>
      <c r="AL638">
        <v>0</v>
      </c>
      <c r="AM638">
        <v>2</v>
      </c>
      <c r="AN638" s="22" t="s">
        <v>53</v>
      </c>
      <c r="AO638" s="22">
        <v>0</v>
      </c>
      <c r="AP638" s="22" t="s">
        <v>53</v>
      </c>
      <c r="AQ638" s="22">
        <v>0</v>
      </c>
      <c r="AR638" s="35">
        <v>0.428571428571429</v>
      </c>
      <c r="AS638" s="35">
        <v>25.7142857142857</v>
      </c>
      <c r="AT638" s="35">
        <v>-25.7142857142857</v>
      </c>
      <c r="AU638" s="31">
        <f t="shared" si="13"/>
        <v>0</v>
      </c>
      <c r="AV638" s="36">
        <f>IFERROR(时间!$B$4+AU638,"上周无销量")</f>
        <v>43332</v>
      </c>
    </row>
    <row r="639" spans="1:48">
      <c r="A639" s="20" t="s">
        <v>1465</v>
      </c>
      <c r="B639" t="s">
        <v>1466</v>
      </c>
      <c r="C639" t="s">
        <v>1454</v>
      </c>
      <c r="D639" s="31">
        <v>3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0</v>
      </c>
      <c r="AK639">
        <v>5</v>
      </c>
      <c r="AL639">
        <v>0</v>
      </c>
      <c r="AM639">
        <v>1</v>
      </c>
      <c r="AN639" s="22" t="s">
        <v>53</v>
      </c>
      <c r="AO639" s="22">
        <v>0</v>
      </c>
      <c r="AP639" s="22" t="s">
        <v>53</v>
      </c>
      <c r="AQ639" s="22">
        <v>0</v>
      </c>
      <c r="AR639" s="35">
        <v>0.428571428571429</v>
      </c>
      <c r="AS639" s="35">
        <v>25.7142857142857</v>
      </c>
      <c r="AT639" s="35">
        <v>-25.7142857142857</v>
      </c>
      <c r="AU639" s="31">
        <f t="shared" si="13"/>
        <v>0</v>
      </c>
      <c r="AV639" s="36">
        <f>IFERROR(时间!$B$4+AU639,"上周无销量")</f>
        <v>43332</v>
      </c>
    </row>
    <row r="640" spans="1:48">
      <c r="A640" s="20" t="s">
        <v>1467</v>
      </c>
      <c r="B640" t="s">
        <v>1468</v>
      </c>
      <c r="C640" t="s">
        <v>1454</v>
      </c>
      <c r="D640" s="31">
        <v>3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0</v>
      </c>
      <c r="AK640">
        <v>4</v>
      </c>
      <c r="AL640">
        <v>1</v>
      </c>
      <c r="AM640">
        <v>4</v>
      </c>
      <c r="AN640" s="22" t="s">
        <v>53</v>
      </c>
      <c r="AO640" s="22">
        <v>0</v>
      </c>
      <c r="AP640" s="22">
        <v>0</v>
      </c>
      <c r="AQ640" s="22">
        <v>0</v>
      </c>
      <c r="AR640" s="35">
        <v>0.428571428571429</v>
      </c>
      <c r="AS640" s="35">
        <v>25.7142857142857</v>
      </c>
      <c r="AT640" s="35">
        <v>-25.7142857142857</v>
      </c>
      <c r="AU640" s="31">
        <f t="shared" si="13"/>
        <v>0</v>
      </c>
      <c r="AV640" s="36">
        <f>IFERROR(时间!$B$4+AU640,"上周无销量")</f>
        <v>43332</v>
      </c>
    </row>
    <row r="641" spans="1:48">
      <c r="A641" s="20" t="s">
        <v>1469</v>
      </c>
      <c r="B641" t="s">
        <v>1470</v>
      </c>
      <c r="C641" t="s">
        <v>1454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0</v>
      </c>
      <c r="AK641">
        <v>7</v>
      </c>
      <c r="AL641">
        <v>0</v>
      </c>
      <c r="AM641">
        <v>3</v>
      </c>
      <c r="AN641" s="22" t="s">
        <v>53</v>
      </c>
      <c r="AO641" s="22">
        <v>0</v>
      </c>
      <c r="AP641" s="22" t="s">
        <v>53</v>
      </c>
      <c r="AQ641" s="22">
        <v>0</v>
      </c>
      <c r="AR641" s="35">
        <v>0</v>
      </c>
      <c r="AS641" s="35">
        <v>0</v>
      </c>
      <c r="AT641" s="35">
        <v>0</v>
      </c>
      <c r="AU641" s="31" t="str">
        <f t="shared" si="13"/>
        <v>库存为0</v>
      </c>
      <c r="AV641" s="36" t="str">
        <f>IFERROR(时间!$B$4+AU641,"上周无销量")</f>
        <v>上周无销量</v>
      </c>
    </row>
    <row r="642" spans="1:48">
      <c r="A642" s="20" t="s">
        <v>1471</v>
      </c>
      <c r="B642" t="s">
        <v>1472</v>
      </c>
      <c r="C642" t="s">
        <v>1454</v>
      </c>
      <c r="D642" s="31">
        <v>3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1</v>
      </c>
      <c r="AK642">
        <v>3</v>
      </c>
      <c r="AL642">
        <v>3</v>
      </c>
      <c r="AM642">
        <v>3</v>
      </c>
      <c r="AN642" s="22">
        <v>3</v>
      </c>
      <c r="AO642" s="22">
        <v>0</v>
      </c>
      <c r="AP642" s="22">
        <v>0</v>
      </c>
      <c r="AQ642" s="22">
        <v>0</v>
      </c>
      <c r="AR642" s="35">
        <v>0.428571428571429</v>
      </c>
      <c r="AS642" s="35">
        <v>25.7142857142857</v>
      </c>
      <c r="AT642" s="35">
        <v>-25.7142857142857</v>
      </c>
      <c r="AU642" s="31">
        <f t="shared" si="13"/>
        <v>0</v>
      </c>
      <c r="AV642" s="36">
        <f>IFERROR(时间!$B$4+AU642,"上周无销量")</f>
        <v>43332</v>
      </c>
    </row>
    <row r="643" spans="1:48">
      <c r="A643" s="20" t="s">
        <v>1473</v>
      </c>
      <c r="B643" t="s">
        <v>1474</v>
      </c>
      <c r="C643" t="s">
        <v>1454</v>
      </c>
      <c r="D643" s="31">
        <v>3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0</v>
      </c>
      <c r="AK643">
        <v>3</v>
      </c>
      <c r="AL643">
        <v>4</v>
      </c>
      <c r="AM643">
        <v>5</v>
      </c>
      <c r="AN643" s="22" t="s">
        <v>53</v>
      </c>
      <c r="AO643" s="22">
        <v>0</v>
      </c>
      <c r="AP643" s="22">
        <v>0</v>
      </c>
      <c r="AQ643" s="22">
        <v>0</v>
      </c>
      <c r="AR643" s="35">
        <v>0.428571428571429</v>
      </c>
      <c r="AS643" s="35">
        <v>25.7142857142857</v>
      </c>
      <c r="AT643" s="35">
        <v>-25.7142857142857</v>
      </c>
      <c r="AU643" s="31">
        <f t="shared" si="13"/>
        <v>0</v>
      </c>
      <c r="AV643" s="36">
        <f>IFERROR(时间!$B$4+AU643,"上周无销量")</f>
        <v>43332</v>
      </c>
    </row>
    <row r="644" spans="1:48">
      <c r="A644" s="20" t="s">
        <v>1475</v>
      </c>
      <c r="B644" t="s">
        <v>1476</v>
      </c>
      <c r="C644" t="s">
        <v>1454</v>
      </c>
      <c r="D644" s="31">
        <v>3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0</v>
      </c>
      <c r="AK644">
        <v>4</v>
      </c>
      <c r="AL644">
        <v>0</v>
      </c>
      <c r="AM644">
        <v>2</v>
      </c>
      <c r="AN644" s="22" t="s">
        <v>53</v>
      </c>
      <c r="AO644" s="22">
        <v>0</v>
      </c>
      <c r="AP644" s="22" t="s">
        <v>53</v>
      </c>
      <c r="AQ644" s="22">
        <v>0</v>
      </c>
      <c r="AR644" s="35">
        <v>0.428571428571429</v>
      </c>
      <c r="AS644" s="35">
        <v>25.7142857142857</v>
      </c>
      <c r="AT644" s="35">
        <v>-25.7142857142857</v>
      </c>
      <c r="AU644" s="31">
        <f t="shared" si="13"/>
        <v>0</v>
      </c>
      <c r="AV644" s="36">
        <f>IFERROR(时间!$B$4+AU644,"上周无销量")</f>
        <v>43332</v>
      </c>
    </row>
    <row r="645" spans="1:48">
      <c r="A645" s="20" t="s">
        <v>1477</v>
      </c>
      <c r="B645" t="s">
        <v>1478</v>
      </c>
      <c r="C645" t="s">
        <v>1454</v>
      </c>
      <c r="D645" s="31">
        <v>3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0</v>
      </c>
      <c r="AK645">
        <v>4</v>
      </c>
      <c r="AL645">
        <v>0</v>
      </c>
      <c r="AM645">
        <v>1</v>
      </c>
      <c r="AN645" s="22" t="s">
        <v>53</v>
      </c>
      <c r="AO645" s="22">
        <v>0</v>
      </c>
      <c r="AP645" s="22" t="s">
        <v>53</v>
      </c>
      <c r="AQ645" s="22">
        <v>0</v>
      </c>
      <c r="AR645" s="35">
        <v>0.428571428571429</v>
      </c>
      <c r="AS645" s="35">
        <v>25.7142857142857</v>
      </c>
      <c r="AT645" s="35">
        <v>-25.7142857142857</v>
      </c>
      <c r="AU645" s="31">
        <f t="shared" ref="AU645:AU708" si="14">IF(AR645="","库存为"&amp;M645,IF(AS645=0,"库存为"&amp;M645,INT(M645/AR645)))</f>
        <v>0</v>
      </c>
      <c r="AV645" s="36">
        <f>IFERROR(时间!$B$4+AU645,"上周无销量")</f>
        <v>43332</v>
      </c>
    </row>
    <row r="646" spans="1:48">
      <c r="A646" s="20" t="s">
        <v>1479</v>
      </c>
      <c r="B646" t="s">
        <v>1480</v>
      </c>
      <c r="C646" t="s">
        <v>1454</v>
      </c>
      <c r="D646" s="31">
        <v>3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0</v>
      </c>
      <c r="AK646">
        <v>4</v>
      </c>
      <c r="AL646">
        <v>0</v>
      </c>
      <c r="AM646">
        <v>3</v>
      </c>
      <c r="AN646" s="22" t="s">
        <v>53</v>
      </c>
      <c r="AO646" s="22">
        <v>0</v>
      </c>
      <c r="AP646" s="22" t="s">
        <v>53</v>
      </c>
      <c r="AQ646" s="22">
        <v>0</v>
      </c>
      <c r="AR646" s="35">
        <v>0.428571428571429</v>
      </c>
      <c r="AS646" s="35">
        <v>25.7142857142857</v>
      </c>
      <c r="AT646" s="35">
        <v>-25.7142857142857</v>
      </c>
      <c r="AU646" s="31">
        <f t="shared" si="14"/>
        <v>0</v>
      </c>
      <c r="AV646" s="36">
        <f>IFERROR(时间!$B$4+AU646,"上周无销量")</f>
        <v>43332</v>
      </c>
    </row>
    <row r="647" spans="1:48">
      <c r="A647" s="20" t="s">
        <v>1481</v>
      </c>
      <c r="B647" t="s">
        <v>1482</v>
      </c>
      <c r="C647" t="s">
        <v>1454</v>
      </c>
      <c r="D647" s="31">
        <v>3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1</v>
      </c>
      <c r="AK647">
        <v>4</v>
      </c>
      <c r="AL647">
        <v>1</v>
      </c>
      <c r="AM647">
        <v>4</v>
      </c>
      <c r="AN647" s="22">
        <v>3</v>
      </c>
      <c r="AO647" s="22">
        <v>0</v>
      </c>
      <c r="AP647" s="22">
        <v>0</v>
      </c>
      <c r="AQ647" s="22">
        <v>0</v>
      </c>
      <c r="AR647" s="35">
        <v>0.428571428571429</v>
      </c>
      <c r="AS647" s="35">
        <v>25.7142857142857</v>
      </c>
      <c r="AT647" s="35">
        <v>-25.7142857142857</v>
      </c>
      <c r="AU647" s="31">
        <f t="shared" si="14"/>
        <v>0</v>
      </c>
      <c r="AV647" s="36">
        <f>IFERROR(时间!$B$4+AU647,"上周无销量")</f>
        <v>43332</v>
      </c>
    </row>
    <row r="648" spans="1:48">
      <c r="A648" s="20" t="s">
        <v>1483</v>
      </c>
      <c r="B648" t="s">
        <v>1484</v>
      </c>
      <c r="C648" t="s">
        <v>1454</v>
      </c>
      <c r="D648" s="31">
        <v>3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0</v>
      </c>
      <c r="AK648">
        <v>4</v>
      </c>
      <c r="AL648">
        <v>4</v>
      </c>
      <c r="AM648">
        <v>5</v>
      </c>
      <c r="AN648" s="22" t="s">
        <v>53</v>
      </c>
      <c r="AO648" s="22">
        <v>0</v>
      </c>
      <c r="AP648" s="22">
        <v>0</v>
      </c>
      <c r="AQ648" s="22">
        <v>0</v>
      </c>
      <c r="AR648" s="35">
        <v>0.428571428571429</v>
      </c>
      <c r="AS648" s="35">
        <v>25.7142857142857</v>
      </c>
      <c r="AT648" s="35">
        <v>-25.7142857142857</v>
      </c>
      <c r="AU648" s="31">
        <f t="shared" si="14"/>
        <v>0</v>
      </c>
      <c r="AV648" s="36">
        <f>IFERROR(时间!$B$4+AU648,"上周无销量")</f>
        <v>43332</v>
      </c>
    </row>
    <row r="649" spans="1:48">
      <c r="A649" s="20" t="s">
        <v>1485</v>
      </c>
      <c r="B649" t="s">
        <v>1486</v>
      </c>
      <c r="C649" t="s">
        <v>1487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4</v>
      </c>
      <c r="J649" s="33">
        <v>0</v>
      </c>
      <c r="K649" s="33">
        <v>0</v>
      </c>
      <c r="L649" s="33">
        <v>0</v>
      </c>
      <c r="M649">
        <v>4</v>
      </c>
      <c r="N649">
        <v>0</v>
      </c>
      <c r="O649">
        <v>4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3</v>
      </c>
      <c r="AK649">
        <v>3</v>
      </c>
      <c r="AL649">
        <v>0</v>
      </c>
      <c r="AM649">
        <v>1</v>
      </c>
      <c r="AN649" s="22">
        <v>0</v>
      </c>
      <c r="AO649" s="22">
        <v>0</v>
      </c>
      <c r="AP649" s="22" t="s">
        <v>53</v>
      </c>
      <c r="AQ649" s="22">
        <v>0</v>
      </c>
      <c r="AR649" s="35">
        <v>0</v>
      </c>
      <c r="AS649" s="35">
        <v>0</v>
      </c>
      <c r="AT649" s="35">
        <v>4</v>
      </c>
      <c r="AU649" s="31" t="str">
        <f t="shared" si="14"/>
        <v>库存为4</v>
      </c>
      <c r="AV649" s="36" t="str">
        <f>IFERROR(时间!$B$4+AU649,"上周无销量")</f>
        <v>上周无销量</v>
      </c>
    </row>
    <row r="650" spans="1:48">
      <c r="A650" s="20" t="s">
        <v>1488</v>
      </c>
      <c r="B650" t="s">
        <v>1489</v>
      </c>
      <c r="C650" t="s">
        <v>1487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4</v>
      </c>
      <c r="J650" s="33">
        <v>0</v>
      </c>
      <c r="K650" s="33">
        <v>0</v>
      </c>
      <c r="L650" s="33">
        <v>0</v>
      </c>
      <c r="M650">
        <v>4</v>
      </c>
      <c r="N650">
        <v>0</v>
      </c>
      <c r="O650">
        <v>4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1</v>
      </c>
      <c r="AK650">
        <v>2</v>
      </c>
      <c r="AL650">
        <v>2</v>
      </c>
      <c r="AM650">
        <v>0</v>
      </c>
      <c r="AN650" s="22">
        <v>0</v>
      </c>
      <c r="AO650" s="22">
        <v>0</v>
      </c>
      <c r="AP650" s="22">
        <v>0</v>
      </c>
      <c r="AQ650" s="22" t="s">
        <v>53</v>
      </c>
      <c r="AR650" s="35">
        <v>0</v>
      </c>
      <c r="AS650" s="35">
        <v>0</v>
      </c>
      <c r="AT650" s="35">
        <v>4</v>
      </c>
      <c r="AU650" s="31" t="str">
        <f t="shared" si="14"/>
        <v>库存为4</v>
      </c>
      <c r="AV650" s="36" t="str">
        <f>IFERROR(时间!$B$4+AU650,"上周无销量")</f>
        <v>上周无销量</v>
      </c>
    </row>
    <row r="651" spans="1:48">
      <c r="A651" s="20" t="s">
        <v>1490</v>
      </c>
      <c r="B651" t="s">
        <v>1491</v>
      </c>
      <c r="C651" t="s">
        <v>1487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4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3</v>
      </c>
      <c r="AK651">
        <v>1</v>
      </c>
      <c r="AL651">
        <v>1</v>
      </c>
      <c r="AM651">
        <v>0</v>
      </c>
      <c r="AN651" s="22">
        <v>0</v>
      </c>
      <c r="AO651" s="22">
        <v>0</v>
      </c>
      <c r="AP651" s="22">
        <v>0</v>
      </c>
      <c r="AQ651" s="22" t="s">
        <v>53</v>
      </c>
      <c r="AR651" s="35">
        <v>0</v>
      </c>
      <c r="AS651" s="35">
        <v>0</v>
      </c>
      <c r="AT651" s="35">
        <v>4</v>
      </c>
      <c r="AU651" s="31" t="str">
        <f t="shared" si="14"/>
        <v>库存为4</v>
      </c>
      <c r="AV651" s="36" t="str">
        <f>IFERROR(时间!$B$4+AU651,"上周无销量")</f>
        <v>上周无销量</v>
      </c>
    </row>
    <row r="652" spans="1:48">
      <c r="A652" s="20" t="s">
        <v>1492</v>
      </c>
      <c r="B652" t="s">
        <v>1493</v>
      </c>
      <c r="C652" t="s">
        <v>1487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4</v>
      </c>
      <c r="J652" s="33">
        <v>0</v>
      </c>
      <c r="K652" s="33">
        <v>0</v>
      </c>
      <c r="L652" s="33">
        <v>0</v>
      </c>
      <c r="M652">
        <v>4</v>
      </c>
      <c r="N652">
        <v>0</v>
      </c>
      <c r="O652">
        <v>4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4</v>
      </c>
      <c r="AK652">
        <v>0</v>
      </c>
      <c r="AL652">
        <v>2</v>
      </c>
      <c r="AM652">
        <v>1</v>
      </c>
      <c r="AN652" s="22">
        <v>0</v>
      </c>
      <c r="AO652" s="22" t="s">
        <v>53</v>
      </c>
      <c r="AP652" s="22">
        <v>0</v>
      </c>
      <c r="AQ652" s="22">
        <v>0</v>
      </c>
      <c r="AR652" s="35">
        <v>0</v>
      </c>
      <c r="AS652" s="35">
        <v>0</v>
      </c>
      <c r="AT652" s="35">
        <v>4</v>
      </c>
      <c r="AU652" s="31" t="str">
        <f t="shared" si="14"/>
        <v>库存为4</v>
      </c>
      <c r="AV652" s="36" t="str">
        <f>IFERROR(时间!$B$4+AU652,"上周无销量")</f>
        <v>上周无销量</v>
      </c>
    </row>
    <row r="653" spans="1:48">
      <c r="A653" s="20" t="s">
        <v>1494</v>
      </c>
      <c r="B653" t="s">
        <v>1495</v>
      </c>
      <c r="C653" t="s">
        <v>1487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4</v>
      </c>
      <c r="J653" s="33">
        <v>0</v>
      </c>
      <c r="K653" s="33">
        <v>0</v>
      </c>
      <c r="L653" s="33">
        <v>0</v>
      </c>
      <c r="M653">
        <v>4</v>
      </c>
      <c r="N653">
        <v>0</v>
      </c>
      <c r="O653">
        <v>4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1</v>
      </c>
      <c r="AK653">
        <v>2</v>
      </c>
      <c r="AL653">
        <v>2</v>
      </c>
      <c r="AM653">
        <v>0</v>
      </c>
      <c r="AN653" s="22">
        <v>0</v>
      </c>
      <c r="AO653" s="22">
        <v>0</v>
      </c>
      <c r="AP653" s="22">
        <v>0</v>
      </c>
      <c r="AQ653" s="22" t="s">
        <v>53</v>
      </c>
      <c r="AR653" s="35">
        <v>0</v>
      </c>
      <c r="AS653" s="35">
        <v>0</v>
      </c>
      <c r="AT653" s="35">
        <v>4</v>
      </c>
      <c r="AU653" s="31" t="str">
        <f t="shared" si="14"/>
        <v>库存为4</v>
      </c>
      <c r="AV653" s="36" t="str">
        <f>IFERROR(时间!$B$4+AU653,"上周无销量")</f>
        <v>上周无销量</v>
      </c>
    </row>
    <row r="654" spans="1:48">
      <c r="A654" s="20" t="s">
        <v>1496</v>
      </c>
      <c r="B654" t="s">
        <v>1497</v>
      </c>
      <c r="C654" t="s">
        <v>1487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4</v>
      </c>
      <c r="J654" s="33">
        <v>0</v>
      </c>
      <c r="K654" s="33">
        <v>0</v>
      </c>
      <c r="L654" s="33">
        <v>0</v>
      </c>
      <c r="M654">
        <v>4</v>
      </c>
      <c r="N654">
        <v>0</v>
      </c>
      <c r="O654">
        <v>4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2</v>
      </c>
      <c r="AK654">
        <v>1</v>
      </c>
      <c r="AL654">
        <v>0</v>
      </c>
      <c r="AM654">
        <v>2</v>
      </c>
      <c r="AN654" s="22">
        <v>0</v>
      </c>
      <c r="AO654" s="22">
        <v>0</v>
      </c>
      <c r="AP654" s="22" t="s">
        <v>53</v>
      </c>
      <c r="AQ654" s="22">
        <v>0</v>
      </c>
      <c r="AR654" s="35">
        <v>0</v>
      </c>
      <c r="AS654" s="35">
        <v>0</v>
      </c>
      <c r="AT654" s="35">
        <v>4</v>
      </c>
      <c r="AU654" s="31" t="str">
        <f t="shared" si="14"/>
        <v>库存为4</v>
      </c>
      <c r="AV654" s="36" t="str">
        <f>IFERROR(时间!$B$4+AU654,"上周无销量")</f>
        <v>上周无销量</v>
      </c>
    </row>
    <row r="655" spans="1:48">
      <c r="A655" s="20" t="s">
        <v>1498</v>
      </c>
      <c r="B655" t="s">
        <v>1499</v>
      </c>
      <c r="C655" t="s">
        <v>1487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4</v>
      </c>
      <c r="J655" s="33">
        <v>0</v>
      </c>
      <c r="K655" s="33">
        <v>0</v>
      </c>
      <c r="L655" s="33">
        <v>0</v>
      </c>
      <c r="M655">
        <v>4</v>
      </c>
      <c r="N655">
        <v>0</v>
      </c>
      <c r="O655">
        <v>4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1</v>
      </c>
      <c r="AK655">
        <v>4</v>
      </c>
      <c r="AL655">
        <v>1</v>
      </c>
      <c r="AM655">
        <v>4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4</v>
      </c>
      <c r="AU655" s="31" t="str">
        <f t="shared" si="14"/>
        <v>库存为4</v>
      </c>
      <c r="AV655" s="36" t="str">
        <f>IFERROR(时间!$B$4+AU655,"上周无销量")</f>
        <v>上周无销量</v>
      </c>
    </row>
    <row r="656" spans="1:48">
      <c r="A656" s="20" t="s">
        <v>1500</v>
      </c>
      <c r="B656" t="s">
        <v>1501</v>
      </c>
      <c r="C656" t="s">
        <v>1487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4</v>
      </c>
      <c r="J656" s="33">
        <v>0</v>
      </c>
      <c r="K656" s="33">
        <v>0</v>
      </c>
      <c r="L656" s="33">
        <v>0</v>
      </c>
      <c r="M656">
        <v>4</v>
      </c>
      <c r="N656">
        <v>0</v>
      </c>
      <c r="O656">
        <v>4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1</v>
      </c>
      <c r="AK656">
        <v>2</v>
      </c>
      <c r="AL656">
        <v>0</v>
      </c>
      <c r="AM656">
        <v>1</v>
      </c>
      <c r="AN656" s="22">
        <v>0</v>
      </c>
      <c r="AO656" s="22">
        <v>0</v>
      </c>
      <c r="AP656" s="22" t="s">
        <v>53</v>
      </c>
      <c r="AQ656" s="22">
        <v>0</v>
      </c>
      <c r="AR656" s="35">
        <v>0</v>
      </c>
      <c r="AS656" s="35">
        <v>0</v>
      </c>
      <c r="AT656" s="35">
        <v>4</v>
      </c>
      <c r="AU656" s="31" t="str">
        <f t="shared" si="14"/>
        <v>库存为4</v>
      </c>
      <c r="AV656" s="36" t="str">
        <f>IFERROR(时间!$B$4+AU656,"上周无销量")</f>
        <v>上周无销量</v>
      </c>
    </row>
    <row r="657" spans="1:48">
      <c r="A657" s="20" t="s">
        <v>1502</v>
      </c>
      <c r="B657" t="s">
        <v>1503</v>
      </c>
      <c r="C657" t="s">
        <v>1487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4</v>
      </c>
      <c r="J657" s="33">
        <v>0</v>
      </c>
      <c r="K657" s="33">
        <v>0</v>
      </c>
      <c r="L657" s="33">
        <v>0</v>
      </c>
      <c r="M657">
        <v>4</v>
      </c>
      <c r="N657">
        <v>0</v>
      </c>
      <c r="O657">
        <v>4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1</v>
      </c>
      <c r="AK657">
        <v>1</v>
      </c>
      <c r="AL657">
        <v>0</v>
      </c>
      <c r="AM657">
        <v>2</v>
      </c>
      <c r="AN657" s="22">
        <v>0</v>
      </c>
      <c r="AO657" s="22">
        <v>0</v>
      </c>
      <c r="AP657" s="22" t="s">
        <v>53</v>
      </c>
      <c r="AQ657" s="22">
        <v>0</v>
      </c>
      <c r="AR657" s="35">
        <v>0</v>
      </c>
      <c r="AS657" s="35">
        <v>0</v>
      </c>
      <c r="AT657" s="35">
        <v>4</v>
      </c>
      <c r="AU657" s="31" t="str">
        <f t="shared" si="14"/>
        <v>库存为4</v>
      </c>
      <c r="AV657" s="36" t="str">
        <f>IFERROR(时间!$B$4+AU657,"上周无销量")</f>
        <v>上周无销量</v>
      </c>
    </row>
    <row r="658" spans="1:48">
      <c r="A658" s="20" t="s">
        <v>1504</v>
      </c>
      <c r="B658" t="s">
        <v>1505</v>
      </c>
      <c r="C658" t="s">
        <v>1487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4</v>
      </c>
      <c r="J658" s="33">
        <v>0</v>
      </c>
      <c r="K658" s="33">
        <v>0</v>
      </c>
      <c r="L658" s="33">
        <v>0</v>
      </c>
      <c r="M658">
        <v>4</v>
      </c>
      <c r="N658">
        <v>0</v>
      </c>
      <c r="O658">
        <v>4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1</v>
      </c>
      <c r="AK658">
        <v>2</v>
      </c>
      <c r="AL658">
        <v>0</v>
      </c>
      <c r="AM658">
        <v>1</v>
      </c>
      <c r="AN658" s="22">
        <v>0</v>
      </c>
      <c r="AO658" s="22">
        <v>0</v>
      </c>
      <c r="AP658" s="22" t="s">
        <v>53</v>
      </c>
      <c r="AQ658" s="22">
        <v>0</v>
      </c>
      <c r="AR658" s="35">
        <v>0</v>
      </c>
      <c r="AS658" s="35">
        <v>0</v>
      </c>
      <c r="AT658" s="35">
        <v>4</v>
      </c>
      <c r="AU658" s="31" t="str">
        <f t="shared" si="14"/>
        <v>库存为4</v>
      </c>
      <c r="AV658" s="36" t="str">
        <f>IFERROR(时间!$B$4+AU658,"上周无销量")</f>
        <v>上周无销量</v>
      </c>
    </row>
    <row r="659" spans="1:48">
      <c r="A659" s="20" t="s">
        <v>1506</v>
      </c>
      <c r="B659" t="s">
        <v>1507</v>
      </c>
      <c r="C659" t="s">
        <v>1487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4</v>
      </c>
      <c r="J659" s="33">
        <v>0</v>
      </c>
      <c r="K659" s="33">
        <v>0</v>
      </c>
      <c r="L659" s="33">
        <v>0</v>
      </c>
      <c r="M659">
        <v>4</v>
      </c>
      <c r="N659">
        <v>0</v>
      </c>
      <c r="O659">
        <v>4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3</v>
      </c>
      <c r="AK659">
        <v>4</v>
      </c>
      <c r="AL659">
        <v>1</v>
      </c>
      <c r="AM659">
        <v>0</v>
      </c>
      <c r="AN659" s="22">
        <v>0</v>
      </c>
      <c r="AO659" s="22">
        <v>0</v>
      </c>
      <c r="AP659" s="22">
        <v>0</v>
      </c>
      <c r="AQ659" s="22" t="s">
        <v>53</v>
      </c>
      <c r="AR659" s="35">
        <v>0</v>
      </c>
      <c r="AS659" s="35">
        <v>0</v>
      </c>
      <c r="AT659" s="35">
        <v>4</v>
      </c>
      <c r="AU659" s="31" t="str">
        <f t="shared" si="14"/>
        <v>库存为4</v>
      </c>
      <c r="AV659" s="36" t="str">
        <f>IFERROR(时间!$B$4+AU659,"上周无销量")</f>
        <v>上周无销量</v>
      </c>
    </row>
    <row r="660" spans="1:48">
      <c r="A660" s="20" t="s">
        <v>1508</v>
      </c>
      <c r="B660" t="s">
        <v>1509</v>
      </c>
      <c r="C660" t="s">
        <v>1487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4</v>
      </c>
      <c r="J660" s="33">
        <v>0</v>
      </c>
      <c r="K660" s="33">
        <v>0</v>
      </c>
      <c r="L660" s="33">
        <v>0</v>
      </c>
      <c r="M660">
        <v>4</v>
      </c>
      <c r="N660">
        <v>0</v>
      </c>
      <c r="O660">
        <v>4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3</v>
      </c>
      <c r="AK660">
        <v>3</v>
      </c>
      <c r="AL660">
        <v>1</v>
      </c>
      <c r="AM660">
        <v>1</v>
      </c>
      <c r="AN660" s="22">
        <v>0</v>
      </c>
      <c r="AO660" s="22">
        <v>0</v>
      </c>
      <c r="AP660" s="22">
        <v>0</v>
      </c>
      <c r="AQ660" s="22">
        <v>0</v>
      </c>
      <c r="AR660" s="35">
        <v>0</v>
      </c>
      <c r="AS660" s="35">
        <v>0</v>
      </c>
      <c r="AT660" s="35">
        <v>4</v>
      </c>
      <c r="AU660" s="31" t="str">
        <f t="shared" si="14"/>
        <v>库存为4</v>
      </c>
      <c r="AV660" s="36" t="str">
        <f>IFERROR(时间!$B$4+AU660,"上周无销量")</f>
        <v>上周无销量</v>
      </c>
    </row>
    <row r="661" spans="1:48">
      <c r="A661" s="20" t="s">
        <v>1510</v>
      </c>
      <c r="B661" t="s">
        <v>1511</v>
      </c>
      <c r="C661" t="s">
        <v>1487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4</v>
      </c>
      <c r="J661" s="33">
        <v>0</v>
      </c>
      <c r="K661" s="33">
        <v>0</v>
      </c>
      <c r="L661" s="33">
        <v>0</v>
      </c>
      <c r="M661">
        <v>4</v>
      </c>
      <c r="N661">
        <v>0</v>
      </c>
      <c r="O661">
        <v>4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2</v>
      </c>
      <c r="AK661">
        <v>2</v>
      </c>
      <c r="AL661">
        <v>3</v>
      </c>
      <c r="AM661">
        <v>0</v>
      </c>
      <c r="AN661" s="22">
        <v>0</v>
      </c>
      <c r="AO661" s="22">
        <v>0</v>
      </c>
      <c r="AP661" s="22">
        <v>0</v>
      </c>
      <c r="AQ661" s="22" t="s">
        <v>53</v>
      </c>
      <c r="AR661" s="35">
        <v>0</v>
      </c>
      <c r="AS661" s="35">
        <v>0</v>
      </c>
      <c r="AT661" s="35">
        <v>4</v>
      </c>
      <c r="AU661" s="31" t="str">
        <f t="shared" si="14"/>
        <v>库存为4</v>
      </c>
      <c r="AV661" s="36" t="str">
        <f>IFERROR(时间!$B$4+AU661,"上周无销量")</f>
        <v>上周无销量</v>
      </c>
    </row>
    <row r="662" spans="1:48">
      <c r="A662" s="20" t="s">
        <v>1512</v>
      </c>
      <c r="B662" t="s">
        <v>1513</v>
      </c>
      <c r="C662" t="s">
        <v>1487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4</v>
      </c>
      <c r="J662" s="33">
        <v>0</v>
      </c>
      <c r="K662" s="33">
        <v>0</v>
      </c>
      <c r="L662" s="33">
        <v>0</v>
      </c>
      <c r="M662">
        <v>4</v>
      </c>
      <c r="N662">
        <v>0</v>
      </c>
      <c r="O662">
        <v>4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3</v>
      </c>
      <c r="AK662">
        <v>2</v>
      </c>
      <c r="AL662">
        <v>3</v>
      </c>
      <c r="AM662">
        <v>1</v>
      </c>
      <c r="AN662" s="22">
        <v>0</v>
      </c>
      <c r="AO662" s="22">
        <v>0</v>
      </c>
      <c r="AP662" s="22">
        <v>0</v>
      </c>
      <c r="AQ662" s="22">
        <v>0</v>
      </c>
      <c r="AR662" s="35">
        <v>0</v>
      </c>
      <c r="AS662" s="35">
        <v>0</v>
      </c>
      <c r="AT662" s="35">
        <v>4</v>
      </c>
      <c r="AU662" s="31" t="str">
        <f t="shared" si="14"/>
        <v>库存为4</v>
      </c>
      <c r="AV662" s="36" t="str">
        <f>IFERROR(时间!$B$4+AU662,"上周无销量")</f>
        <v>上周无销量</v>
      </c>
    </row>
    <row r="663" spans="1:48">
      <c r="A663" s="20" t="s">
        <v>1514</v>
      </c>
      <c r="B663" t="s">
        <v>1515</v>
      </c>
      <c r="C663" t="s">
        <v>1487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4</v>
      </c>
      <c r="J663" s="33">
        <v>0</v>
      </c>
      <c r="K663" s="33">
        <v>0</v>
      </c>
      <c r="L663" s="33">
        <v>0</v>
      </c>
      <c r="M663">
        <v>4</v>
      </c>
      <c r="N663">
        <v>0</v>
      </c>
      <c r="O663">
        <v>4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3</v>
      </c>
      <c r="AK663">
        <v>0</v>
      </c>
      <c r="AL663">
        <v>1</v>
      </c>
      <c r="AM663">
        <v>2</v>
      </c>
      <c r="AN663" s="22">
        <v>0</v>
      </c>
      <c r="AO663" s="22" t="s">
        <v>53</v>
      </c>
      <c r="AP663" s="22">
        <v>0</v>
      </c>
      <c r="AQ663" s="22">
        <v>0</v>
      </c>
      <c r="AR663" s="35">
        <v>0</v>
      </c>
      <c r="AS663" s="35">
        <v>0</v>
      </c>
      <c r="AT663" s="35">
        <v>4</v>
      </c>
      <c r="AU663" s="31" t="str">
        <f t="shared" si="14"/>
        <v>库存为4</v>
      </c>
      <c r="AV663" s="36" t="str">
        <f>IFERROR(时间!$B$4+AU663,"上周无销量")</f>
        <v>上周无销量</v>
      </c>
    </row>
    <row r="664" spans="1:48">
      <c r="A664" s="20" t="s">
        <v>1516</v>
      </c>
      <c r="B664" t="s">
        <v>1517</v>
      </c>
      <c r="C664" t="s">
        <v>1487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4</v>
      </c>
      <c r="J664" s="33">
        <v>0</v>
      </c>
      <c r="K664" s="33">
        <v>0</v>
      </c>
      <c r="L664" s="33">
        <v>0</v>
      </c>
      <c r="M664">
        <v>4</v>
      </c>
      <c r="N664">
        <v>0</v>
      </c>
      <c r="O664">
        <v>4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2</v>
      </c>
      <c r="AK664">
        <v>1</v>
      </c>
      <c r="AL664">
        <v>0</v>
      </c>
      <c r="AM664">
        <v>2</v>
      </c>
      <c r="AN664" s="22">
        <v>0</v>
      </c>
      <c r="AO664" s="22">
        <v>0</v>
      </c>
      <c r="AP664" s="22" t="s">
        <v>53</v>
      </c>
      <c r="AQ664" s="22">
        <v>0</v>
      </c>
      <c r="AR664" s="35">
        <v>0</v>
      </c>
      <c r="AS664" s="35">
        <v>0</v>
      </c>
      <c r="AT664" s="35">
        <v>4</v>
      </c>
      <c r="AU664" s="31" t="str">
        <f t="shared" si="14"/>
        <v>库存为4</v>
      </c>
      <c r="AV664" s="36" t="str">
        <f>IFERROR(时间!$B$4+AU664,"上周无销量")</f>
        <v>上周无销量</v>
      </c>
    </row>
    <row r="665" spans="1:48">
      <c r="A665" s="20" t="s">
        <v>1518</v>
      </c>
      <c r="B665" t="s">
        <v>1519</v>
      </c>
      <c r="C665" t="s">
        <v>1487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4</v>
      </c>
      <c r="J665" s="33">
        <v>0</v>
      </c>
      <c r="K665" s="33">
        <v>0</v>
      </c>
      <c r="L665" s="33">
        <v>0</v>
      </c>
      <c r="M665">
        <v>4</v>
      </c>
      <c r="N665">
        <v>0</v>
      </c>
      <c r="O665">
        <v>4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3</v>
      </c>
      <c r="AK665">
        <v>4</v>
      </c>
      <c r="AL665">
        <v>2</v>
      </c>
      <c r="AM665">
        <v>1</v>
      </c>
      <c r="AN665" s="22">
        <v>0</v>
      </c>
      <c r="AO665" s="22">
        <v>0</v>
      </c>
      <c r="AP665" s="22">
        <v>0</v>
      </c>
      <c r="AQ665" s="22">
        <v>0</v>
      </c>
      <c r="AR665" s="35">
        <v>0</v>
      </c>
      <c r="AS665" s="35">
        <v>0</v>
      </c>
      <c r="AT665" s="35">
        <v>4</v>
      </c>
      <c r="AU665" s="31" t="str">
        <f t="shared" si="14"/>
        <v>库存为4</v>
      </c>
      <c r="AV665" s="36" t="str">
        <f>IFERROR(时间!$B$4+AU665,"上周无销量")</f>
        <v>上周无销量</v>
      </c>
    </row>
    <row r="666" spans="1:48">
      <c r="A666" s="20" t="s">
        <v>1520</v>
      </c>
      <c r="B666" t="s">
        <v>1521</v>
      </c>
      <c r="C666" t="s">
        <v>1487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4</v>
      </c>
      <c r="J666" s="33">
        <v>0</v>
      </c>
      <c r="K666" s="33">
        <v>0</v>
      </c>
      <c r="L666" s="33">
        <v>0</v>
      </c>
      <c r="M666">
        <v>4</v>
      </c>
      <c r="N666">
        <v>0</v>
      </c>
      <c r="O666">
        <v>4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1</v>
      </c>
      <c r="AK666">
        <v>3</v>
      </c>
      <c r="AL666">
        <v>1</v>
      </c>
      <c r="AM666">
        <v>2</v>
      </c>
      <c r="AN666" s="22">
        <v>0</v>
      </c>
      <c r="AO666" s="22">
        <v>0</v>
      </c>
      <c r="AP666" s="22">
        <v>0</v>
      </c>
      <c r="AQ666" s="22">
        <v>0</v>
      </c>
      <c r="AR666" s="35">
        <v>0</v>
      </c>
      <c r="AS666" s="35">
        <v>0</v>
      </c>
      <c r="AT666" s="35">
        <v>4</v>
      </c>
      <c r="AU666" s="31" t="str">
        <f t="shared" si="14"/>
        <v>库存为4</v>
      </c>
      <c r="AV666" s="36" t="str">
        <f>IFERROR(时间!$B$4+AU666,"上周无销量")</f>
        <v>上周无销量</v>
      </c>
    </row>
    <row r="667" spans="1:48">
      <c r="A667" s="20" t="s">
        <v>1522</v>
      </c>
      <c r="B667" t="s">
        <v>1523</v>
      </c>
      <c r="C667" t="s">
        <v>1487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3</v>
      </c>
      <c r="J667" s="33">
        <v>0</v>
      </c>
      <c r="K667" s="33">
        <v>0</v>
      </c>
      <c r="L667" s="33">
        <v>0</v>
      </c>
      <c r="M667">
        <v>3</v>
      </c>
      <c r="N667">
        <v>0</v>
      </c>
      <c r="O667">
        <v>3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2</v>
      </c>
      <c r="AK667">
        <v>3</v>
      </c>
      <c r="AL667">
        <v>5</v>
      </c>
      <c r="AM667">
        <v>1</v>
      </c>
      <c r="AN667" s="22">
        <v>0</v>
      </c>
      <c r="AO667" s="22">
        <v>0</v>
      </c>
      <c r="AP667" s="22">
        <v>0</v>
      </c>
      <c r="AQ667" s="22">
        <v>0</v>
      </c>
      <c r="AR667" s="35">
        <v>0</v>
      </c>
      <c r="AS667" s="35">
        <v>0</v>
      </c>
      <c r="AT667" s="35">
        <v>3</v>
      </c>
      <c r="AU667" s="31" t="str">
        <f t="shared" si="14"/>
        <v>库存为3</v>
      </c>
      <c r="AV667" s="36" t="str">
        <f>IFERROR(时间!$B$4+AU667,"上周无销量")</f>
        <v>上周无销量</v>
      </c>
    </row>
    <row r="668" spans="1:48">
      <c r="A668" s="20" t="s">
        <v>1524</v>
      </c>
      <c r="B668" t="s">
        <v>1525</v>
      </c>
      <c r="C668" t="s">
        <v>1487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4</v>
      </c>
      <c r="J668" s="33">
        <v>0</v>
      </c>
      <c r="K668" s="33">
        <v>0</v>
      </c>
      <c r="L668" s="33">
        <v>0</v>
      </c>
      <c r="M668">
        <v>4</v>
      </c>
      <c r="N668">
        <v>0</v>
      </c>
      <c r="O668">
        <v>4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3</v>
      </c>
      <c r="AK668">
        <v>2</v>
      </c>
      <c r="AL668">
        <v>4</v>
      </c>
      <c r="AM668">
        <v>1</v>
      </c>
      <c r="AN668" s="22">
        <v>0</v>
      </c>
      <c r="AO668" s="22">
        <v>0</v>
      </c>
      <c r="AP668" s="22">
        <v>0</v>
      </c>
      <c r="AQ668" s="22">
        <v>0</v>
      </c>
      <c r="AR668" s="35">
        <v>0</v>
      </c>
      <c r="AS668" s="35">
        <v>0</v>
      </c>
      <c r="AT668" s="35">
        <v>4</v>
      </c>
      <c r="AU668" s="31" t="str">
        <f t="shared" si="14"/>
        <v>库存为4</v>
      </c>
      <c r="AV668" s="36" t="str">
        <f>IFERROR(时间!$B$4+AU668,"上周无销量")</f>
        <v>上周无销量</v>
      </c>
    </row>
    <row r="669" spans="1:48">
      <c r="A669" s="20" t="s">
        <v>1526</v>
      </c>
      <c r="B669" t="s">
        <v>1527</v>
      </c>
      <c r="C669" t="s">
        <v>1487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4</v>
      </c>
      <c r="J669" s="33">
        <v>0</v>
      </c>
      <c r="K669" s="33">
        <v>0</v>
      </c>
      <c r="L669" s="33">
        <v>0</v>
      </c>
      <c r="M669">
        <v>4</v>
      </c>
      <c r="N669">
        <v>0</v>
      </c>
      <c r="O669">
        <v>4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1</v>
      </c>
      <c r="AK669">
        <v>1</v>
      </c>
      <c r="AL669">
        <v>0</v>
      </c>
      <c r="AM669">
        <v>2</v>
      </c>
      <c r="AN669" s="22">
        <v>0</v>
      </c>
      <c r="AO669" s="22">
        <v>0</v>
      </c>
      <c r="AP669" s="22" t="s">
        <v>53</v>
      </c>
      <c r="AQ669" s="22">
        <v>0</v>
      </c>
      <c r="AR669" s="35">
        <v>0</v>
      </c>
      <c r="AS669" s="35">
        <v>0</v>
      </c>
      <c r="AT669" s="35">
        <v>4</v>
      </c>
      <c r="AU669" s="31" t="str">
        <f t="shared" si="14"/>
        <v>库存为4</v>
      </c>
      <c r="AV669" s="36" t="str">
        <f>IFERROR(时间!$B$4+AU669,"上周无销量")</f>
        <v>上周无销量</v>
      </c>
    </row>
    <row r="670" spans="1:48">
      <c r="A670" s="20" t="s">
        <v>1528</v>
      </c>
      <c r="B670" t="s">
        <v>1529</v>
      </c>
      <c r="C670" t="s">
        <v>1487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4</v>
      </c>
      <c r="J670" s="33">
        <v>0</v>
      </c>
      <c r="K670" s="33">
        <v>0</v>
      </c>
      <c r="L670" s="33">
        <v>0</v>
      </c>
      <c r="M670">
        <v>4</v>
      </c>
      <c r="N670">
        <v>0</v>
      </c>
      <c r="O670">
        <v>4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3</v>
      </c>
      <c r="AK670">
        <v>3</v>
      </c>
      <c r="AL670">
        <v>3</v>
      </c>
      <c r="AM670">
        <v>1</v>
      </c>
      <c r="AN670" s="22">
        <v>0</v>
      </c>
      <c r="AO670" s="22">
        <v>0</v>
      </c>
      <c r="AP670" s="22">
        <v>0</v>
      </c>
      <c r="AQ670" s="22">
        <v>0</v>
      </c>
      <c r="AR670" s="35">
        <v>0</v>
      </c>
      <c r="AS670" s="35">
        <v>0</v>
      </c>
      <c r="AT670" s="35">
        <v>4</v>
      </c>
      <c r="AU670" s="31" t="str">
        <f t="shared" si="14"/>
        <v>库存为4</v>
      </c>
      <c r="AV670" s="36" t="str">
        <f>IFERROR(时间!$B$4+AU670,"上周无销量")</f>
        <v>上周无销量</v>
      </c>
    </row>
    <row r="671" spans="1:48">
      <c r="A671" s="20" t="s">
        <v>1530</v>
      </c>
      <c r="B671" t="s">
        <v>1531</v>
      </c>
      <c r="C671" t="s">
        <v>1487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4</v>
      </c>
      <c r="J671" s="33">
        <v>0</v>
      </c>
      <c r="K671" s="33">
        <v>0</v>
      </c>
      <c r="L671" s="33">
        <v>0</v>
      </c>
      <c r="M671">
        <v>4</v>
      </c>
      <c r="N671">
        <v>0</v>
      </c>
      <c r="O671">
        <v>4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4</v>
      </c>
      <c r="AK671">
        <v>2</v>
      </c>
      <c r="AL671">
        <v>1</v>
      </c>
      <c r="AM671">
        <v>0</v>
      </c>
      <c r="AN671" s="22">
        <v>0</v>
      </c>
      <c r="AO671" s="22">
        <v>0</v>
      </c>
      <c r="AP671" s="22">
        <v>0</v>
      </c>
      <c r="AQ671" s="22" t="s">
        <v>53</v>
      </c>
      <c r="AR671" s="35">
        <v>0</v>
      </c>
      <c r="AS671" s="35">
        <v>0</v>
      </c>
      <c r="AT671" s="35">
        <v>4</v>
      </c>
      <c r="AU671" s="31" t="str">
        <f t="shared" si="14"/>
        <v>库存为4</v>
      </c>
      <c r="AV671" s="36" t="str">
        <f>IFERROR(时间!$B$4+AU671,"上周无销量")</f>
        <v>上周无销量</v>
      </c>
    </row>
    <row r="672" spans="1:48">
      <c r="A672" s="20" t="s">
        <v>1532</v>
      </c>
      <c r="B672" t="s">
        <v>1533</v>
      </c>
      <c r="C672" t="s">
        <v>1487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4</v>
      </c>
      <c r="J672" s="33">
        <v>0</v>
      </c>
      <c r="K672" s="33">
        <v>0</v>
      </c>
      <c r="L672" s="33">
        <v>0</v>
      </c>
      <c r="M672">
        <v>4</v>
      </c>
      <c r="N672">
        <v>0</v>
      </c>
      <c r="O672">
        <v>4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1</v>
      </c>
      <c r="AK672">
        <v>1</v>
      </c>
      <c r="AL672">
        <v>0</v>
      </c>
      <c r="AM672">
        <v>2</v>
      </c>
      <c r="AN672" s="22">
        <v>0</v>
      </c>
      <c r="AO672" s="22">
        <v>0</v>
      </c>
      <c r="AP672" s="22" t="s">
        <v>53</v>
      </c>
      <c r="AQ672" s="22">
        <v>0</v>
      </c>
      <c r="AR672" s="35">
        <v>0</v>
      </c>
      <c r="AS672" s="35">
        <v>0</v>
      </c>
      <c r="AT672" s="35">
        <v>4</v>
      </c>
      <c r="AU672" s="31" t="str">
        <f t="shared" si="14"/>
        <v>库存为4</v>
      </c>
      <c r="AV672" s="36" t="str">
        <f>IFERROR(时间!$B$4+AU672,"上周无销量")</f>
        <v>上周无销量</v>
      </c>
    </row>
    <row r="673" spans="1:48">
      <c r="A673" s="20" t="s">
        <v>1534</v>
      </c>
      <c r="B673" t="s">
        <v>1535</v>
      </c>
      <c r="C673" t="s">
        <v>1487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4</v>
      </c>
      <c r="J673" s="33">
        <v>0</v>
      </c>
      <c r="K673" s="33">
        <v>0</v>
      </c>
      <c r="L673" s="33">
        <v>0</v>
      </c>
      <c r="M673">
        <v>4</v>
      </c>
      <c r="N673">
        <v>0</v>
      </c>
      <c r="O673">
        <v>4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1</v>
      </c>
      <c r="AK673">
        <v>2</v>
      </c>
      <c r="AL673">
        <v>0</v>
      </c>
      <c r="AM673">
        <v>2</v>
      </c>
      <c r="AN673" s="22">
        <v>0</v>
      </c>
      <c r="AO673" s="22">
        <v>0</v>
      </c>
      <c r="AP673" s="22" t="s">
        <v>53</v>
      </c>
      <c r="AQ673" s="22">
        <v>0</v>
      </c>
      <c r="AR673" s="35">
        <v>0</v>
      </c>
      <c r="AS673" s="35">
        <v>0</v>
      </c>
      <c r="AT673" s="35">
        <v>4</v>
      </c>
      <c r="AU673" s="31" t="str">
        <f t="shared" si="14"/>
        <v>库存为4</v>
      </c>
      <c r="AV673" s="36" t="str">
        <f>IFERROR(时间!$B$4+AU673,"上周无销量")</f>
        <v>上周无销量</v>
      </c>
    </row>
    <row r="674" spans="1:48">
      <c r="A674" s="20" t="s">
        <v>1536</v>
      </c>
      <c r="B674" t="s">
        <v>1537</v>
      </c>
      <c r="C674" t="s">
        <v>1487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4</v>
      </c>
      <c r="J674" s="33">
        <v>0</v>
      </c>
      <c r="K674" s="33">
        <v>0</v>
      </c>
      <c r="L674" s="33">
        <v>0</v>
      </c>
      <c r="M674">
        <v>4</v>
      </c>
      <c r="N674">
        <v>0</v>
      </c>
      <c r="O674">
        <v>4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4</v>
      </c>
      <c r="AK674">
        <v>1</v>
      </c>
      <c r="AL674">
        <v>0</v>
      </c>
      <c r="AM674">
        <v>1</v>
      </c>
      <c r="AN674" s="22">
        <v>0</v>
      </c>
      <c r="AO674" s="22">
        <v>0</v>
      </c>
      <c r="AP674" s="22" t="s">
        <v>53</v>
      </c>
      <c r="AQ674" s="22">
        <v>0</v>
      </c>
      <c r="AR674" s="35">
        <v>0</v>
      </c>
      <c r="AS674" s="35">
        <v>0</v>
      </c>
      <c r="AT674" s="35">
        <v>4</v>
      </c>
      <c r="AU674" s="31" t="str">
        <f t="shared" si="14"/>
        <v>库存为4</v>
      </c>
      <c r="AV674" s="36" t="str">
        <f>IFERROR(时间!$B$4+AU674,"上周无销量")</f>
        <v>上周无销量</v>
      </c>
    </row>
    <row r="675" spans="1:48">
      <c r="A675" s="20" t="s">
        <v>1538</v>
      </c>
      <c r="B675" t="s">
        <v>1539</v>
      </c>
      <c r="C675" t="s">
        <v>1487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4</v>
      </c>
      <c r="J675" s="33">
        <v>0</v>
      </c>
      <c r="K675" s="33">
        <v>0</v>
      </c>
      <c r="L675" s="33">
        <v>0</v>
      </c>
      <c r="M675">
        <v>4</v>
      </c>
      <c r="N675">
        <v>0</v>
      </c>
      <c r="O675">
        <v>4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1</v>
      </c>
      <c r="AK675">
        <v>2</v>
      </c>
      <c r="AL675">
        <v>2</v>
      </c>
      <c r="AM675">
        <v>0</v>
      </c>
      <c r="AN675" s="22">
        <v>0</v>
      </c>
      <c r="AO675" s="22">
        <v>0</v>
      </c>
      <c r="AP675" s="22">
        <v>0</v>
      </c>
      <c r="AQ675" s="22" t="s">
        <v>53</v>
      </c>
      <c r="AR675" s="35">
        <v>0</v>
      </c>
      <c r="AS675" s="35">
        <v>0</v>
      </c>
      <c r="AT675" s="35">
        <v>4</v>
      </c>
      <c r="AU675" s="31" t="str">
        <f t="shared" si="14"/>
        <v>库存为4</v>
      </c>
      <c r="AV675" s="36" t="str">
        <f>IFERROR(时间!$B$4+AU675,"上周无销量")</f>
        <v>上周无销量</v>
      </c>
    </row>
    <row r="676" spans="1:48">
      <c r="A676" s="20" t="s">
        <v>1540</v>
      </c>
      <c r="B676" t="s">
        <v>1541</v>
      </c>
      <c r="C676" t="s">
        <v>1487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4</v>
      </c>
      <c r="J676" s="33">
        <v>0</v>
      </c>
      <c r="K676" s="33">
        <v>0</v>
      </c>
      <c r="L676" s="33">
        <v>0</v>
      </c>
      <c r="M676">
        <v>4</v>
      </c>
      <c r="N676">
        <v>0</v>
      </c>
      <c r="O676">
        <v>4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5</v>
      </c>
      <c r="AK676">
        <v>2</v>
      </c>
      <c r="AL676">
        <v>4</v>
      </c>
      <c r="AM676">
        <v>0</v>
      </c>
      <c r="AN676" s="22">
        <v>0</v>
      </c>
      <c r="AO676" s="22">
        <v>0</v>
      </c>
      <c r="AP676" s="22">
        <v>0</v>
      </c>
      <c r="AQ676" s="22" t="s">
        <v>53</v>
      </c>
      <c r="AR676" s="35">
        <v>0</v>
      </c>
      <c r="AS676" s="35">
        <v>0</v>
      </c>
      <c r="AT676" s="35">
        <v>4</v>
      </c>
      <c r="AU676" s="31" t="str">
        <f t="shared" si="14"/>
        <v>库存为4</v>
      </c>
      <c r="AV676" s="36" t="str">
        <f>IFERROR(时间!$B$4+AU676,"上周无销量")</f>
        <v>上周无销量</v>
      </c>
    </row>
    <row r="677" spans="1:48">
      <c r="A677" s="20" t="s">
        <v>1542</v>
      </c>
      <c r="B677" t="s">
        <v>1543</v>
      </c>
      <c r="C677" t="s">
        <v>1487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4</v>
      </c>
      <c r="J677" s="33">
        <v>0</v>
      </c>
      <c r="K677" s="33">
        <v>0</v>
      </c>
      <c r="L677" s="33">
        <v>0</v>
      </c>
      <c r="M677">
        <v>4</v>
      </c>
      <c r="N677">
        <v>0</v>
      </c>
      <c r="O677">
        <v>4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2</v>
      </c>
      <c r="AK677">
        <v>3</v>
      </c>
      <c r="AL677">
        <v>0</v>
      </c>
      <c r="AM677">
        <v>0</v>
      </c>
      <c r="AN677" s="22">
        <v>0</v>
      </c>
      <c r="AO677" s="22">
        <v>0</v>
      </c>
      <c r="AP677" s="22" t="s">
        <v>53</v>
      </c>
      <c r="AQ677" s="22" t="s">
        <v>53</v>
      </c>
      <c r="AR677" s="35">
        <v>0</v>
      </c>
      <c r="AS677" s="35">
        <v>0</v>
      </c>
      <c r="AT677" s="35">
        <v>4</v>
      </c>
      <c r="AU677" s="31" t="str">
        <f t="shared" si="14"/>
        <v>库存为4</v>
      </c>
      <c r="AV677" s="36" t="str">
        <f>IFERROR(时间!$B$4+AU677,"上周无销量")</f>
        <v>上周无销量</v>
      </c>
    </row>
    <row r="678" spans="1:48">
      <c r="A678" s="20" t="s">
        <v>1544</v>
      </c>
      <c r="B678" t="s">
        <v>1545</v>
      </c>
      <c r="C678" t="s">
        <v>1487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4</v>
      </c>
      <c r="J678" s="33">
        <v>0</v>
      </c>
      <c r="K678" s="33">
        <v>0</v>
      </c>
      <c r="L678" s="33">
        <v>0</v>
      </c>
      <c r="M678">
        <v>4</v>
      </c>
      <c r="N678">
        <v>0</v>
      </c>
      <c r="O678">
        <v>4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2</v>
      </c>
      <c r="AK678">
        <v>3</v>
      </c>
      <c r="AL678">
        <v>3</v>
      </c>
      <c r="AM678">
        <v>1</v>
      </c>
      <c r="AN678" s="22">
        <v>0</v>
      </c>
      <c r="AO678" s="22">
        <v>0</v>
      </c>
      <c r="AP678" s="22">
        <v>0</v>
      </c>
      <c r="AQ678" s="22">
        <v>0</v>
      </c>
      <c r="AR678" s="35">
        <v>0</v>
      </c>
      <c r="AS678" s="35">
        <v>0</v>
      </c>
      <c r="AT678" s="35">
        <v>4</v>
      </c>
      <c r="AU678" s="31" t="str">
        <f t="shared" si="14"/>
        <v>库存为4</v>
      </c>
      <c r="AV678" s="36" t="str">
        <f>IFERROR(时间!$B$4+AU678,"上周无销量")</f>
        <v>上周无销量</v>
      </c>
    </row>
    <row r="679" spans="1:48">
      <c r="A679" s="20" t="s">
        <v>1546</v>
      </c>
      <c r="B679" t="s">
        <v>1547</v>
      </c>
      <c r="C679" t="s">
        <v>1487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4</v>
      </c>
      <c r="J679" s="33">
        <v>0</v>
      </c>
      <c r="K679" s="33">
        <v>0</v>
      </c>
      <c r="L679" s="33">
        <v>0</v>
      </c>
      <c r="M679">
        <v>4</v>
      </c>
      <c r="N679">
        <v>0</v>
      </c>
      <c r="O679">
        <v>4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1</v>
      </c>
      <c r="AK679">
        <v>3</v>
      </c>
      <c r="AL679">
        <v>2</v>
      </c>
      <c r="AM679">
        <v>0</v>
      </c>
      <c r="AN679" s="22">
        <v>0</v>
      </c>
      <c r="AO679" s="22">
        <v>0</v>
      </c>
      <c r="AP679" s="22">
        <v>0</v>
      </c>
      <c r="AQ679" s="22" t="s">
        <v>53</v>
      </c>
      <c r="AR679" s="35">
        <v>0</v>
      </c>
      <c r="AS679" s="35">
        <v>0</v>
      </c>
      <c r="AT679" s="35">
        <v>4</v>
      </c>
      <c r="AU679" s="31" t="str">
        <f t="shared" si="14"/>
        <v>库存为4</v>
      </c>
      <c r="AV679" s="36" t="str">
        <f>IFERROR(时间!$B$4+AU679,"上周无销量")</f>
        <v>上周无销量</v>
      </c>
    </row>
    <row r="680" spans="1:48">
      <c r="A680" s="20" t="s">
        <v>1548</v>
      </c>
      <c r="B680" t="s">
        <v>1549</v>
      </c>
      <c r="C680" t="s">
        <v>1487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4</v>
      </c>
      <c r="J680" s="33">
        <v>0</v>
      </c>
      <c r="K680" s="33">
        <v>0</v>
      </c>
      <c r="L680" s="33">
        <v>0</v>
      </c>
      <c r="M680">
        <v>4</v>
      </c>
      <c r="N680">
        <v>0</v>
      </c>
      <c r="O680">
        <v>4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1</v>
      </c>
      <c r="AK680">
        <v>2</v>
      </c>
      <c r="AL680">
        <v>1</v>
      </c>
      <c r="AM680">
        <v>1</v>
      </c>
      <c r="AN680" s="22">
        <v>0</v>
      </c>
      <c r="AO680" s="22">
        <v>0</v>
      </c>
      <c r="AP680" s="22">
        <v>0</v>
      </c>
      <c r="AQ680" s="22">
        <v>0</v>
      </c>
      <c r="AR680" s="35">
        <v>0</v>
      </c>
      <c r="AS680" s="35">
        <v>0</v>
      </c>
      <c r="AT680" s="35">
        <v>4</v>
      </c>
      <c r="AU680" s="31" t="str">
        <f t="shared" si="14"/>
        <v>库存为4</v>
      </c>
      <c r="AV680" s="36" t="str">
        <f>IFERROR(时间!$B$4+AU680,"上周无销量")</f>
        <v>上周无销量</v>
      </c>
    </row>
    <row r="681" spans="1:48">
      <c r="A681" s="20" t="s">
        <v>1550</v>
      </c>
      <c r="B681" t="s">
        <v>1551</v>
      </c>
      <c r="C681" t="s">
        <v>1487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3</v>
      </c>
      <c r="J681" s="33">
        <v>0</v>
      </c>
      <c r="K681" s="33">
        <v>0</v>
      </c>
      <c r="L681" s="33">
        <v>0</v>
      </c>
      <c r="M681">
        <v>3</v>
      </c>
      <c r="N681">
        <v>0</v>
      </c>
      <c r="O681">
        <v>3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1</v>
      </c>
      <c r="AK681">
        <v>2</v>
      </c>
      <c r="AL681">
        <v>1</v>
      </c>
      <c r="AM681">
        <v>2</v>
      </c>
      <c r="AN681" s="22">
        <v>0</v>
      </c>
      <c r="AO681" s="22">
        <v>0</v>
      </c>
      <c r="AP681" s="22">
        <v>0</v>
      </c>
      <c r="AQ681" s="22">
        <v>0</v>
      </c>
      <c r="AR681" s="35">
        <v>0</v>
      </c>
      <c r="AS681" s="35">
        <v>0</v>
      </c>
      <c r="AT681" s="35">
        <v>3</v>
      </c>
      <c r="AU681" s="31" t="str">
        <f t="shared" si="14"/>
        <v>库存为3</v>
      </c>
      <c r="AV681" s="36" t="str">
        <f>IFERROR(时间!$B$4+AU681,"上周无销量")</f>
        <v>上周无销量</v>
      </c>
    </row>
    <row r="682" spans="1:48">
      <c r="A682" s="20" t="s">
        <v>1552</v>
      </c>
      <c r="B682" t="s">
        <v>1553</v>
      </c>
      <c r="C682" t="s">
        <v>1487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4</v>
      </c>
      <c r="J682" s="33">
        <v>0</v>
      </c>
      <c r="K682" s="33">
        <v>0</v>
      </c>
      <c r="L682" s="33">
        <v>0</v>
      </c>
      <c r="M682">
        <v>4</v>
      </c>
      <c r="N682">
        <v>0</v>
      </c>
      <c r="O682">
        <v>4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3</v>
      </c>
      <c r="AK682">
        <v>2</v>
      </c>
      <c r="AL682">
        <v>2</v>
      </c>
      <c r="AM682">
        <v>1</v>
      </c>
      <c r="AN682" s="22">
        <v>0</v>
      </c>
      <c r="AO682" s="22">
        <v>0</v>
      </c>
      <c r="AP682" s="22">
        <v>0</v>
      </c>
      <c r="AQ682" s="22">
        <v>0</v>
      </c>
      <c r="AR682" s="35">
        <v>0</v>
      </c>
      <c r="AS682" s="35">
        <v>0</v>
      </c>
      <c r="AT682" s="35">
        <v>4</v>
      </c>
      <c r="AU682" s="31" t="str">
        <f t="shared" si="14"/>
        <v>库存为4</v>
      </c>
      <c r="AV682" s="36" t="str">
        <f>IFERROR(时间!$B$4+AU682,"上周无销量")</f>
        <v>上周无销量</v>
      </c>
    </row>
    <row r="683" spans="1:48">
      <c r="A683" s="20" t="s">
        <v>1554</v>
      </c>
      <c r="B683" t="s">
        <v>1555</v>
      </c>
      <c r="C683" t="s">
        <v>1487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4</v>
      </c>
      <c r="J683" s="33">
        <v>0</v>
      </c>
      <c r="K683" s="33">
        <v>0</v>
      </c>
      <c r="L683" s="33">
        <v>0</v>
      </c>
      <c r="M683">
        <v>4</v>
      </c>
      <c r="N683">
        <v>0</v>
      </c>
      <c r="O683">
        <v>4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1</v>
      </c>
      <c r="AK683">
        <v>1</v>
      </c>
      <c r="AL683">
        <v>0</v>
      </c>
      <c r="AM683">
        <v>2</v>
      </c>
      <c r="AN683" s="22">
        <v>0</v>
      </c>
      <c r="AO683" s="22">
        <v>0</v>
      </c>
      <c r="AP683" s="22" t="s">
        <v>53</v>
      </c>
      <c r="AQ683" s="22">
        <v>0</v>
      </c>
      <c r="AR683" s="35">
        <v>0</v>
      </c>
      <c r="AS683" s="35">
        <v>0</v>
      </c>
      <c r="AT683" s="35">
        <v>4</v>
      </c>
      <c r="AU683" s="31" t="str">
        <f t="shared" si="14"/>
        <v>库存为4</v>
      </c>
      <c r="AV683" s="36" t="str">
        <f>IFERROR(时间!$B$4+AU683,"上周无销量")</f>
        <v>上周无销量</v>
      </c>
    </row>
    <row r="684" spans="1:48">
      <c r="A684" s="20" t="s">
        <v>1556</v>
      </c>
      <c r="B684" t="s">
        <v>1557</v>
      </c>
      <c r="C684" t="s">
        <v>1487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4</v>
      </c>
      <c r="J684" s="33">
        <v>0</v>
      </c>
      <c r="K684" s="33">
        <v>0</v>
      </c>
      <c r="L684" s="33">
        <v>0</v>
      </c>
      <c r="M684">
        <v>4</v>
      </c>
      <c r="N684">
        <v>0</v>
      </c>
      <c r="O684">
        <v>4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1</v>
      </c>
      <c r="AK684">
        <v>2</v>
      </c>
      <c r="AL684">
        <v>1</v>
      </c>
      <c r="AM684">
        <v>1</v>
      </c>
      <c r="AN684" s="22">
        <v>0</v>
      </c>
      <c r="AO684" s="22">
        <v>0</v>
      </c>
      <c r="AP684" s="22">
        <v>0</v>
      </c>
      <c r="AQ684" s="22">
        <v>0</v>
      </c>
      <c r="AR684" s="35">
        <v>0</v>
      </c>
      <c r="AS684" s="35">
        <v>0</v>
      </c>
      <c r="AT684" s="35">
        <v>4</v>
      </c>
      <c r="AU684" s="31" t="str">
        <f t="shared" si="14"/>
        <v>库存为4</v>
      </c>
      <c r="AV684" s="36" t="str">
        <f>IFERROR(时间!$B$4+AU684,"上周无销量")</f>
        <v>上周无销量</v>
      </c>
    </row>
    <row r="685" spans="1:48">
      <c r="A685" s="20" t="s">
        <v>1558</v>
      </c>
      <c r="B685" t="s">
        <v>1559</v>
      </c>
      <c r="C685" t="s">
        <v>1560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0</v>
      </c>
      <c r="AK685">
        <v>0</v>
      </c>
      <c r="AL685">
        <v>0</v>
      </c>
      <c r="AM685">
        <v>0</v>
      </c>
      <c r="AN685" s="22" t="s">
        <v>53</v>
      </c>
      <c r="AO685" s="22" t="s">
        <v>53</v>
      </c>
      <c r="AP685" s="22" t="s">
        <v>53</v>
      </c>
      <c r="AQ685" s="22" t="s">
        <v>53</v>
      </c>
      <c r="AR685" s="35">
        <v>0</v>
      </c>
      <c r="AS685" s="35">
        <v>0</v>
      </c>
      <c r="AT685" s="35">
        <v>0</v>
      </c>
      <c r="AU685" s="31" t="str">
        <f t="shared" si="14"/>
        <v>库存为0</v>
      </c>
      <c r="AV685" s="36" t="str">
        <f>IFERROR(时间!$B$4+AU685,"上周无销量")</f>
        <v>上周无销量</v>
      </c>
    </row>
    <row r="686" spans="1:48">
      <c r="A686" s="20" t="s">
        <v>1561</v>
      </c>
      <c r="B686" t="s">
        <v>1562</v>
      </c>
      <c r="C686" t="s">
        <v>1560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0</v>
      </c>
      <c r="AK686">
        <v>0</v>
      </c>
      <c r="AL686">
        <v>0</v>
      </c>
      <c r="AM686">
        <v>0</v>
      </c>
      <c r="AN686" s="22" t="s">
        <v>53</v>
      </c>
      <c r="AO686" s="22" t="s">
        <v>53</v>
      </c>
      <c r="AP686" s="22" t="s">
        <v>53</v>
      </c>
      <c r="AQ686" s="22" t="s">
        <v>53</v>
      </c>
      <c r="AR686" s="35">
        <v>0</v>
      </c>
      <c r="AS686" s="35">
        <v>0</v>
      </c>
      <c r="AT686" s="35">
        <v>0</v>
      </c>
      <c r="AU686" s="31" t="str">
        <f t="shared" si="14"/>
        <v>库存为0</v>
      </c>
      <c r="AV686" s="36" t="str">
        <f>IFERROR(时间!$B$4+AU686,"上周无销量")</f>
        <v>上周无销量</v>
      </c>
    </row>
    <row r="687" spans="1:48">
      <c r="A687" s="20" t="s">
        <v>1563</v>
      </c>
      <c r="B687" t="s">
        <v>1564</v>
      </c>
      <c r="C687" t="s">
        <v>1565</v>
      </c>
      <c r="D687" s="31">
        <v>0</v>
      </c>
      <c r="E687" s="31">
        <v>0</v>
      </c>
      <c r="F687" s="31">
        <v>0</v>
      </c>
      <c r="G687" s="31">
        <v>1</v>
      </c>
      <c r="H687" s="32">
        <v>15.99</v>
      </c>
      <c r="I687">
        <v>5</v>
      </c>
      <c r="J687" s="33">
        <v>0</v>
      </c>
      <c r="K687" s="33">
        <v>0</v>
      </c>
      <c r="L687" s="33">
        <v>0</v>
      </c>
      <c r="M687">
        <v>5</v>
      </c>
      <c r="N687">
        <v>0</v>
      </c>
      <c r="O687">
        <v>0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15</v>
      </c>
      <c r="AK687">
        <v>9</v>
      </c>
      <c r="AL687">
        <v>16</v>
      </c>
      <c r="AM687">
        <v>10</v>
      </c>
      <c r="AN687" s="22">
        <v>0</v>
      </c>
      <c r="AO687" s="22">
        <v>0</v>
      </c>
      <c r="AP687" s="22">
        <v>0</v>
      </c>
      <c r="AQ687" s="22">
        <v>0.1</v>
      </c>
      <c r="AR687" s="35">
        <v>0</v>
      </c>
      <c r="AS687" s="35">
        <v>0</v>
      </c>
      <c r="AT687" s="35">
        <v>5</v>
      </c>
      <c r="AU687" s="31" t="str">
        <f t="shared" si="14"/>
        <v>库存为5</v>
      </c>
      <c r="AV687" s="36" t="str">
        <f>IFERROR(时间!$B$4+AU687,"上周无销量")</f>
        <v>上周无销量</v>
      </c>
    </row>
    <row r="688" spans="1:48">
      <c r="A688" s="20" t="s">
        <v>1566</v>
      </c>
      <c r="B688" t="s">
        <v>1567</v>
      </c>
      <c r="C688" t="s">
        <v>1565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1</v>
      </c>
      <c r="J688" s="33">
        <v>0</v>
      </c>
      <c r="K688" s="33">
        <v>0</v>
      </c>
      <c r="L688" s="33">
        <v>0</v>
      </c>
      <c r="M688">
        <v>1</v>
      </c>
      <c r="N688">
        <v>0</v>
      </c>
      <c r="O688">
        <v>1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3</v>
      </c>
      <c r="AK688">
        <v>1</v>
      </c>
      <c r="AL688">
        <v>1</v>
      </c>
      <c r="AM688">
        <v>0</v>
      </c>
      <c r="AN688" s="22">
        <v>0</v>
      </c>
      <c r="AO688" s="22">
        <v>0</v>
      </c>
      <c r="AP688" s="22">
        <v>0</v>
      </c>
      <c r="AQ688" s="22" t="s">
        <v>53</v>
      </c>
      <c r="AR688" s="35">
        <v>0</v>
      </c>
      <c r="AS688" s="35">
        <v>0</v>
      </c>
      <c r="AT688" s="35">
        <v>1</v>
      </c>
      <c r="AU688" s="31" t="str">
        <f t="shared" si="14"/>
        <v>库存为1</v>
      </c>
      <c r="AV688" s="36" t="str">
        <f>IFERROR(时间!$B$4+AU688,"上周无销量")</f>
        <v>上周无销量</v>
      </c>
    </row>
    <row r="689" spans="1:48">
      <c r="A689" s="20" t="s">
        <v>1568</v>
      </c>
      <c r="B689" t="s">
        <v>1569</v>
      </c>
      <c r="C689" t="s">
        <v>1570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0</v>
      </c>
      <c r="AK689">
        <v>0</v>
      </c>
      <c r="AL689">
        <v>0</v>
      </c>
      <c r="AM689">
        <v>0</v>
      </c>
      <c r="AN689" s="22" t="s">
        <v>53</v>
      </c>
      <c r="AO689" s="22" t="s">
        <v>53</v>
      </c>
      <c r="AP689" s="22" t="s">
        <v>53</v>
      </c>
      <c r="AQ689" s="22" t="s">
        <v>53</v>
      </c>
      <c r="AR689" s="35">
        <v>0</v>
      </c>
      <c r="AS689" s="35">
        <v>0</v>
      </c>
      <c r="AT689" s="35">
        <v>0</v>
      </c>
      <c r="AU689" s="31" t="str">
        <f t="shared" si="14"/>
        <v>库存为0</v>
      </c>
      <c r="AV689" s="36" t="str">
        <f>IFERROR(时间!$B$4+AU689,"上周无销量")</f>
        <v>上周无销量</v>
      </c>
    </row>
    <row r="690" spans="1:48">
      <c r="A690" s="20" t="s">
        <v>1571</v>
      </c>
      <c r="B690" t="s">
        <v>1572</v>
      </c>
      <c r="C690" t="s">
        <v>1570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0</v>
      </c>
      <c r="AK690">
        <v>0</v>
      </c>
      <c r="AL690">
        <v>0</v>
      </c>
      <c r="AM690">
        <v>0</v>
      </c>
      <c r="AN690" s="22" t="s">
        <v>53</v>
      </c>
      <c r="AO690" s="22" t="s">
        <v>53</v>
      </c>
      <c r="AP690" s="22" t="s">
        <v>53</v>
      </c>
      <c r="AQ690" s="22" t="s">
        <v>53</v>
      </c>
      <c r="AR690" s="35">
        <v>0</v>
      </c>
      <c r="AS690" s="35">
        <v>0</v>
      </c>
      <c r="AT690" s="35">
        <v>0</v>
      </c>
      <c r="AU690" s="31" t="str">
        <f t="shared" si="14"/>
        <v>库存为0</v>
      </c>
      <c r="AV690" s="36" t="str">
        <f>IFERROR(时间!$B$4+AU690,"上周无销量")</f>
        <v>上周无销量</v>
      </c>
    </row>
    <row r="691" spans="1:48">
      <c r="A691" s="20" t="s">
        <v>1573</v>
      </c>
      <c r="B691" t="s">
        <v>1574</v>
      </c>
      <c r="C691" t="s">
        <v>1570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1</v>
      </c>
      <c r="J691" s="33">
        <v>0</v>
      </c>
      <c r="K691" s="33">
        <v>0</v>
      </c>
      <c r="L691" s="33">
        <v>0</v>
      </c>
      <c r="M691">
        <v>1</v>
      </c>
      <c r="N691">
        <v>0</v>
      </c>
      <c r="O691">
        <v>0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2</v>
      </c>
      <c r="AK691">
        <v>7</v>
      </c>
      <c r="AL691">
        <v>2</v>
      </c>
      <c r="AM691">
        <v>4</v>
      </c>
      <c r="AN691" s="22">
        <v>0</v>
      </c>
      <c r="AO691" s="22">
        <v>0</v>
      </c>
      <c r="AP691" s="22">
        <v>0</v>
      </c>
      <c r="AQ691" s="22">
        <v>0</v>
      </c>
      <c r="AR691" s="35">
        <v>0</v>
      </c>
      <c r="AS691" s="35">
        <v>0</v>
      </c>
      <c r="AT691" s="35">
        <v>1</v>
      </c>
      <c r="AU691" s="31" t="str">
        <f t="shared" si="14"/>
        <v>库存为1</v>
      </c>
      <c r="AV691" s="36" t="str">
        <f>IFERROR(时间!$B$4+AU691,"上周无销量")</f>
        <v>上周无销量</v>
      </c>
    </row>
    <row r="692" spans="1:48">
      <c r="A692" s="20" t="s">
        <v>1575</v>
      </c>
      <c r="B692" t="s">
        <v>1576</v>
      </c>
      <c r="C692" t="s">
        <v>1570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0</v>
      </c>
      <c r="AK692">
        <v>0</v>
      </c>
      <c r="AL692">
        <v>0</v>
      </c>
      <c r="AM692">
        <v>0</v>
      </c>
      <c r="AN692" s="22" t="s">
        <v>53</v>
      </c>
      <c r="AO692" s="22" t="s">
        <v>53</v>
      </c>
      <c r="AP692" s="22" t="s">
        <v>53</v>
      </c>
      <c r="AQ692" s="22" t="s">
        <v>53</v>
      </c>
      <c r="AR692" s="35">
        <v>0</v>
      </c>
      <c r="AS692" s="35">
        <v>0</v>
      </c>
      <c r="AT692" s="35">
        <v>0</v>
      </c>
      <c r="AU692" s="31" t="str">
        <f t="shared" si="14"/>
        <v>库存为0</v>
      </c>
      <c r="AV692" s="36" t="str">
        <f>IFERROR(时间!$B$4+AU692,"上周无销量")</f>
        <v>上周无销量</v>
      </c>
    </row>
    <row r="693" spans="1:48">
      <c r="A693" s="20" t="s">
        <v>1577</v>
      </c>
      <c r="B693" t="s">
        <v>1578</v>
      </c>
      <c r="C693" t="s">
        <v>1570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0</v>
      </c>
      <c r="AK693">
        <v>0</v>
      </c>
      <c r="AL693">
        <v>0</v>
      </c>
      <c r="AM693">
        <v>0</v>
      </c>
      <c r="AN693" s="22" t="s">
        <v>53</v>
      </c>
      <c r="AO693" s="22" t="s">
        <v>53</v>
      </c>
      <c r="AP693" s="22" t="s">
        <v>53</v>
      </c>
      <c r="AQ693" s="22" t="s">
        <v>53</v>
      </c>
      <c r="AR693" s="35">
        <v>0</v>
      </c>
      <c r="AS693" s="35">
        <v>0</v>
      </c>
      <c r="AT693" s="35">
        <v>0</v>
      </c>
      <c r="AU693" s="31" t="str">
        <f t="shared" si="14"/>
        <v>库存为0</v>
      </c>
      <c r="AV693" s="36" t="str">
        <f>IFERROR(时间!$B$4+AU693,"上周无销量")</f>
        <v>上周无销量</v>
      </c>
    </row>
    <row r="694" spans="1:48">
      <c r="A694" s="20" t="s">
        <v>1579</v>
      </c>
      <c r="B694" t="s">
        <v>1580</v>
      </c>
      <c r="C694" t="s">
        <v>1570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0</v>
      </c>
      <c r="AK694">
        <v>0</v>
      </c>
      <c r="AL694">
        <v>0</v>
      </c>
      <c r="AM694">
        <v>0</v>
      </c>
      <c r="AN694" s="22" t="s">
        <v>53</v>
      </c>
      <c r="AO694" s="22" t="s">
        <v>53</v>
      </c>
      <c r="AP694" s="22" t="s">
        <v>53</v>
      </c>
      <c r="AQ694" s="22" t="s">
        <v>53</v>
      </c>
      <c r="AR694" s="35">
        <v>0</v>
      </c>
      <c r="AS694" s="35">
        <v>0</v>
      </c>
      <c r="AT694" s="35">
        <v>0</v>
      </c>
      <c r="AU694" s="31" t="str">
        <f t="shared" si="14"/>
        <v>库存为0</v>
      </c>
      <c r="AV694" s="36" t="str">
        <f>IFERROR(时间!$B$4+AU694,"上周无销量")</f>
        <v>上周无销量</v>
      </c>
    </row>
    <row r="695" spans="1:48">
      <c r="A695" s="20" t="s">
        <v>1581</v>
      </c>
      <c r="B695" t="s">
        <v>1582</v>
      </c>
      <c r="C695" t="s">
        <v>1570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0</v>
      </c>
      <c r="AK695">
        <v>0</v>
      </c>
      <c r="AL695">
        <v>0</v>
      </c>
      <c r="AM695">
        <v>0</v>
      </c>
      <c r="AN695" s="22" t="s">
        <v>53</v>
      </c>
      <c r="AO695" s="22" t="s">
        <v>53</v>
      </c>
      <c r="AP695" s="22" t="s">
        <v>53</v>
      </c>
      <c r="AQ695" s="22" t="s">
        <v>53</v>
      </c>
      <c r="AR695" s="35">
        <v>0</v>
      </c>
      <c r="AS695" s="35">
        <v>0</v>
      </c>
      <c r="AT695" s="35">
        <v>0</v>
      </c>
      <c r="AU695" s="31" t="str">
        <f t="shared" si="14"/>
        <v>库存为0</v>
      </c>
      <c r="AV695" s="36" t="str">
        <f>IFERROR(时间!$B$4+AU695,"上周无销量")</f>
        <v>上周无销量</v>
      </c>
    </row>
    <row r="696" spans="1:48">
      <c r="A696" s="20" t="s">
        <v>1583</v>
      </c>
      <c r="B696" t="s">
        <v>1584</v>
      </c>
      <c r="C696" t="s">
        <v>1585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4</v>
      </c>
      <c r="J696" s="33">
        <v>0</v>
      </c>
      <c r="K696" s="33">
        <v>0</v>
      </c>
      <c r="L696" s="33">
        <v>0</v>
      </c>
      <c r="M696">
        <v>4</v>
      </c>
      <c r="N696">
        <v>0</v>
      </c>
      <c r="O696">
        <v>2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4</v>
      </c>
      <c r="AK696">
        <v>4</v>
      </c>
      <c r="AL696">
        <v>1</v>
      </c>
      <c r="AM696">
        <v>4</v>
      </c>
      <c r="AN696" s="22">
        <v>0</v>
      </c>
      <c r="AO696" s="22">
        <v>0</v>
      </c>
      <c r="AP696" s="22">
        <v>0</v>
      </c>
      <c r="AQ696" s="22">
        <v>0</v>
      </c>
      <c r="AR696" s="35">
        <v>0</v>
      </c>
      <c r="AS696" s="35">
        <v>0</v>
      </c>
      <c r="AT696" s="35">
        <v>4</v>
      </c>
      <c r="AU696" s="31" t="str">
        <f t="shared" si="14"/>
        <v>库存为4</v>
      </c>
      <c r="AV696" s="36" t="str">
        <f>IFERROR(时间!$B$4+AU696,"上周无销量")</f>
        <v>上周无销量</v>
      </c>
    </row>
    <row r="697" spans="1:48">
      <c r="A697" s="20" t="s">
        <v>1586</v>
      </c>
      <c r="B697" t="s">
        <v>1587</v>
      </c>
      <c r="C697" t="s">
        <v>1585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0</v>
      </c>
      <c r="AK697">
        <v>0</v>
      </c>
      <c r="AL697">
        <v>0</v>
      </c>
      <c r="AM697">
        <v>0</v>
      </c>
      <c r="AN697" s="22" t="s">
        <v>53</v>
      </c>
      <c r="AO697" s="22" t="s">
        <v>53</v>
      </c>
      <c r="AP697" s="22" t="s">
        <v>53</v>
      </c>
      <c r="AQ697" s="22" t="s">
        <v>53</v>
      </c>
      <c r="AR697" s="35">
        <v>0</v>
      </c>
      <c r="AS697" s="35">
        <v>0</v>
      </c>
      <c r="AT697" s="35">
        <v>0</v>
      </c>
      <c r="AU697" s="31" t="str">
        <f t="shared" si="14"/>
        <v>库存为0</v>
      </c>
      <c r="AV697" s="36" t="str">
        <f>IFERROR(时间!$B$4+AU697,"上周无销量")</f>
        <v>上周无销量</v>
      </c>
    </row>
    <row r="698" spans="1:48">
      <c r="A698" s="20" t="s">
        <v>1588</v>
      </c>
      <c r="B698" t="s">
        <v>1589</v>
      </c>
      <c r="C698" t="s">
        <v>1585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1</v>
      </c>
      <c r="J698" s="33">
        <v>0</v>
      </c>
      <c r="K698" s="33">
        <v>0</v>
      </c>
      <c r="L698" s="33">
        <v>0</v>
      </c>
      <c r="M698">
        <v>1</v>
      </c>
      <c r="N698">
        <v>0</v>
      </c>
      <c r="O698">
        <v>1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2</v>
      </c>
      <c r="AK698">
        <v>3</v>
      </c>
      <c r="AL698">
        <v>1</v>
      </c>
      <c r="AM698">
        <v>5</v>
      </c>
      <c r="AN698" s="22">
        <v>0</v>
      </c>
      <c r="AO698" s="22">
        <v>0</v>
      </c>
      <c r="AP698" s="22">
        <v>0</v>
      </c>
      <c r="AQ698" s="22">
        <v>0</v>
      </c>
      <c r="AR698" s="35">
        <v>0</v>
      </c>
      <c r="AS698" s="35">
        <v>0</v>
      </c>
      <c r="AT698" s="35">
        <v>1</v>
      </c>
      <c r="AU698" s="31" t="str">
        <f t="shared" si="14"/>
        <v>库存为1</v>
      </c>
      <c r="AV698" s="36" t="str">
        <f>IFERROR(时间!$B$4+AU698,"上周无销量")</f>
        <v>上周无销量</v>
      </c>
    </row>
    <row r="699" spans="1:48">
      <c r="A699" s="20" t="s">
        <v>1590</v>
      </c>
      <c r="B699" t="s">
        <v>1591</v>
      </c>
      <c r="C699" t="s">
        <v>1592</v>
      </c>
      <c r="D699" s="31">
        <v>5</v>
      </c>
      <c r="E699" s="31">
        <v>8</v>
      </c>
      <c r="F699" s="31">
        <v>9</v>
      </c>
      <c r="G699" s="31">
        <v>4</v>
      </c>
      <c r="H699" s="32">
        <v>15.99</v>
      </c>
      <c r="I699">
        <v>4</v>
      </c>
      <c r="J699" s="33">
        <v>0</v>
      </c>
      <c r="K699" s="33">
        <v>0</v>
      </c>
      <c r="L699" s="33">
        <v>0</v>
      </c>
      <c r="M699">
        <v>4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41</v>
      </c>
      <c r="AK699">
        <v>37</v>
      </c>
      <c r="AL699">
        <v>21</v>
      </c>
      <c r="AM699">
        <v>18</v>
      </c>
      <c r="AN699" s="22">
        <v>0.121951219512195</v>
      </c>
      <c r="AO699" s="22">
        <v>0.216216216216216</v>
      </c>
      <c r="AP699" s="22">
        <v>0.428571428571429</v>
      </c>
      <c r="AQ699" s="22">
        <v>0.222222222222222</v>
      </c>
      <c r="AR699" s="35">
        <v>0.714285714285714</v>
      </c>
      <c r="AS699" s="35">
        <v>42.8571428571429</v>
      </c>
      <c r="AT699" s="35">
        <v>-38.8571428571429</v>
      </c>
      <c r="AU699" s="31">
        <f t="shared" si="14"/>
        <v>5</v>
      </c>
      <c r="AV699" s="36">
        <f>IFERROR(时间!$B$4+AU699,"上周无销量")</f>
        <v>43337</v>
      </c>
    </row>
    <row r="700" spans="1:48">
      <c r="A700" s="20" t="s">
        <v>1593</v>
      </c>
      <c r="B700" t="s">
        <v>1594</v>
      </c>
      <c r="C700" t="s">
        <v>1592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18</v>
      </c>
      <c r="J700" s="33">
        <v>0</v>
      </c>
      <c r="K700" s="33">
        <v>0</v>
      </c>
      <c r="L700" s="33">
        <v>0</v>
      </c>
      <c r="M700">
        <v>18</v>
      </c>
      <c r="N700">
        <v>0</v>
      </c>
      <c r="O700">
        <v>0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0</v>
      </c>
      <c r="AK700">
        <v>0</v>
      </c>
      <c r="AL700">
        <v>0</v>
      </c>
      <c r="AM700">
        <v>0</v>
      </c>
      <c r="AN700" s="22" t="s">
        <v>53</v>
      </c>
      <c r="AO700" s="22" t="s">
        <v>53</v>
      </c>
      <c r="AP700" s="22" t="s">
        <v>53</v>
      </c>
      <c r="AQ700" s="22" t="s">
        <v>53</v>
      </c>
      <c r="AR700" s="35">
        <v>0</v>
      </c>
      <c r="AS700" s="35">
        <v>0</v>
      </c>
      <c r="AT700" s="35">
        <v>18</v>
      </c>
      <c r="AU700" s="31" t="str">
        <f t="shared" si="14"/>
        <v>库存为18</v>
      </c>
      <c r="AV700" s="36" t="str">
        <f>IFERROR(时间!$B$4+AU700,"上周无销量")</f>
        <v>上周无销量</v>
      </c>
    </row>
    <row r="701" spans="1:48">
      <c r="A701" s="20" t="s">
        <v>1595</v>
      </c>
      <c r="B701" t="s">
        <v>1596</v>
      </c>
      <c r="C701" t="s">
        <v>1592</v>
      </c>
      <c r="D701" s="31">
        <v>0</v>
      </c>
      <c r="E701" s="31">
        <v>0</v>
      </c>
      <c r="F701" s="31">
        <v>1</v>
      </c>
      <c r="G701" s="31">
        <v>14</v>
      </c>
      <c r="H701" s="32">
        <v>15.99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3</v>
      </c>
      <c r="T701">
        <v>0</v>
      </c>
      <c r="U701">
        <v>0</v>
      </c>
      <c r="V701">
        <v>0</v>
      </c>
      <c r="W701">
        <v>0</v>
      </c>
      <c r="X701" s="22" t="s">
        <v>53</v>
      </c>
      <c r="Y701" s="22" t="s">
        <v>53</v>
      </c>
      <c r="Z701" s="22" t="s">
        <v>53</v>
      </c>
      <c r="AA701" s="22">
        <v>0</v>
      </c>
      <c r="AB701">
        <v>0</v>
      </c>
      <c r="AC701">
        <v>0</v>
      </c>
      <c r="AD701">
        <v>0</v>
      </c>
      <c r="AE701">
        <v>0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0</v>
      </c>
      <c r="AK701">
        <v>0</v>
      </c>
      <c r="AL701">
        <v>1</v>
      </c>
      <c r="AM701">
        <v>35</v>
      </c>
      <c r="AN701" s="22" t="s">
        <v>53</v>
      </c>
      <c r="AO701" s="22" t="s">
        <v>53</v>
      </c>
      <c r="AP701" s="22">
        <v>1</v>
      </c>
      <c r="AQ701" s="22">
        <v>0.4</v>
      </c>
      <c r="AR701" s="35">
        <v>0</v>
      </c>
      <c r="AS701" s="35">
        <v>0</v>
      </c>
      <c r="AT701" s="35">
        <v>0</v>
      </c>
      <c r="AU701" s="31" t="str">
        <f t="shared" si="14"/>
        <v>库存为0</v>
      </c>
      <c r="AV701" s="36" t="str">
        <f>IFERROR(时间!$B$4+AU701,"上周无销量")</f>
        <v>上周无销量</v>
      </c>
    </row>
    <row r="702" spans="1:48">
      <c r="A702" s="20" t="s">
        <v>1597</v>
      </c>
      <c r="B702" t="s">
        <v>1598</v>
      </c>
      <c r="C702" t="s">
        <v>1592</v>
      </c>
      <c r="D702" s="31">
        <v>0</v>
      </c>
      <c r="E702" s="31">
        <v>2</v>
      </c>
      <c r="F702" s="31">
        <v>4</v>
      </c>
      <c r="G702" s="31">
        <v>2</v>
      </c>
      <c r="H702" s="32">
        <v>15.99</v>
      </c>
      <c r="I702">
        <v>16</v>
      </c>
      <c r="J702" s="33">
        <v>0</v>
      </c>
      <c r="K702" s="33">
        <v>0</v>
      </c>
      <c r="L702" s="33">
        <v>0</v>
      </c>
      <c r="M702">
        <v>16</v>
      </c>
      <c r="N702">
        <v>0</v>
      </c>
      <c r="O702">
        <v>0</v>
      </c>
      <c r="P702">
        <v>41607</v>
      </c>
      <c r="Q702">
        <v>19697</v>
      </c>
      <c r="R702">
        <v>47161</v>
      </c>
      <c r="S702">
        <v>24210</v>
      </c>
      <c r="T702">
        <v>157</v>
      </c>
      <c r="U702">
        <v>81</v>
      </c>
      <c r="V702">
        <v>171</v>
      </c>
      <c r="W702">
        <v>102</v>
      </c>
      <c r="X702" s="22">
        <v>0.00377340351383181</v>
      </c>
      <c r="Y702" s="22">
        <v>0.00411230136569021</v>
      </c>
      <c r="Z702" s="22">
        <v>0.00362587731388223</v>
      </c>
      <c r="AA702" s="22">
        <v>0.00421313506815366</v>
      </c>
      <c r="AB702">
        <v>75.38</v>
      </c>
      <c r="AC702">
        <v>39.55</v>
      </c>
      <c r="AD702">
        <v>78.6</v>
      </c>
      <c r="AE702">
        <v>37.77</v>
      </c>
      <c r="AF702" s="22" t="s">
        <v>1599</v>
      </c>
      <c r="AG702" s="22">
        <v>1.23671044402752</v>
      </c>
      <c r="AH702" s="22">
        <v>1.22889305816135</v>
      </c>
      <c r="AI702" s="22">
        <v>1.18105065666041</v>
      </c>
      <c r="AJ702">
        <v>107</v>
      </c>
      <c r="AK702">
        <v>73</v>
      </c>
      <c r="AL702">
        <v>89</v>
      </c>
      <c r="AM702">
        <v>65</v>
      </c>
      <c r="AN702" s="22">
        <v>0</v>
      </c>
      <c r="AO702" s="22">
        <v>0.0273972602739726</v>
      </c>
      <c r="AP702" s="22">
        <v>0.0449438202247191</v>
      </c>
      <c r="AQ702" s="22">
        <v>0.0307692307692308</v>
      </c>
      <c r="AR702" s="35">
        <v>0</v>
      </c>
      <c r="AS702" s="35">
        <v>0</v>
      </c>
      <c r="AT702" s="35">
        <v>16</v>
      </c>
      <c r="AU702" s="31" t="str">
        <f t="shared" si="14"/>
        <v>库存为16</v>
      </c>
      <c r="AV702" s="36" t="str">
        <f>IFERROR(时间!$B$4+AU702,"上周无销量")</f>
        <v>上周无销量</v>
      </c>
    </row>
    <row r="703" spans="1:48">
      <c r="A703" s="20" t="s">
        <v>1600</v>
      </c>
      <c r="B703" t="s">
        <v>1601</v>
      </c>
      <c r="C703" t="s">
        <v>1592</v>
      </c>
      <c r="D703" s="31">
        <v>5</v>
      </c>
      <c r="E703" s="31">
        <v>1</v>
      </c>
      <c r="F703" s="31">
        <v>5</v>
      </c>
      <c r="G703" s="31">
        <v>5</v>
      </c>
      <c r="H703" s="32">
        <v>15.99</v>
      </c>
      <c r="I703">
        <v>7</v>
      </c>
      <c r="J703" s="33">
        <v>0</v>
      </c>
      <c r="K703" s="33">
        <v>0</v>
      </c>
      <c r="L703" s="33">
        <v>1</v>
      </c>
      <c r="M703">
        <v>8</v>
      </c>
      <c r="N703">
        <v>0</v>
      </c>
      <c r="O703">
        <v>0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50</v>
      </c>
      <c r="AK703">
        <v>35</v>
      </c>
      <c r="AL703">
        <v>24</v>
      </c>
      <c r="AM703">
        <v>19</v>
      </c>
      <c r="AN703" s="22">
        <v>0.1</v>
      </c>
      <c r="AO703" s="22">
        <v>0.0285714285714286</v>
      </c>
      <c r="AP703" s="22">
        <v>0.208333333333333</v>
      </c>
      <c r="AQ703" s="22">
        <v>0.263157894736842</v>
      </c>
      <c r="AR703" s="35">
        <v>0.714285714285714</v>
      </c>
      <c r="AS703" s="35">
        <v>42.8571428571429</v>
      </c>
      <c r="AT703" s="35">
        <v>-34.8571428571429</v>
      </c>
      <c r="AU703" s="31">
        <f t="shared" si="14"/>
        <v>11</v>
      </c>
      <c r="AV703" s="36">
        <f>IFERROR(时间!$B$4+AU703,"上周无销量")</f>
        <v>43343</v>
      </c>
    </row>
    <row r="704" spans="1:48">
      <c r="A704" s="20" t="s">
        <v>1602</v>
      </c>
      <c r="B704" t="s">
        <v>1603</v>
      </c>
      <c r="C704" t="s">
        <v>1604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0</v>
      </c>
      <c r="AK704">
        <v>4</v>
      </c>
      <c r="AL704">
        <v>1</v>
      </c>
      <c r="AM704">
        <v>1</v>
      </c>
      <c r="AN704" s="22" t="s">
        <v>53</v>
      </c>
      <c r="AO704" s="22">
        <v>0</v>
      </c>
      <c r="AP704" s="22">
        <v>0</v>
      </c>
      <c r="AQ704" s="22">
        <v>0</v>
      </c>
      <c r="AR704" s="35">
        <v>0</v>
      </c>
      <c r="AS704" s="35">
        <v>0</v>
      </c>
      <c r="AT704" s="35">
        <v>0</v>
      </c>
      <c r="AU704" s="31" t="str">
        <f t="shared" si="14"/>
        <v>库存为0</v>
      </c>
      <c r="AV704" s="36" t="str">
        <f>IFERROR(时间!$B$4+AU704,"上周无销量")</f>
        <v>上周无销量</v>
      </c>
    </row>
    <row r="705" spans="1:48">
      <c r="A705" s="20" t="s">
        <v>1605</v>
      </c>
      <c r="B705" t="s">
        <v>1606</v>
      </c>
      <c r="C705" t="s">
        <v>1604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0</v>
      </c>
      <c r="AK705">
        <v>2</v>
      </c>
      <c r="AL705">
        <v>1</v>
      </c>
      <c r="AM705">
        <v>1</v>
      </c>
      <c r="AN705" s="22" t="s">
        <v>53</v>
      </c>
      <c r="AO705" s="22">
        <v>0</v>
      </c>
      <c r="AP705" s="22">
        <v>0</v>
      </c>
      <c r="AQ705" s="22">
        <v>0</v>
      </c>
      <c r="AR705" s="35">
        <v>0</v>
      </c>
      <c r="AS705" s="35">
        <v>0</v>
      </c>
      <c r="AT705" s="35">
        <v>0</v>
      </c>
      <c r="AU705" s="31" t="str">
        <f t="shared" si="14"/>
        <v>库存为0</v>
      </c>
      <c r="AV705" s="36" t="str">
        <f>IFERROR(时间!$B$4+AU705,"上周无销量")</f>
        <v>上周无销量</v>
      </c>
    </row>
    <row r="706" spans="1:48">
      <c r="A706" s="20" t="s">
        <v>1607</v>
      </c>
      <c r="B706" t="s">
        <v>1608</v>
      </c>
      <c r="C706" t="s">
        <v>1604</v>
      </c>
      <c r="D706" s="31">
        <v>2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0</v>
      </c>
      <c r="AK706">
        <v>5</v>
      </c>
      <c r="AL706">
        <v>2</v>
      </c>
      <c r="AM706">
        <v>5</v>
      </c>
      <c r="AN706" s="22" t="s">
        <v>53</v>
      </c>
      <c r="AO706" s="22">
        <v>0</v>
      </c>
      <c r="AP706" s="22">
        <v>0</v>
      </c>
      <c r="AQ706" s="22">
        <v>0</v>
      </c>
      <c r="AR706" s="35">
        <v>0.285714285714286</v>
      </c>
      <c r="AS706" s="35">
        <v>17.1428571428571</v>
      </c>
      <c r="AT706" s="35">
        <v>-17.1428571428571</v>
      </c>
      <c r="AU706" s="31">
        <f t="shared" si="14"/>
        <v>0</v>
      </c>
      <c r="AV706" s="36">
        <f>IFERROR(时间!$B$4+AU706,"上周无销量")</f>
        <v>43332</v>
      </c>
    </row>
    <row r="707" spans="1:48">
      <c r="A707" s="20" t="s">
        <v>1609</v>
      </c>
      <c r="B707" t="s">
        <v>1610</v>
      </c>
      <c r="C707" t="s">
        <v>1604</v>
      </c>
      <c r="D707" s="31">
        <v>2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0</v>
      </c>
      <c r="AK707">
        <v>3</v>
      </c>
      <c r="AL707">
        <v>1</v>
      </c>
      <c r="AM707">
        <v>2</v>
      </c>
      <c r="AN707" s="22" t="s">
        <v>53</v>
      </c>
      <c r="AO707" s="22">
        <v>0</v>
      </c>
      <c r="AP707" s="22">
        <v>0</v>
      </c>
      <c r="AQ707" s="22">
        <v>0</v>
      </c>
      <c r="AR707" s="35">
        <v>0.285714285714286</v>
      </c>
      <c r="AS707" s="35">
        <v>17.1428571428571</v>
      </c>
      <c r="AT707" s="35">
        <v>-17.1428571428571</v>
      </c>
      <c r="AU707" s="31">
        <f t="shared" si="14"/>
        <v>0</v>
      </c>
      <c r="AV707" s="36">
        <f>IFERROR(时间!$B$4+AU707,"上周无销量")</f>
        <v>43332</v>
      </c>
    </row>
    <row r="708" spans="1:48">
      <c r="A708" s="20" t="s">
        <v>1611</v>
      </c>
      <c r="B708" t="s">
        <v>1612</v>
      </c>
      <c r="C708" t="s">
        <v>1604</v>
      </c>
      <c r="D708" s="31">
        <v>5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0</v>
      </c>
      <c r="AK708">
        <v>3</v>
      </c>
      <c r="AL708">
        <v>2</v>
      </c>
      <c r="AM708">
        <v>3</v>
      </c>
      <c r="AN708" s="22" t="s">
        <v>53</v>
      </c>
      <c r="AO708" s="22">
        <v>0</v>
      </c>
      <c r="AP708" s="22">
        <v>0</v>
      </c>
      <c r="AQ708" s="22">
        <v>0</v>
      </c>
      <c r="AR708" s="35">
        <v>0.714285714285714</v>
      </c>
      <c r="AS708" s="35">
        <v>42.8571428571429</v>
      </c>
      <c r="AT708" s="35">
        <v>-42.8571428571429</v>
      </c>
      <c r="AU708" s="31">
        <f t="shared" si="14"/>
        <v>0</v>
      </c>
      <c r="AV708" s="36">
        <f>IFERROR(时间!$B$4+AU708,"上周无销量")</f>
        <v>43332</v>
      </c>
    </row>
    <row r="709" spans="1:48">
      <c r="A709" s="20" t="s">
        <v>1613</v>
      </c>
      <c r="B709" t="s">
        <v>1614</v>
      </c>
      <c r="C709" t="s">
        <v>1604</v>
      </c>
      <c r="D709" s="31">
        <v>3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1</v>
      </c>
      <c r="AK709">
        <v>5</v>
      </c>
      <c r="AL709">
        <v>0</v>
      </c>
      <c r="AM709">
        <v>2</v>
      </c>
      <c r="AN709" s="22">
        <v>3</v>
      </c>
      <c r="AO709" s="22">
        <v>0</v>
      </c>
      <c r="AP709" s="22" t="s">
        <v>53</v>
      </c>
      <c r="AQ709" s="22">
        <v>0</v>
      </c>
      <c r="AR709" s="35">
        <v>0.428571428571429</v>
      </c>
      <c r="AS709" s="35">
        <v>25.7142857142857</v>
      </c>
      <c r="AT709" s="35">
        <v>-25.7142857142857</v>
      </c>
      <c r="AU709" s="31">
        <f t="shared" ref="AU709:AU772" si="15">IF(AR709="","库存为"&amp;M709,IF(AS709=0,"库存为"&amp;M709,INT(M709/AR709)))</f>
        <v>0</v>
      </c>
      <c r="AV709" s="36">
        <f>IFERROR(时间!$B$4+AU709,"上周无销量")</f>
        <v>43332</v>
      </c>
    </row>
    <row r="710" spans="1:48">
      <c r="A710" s="20" t="s">
        <v>1615</v>
      </c>
      <c r="B710" t="s">
        <v>1616</v>
      </c>
      <c r="C710" t="s">
        <v>1604</v>
      </c>
      <c r="D710" s="31">
        <v>3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5</v>
      </c>
      <c r="AK710">
        <v>6</v>
      </c>
      <c r="AL710">
        <v>1</v>
      </c>
      <c r="AM710">
        <v>4</v>
      </c>
      <c r="AN710" s="22">
        <v>0.6</v>
      </c>
      <c r="AO710" s="22">
        <v>0</v>
      </c>
      <c r="AP710" s="22">
        <v>0</v>
      </c>
      <c r="AQ710" s="22">
        <v>0</v>
      </c>
      <c r="AR710" s="35">
        <v>0.428571428571429</v>
      </c>
      <c r="AS710" s="35">
        <v>25.7142857142857</v>
      </c>
      <c r="AT710" s="35">
        <v>-25.7142857142857</v>
      </c>
      <c r="AU710" s="31">
        <f t="shared" si="15"/>
        <v>0</v>
      </c>
      <c r="AV710" s="36">
        <f>IFERROR(时间!$B$4+AU710,"上周无销量")</f>
        <v>43332</v>
      </c>
    </row>
    <row r="711" spans="1:48">
      <c r="A711" s="20" t="s">
        <v>1617</v>
      </c>
      <c r="B711" t="s">
        <v>1618</v>
      </c>
      <c r="C711" t="s">
        <v>1604</v>
      </c>
      <c r="D711" s="31">
        <v>6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0</v>
      </c>
      <c r="AK711">
        <v>4</v>
      </c>
      <c r="AL711">
        <v>2</v>
      </c>
      <c r="AM711">
        <v>2</v>
      </c>
      <c r="AN711" s="22" t="s">
        <v>53</v>
      </c>
      <c r="AO711" s="22">
        <v>0</v>
      </c>
      <c r="AP711" s="22">
        <v>0</v>
      </c>
      <c r="AQ711" s="22">
        <v>0</v>
      </c>
      <c r="AR711" s="35">
        <v>0.857142857142857</v>
      </c>
      <c r="AS711" s="35">
        <v>51.4285714285714</v>
      </c>
      <c r="AT711" s="35">
        <v>-51.4285714285714</v>
      </c>
      <c r="AU711" s="31">
        <f t="shared" si="15"/>
        <v>0</v>
      </c>
      <c r="AV711" s="36">
        <f>IFERROR(时间!$B$4+AU711,"上周无销量")</f>
        <v>43332</v>
      </c>
    </row>
    <row r="712" spans="1:48">
      <c r="A712" s="20" t="s">
        <v>1619</v>
      </c>
      <c r="B712" t="s">
        <v>1620</v>
      </c>
      <c r="C712" t="s">
        <v>1604</v>
      </c>
      <c r="D712" s="31">
        <v>0</v>
      </c>
      <c r="E712" s="31">
        <v>1</v>
      </c>
      <c r="F712" s="31">
        <v>0</v>
      </c>
      <c r="G712" s="31">
        <v>0</v>
      </c>
      <c r="H712" s="32">
        <v>9.99</v>
      </c>
      <c r="I712">
        <v>9</v>
      </c>
      <c r="J712" s="33">
        <v>0</v>
      </c>
      <c r="K712" s="33">
        <v>0</v>
      </c>
      <c r="L712" s="33">
        <v>0</v>
      </c>
      <c r="M712">
        <v>9</v>
      </c>
      <c r="N712">
        <v>0</v>
      </c>
      <c r="O712">
        <v>9</v>
      </c>
      <c r="P712">
        <v>490</v>
      </c>
      <c r="Q712">
        <v>2118</v>
      </c>
      <c r="R712">
        <v>1479</v>
      </c>
      <c r="S712">
        <v>0</v>
      </c>
      <c r="T712">
        <v>2</v>
      </c>
      <c r="U712">
        <v>3</v>
      </c>
      <c r="V712">
        <v>2</v>
      </c>
      <c r="W712">
        <v>0</v>
      </c>
      <c r="X712" s="22">
        <v>0.00408163265306122</v>
      </c>
      <c r="Y712" s="22">
        <v>0.00141643059490085</v>
      </c>
      <c r="Z712" s="22">
        <v>0.00135226504394861</v>
      </c>
      <c r="AA712" s="22" t="s">
        <v>53</v>
      </c>
      <c r="AB712">
        <v>0.89</v>
      </c>
      <c r="AC712">
        <v>1.22</v>
      </c>
      <c r="AD712">
        <v>0.57</v>
      </c>
      <c r="AE712">
        <v>0</v>
      </c>
      <c r="AF712" s="22" t="s">
        <v>946</v>
      </c>
      <c r="AG712" s="22">
        <v>0.122122122122122</v>
      </c>
      <c r="AH712" s="22" t="s">
        <v>1621</v>
      </c>
      <c r="AI712" s="22" t="s">
        <v>53</v>
      </c>
      <c r="AJ712">
        <v>4</v>
      </c>
      <c r="AK712">
        <v>11</v>
      </c>
      <c r="AL712">
        <v>4</v>
      </c>
      <c r="AM712">
        <v>1</v>
      </c>
      <c r="AN712" s="22">
        <v>0</v>
      </c>
      <c r="AO712" s="22">
        <v>0.0909090909090909</v>
      </c>
      <c r="AP712" s="22">
        <v>0</v>
      </c>
      <c r="AQ712" s="22">
        <v>0</v>
      </c>
      <c r="AR712" s="35">
        <v>0</v>
      </c>
      <c r="AS712" s="35">
        <v>0</v>
      </c>
      <c r="AT712" s="35">
        <v>9</v>
      </c>
      <c r="AU712" s="31" t="str">
        <f t="shared" si="15"/>
        <v>库存为9</v>
      </c>
      <c r="AV712" s="36" t="str">
        <f>IFERROR(时间!$B$4+AU712,"上周无销量")</f>
        <v>上周无销量</v>
      </c>
    </row>
    <row r="713" spans="1:48">
      <c r="A713" s="20" t="s">
        <v>1622</v>
      </c>
      <c r="B713" t="s">
        <v>1623</v>
      </c>
      <c r="C713" t="s">
        <v>1604</v>
      </c>
      <c r="D713" s="31">
        <v>9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1</v>
      </c>
      <c r="AK713">
        <v>4</v>
      </c>
      <c r="AL713">
        <v>1</v>
      </c>
      <c r="AM713">
        <v>4</v>
      </c>
      <c r="AN713" s="22">
        <v>9</v>
      </c>
      <c r="AO713" s="22">
        <v>0</v>
      </c>
      <c r="AP713" s="22">
        <v>0</v>
      </c>
      <c r="AQ713" s="22">
        <v>0</v>
      </c>
      <c r="AR713" s="35">
        <v>1.28571428571429</v>
      </c>
      <c r="AS713" s="35">
        <v>77.1428571428572</v>
      </c>
      <c r="AT713" s="35">
        <v>-77.1428571428572</v>
      </c>
      <c r="AU713" s="31">
        <f t="shared" si="15"/>
        <v>0</v>
      </c>
      <c r="AV713" s="36">
        <f>IFERROR(时间!$B$4+AU713,"上周无销量")</f>
        <v>43332</v>
      </c>
    </row>
    <row r="714" spans="1:48">
      <c r="A714" s="20" t="s">
        <v>1624</v>
      </c>
      <c r="B714" t="s">
        <v>1625</v>
      </c>
      <c r="C714" t="s">
        <v>1604</v>
      </c>
      <c r="D714" s="31">
        <v>5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0</v>
      </c>
      <c r="AK714">
        <v>4</v>
      </c>
      <c r="AL714">
        <v>0</v>
      </c>
      <c r="AM714">
        <v>2</v>
      </c>
      <c r="AN714" s="22" t="s">
        <v>53</v>
      </c>
      <c r="AO714" s="22">
        <v>0</v>
      </c>
      <c r="AP714" s="22" t="s">
        <v>53</v>
      </c>
      <c r="AQ714" s="22">
        <v>0</v>
      </c>
      <c r="AR714" s="35">
        <v>0.714285714285714</v>
      </c>
      <c r="AS714" s="35">
        <v>42.8571428571429</v>
      </c>
      <c r="AT714" s="35">
        <v>-42.8571428571429</v>
      </c>
      <c r="AU714" s="31">
        <f t="shared" si="15"/>
        <v>0</v>
      </c>
      <c r="AV714" s="36">
        <f>IFERROR(时间!$B$4+AU714,"上周无销量")</f>
        <v>43332</v>
      </c>
    </row>
    <row r="715" spans="1:48">
      <c r="A715" s="20" t="s">
        <v>1626</v>
      </c>
      <c r="B715" t="s">
        <v>1627</v>
      </c>
      <c r="C715" t="s">
        <v>1604</v>
      </c>
      <c r="D715" s="31">
        <v>5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0</v>
      </c>
      <c r="AK715">
        <v>5</v>
      </c>
      <c r="AL715">
        <v>4</v>
      </c>
      <c r="AM715">
        <v>4</v>
      </c>
      <c r="AN715" s="22" t="s">
        <v>53</v>
      </c>
      <c r="AO715" s="22">
        <v>0</v>
      </c>
      <c r="AP715" s="22">
        <v>0</v>
      </c>
      <c r="AQ715" s="22">
        <v>0</v>
      </c>
      <c r="AR715" s="35">
        <v>0.714285714285714</v>
      </c>
      <c r="AS715" s="35">
        <v>42.8571428571429</v>
      </c>
      <c r="AT715" s="35">
        <v>-42.8571428571429</v>
      </c>
      <c r="AU715" s="31">
        <f t="shared" si="15"/>
        <v>0</v>
      </c>
      <c r="AV715" s="36">
        <f>IFERROR(时间!$B$4+AU715,"上周无销量")</f>
        <v>43332</v>
      </c>
    </row>
    <row r="716" spans="1:48">
      <c r="A716" s="20" t="s">
        <v>1628</v>
      </c>
      <c r="B716" t="s">
        <v>1629</v>
      </c>
      <c r="C716" t="s">
        <v>1604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0</v>
      </c>
      <c r="AK716">
        <v>4</v>
      </c>
      <c r="AL716">
        <v>2</v>
      </c>
      <c r="AM716">
        <v>2</v>
      </c>
      <c r="AN716" s="22" t="s">
        <v>53</v>
      </c>
      <c r="AO716" s="22">
        <v>0</v>
      </c>
      <c r="AP716" s="22">
        <v>0</v>
      </c>
      <c r="AQ716" s="22">
        <v>0</v>
      </c>
      <c r="AR716" s="35">
        <v>0</v>
      </c>
      <c r="AS716" s="35">
        <v>0</v>
      </c>
      <c r="AT716" s="35">
        <v>0</v>
      </c>
      <c r="AU716" s="31" t="str">
        <f t="shared" si="15"/>
        <v>库存为0</v>
      </c>
      <c r="AV716" s="36" t="str">
        <f>IFERROR(时间!$B$4+AU716,"上周无销量")</f>
        <v>上周无销量</v>
      </c>
    </row>
    <row r="717" spans="1:48">
      <c r="A717" s="20" t="s">
        <v>1630</v>
      </c>
      <c r="B717" t="s">
        <v>1631</v>
      </c>
      <c r="C717" t="s">
        <v>1604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2</v>
      </c>
      <c r="AK717">
        <v>3</v>
      </c>
      <c r="AL717">
        <v>0</v>
      </c>
      <c r="AM717">
        <v>2</v>
      </c>
      <c r="AN717" s="22">
        <v>0</v>
      </c>
      <c r="AO717" s="22">
        <v>0</v>
      </c>
      <c r="AP717" s="22" t="s">
        <v>53</v>
      </c>
      <c r="AQ717" s="22">
        <v>0</v>
      </c>
      <c r="AR717" s="35">
        <v>0</v>
      </c>
      <c r="AS717" s="35">
        <v>0</v>
      </c>
      <c r="AT717" s="35">
        <v>0</v>
      </c>
      <c r="AU717" s="31" t="str">
        <f t="shared" si="15"/>
        <v>库存为0</v>
      </c>
      <c r="AV717" s="36" t="str">
        <f>IFERROR(时间!$B$4+AU717,"上周无销量")</f>
        <v>上周无销量</v>
      </c>
    </row>
    <row r="718" spans="1:48">
      <c r="A718" s="20" t="s">
        <v>1632</v>
      </c>
      <c r="B718" t="s">
        <v>1633</v>
      </c>
      <c r="C718" t="s">
        <v>1604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0</v>
      </c>
      <c r="AK718">
        <v>2</v>
      </c>
      <c r="AL718">
        <v>0</v>
      </c>
      <c r="AM718">
        <v>1</v>
      </c>
      <c r="AN718" s="22" t="s">
        <v>53</v>
      </c>
      <c r="AO718" s="22">
        <v>0</v>
      </c>
      <c r="AP718" s="22" t="s">
        <v>53</v>
      </c>
      <c r="AQ718" s="22">
        <v>0</v>
      </c>
      <c r="AR718" s="35">
        <v>0</v>
      </c>
      <c r="AS718" s="35">
        <v>0</v>
      </c>
      <c r="AT718" s="35">
        <v>0</v>
      </c>
      <c r="AU718" s="31" t="str">
        <f t="shared" si="15"/>
        <v>库存为0</v>
      </c>
      <c r="AV718" s="36" t="str">
        <f>IFERROR(时间!$B$4+AU718,"上周无销量")</f>
        <v>上周无销量</v>
      </c>
    </row>
    <row r="719" spans="1:48">
      <c r="A719" s="20" t="s">
        <v>1634</v>
      </c>
      <c r="B719" t="s">
        <v>1635</v>
      </c>
      <c r="C719" t="s">
        <v>1604</v>
      </c>
      <c r="D719" s="31">
        <v>5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0</v>
      </c>
      <c r="AK719">
        <v>2</v>
      </c>
      <c r="AL719">
        <v>1</v>
      </c>
      <c r="AM719">
        <v>0</v>
      </c>
      <c r="AN719" s="22" t="s">
        <v>53</v>
      </c>
      <c r="AO719" s="22">
        <v>0</v>
      </c>
      <c r="AP719" s="22">
        <v>0</v>
      </c>
      <c r="AQ719" s="22" t="s">
        <v>53</v>
      </c>
      <c r="AR719" s="35">
        <v>0.714285714285714</v>
      </c>
      <c r="AS719" s="35">
        <v>42.8571428571429</v>
      </c>
      <c r="AT719" s="35">
        <v>-42.8571428571429</v>
      </c>
      <c r="AU719" s="31">
        <f t="shared" si="15"/>
        <v>0</v>
      </c>
      <c r="AV719" s="36">
        <f>IFERROR(时间!$B$4+AU719,"上周无销量")</f>
        <v>43332</v>
      </c>
    </row>
    <row r="720" spans="1:48">
      <c r="A720" s="20" t="s">
        <v>1636</v>
      </c>
      <c r="B720" t="s">
        <v>1637</v>
      </c>
      <c r="C720" t="s">
        <v>1604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0</v>
      </c>
      <c r="AK720">
        <v>6</v>
      </c>
      <c r="AL720">
        <v>0</v>
      </c>
      <c r="AM720">
        <v>2</v>
      </c>
      <c r="AN720" s="22" t="s">
        <v>53</v>
      </c>
      <c r="AO720" s="22">
        <v>0</v>
      </c>
      <c r="AP720" s="22" t="s">
        <v>53</v>
      </c>
      <c r="AQ720" s="22">
        <v>0</v>
      </c>
      <c r="AR720" s="35">
        <v>0</v>
      </c>
      <c r="AS720" s="35">
        <v>0</v>
      </c>
      <c r="AT720" s="35">
        <v>0</v>
      </c>
      <c r="AU720" s="31" t="str">
        <f t="shared" si="15"/>
        <v>库存为0</v>
      </c>
      <c r="AV720" s="36" t="str">
        <f>IFERROR(时间!$B$4+AU720,"上周无销量")</f>
        <v>上周无销量</v>
      </c>
    </row>
    <row r="721" spans="1:48">
      <c r="A721" s="20" t="s">
        <v>1638</v>
      </c>
      <c r="B721" t="s">
        <v>1639</v>
      </c>
      <c r="C721" t="s">
        <v>1604</v>
      </c>
      <c r="D721" s="31">
        <v>2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1</v>
      </c>
      <c r="AK721">
        <v>4</v>
      </c>
      <c r="AL721">
        <v>0</v>
      </c>
      <c r="AM721">
        <v>2</v>
      </c>
      <c r="AN721" s="22">
        <v>2</v>
      </c>
      <c r="AO721" s="22">
        <v>0</v>
      </c>
      <c r="AP721" s="22" t="s">
        <v>53</v>
      </c>
      <c r="AQ721" s="22">
        <v>0</v>
      </c>
      <c r="AR721" s="35">
        <v>0.285714285714286</v>
      </c>
      <c r="AS721" s="35">
        <v>17.1428571428571</v>
      </c>
      <c r="AT721" s="35">
        <v>-17.1428571428571</v>
      </c>
      <c r="AU721" s="31">
        <f t="shared" si="15"/>
        <v>0</v>
      </c>
      <c r="AV721" s="36">
        <f>IFERROR(时间!$B$4+AU721,"上周无销量")</f>
        <v>43332</v>
      </c>
    </row>
    <row r="722" spans="1:48">
      <c r="A722" s="20" t="s">
        <v>1640</v>
      </c>
      <c r="B722" t="s">
        <v>1641</v>
      </c>
      <c r="C722" t="s">
        <v>1604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0</v>
      </c>
      <c r="AK722">
        <v>6</v>
      </c>
      <c r="AL722">
        <v>2</v>
      </c>
      <c r="AM722">
        <v>3</v>
      </c>
      <c r="AN722" s="22" t="s">
        <v>53</v>
      </c>
      <c r="AO722" s="22">
        <v>0</v>
      </c>
      <c r="AP722" s="22">
        <v>0</v>
      </c>
      <c r="AQ722" s="22">
        <v>0</v>
      </c>
      <c r="AR722" s="35">
        <v>0</v>
      </c>
      <c r="AS722" s="35">
        <v>0</v>
      </c>
      <c r="AT722" s="35">
        <v>0</v>
      </c>
      <c r="AU722" s="31" t="str">
        <f t="shared" si="15"/>
        <v>库存为0</v>
      </c>
      <c r="AV722" s="36" t="str">
        <f>IFERROR(时间!$B$4+AU722,"上周无销量")</f>
        <v>上周无销量</v>
      </c>
    </row>
    <row r="723" spans="1:48">
      <c r="A723" s="20" t="s">
        <v>1642</v>
      </c>
      <c r="B723" t="s">
        <v>1643</v>
      </c>
      <c r="C723" t="s">
        <v>1604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0</v>
      </c>
      <c r="AK723">
        <v>6</v>
      </c>
      <c r="AL723">
        <v>0</v>
      </c>
      <c r="AM723">
        <v>2</v>
      </c>
      <c r="AN723" s="22" t="s">
        <v>53</v>
      </c>
      <c r="AO723" s="22">
        <v>0</v>
      </c>
      <c r="AP723" s="22" t="s">
        <v>53</v>
      </c>
      <c r="AQ723" s="22">
        <v>0</v>
      </c>
      <c r="AR723" s="35">
        <v>0</v>
      </c>
      <c r="AS723" s="35">
        <v>0</v>
      </c>
      <c r="AT723" s="35">
        <v>0</v>
      </c>
      <c r="AU723" s="31" t="str">
        <f t="shared" si="15"/>
        <v>库存为0</v>
      </c>
      <c r="AV723" s="36" t="str">
        <f>IFERROR(时间!$B$4+AU723,"上周无销量")</f>
        <v>上周无销量</v>
      </c>
    </row>
    <row r="724" spans="1:48">
      <c r="A724" s="20" t="s">
        <v>1644</v>
      </c>
      <c r="B724" t="s">
        <v>1645</v>
      </c>
      <c r="C724" t="s">
        <v>1604</v>
      </c>
      <c r="D724" s="31">
        <v>2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0</v>
      </c>
      <c r="AK724">
        <v>4</v>
      </c>
      <c r="AL724">
        <v>1</v>
      </c>
      <c r="AM724">
        <v>2</v>
      </c>
      <c r="AN724" s="22" t="s">
        <v>53</v>
      </c>
      <c r="AO724" s="22">
        <v>0</v>
      </c>
      <c r="AP724" s="22">
        <v>0</v>
      </c>
      <c r="AQ724" s="22">
        <v>0</v>
      </c>
      <c r="AR724" s="35">
        <v>0.285714285714286</v>
      </c>
      <c r="AS724" s="35">
        <v>17.1428571428571</v>
      </c>
      <c r="AT724" s="35">
        <v>-17.1428571428571</v>
      </c>
      <c r="AU724" s="31">
        <f t="shared" si="15"/>
        <v>0</v>
      </c>
      <c r="AV724" s="36">
        <f>IFERROR(时间!$B$4+AU724,"上周无销量")</f>
        <v>43332</v>
      </c>
    </row>
    <row r="725" spans="1:48">
      <c r="A725" s="20" t="s">
        <v>1646</v>
      </c>
      <c r="B725" t="s">
        <v>1647</v>
      </c>
      <c r="C725" t="s">
        <v>1604</v>
      </c>
      <c r="D725" s="31">
        <v>2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0</v>
      </c>
      <c r="AK725">
        <v>2</v>
      </c>
      <c r="AL725">
        <v>1</v>
      </c>
      <c r="AM725">
        <v>3</v>
      </c>
      <c r="AN725" s="22" t="s">
        <v>53</v>
      </c>
      <c r="AO725" s="22">
        <v>0</v>
      </c>
      <c r="AP725" s="22">
        <v>0</v>
      </c>
      <c r="AQ725" s="22">
        <v>0</v>
      </c>
      <c r="AR725" s="35">
        <v>0.285714285714286</v>
      </c>
      <c r="AS725" s="35">
        <v>17.1428571428571</v>
      </c>
      <c r="AT725" s="35">
        <v>-17.1428571428571</v>
      </c>
      <c r="AU725" s="31">
        <f t="shared" si="15"/>
        <v>0</v>
      </c>
      <c r="AV725" s="36">
        <f>IFERROR(时间!$B$4+AU725,"上周无销量")</f>
        <v>43332</v>
      </c>
    </row>
    <row r="726" spans="1:48">
      <c r="A726" s="20" t="s">
        <v>1648</v>
      </c>
      <c r="B726" t="s">
        <v>1649</v>
      </c>
      <c r="C726" t="s">
        <v>1604</v>
      </c>
      <c r="D726" s="31">
        <v>2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0</v>
      </c>
      <c r="AK726">
        <v>3</v>
      </c>
      <c r="AL726">
        <v>2</v>
      </c>
      <c r="AM726">
        <v>2</v>
      </c>
      <c r="AN726" s="22" t="s">
        <v>53</v>
      </c>
      <c r="AO726" s="22">
        <v>0</v>
      </c>
      <c r="AP726" s="22">
        <v>0</v>
      </c>
      <c r="AQ726" s="22">
        <v>0</v>
      </c>
      <c r="AR726" s="35">
        <v>0.285714285714286</v>
      </c>
      <c r="AS726" s="35">
        <v>17.1428571428571</v>
      </c>
      <c r="AT726" s="35">
        <v>-17.1428571428571</v>
      </c>
      <c r="AU726" s="31">
        <f t="shared" si="15"/>
        <v>0</v>
      </c>
      <c r="AV726" s="36">
        <f>IFERROR(时间!$B$4+AU726,"上周无销量")</f>
        <v>43332</v>
      </c>
    </row>
    <row r="727" spans="1:48">
      <c r="A727" s="20" t="s">
        <v>1650</v>
      </c>
      <c r="B727" t="s">
        <v>1651</v>
      </c>
      <c r="C727" t="s">
        <v>1604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2</v>
      </c>
      <c r="J727" s="33">
        <v>0</v>
      </c>
      <c r="K727" s="33">
        <v>0</v>
      </c>
      <c r="L727" s="33">
        <v>0</v>
      </c>
      <c r="M727">
        <v>2</v>
      </c>
      <c r="N727">
        <v>0</v>
      </c>
      <c r="O727">
        <v>2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3</v>
      </c>
      <c r="AK727">
        <v>3</v>
      </c>
      <c r="AL727">
        <v>1</v>
      </c>
      <c r="AM727">
        <v>4</v>
      </c>
      <c r="AN727" s="22">
        <v>0</v>
      </c>
      <c r="AO727" s="22">
        <v>0</v>
      </c>
      <c r="AP727" s="22">
        <v>0</v>
      </c>
      <c r="AQ727" s="22">
        <v>0</v>
      </c>
      <c r="AR727" s="35">
        <v>0</v>
      </c>
      <c r="AS727" s="35">
        <v>0</v>
      </c>
      <c r="AT727" s="35">
        <v>2</v>
      </c>
      <c r="AU727" s="31" t="str">
        <f t="shared" si="15"/>
        <v>库存为2</v>
      </c>
      <c r="AV727" s="36" t="str">
        <f>IFERROR(时间!$B$4+AU727,"上周无销量")</f>
        <v>上周无销量</v>
      </c>
    </row>
    <row r="728" spans="1:48">
      <c r="A728" s="20" t="s">
        <v>1652</v>
      </c>
      <c r="B728" t="s">
        <v>1653</v>
      </c>
      <c r="C728" t="s">
        <v>1604</v>
      </c>
      <c r="D728" s="31">
        <v>4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0</v>
      </c>
      <c r="AK728">
        <v>8</v>
      </c>
      <c r="AL728">
        <v>1</v>
      </c>
      <c r="AM728">
        <v>3</v>
      </c>
      <c r="AN728" s="22" t="s">
        <v>53</v>
      </c>
      <c r="AO728" s="22">
        <v>0</v>
      </c>
      <c r="AP728" s="22">
        <v>0</v>
      </c>
      <c r="AQ728" s="22">
        <v>0</v>
      </c>
      <c r="AR728" s="35">
        <v>0.571428571428571</v>
      </c>
      <c r="AS728" s="35">
        <v>34.2857142857143</v>
      </c>
      <c r="AT728" s="35">
        <v>-34.2857142857143</v>
      </c>
      <c r="AU728" s="31">
        <f t="shared" si="15"/>
        <v>0</v>
      </c>
      <c r="AV728" s="36">
        <f>IFERROR(时间!$B$4+AU728,"上周无销量")</f>
        <v>43332</v>
      </c>
    </row>
    <row r="729" spans="1:48">
      <c r="A729" s="20" t="s">
        <v>1654</v>
      </c>
      <c r="B729" t="s">
        <v>1655</v>
      </c>
      <c r="C729" t="s">
        <v>1604</v>
      </c>
      <c r="D729" s="31">
        <v>4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0</v>
      </c>
      <c r="AK729">
        <v>2</v>
      </c>
      <c r="AL729">
        <v>1</v>
      </c>
      <c r="AM729">
        <v>1</v>
      </c>
      <c r="AN729" s="22" t="s">
        <v>53</v>
      </c>
      <c r="AO729" s="22">
        <v>0</v>
      </c>
      <c r="AP729" s="22">
        <v>0</v>
      </c>
      <c r="AQ729" s="22">
        <v>0</v>
      </c>
      <c r="AR729" s="35">
        <v>0.571428571428571</v>
      </c>
      <c r="AS729" s="35">
        <v>34.2857142857143</v>
      </c>
      <c r="AT729" s="35">
        <v>-34.2857142857143</v>
      </c>
      <c r="AU729" s="31">
        <f t="shared" si="15"/>
        <v>0</v>
      </c>
      <c r="AV729" s="36">
        <f>IFERROR(时间!$B$4+AU729,"上周无销量")</f>
        <v>43332</v>
      </c>
    </row>
    <row r="730" spans="1:48">
      <c r="A730" s="20" t="s">
        <v>1656</v>
      </c>
      <c r="B730" t="s">
        <v>1657</v>
      </c>
      <c r="C730" t="s">
        <v>1604</v>
      </c>
      <c r="D730" s="31">
        <v>4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0</v>
      </c>
      <c r="AK730">
        <v>3</v>
      </c>
      <c r="AL730">
        <v>1</v>
      </c>
      <c r="AM730">
        <v>3</v>
      </c>
      <c r="AN730" s="22" t="s">
        <v>53</v>
      </c>
      <c r="AO730" s="22">
        <v>0</v>
      </c>
      <c r="AP730" s="22">
        <v>0</v>
      </c>
      <c r="AQ730" s="22">
        <v>0</v>
      </c>
      <c r="AR730" s="35">
        <v>0.571428571428571</v>
      </c>
      <c r="AS730" s="35">
        <v>34.2857142857143</v>
      </c>
      <c r="AT730" s="35">
        <v>-34.2857142857143</v>
      </c>
      <c r="AU730" s="31">
        <f t="shared" si="15"/>
        <v>0</v>
      </c>
      <c r="AV730" s="36">
        <f>IFERROR(时间!$B$4+AU730,"上周无销量")</f>
        <v>43332</v>
      </c>
    </row>
    <row r="731" spans="1:48">
      <c r="A731" s="20" t="s">
        <v>1658</v>
      </c>
      <c r="B731" t="s">
        <v>1659</v>
      </c>
      <c r="C731" t="s">
        <v>1604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0</v>
      </c>
      <c r="AK731">
        <v>3</v>
      </c>
      <c r="AL731">
        <v>1</v>
      </c>
      <c r="AM731">
        <v>3</v>
      </c>
      <c r="AN731" s="22" t="s">
        <v>53</v>
      </c>
      <c r="AO731" s="22">
        <v>0</v>
      </c>
      <c r="AP731" s="22">
        <v>0</v>
      </c>
      <c r="AQ731" s="22">
        <v>0</v>
      </c>
      <c r="AR731" s="35">
        <v>0</v>
      </c>
      <c r="AS731" s="35">
        <v>0</v>
      </c>
      <c r="AT731" s="35">
        <v>0</v>
      </c>
      <c r="AU731" s="31" t="str">
        <f t="shared" si="15"/>
        <v>库存为0</v>
      </c>
      <c r="AV731" s="36" t="str">
        <f>IFERROR(时间!$B$4+AU731,"上周无销量")</f>
        <v>上周无销量</v>
      </c>
    </row>
    <row r="732" spans="1:48">
      <c r="A732" s="20" t="s">
        <v>1660</v>
      </c>
      <c r="B732" t="s">
        <v>1661</v>
      </c>
      <c r="C732" t="s">
        <v>1604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0</v>
      </c>
      <c r="AK732">
        <v>4</v>
      </c>
      <c r="AL732">
        <v>1</v>
      </c>
      <c r="AM732">
        <v>1</v>
      </c>
      <c r="AN732" s="22" t="s">
        <v>53</v>
      </c>
      <c r="AO732" s="22">
        <v>0</v>
      </c>
      <c r="AP732" s="22">
        <v>0</v>
      </c>
      <c r="AQ732" s="22">
        <v>0</v>
      </c>
      <c r="AR732" s="35">
        <v>0</v>
      </c>
      <c r="AS732" s="35">
        <v>0</v>
      </c>
      <c r="AT732" s="35">
        <v>0</v>
      </c>
      <c r="AU732" s="31" t="str">
        <f t="shared" si="15"/>
        <v>库存为0</v>
      </c>
      <c r="AV732" s="36" t="str">
        <f>IFERROR(时间!$B$4+AU732,"上周无销量")</f>
        <v>上周无销量</v>
      </c>
    </row>
    <row r="733" spans="1:48">
      <c r="A733" s="20" t="s">
        <v>1662</v>
      </c>
      <c r="B733" t="s">
        <v>1663</v>
      </c>
      <c r="C733" t="s">
        <v>1604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0</v>
      </c>
      <c r="AK733">
        <v>4</v>
      </c>
      <c r="AL733">
        <v>1</v>
      </c>
      <c r="AM733">
        <v>2</v>
      </c>
      <c r="AN733" s="22" t="s">
        <v>53</v>
      </c>
      <c r="AO733" s="22">
        <v>0</v>
      </c>
      <c r="AP733" s="22">
        <v>0</v>
      </c>
      <c r="AQ733" s="22">
        <v>0</v>
      </c>
      <c r="AR733" s="35">
        <v>0</v>
      </c>
      <c r="AS733" s="35">
        <v>0</v>
      </c>
      <c r="AT733" s="35">
        <v>0</v>
      </c>
      <c r="AU733" s="31" t="str">
        <f t="shared" si="15"/>
        <v>库存为0</v>
      </c>
      <c r="AV733" s="36" t="str">
        <f>IFERROR(时间!$B$4+AU733,"上周无销量")</f>
        <v>上周无销量</v>
      </c>
    </row>
    <row r="734" spans="1:48">
      <c r="A734" s="20" t="s">
        <v>1664</v>
      </c>
      <c r="B734" t="s">
        <v>1665</v>
      </c>
      <c r="C734" t="s">
        <v>1604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1</v>
      </c>
      <c r="AK734">
        <v>2</v>
      </c>
      <c r="AL734">
        <v>0</v>
      </c>
      <c r="AM734">
        <v>0</v>
      </c>
      <c r="AN734" s="22">
        <v>0</v>
      </c>
      <c r="AO734" s="22">
        <v>0</v>
      </c>
      <c r="AP734" s="22" t="s">
        <v>53</v>
      </c>
      <c r="AQ734" s="22" t="s">
        <v>53</v>
      </c>
      <c r="AR734" s="35">
        <v>0</v>
      </c>
      <c r="AS734" s="35">
        <v>0</v>
      </c>
      <c r="AT734" s="35">
        <v>0</v>
      </c>
      <c r="AU734" s="31" t="str">
        <f t="shared" si="15"/>
        <v>库存为0</v>
      </c>
      <c r="AV734" s="36" t="str">
        <f>IFERROR(时间!$B$4+AU734,"上周无销量")</f>
        <v>上周无销量</v>
      </c>
    </row>
    <row r="735" spans="1:48">
      <c r="A735" s="20" t="s">
        <v>1666</v>
      </c>
      <c r="B735" t="s">
        <v>1667</v>
      </c>
      <c r="C735" t="s">
        <v>1604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0</v>
      </c>
      <c r="AK735">
        <v>4</v>
      </c>
      <c r="AL735">
        <v>0</v>
      </c>
      <c r="AM735">
        <v>4</v>
      </c>
      <c r="AN735" s="22" t="s">
        <v>53</v>
      </c>
      <c r="AO735" s="22">
        <v>0</v>
      </c>
      <c r="AP735" s="22" t="s">
        <v>53</v>
      </c>
      <c r="AQ735" s="22">
        <v>0</v>
      </c>
      <c r="AR735" s="35">
        <v>0</v>
      </c>
      <c r="AS735" s="35">
        <v>0</v>
      </c>
      <c r="AT735" s="35">
        <v>0</v>
      </c>
      <c r="AU735" s="31" t="str">
        <f t="shared" si="15"/>
        <v>库存为0</v>
      </c>
      <c r="AV735" s="36" t="str">
        <f>IFERROR(时间!$B$4+AU735,"上周无销量")</f>
        <v>上周无销量</v>
      </c>
    </row>
    <row r="736" spans="1:48">
      <c r="A736" s="20" t="s">
        <v>1668</v>
      </c>
      <c r="B736" t="s">
        <v>1669</v>
      </c>
      <c r="C736" t="s">
        <v>1355</v>
      </c>
      <c r="D736" s="31">
        <v>41</v>
      </c>
      <c r="E736" s="31">
        <v>29</v>
      </c>
      <c r="F736" s="31">
        <v>41</v>
      </c>
      <c r="G736" s="31">
        <v>1</v>
      </c>
      <c r="H736" s="32">
        <v>22.99</v>
      </c>
      <c r="I736">
        <v>62</v>
      </c>
      <c r="J736" s="33">
        <v>282</v>
      </c>
      <c r="K736" s="33">
        <v>0</v>
      </c>
      <c r="L736" s="33">
        <v>3</v>
      </c>
      <c r="M736">
        <v>347</v>
      </c>
      <c r="N736">
        <v>6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557</v>
      </c>
      <c r="AK736">
        <v>583</v>
      </c>
      <c r="AL736">
        <v>461</v>
      </c>
      <c r="AM736">
        <v>24</v>
      </c>
      <c r="AN736" s="22">
        <v>0.0736086175942549</v>
      </c>
      <c r="AO736" s="22">
        <v>0.0497427101200686</v>
      </c>
      <c r="AP736" s="22">
        <v>0.0889370932754881</v>
      </c>
      <c r="AQ736" s="22">
        <v>0.0416666666666667</v>
      </c>
      <c r="AR736" s="35">
        <v>5.85714285714286</v>
      </c>
      <c r="AS736" s="35">
        <v>351.428571428571</v>
      </c>
      <c r="AT736" s="35">
        <v>-4.42857142857139</v>
      </c>
      <c r="AU736" s="31">
        <f t="shared" si="15"/>
        <v>59</v>
      </c>
      <c r="AV736" s="36">
        <f>IFERROR(时间!$B$4+AU736,"上周无销量")</f>
        <v>43391</v>
      </c>
    </row>
    <row r="737" spans="1:48">
      <c r="A737" s="20" t="s">
        <v>1670</v>
      </c>
      <c r="B737" t="s">
        <v>1671</v>
      </c>
      <c r="C737" t="s">
        <v>1355</v>
      </c>
      <c r="D737" s="31">
        <v>29</v>
      </c>
      <c r="E737" s="31">
        <v>31</v>
      </c>
      <c r="F737" s="31">
        <v>35</v>
      </c>
      <c r="G737" s="31">
        <v>39</v>
      </c>
      <c r="H737" s="32">
        <v>22.9899999999999</v>
      </c>
      <c r="I737">
        <v>196</v>
      </c>
      <c r="J737" s="33">
        <v>0</v>
      </c>
      <c r="K737" s="33">
        <v>50</v>
      </c>
      <c r="L737" s="33">
        <v>101</v>
      </c>
      <c r="M737">
        <v>347</v>
      </c>
      <c r="N737">
        <v>5</v>
      </c>
      <c r="O737">
        <v>0</v>
      </c>
      <c r="P737">
        <v>0</v>
      </c>
      <c r="Q737">
        <v>2547</v>
      </c>
      <c r="R737">
        <v>729</v>
      </c>
      <c r="S737">
        <v>277</v>
      </c>
      <c r="T737">
        <v>0</v>
      </c>
      <c r="U737">
        <v>34</v>
      </c>
      <c r="V737">
        <v>8</v>
      </c>
      <c r="W737">
        <v>7</v>
      </c>
      <c r="X737" s="22" t="s">
        <v>53</v>
      </c>
      <c r="Y737" s="22">
        <v>0.0133490380840204</v>
      </c>
      <c r="Z737" s="22">
        <v>0.0109739368998628</v>
      </c>
      <c r="AA737" s="22">
        <v>0.0252707581227437</v>
      </c>
      <c r="AB737">
        <v>0</v>
      </c>
      <c r="AC737">
        <v>19.83</v>
      </c>
      <c r="AD737">
        <v>3.05</v>
      </c>
      <c r="AE737">
        <v>2.34</v>
      </c>
      <c r="AF737" s="22" t="s">
        <v>53</v>
      </c>
      <c r="AG737" s="22">
        <v>0.0278241591715894</v>
      </c>
      <c r="AH737" s="22">
        <v>0.00379046790530046</v>
      </c>
      <c r="AI737" s="22">
        <v>0.00260983036102654</v>
      </c>
      <c r="AJ737">
        <v>676</v>
      </c>
      <c r="AK737">
        <v>688</v>
      </c>
      <c r="AL737">
        <v>517</v>
      </c>
      <c r="AM737">
        <v>660</v>
      </c>
      <c r="AN737" s="22">
        <v>0.0428994082840237</v>
      </c>
      <c r="AO737" s="22">
        <v>0.0450581395348837</v>
      </c>
      <c r="AP737" s="22">
        <v>0.0676982591876209</v>
      </c>
      <c r="AQ737" s="22">
        <v>0.0590909090909091</v>
      </c>
      <c r="AR737" s="35">
        <v>4.14285714285714</v>
      </c>
      <c r="AS737" s="35">
        <v>248.571428571429</v>
      </c>
      <c r="AT737" s="35">
        <v>98.4285714285714</v>
      </c>
      <c r="AU737" s="31">
        <f t="shared" si="15"/>
        <v>83</v>
      </c>
      <c r="AV737" s="36">
        <f>IFERROR(时间!$B$4+AU737,"上周无销量")</f>
        <v>43415</v>
      </c>
    </row>
    <row r="738" spans="1:48">
      <c r="A738" s="20" t="s">
        <v>1672</v>
      </c>
      <c r="B738" t="s">
        <v>1673</v>
      </c>
      <c r="C738" t="s">
        <v>1674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1</v>
      </c>
      <c r="J738" s="33">
        <v>0</v>
      </c>
      <c r="K738" s="33">
        <v>0</v>
      </c>
      <c r="L738" s="33">
        <v>0</v>
      </c>
      <c r="M738">
        <v>1</v>
      </c>
      <c r="N738">
        <v>0</v>
      </c>
      <c r="O738">
        <v>1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0</v>
      </c>
      <c r="AK738">
        <v>0</v>
      </c>
      <c r="AL738">
        <v>0</v>
      </c>
      <c r="AM738">
        <v>0</v>
      </c>
      <c r="AN738" s="22" t="s">
        <v>53</v>
      </c>
      <c r="AO738" s="22" t="s">
        <v>53</v>
      </c>
      <c r="AP738" s="22" t="s">
        <v>53</v>
      </c>
      <c r="AQ738" s="22" t="s">
        <v>53</v>
      </c>
      <c r="AR738" s="35">
        <v>0</v>
      </c>
      <c r="AS738" s="35">
        <v>0</v>
      </c>
      <c r="AT738" s="35">
        <v>1</v>
      </c>
      <c r="AU738" s="31" t="str">
        <f t="shared" si="15"/>
        <v>库存为1</v>
      </c>
      <c r="AV738" s="36" t="str">
        <f>IFERROR(时间!$B$4+AU738,"上周无销量")</f>
        <v>上周无销量</v>
      </c>
    </row>
    <row r="739" spans="1:48">
      <c r="A739" s="20" t="s">
        <v>1675</v>
      </c>
      <c r="B739" t="s">
        <v>1676</v>
      </c>
      <c r="C739" t="s">
        <v>1674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53</v>
      </c>
      <c r="Q739" t="s">
        <v>53</v>
      </c>
      <c r="R739" t="s">
        <v>53</v>
      </c>
      <c r="S739" t="s">
        <v>53</v>
      </c>
      <c r="T739" t="s">
        <v>53</v>
      </c>
      <c r="U739" t="s">
        <v>53</v>
      </c>
      <c r="V739" t="s">
        <v>53</v>
      </c>
      <c r="W739" t="s">
        <v>53</v>
      </c>
      <c r="X739" s="22" t="s">
        <v>53</v>
      </c>
      <c r="Y739" s="22" t="s">
        <v>53</v>
      </c>
      <c r="Z739" s="22" t="s">
        <v>53</v>
      </c>
      <c r="AA739" s="22" t="s">
        <v>53</v>
      </c>
      <c r="AB739" t="s">
        <v>53</v>
      </c>
      <c r="AC739" t="s">
        <v>53</v>
      </c>
      <c r="AD739" t="s">
        <v>53</v>
      </c>
      <c r="AE739" t="s">
        <v>53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0</v>
      </c>
      <c r="AK739">
        <v>2</v>
      </c>
      <c r="AL739">
        <v>0</v>
      </c>
      <c r="AM739">
        <v>0</v>
      </c>
      <c r="AN739" s="22" t="s">
        <v>53</v>
      </c>
      <c r="AO739" s="22">
        <v>0</v>
      </c>
      <c r="AP739" s="22" t="s">
        <v>53</v>
      </c>
      <c r="AQ739" s="22" t="s">
        <v>53</v>
      </c>
      <c r="AR739" s="35">
        <v>0</v>
      </c>
      <c r="AS739" s="35">
        <v>0</v>
      </c>
      <c r="AT739" s="35">
        <v>0</v>
      </c>
      <c r="AU739" s="31" t="str">
        <f t="shared" si="15"/>
        <v>库存为0</v>
      </c>
      <c r="AV739" s="36" t="str">
        <f>IFERROR(时间!$B$4+AU739,"上周无销量")</f>
        <v>上周无销量</v>
      </c>
    </row>
    <row r="740" spans="1:48">
      <c r="A740" s="20" t="s">
        <v>1677</v>
      </c>
      <c r="B740" t="s">
        <v>1678</v>
      </c>
      <c r="C740" t="s">
        <v>1679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1</v>
      </c>
      <c r="J740" s="33">
        <v>0</v>
      </c>
      <c r="K740" s="33">
        <v>0</v>
      </c>
      <c r="L740" s="33">
        <v>0</v>
      </c>
      <c r="M740">
        <v>1</v>
      </c>
      <c r="N740">
        <v>0</v>
      </c>
      <c r="O740">
        <v>1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8</v>
      </c>
      <c r="AK740">
        <v>5</v>
      </c>
      <c r="AL740">
        <v>2</v>
      </c>
      <c r="AM740">
        <v>3</v>
      </c>
      <c r="AN740" s="22">
        <v>0</v>
      </c>
      <c r="AO740" s="22">
        <v>0</v>
      </c>
      <c r="AP740" s="22">
        <v>0</v>
      </c>
      <c r="AQ740" s="22">
        <v>0</v>
      </c>
      <c r="AR740" s="35">
        <v>0</v>
      </c>
      <c r="AS740" s="35">
        <v>0</v>
      </c>
      <c r="AT740" s="35">
        <v>1</v>
      </c>
      <c r="AU740" s="31" t="str">
        <f t="shared" si="15"/>
        <v>库存为1</v>
      </c>
      <c r="AV740" s="36" t="str">
        <f>IFERROR(时间!$B$4+AU740,"上周无销量")</f>
        <v>上周无销量</v>
      </c>
    </row>
    <row r="741" spans="1:48">
      <c r="A741" s="20" t="s">
        <v>1680</v>
      </c>
      <c r="B741" t="s">
        <v>1681</v>
      </c>
      <c r="C741" t="s">
        <v>1679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0</v>
      </c>
      <c r="AK741">
        <v>0</v>
      </c>
      <c r="AL741">
        <v>0</v>
      </c>
      <c r="AM741">
        <v>0</v>
      </c>
      <c r="AN741" s="22" t="s">
        <v>53</v>
      </c>
      <c r="AO741" s="22" t="s">
        <v>53</v>
      </c>
      <c r="AP741" s="22" t="s">
        <v>53</v>
      </c>
      <c r="AQ741" s="22" t="s">
        <v>53</v>
      </c>
      <c r="AR741" s="35">
        <v>0</v>
      </c>
      <c r="AS741" s="35">
        <v>0</v>
      </c>
      <c r="AT741" s="35">
        <v>0</v>
      </c>
      <c r="AU741" s="31" t="str">
        <f t="shared" si="15"/>
        <v>库存为0</v>
      </c>
      <c r="AV741" s="36" t="str">
        <f>IFERROR(时间!$B$4+AU741,"上周无销量")</f>
        <v>上周无销量</v>
      </c>
    </row>
    <row r="742" spans="1:48">
      <c r="A742" s="20" t="s">
        <v>1682</v>
      </c>
      <c r="B742" t="s">
        <v>1683</v>
      </c>
      <c r="C742" t="s">
        <v>1679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3</v>
      </c>
      <c r="J742" s="33">
        <v>0</v>
      </c>
      <c r="K742" s="33">
        <v>0</v>
      </c>
      <c r="L742" s="33">
        <v>0</v>
      </c>
      <c r="M742">
        <v>3</v>
      </c>
      <c r="N742">
        <v>0</v>
      </c>
      <c r="O742">
        <v>3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4</v>
      </c>
      <c r="AK742">
        <v>8</v>
      </c>
      <c r="AL742">
        <v>4</v>
      </c>
      <c r="AM742">
        <v>7</v>
      </c>
      <c r="AN742" s="22">
        <v>0</v>
      </c>
      <c r="AO742" s="22">
        <v>0</v>
      </c>
      <c r="AP742" s="22">
        <v>0</v>
      </c>
      <c r="AQ742" s="22">
        <v>0</v>
      </c>
      <c r="AR742" s="35">
        <v>0</v>
      </c>
      <c r="AS742" s="35">
        <v>0</v>
      </c>
      <c r="AT742" s="35">
        <v>3</v>
      </c>
      <c r="AU742" s="31" t="str">
        <f t="shared" si="15"/>
        <v>库存为3</v>
      </c>
      <c r="AV742" s="36" t="str">
        <f>IFERROR(时间!$B$4+AU742,"上周无销量")</f>
        <v>上周无销量</v>
      </c>
    </row>
    <row r="743" spans="1:48">
      <c r="A743" s="20" t="s">
        <v>1684</v>
      </c>
      <c r="B743" t="s">
        <v>1685</v>
      </c>
      <c r="C743" t="s">
        <v>1679</v>
      </c>
      <c r="D743" s="31">
        <v>0</v>
      </c>
      <c r="E743" s="31">
        <v>0</v>
      </c>
      <c r="F743" s="31">
        <v>1</v>
      </c>
      <c r="G743" s="31">
        <v>0</v>
      </c>
      <c r="H743" s="32">
        <v>16.9</v>
      </c>
      <c r="I743">
        <v>1</v>
      </c>
      <c r="J743" s="33">
        <v>0</v>
      </c>
      <c r="K743" s="33">
        <v>0</v>
      </c>
      <c r="L743" s="33">
        <v>0</v>
      </c>
      <c r="M743">
        <v>1</v>
      </c>
      <c r="N743">
        <v>0</v>
      </c>
      <c r="O743">
        <v>1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16</v>
      </c>
      <c r="AK743">
        <v>44</v>
      </c>
      <c r="AL743">
        <v>22</v>
      </c>
      <c r="AM743">
        <v>29</v>
      </c>
      <c r="AN743" s="22">
        <v>0</v>
      </c>
      <c r="AO743" s="22">
        <v>0</v>
      </c>
      <c r="AP743" s="22">
        <v>0.0454545454545455</v>
      </c>
      <c r="AQ743" s="22">
        <v>0</v>
      </c>
      <c r="AR743" s="35">
        <v>0</v>
      </c>
      <c r="AS743" s="35">
        <v>0</v>
      </c>
      <c r="AT743" s="35">
        <v>1</v>
      </c>
      <c r="AU743" s="31" t="str">
        <f t="shared" si="15"/>
        <v>库存为1</v>
      </c>
      <c r="AV743" s="36" t="str">
        <f>IFERROR(时间!$B$4+AU743,"上周无销量")</f>
        <v>上周无销量</v>
      </c>
    </row>
    <row r="744" spans="1:48">
      <c r="A744" s="20" t="s">
        <v>1686</v>
      </c>
      <c r="B744" t="s">
        <v>1687</v>
      </c>
      <c r="C744" t="s">
        <v>1688</v>
      </c>
      <c r="D744" s="31">
        <v>2</v>
      </c>
      <c r="E744" s="31">
        <v>2</v>
      </c>
      <c r="F744" s="31">
        <v>1</v>
      </c>
      <c r="G744" s="31">
        <v>0</v>
      </c>
      <c r="H744" s="32">
        <v>14.58</v>
      </c>
      <c r="I744">
        <v>1</v>
      </c>
      <c r="J744" s="33">
        <v>5</v>
      </c>
      <c r="K744" s="33">
        <v>0</v>
      </c>
      <c r="L744" s="33">
        <v>5</v>
      </c>
      <c r="M744">
        <v>11</v>
      </c>
      <c r="N744">
        <v>0</v>
      </c>
      <c r="O744">
        <v>0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54</v>
      </c>
      <c r="AK744">
        <v>53</v>
      </c>
      <c r="AL744">
        <v>21</v>
      </c>
      <c r="AM744">
        <v>22</v>
      </c>
      <c r="AN744" s="22">
        <v>0.037037037037037</v>
      </c>
      <c r="AO744" s="22">
        <v>0.0377358490566038</v>
      </c>
      <c r="AP744" s="22">
        <v>0.0476190476190476</v>
      </c>
      <c r="AQ744" s="22">
        <v>0</v>
      </c>
      <c r="AR744" s="35">
        <v>0.285714285714286</v>
      </c>
      <c r="AS744" s="35">
        <v>17.1428571428571</v>
      </c>
      <c r="AT744" s="35">
        <v>-6.14285714285714</v>
      </c>
      <c r="AU744" s="31">
        <f t="shared" si="15"/>
        <v>38</v>
      </c>
      <c r="AV744" s="36">
        <f>IFERROR(时间!$B$4+AU744,"上周无销量")</f>
        <v>43370</v>
      </c>
    </row>
    <row r="745" spans="1:48">
      <c r="A745" s="20" t="s">
        <v>1689</v>
      </c>
      <c r="B745" t="s">
        <v>1690</v>
      </c>
      <c r="C745" t="s">
        <v>1688</v>
      </c>
      <c r="D745" s="31">
        <v>0</v>
      </c>
      <c r="E745" s="31">
        <v>0</v>
      </c>
      <c r="F745" s="31">
        <v>0</v>
      </c>
      <c r="G745" s="31">
        <v>3</v>
      </c>
      <c r="H745" s="32">
        <v>25.9</v>
      </c>
      <c r="I745">
        <v>7</v>
      </c>
      <c r="J745" s="33">
        <v>10</v>
      </c>
      <c r="K745" s="33">
        <v>0</v>
      </c>
      <c r="L745" s="33">
        <v>0</v>
      </c>
      <c r="M745">
        <v>17</v>
      </c>
      <c r="N745">
        <v>0</v>
      </c>
      <c r="O745">
        <v>4</v>
      </c>
      <c r="P745">
        <v>68</v>
      </c>
      <c r="Q745">
        <v>114</v>
      </c>
      <c r="R745">
        <v>96</v>
      </c>
      <c r="S745">
        <v>112</v>
      </c>
      <c r="T745">
        <v>0</v>
      </c>
      <c r="U745">
        <v>0</v>
      </c>
      <c r="V745">
        <v>0</v>
      </c>
      <c r="W745">
        <v>1</v>
      </c>
      <c r="X745" s="22">
        <v>0</v>
      </c>
      <c r="Y745" s="22">
        <v>0</v>
      </c>
      <c r="Z745" s="22">
        <v>0</v>
      </c>
      <c r="AA745" s="22">
        <v>0.00892857142857143</v>
      </c>
      <c r="AB745">
        <v>0</v>
      </c>
      <c r="AC745">
        <v>0</v>
      </c>
      <c r="AD745">
        <v>0</v>
      </c>
      <c r="AE745">
        <v>0.21</v>
      </c>
      <c r="AF745" s="22" t="s">
        <v>53</v>
      </c>
      <c r="AG745" s="22" t="s">
        <v>53</v>
      </c>
      <c r="AH745" s="22" t="s">
        <v>53</v>
      </c>
      <c r="AI745" s="22">
        <v>0.0027027027027027</v>
      </c>
      <c r="AJ745">
        <v>54</v>
      </c>
      <c r="AK745">
        <v>36</v>
      </c>
      <c r="AL745">
        <v>21</v>
      </c>
      <c r="AM745">
        <v>38</v>
      </c>
      <c r="AN745" s="22">
        <v>0</v>
      </c>
      <c r="AO745" s="22">
        <v>0</v>
      </c>
      <c r="AP745" s="22">
        <v>0</v>
      </c>
      <c r="AQ745" s="22">
        <v>0.0789473684210526</v>
      </c>
      <c r="AR745" s="35">
        <v>0</v>
      </c>
      <c r="AS745" s="35">
        <v>0</v>
      </c>
      <c r="AT745" s="35">
        <v>17</v>
      </c>
      <c r="AU745" s="31" t="str">
        <f t="shared" si="15"/>
        <v>库存为17</v>
      </c>
      <c r="AV745" s="36" t="str">
        <f>IFERROR(时间!$B$4+AU745,"上周无销量")</f>
        <v>上周无销量</v>
      </c>
    </row>
    <row r="746" spans="1:48">
      <c r="A746" s="20" t="s">
        <v>1691</v>
      </c>
      <c r="B746" t="s">
        <v>1692</v>
      </c>
      <c r="C746" t="s">
        <v>1688</v>
      </c>
      <c r="D746" s="31">
        <v>0</v>
      </c>
      <c r="E746" s="31">
        <v>1</v>
      </c>
      <c r="F746" s="31">
        <v>0</v>
      </c>
      <c r="G746" s="31">
        <v>0</v>
      </c>
      <c r="H746" s="32">
        <v>28.9</v>
      </c>
      <c r="I746">
        <v>7</v>
      </c>
      <c r="J746" s="33">
        <v>0</v>
      </c>
      <c r="K746" s="33">
        <v>0</v>
      </c>
      <c r="L746" s="33">
        <v>0</v>
      </c>
      <c r="M746">
        <v>7</v>
      </c>
      <c r="N746">
        <v>0</v>
      </c>
      <c r="O746">
        <v>7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5</v>
      </c>
      <c r="AK746">
        <v>10</v>
      </c>
      <c r="AL746">
        <v>3</v>
      </c>
      <c r="AM746">
        <v>4</v>
      </c>
      <c r="AN746" s="22">
        <v>0</v>
      </c>
      <c r="AO746" s="22">
        <v>0.1</v>
      </c>
      <c r="AP746" s="22">
        <v>0</v>
      </c>
      <c r="AQ746" s="22">
        <v>0</v>
      </c>
      <c r="AR746" s="35">
        <v>0</v>
      </c>
      <c r="AS746" s="35">
        <v>0</v>
      </c>
      <c r="AT746" s="35">
        <v>7</v>
      </c>
      <c r="AU746" s="31" t="str">
        <f t="shared" si="15"/>
        <v>库存为7</v>
      </c>
      <c r="AV746" s="36" t="str">
        <f>IFERROR(时间!$B$4+AU746,"上周无销量")</f>
        <v>上周无销量</v>
      </c>
    </row>
    <row r="747" spans="1:48">
      <c r="A747" s="20" t="s">
        <v>1693</v>
      </c>
      <c r="B747" t="s">
        <v>1694</v>
      </c>
      <c r="C747" t="s">
        <v>1688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8</v>
      </c>
      <c r="J747" s="33">
        <v>0</v>
      </c>
      <c r="K747" s="33">
        <v>0</v>
      </c>
      <c r="L747" s="33">
        <v>0</v>
      </c>
      <c r="M747">
        <v>8</v>
      </c>
      <c r="N747">
        <v>0</v>
      </c>
      <c r="O747">
        <v>8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22</v>
      </c>
      <c r="AK747">
        <v>24</v>
      </c>
      <c r="AL747">
        <v>17</v>
      </c>
      <c r="AM747">
        <v>17</v>
      </c>
      <c r="AN747" s="22">
        <v>0</v>
      </c>
      <c r="AO747" s="22">
        <v>0</v>
      </c>
      <c r="AP747" s="22">
        <v>0</v>
      </c>
      <c r="AQ747" s="22">
        <v>0</v>
      </c>
      <c r="AR747" s="35">
        <v>0</v>
      </c>
      <c r="AS747" s="35">
        <v>0</v>
      </c>
      <c r="AT747" s="35">
        <v>8</v>
      </c>
      <c r="AU747" s="31" t="str">
        <f t="shared" si="15"/>
        <v>库存为8</v>
      </c>
      <c r="AV747" s="36" t="str">
        <f>IFERROR(时间!$B$4+AU747,"上周无销量")</f>
        <v>上周无销量</v>
      </c>
    </row>
    <row r="748" spans="1:48">
      <c r="A748" s="20" t="s">
        <v>1695</v>
      </c>
      <c r="B748" t="s">
        <v>1696</v>
      </c>
      <c r="C748" t="s">
        <v>1688</v>
      </c>
      <c r="D748" s="31">
        <v>1</v>
      </c>
      <c r="E748" s="31">
        <v>0</v>
      </c>
      <c r="F748" s="31">
        <v>2</v>
      </c>
      <c r="G748" s="31">
        <v>0</v>
      </c>
      <c r="H748" s="32">
        <v>25.54</v>
      </c>
      <c r="I748">
        <v>6</v>
      </c>
      <c r="J748" s="33">
        <v>5</v>
      </c>
      <c r="K748" s="33">
        <v>0</v>
      </c>
      <c r="L748" s="33">
        <v>0</v>
      </c>
      <c r="M748">
        <v>11</v>
      </c>
      <c r="N748">
        <v>0</v>
      </c>
      <c r="O748">
        <v>4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11</v>
      </c>
      <c r="AK748">
        <v>8</v>
      </c>
      <c r="AL748">
        <v>5</v>
      </c>
      <c r="AM748">
        <v>7</v>
      </c>
      <c r="AN748" s="22">
        <v>0.0909090909090909</v>
      </c>
      <c r="AO748" s="22">
        <v>0</v>
      </c>
      <c r="AP748" s="22">
        <v>0.4</v>
      </c>
      <c r="AQ748" s="22">
        <v>0</v>
      </c>
      <c r="AR748" s="35">
        <v>0.142857142857143</v>
      </c>
      <c r="AS748" s="35">
        <v>8.57142857142857</v>
      </c>
      <c r="AT748" s="35">
        <v>2.42857142857143</v>
      </c>
      <c r="AU748" s="31">
        <f t="shared" si="15"/>
        <v>77</v>
      </c>
      <c r="AV748" s="36">
        <f>IFERROR(时间!$B$4+AU748,"上周无销量")</f>
        <v>43409</v>
      </c>
    </row>
    <row r="749" spans="1:48">
      <c r="A749" s="20" t="s">
        <v>1697</v>
      </c>
      <c r="B749" t="s">
        <v>1698</v>
      </c>
      <c r="C749" t="s">
        <v>1688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9</v>
      </c>
      <c r="J749" s="33">
        <v>0</v>
      </c>
      <c r="K749" s="33">
        <v>0</v>
      </c>
      <c r="L749" s="33">
        <v>0</v>
      </c>
      <c r="M749">
        <v>9</v>
      </c>
      <c r="N749">
        <v>0</v>
      </c>
      <c r="O749">
        <v>9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13</v>
      </c>
      <c r="AK749">
        <v>12</v>
      </c>
      <c r="AL749">
        <v>8</v>
      </c>
      <c r="AM749">
        <v>3</v>
      </c>
      <c r="AN749" s="22">
        <v>0</v>
      </c>
      <c r="AO749" s="22">
        <v>0</v>
      </c>
      <c r="AP749" s="22">
        <v>0</v>
      </c>
      <c r="AQ749" s="22">
        <v>0</v>
      </c>
      <c r="AR749" s="35">
        <v>0</v>
      </c>
      <c r="AS749" s="35">
        <v>0</v>
      </c>
      <c r="AT749" s="35">
        <v>9</v>
      </c>
      <c r="AU749" s="31" t="str">
        <f t="shared" si="15"/>
        <v>库存为9</v>
      </c>
      <c r="AV749" s="36" t="str">
        <f>IFERROR(时间!$B$4+AU749,"上周无销量")</f>
        <v>上周无销量</v>
      </c>
    </row>
    <row r="750" spans="1:48">
      <c r="A750" s="20" t="s">
        <v>1699</v>
      </c>
      <c r="B750" t="s">
        <v>1700</v>
      </c>
      <c r="C750" t="s">
        <v>1688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6</v>
      </c>
      <c r="J750" s="33">
        <v>0</v>
      </c>
      <c r="K750" s="33">
        <v>0</v>
      </c>
      <c r="L750" s="33">
        <v>0</v>
      </c>
      <c r="M750">
        <v>6</v>
      </c>
      <c r="N750">
        <v>0</v>
      </c>
      <c r="O750">
        <v>6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15</v>
      </c>
      <c r="AK750">
        <v>8</v>
      </c>
      <c r="AL750">
        <v>7</v>
      </c>
      <c r="AM750">
        <v>7</v>
      </c>
      <c r="AN750" s="22">
        <v>0</v>
      </c>
      <c r="AO750" s="22">
        <v>0</v>
      </c>
      <c r="AP750" s="22">
        <v>0</v>
      </c>
      <c r="AQ750" s="22">
        <v>0</v>
      </c>
      <c r="AR750" s="35">
        <v>0</v>
      </c>
      <c r="AS750" s="35">
        <v>0</v>
      </c>
      <c r="AT750" s="35">
        <v>6</v>
      </c>
      <c r="AU750" s="31" t="str">
        <f t="shared" si="15"/>
        <v>库存为6</v>
      </c>
      <c r="AV750" s="36" t="str">
        <f>IFERROR(时间!$B$4+AU750,"上周无销量")</f>
        <v>上周无销量</v>
      </c>
    </row>
    <row r="751" spans="1:48">
      <c r="A751" s="20" t="s">
        <v>1701</v>
      </c>
      <c r="B751" t="s">
        <v>1702</v>
      </c>
      <c r="C751" t="s">
        <v>1688</v>
      </c>
      <c r="D751" s="31">
        <v>1</v>
      </c>
      <c r="E751" s="31">
        <v>0</v>
      </c>
      <c r="F751" s="31">
        <v>2</v>
      </c>
      <c r="G751" s="31">
        <v>2</v>
      </c>
      <c r="H751" s="32">
        <v>6.9</v>
      </c>
      <c r="I751">
        <v>5</v>
      </c>
      <c r="J751" s="33">
        <v>5</v>
      </c>
      <c r="K751" s="33">
        <v>0</v>
      </c>
      <c r="L751" s="33">
        <v>1</v>
      </c>
      <c r="M751">
        <v>11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72</v>
      </c>
      <c r="AK751">
        <v>77</v>
      </c>
      <c r="AL751">
        <v>41</v>
      </c>
      <c r="AM751">
        <v>52</v>
      </c>
      <c r="AN751" s="22">
        <v>0.0138888888888889</v>
      </c>
      <c r="AO751" s="22">
        <v>0</v>
      </c>
      <c r="AP751" s="22">
        <v>0.0487804878048781</v>
      </c>
      <c r="AQ751" s="22">
        <v>0.0384615384615385</v>
      </c>
      <c r="AR751" s="35">
        <v>0.142857142857143</v>
      </c>
      <c r="AS751" s="35">
        <v>8.57142857142857</v>
      </c>
      <c r="AT751" s="35">
        <v>2.42857142857143</v>
      </c>
      <c r="AU751" s="31">
        <f t="shared" si="15"/>
        <v>77</v>
      </c>
      <c r="AV751" s="36">
        <f>IFERROR(时间!$B$4+AU751,"上周无销量")</f>
        <v>43409</v>
      </c>
    </row>
    <row r="752" spans="1:48">
      <c r="A752" s="20" t="s">
        <v>1703</v>
      </c>
      <c r="B752" t="s">
        <v>1704</v>
      </c>
      <c r="C752" t="s">
        <v>1688</v>
      </c>
      <c r="D752" s="31">
        <v>0</v>
      </c>
      <c r="E752" s="31">
        <v>0</v>
      </c>
      <c r="F752" s="31">
        <v>0</v>
      </c>
      <c r="G752" s="31">
        <v>1</v>
      </c>
      <c r="H752" s="32">
        <v>10.9</v>
      </c>
      <c r="I752">
        <v>17</v>
      </c>
      <c r="J752" s="33">
        <v>0</v>
      </c>
      <c r="K752" s="33">
        <v>0</v>
      </c>
      <c r="L752" s="33">
        <v>0</v>
      </c>
      <c r="M752">
        <v>17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31</v>
      </c>
      <c r="AK752">
        <v>22</v>
      </c>
      <c r="AL752">
        <v>7</v>
      </c>
      <c r="AM752">
        <v>9</v>
      </c>
      <c r="AN752" s="22">
        <v>0</v>
      </c>
      <c r="AO752" s="22">
        <v>0</v>
      </c>
      <c r="AP752" s="22">
        <v>0</v>
      </c>
      <c r="AQ752" s="22">
        <v>0.111111111111111</v>
      </c>
      <c r="AR752" s="35">
        <v>0</v>
      </c>
      <c r="AS752" s="35">
        <v>0</v>
      </c>
      <c r="AT752" s="35">
        <v>17</v>
      </c>
      <c r="AU752" s="31" t="str">
        <f t="shared" si="15"/>
        <v>库存为17</v>
      </c>
      <c r="AV752" s="36" t="str">
        <f>IFERROR(时间!$B$4+AU752,"上周无销量")</f>
        <v>上周无销量</v>
      </c>
    </row>
    <row r="753" spans="1:48">
      <c r="A753" s="20" t="s">
        <v>1705</v>
      </c>
      <c r="B753" t="s">
        <v>1706</v>
      </c>
      <c r="C753" t="s">
        <v>1707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3</v>
      </c>
      <c r="J753" s="33">
        <v>0</v>
      </c>
      <c r="K753" s="33">
        <v>0</v>
      </c>
      <c r="L753" s="33">
        <v>0</v>
      </c>
      <c r="M753">
        <v>3</v>
      </c>
      <c r="N753">
        <v>0</v>
      </c>
      <c r="O753">
        <v>3</v>
      </c>
      <c r="P753">
        <v>201</v>
      </c>
      <c r="Q753">
        <v>251</v>
      </c>
      <c r="R753">
        <v>203</v>
      </c>
      <c r="S753">
        <v>167</v>
      </c>
      <c r="T753">
        <v>2</v>
      </c>
      <c r="U753">
        <v>1</v>
      </c>
      <c r="V753">
        <v>2</v>
      </c>
      <c r="W753">
        <v>1</v>
      </c>
      <c r="X753" s="22">
        <v>0.00995024875621891</v>
      </c>
      <c r="Y753" s="22">
        <v>0.00398406374501992</v>
      </c>
      <c r="Z753" s="22">
        <v>0.00985221674876847</v>
      </c>
      <c r="AA753" s="22">
        <v>0.00598802395209581</v>
      </c>
      <c r="AB753">
        <v>1.16</v>
      </c>
      <c r="AC753">
        <v>0.72</v>
      </c>
      <c r="AD753">
        <v>0.96</v>
      </c>
      <c r="AE753">
        <v>0.02</v>
      </c>
      <c r="AF753" s="22" t="s">
        <v>1708</v>
      </c>
      <c r="AG753" s="22" t="s">
        <v>307</v>
      </c>
      <c r="AH753" s="22" t="s">
        <v>1709</v>
      </c>
      <c r="AI753" s="22" t="s">
        <v>1710</v>
      </c>
      <c r="AJ753">
        <v>17</v>
      </c>
      <c r="AK753">
        <v>10</v>
      </c>
      <c r="AL753">
        <v>5</v>
      </c>
      <c r="AM753">
        <v>4</v>
      </c>
      <c r="AN753" s="22">
        <v>0</v>
      </c>
      <c r="AO753" s="22">
        <v>0</v>
      </c>
      <c r="AP753" s="22">
        <v>0</v>
      </c>
      <c r="AQ753" s="22">
        <v>0</v>
      </c>
      <c r="AR753" s="35">
        <v>0</v>
      </c>
      <c r="AS753" s="35">
        <v>0</v>
      </c>
      <c r="AT753" s="35">
        <v>3</v>
      </c>
      <c r="AU753" s="31" t="str">
        <f t="shared" si="15"/>
        <v>库存为3</v>
      </c>
      <c r="AV753" s="36" t="str">
        <f>IFERROR(时间!$B$4+AU753,"上周无销量")</f>
        <v>上周无销量</v>
      </c>
    </row>
    <row r="754" spans="1:48">
      <c r="A754" s="20" t="s">
        <v>1711</v>
      </c>
      <c r="B754" t="s">
        <v>1712</v>
      </c>
      <c r="C754" t="s">
        <v>1707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0</v>
      </c>
      <c r="AK754">
        <v>0</v>
      </c>
      <c r="AL754">
        <v>0</v>
      </c>
      <c r="AM754">
        <v>0</v>
      </c>
      <c r="AN754" s="22" t="s">
        <v>53</v>
      </c>
      <c r="AO754" s="22" t="s">
        <v>53</v>
      </c>
      <c r="AP754" s="22" t="s">
        <v>53</v>
      </c>
      <c r="AQ754" s="22" t="s">
        <v>53</v>
      </c>
      <c r="AR754" s="35">
        <v>0</v>
      </c>
      <c r="AS754" s="35">
        <v>0</v>
      </c>
      <c r="AT754" s="35">
        <v>0</v>
      </c>
      <c r="AU754" s="31" t="str">
        <f t="shared" si="15"/>
        <v>库存为0</v>
      </c>
      <c r="AV754" s="36" t="str">
        <f>IFERROR(时间!$B$4+AU754,"上周无销量")</f>
        <v>上周无销量</v>
      </c>
    </row>
    <row r="755" spans="1:48">
      <c r="A755" s="20" t="s">
        <v>1713</v>
      </c>
      <c r="B755" t="s">
        <v>1714</v>
      </c>
      <c r="C755" t="s">
        <v>1707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12</v>
      </c>
      <c r="J755" s="33">
        <v>0</v>
      </c>
      <c r="K755" s="33">
        <v>0</v>
      </c>
      <c r="L755" s="33">
        <v>0</v>
      </c>
      <c r="M755">
        <v>12</v>
      </c>
      <c r="N755">
        <v>0</v>
      </c>
      <c r="O755">
        <v>10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4</v>
      </c>
      <c r="AK755">
        <v>6</v>
      </c>
      <c r="AL755">
        <v>2</v>
      </c>
      <c r="AM755">
        <v>1</v>
      </c>
      <c r="AN755" s="22">
        <v>0</v>
      </c>
      <c r="AO755" s="22">
        <v>0</v>
      </c>
      <c r="AP755" s="22">
        <v>0</v>
      </c>
      <c r="AQ755" s="22">
        <v>0</v>
      </c>
      <c r="AR755" s="35">
        <v>0</v>
      </c>
      <c r="AS755" s="35">
        <v>0</v>
      </c>
      <c r="AT755" s="35">
        <v>12</v>
      </c>
      <c r="AU755" s="31" t="str">
        <f t="shared" si="15"/>
        <v>库存为12</v>
      </c>
      <c r="AV755" s="36" t="str">
        <f>IFERROR(时间!$B$4+AU755,"上周无销量")</f>
        <v>上周无销量</v>
      </c>
    </row>
    <row r="756" spans="1:48">
      <c r="A756" s="20" t="s">
        <v>1715</v>
      </c>
      <c r="B756" t="s">
        <v>1716</v>
      </c>
      <c r="C756" t="s">
        <v>1707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0</v>
      </c>
      <c r="AK756">
        <v>3</v>
      </c>
      <c r="AL756">
        <v>3</v>
      </c>
      <c r="AM756">
        <v>2</v>
      </c>
      <c r="AN756" s="22" t="s">
        <v>53</v>
      </c>
      <c r="AO756" s="22">
        <v>0</v>
      </c>
      <c r="AP756" s="22">
        <v>0</v>
      </c>
      <c r="AQ756" s="22">
        <v>0</v>
      </c>
      <c r="AR756" s="35">
        <v>0</v>
      </c>
      <c r="AS756" s="35">
        <v>0</v>
      </c>
      <c r="AT756" s="35">
        <v>0</v>
      </c>
      <c r="AU756" s="31" t="str">
        <f t="shared" si="15"/>
        <v>库存为0</v>
      </c>
      <c r="AV756" s="36" t="str">
        <f>IFERROR(时间!$B$4+AU756,"上周无销量")</f>
        <v>上周无销量</v>
      </c>
    </row>
    <row r="757" spans="1:48">
      <c r="A757" s="20" t="s">
        <v>1717</v>
      </c>
      <c r="B757" t="s">
        <v>1718</v>
      </c>
      <c r="C757" t="s">
        <v>1719</v>
      </c>
      <c r="D757" s="31">
        <v>5</v>
      </c>
      <c r="E757" s="31">
        <v>2</v>
      </c>
      <c r="F757" s="31">
        <v>2</v>
      </c>
      <c r="G757" s="31">
        <v>1</v>
      </c>
      <c r="H757" s="32">
        <v>13.9</v>
      </c>
      <c r="I757">
        <v>1</v>
      </c>
      <c r="J757" s="33">
        <v>5</v>
      </c>
      <c r="K757" s="33">
        <v>0</v>
      </c>
      <c r="L757" s="33">
        <v>5</v>
      </c>
      <c r="M757">
        <v>11</v>
      </c>
      <c r="N757">
        <v>0</v>
      </c>
      <c r="O757">
        <v>0</v>
      </c>
      <c r="P757">
        <v>81</v>
      </c>
      <c r="Q757">
        <v>98</v>
      </c>
      <c r="R757">
        <v>88</v>
      </c>
      <c r="S757">
        <v>70</v>
      </c>
      <c r="T757">
        <v>0</v>
      </c>
      <c r="U757">
        <v>0</v>
      </c>
      <c r="V757">
        <v>0</v>
      </c>
      <c r="W757">
        <v>1</v>
      </c>
      <c r="X757" s="22">
        <v>0</v>
      </c>
      <c r="Y757" s="22">
        <v>0</v>
      </c>
      <c r="Z757" s="22">
        <v>0</v>
      </c>
      <c r="AA757" s="22">
        <v>0.0142857142857143</v>
      </c>
      <c r="AB757">
        <v>0</v>
      </c>
      <c r="AC757">
        <v>0</v>
      </c>
      <c r="AD757">
        <v>0</v>
      </c>
      <c r="AE757">
        <v>0.3</v>
      </c>
      <c r="AF757" s="22" t="s">
        <v>53</v>
      </c>
      <c r="AG757" s="22" t="s">
        <v>53</v>
      </c>
      <c r="AH757" s="22" t="s">
        <v>53</v>
      </c>
      <c r="AI757" s="22">
        <v>0.0215827338129496</v>
      </c>
      <c r="AJ757">
        <v>74</v>
      </c>
      <c r="AK757">
        <v>53</v>
      </c>
      <c r="AL757">
        <v>41</v>
      </c>
      <c r="AM757">
        <v>31</v>
      </c>
      <c r="AN757" s="22">
        <v>0.0675675675675676</v>
      </c>
      <c r="AO757" s="22">
        <v>0.0377358490566038</v>
      </c>
      <c r="AP757" s="22">
        <v>0.0487804878048781</v>
      </c>
      <c r="AQ757" s="22">
        <v>0.032258064516129</v>
      </c>
      <c r="AR757" s="35">
        <v>0.714285714285714</v>
      </c>
      <c r="AS757" s="35">
        <v>42.8571428571429</v>
      </c>
      <c r="AT757" s="35">
        <v>-31.8571428571429</v>
      </c>
      <c r="AU757" s="31">
        <f t="shared" si="15"/>
        <v>15</v>
      </c>
      <c r="AV757" s="36">
        <f>IFERROR(时间!$B$4+AU757,"上周无销量")</f>
        <v>43347</v>
      </c>
    </row>
    <row r="758" spans="1:48">
      <c r="A758" s="20" t="s">
        <v>1720</v>
      </c>
      <c r="B758" t="s">
        <v>1721</v>
      </c>
      <c r="C758" t="s">
        <v>1719</v>
      </c>
      <c r="D758" s="31">
        <v>7</v>
      </c>
      <c r="E758" s="31">
        <v>3</v>
      </c>
      <c r="F758" s="31">
        <v>1</v>
      </c>
      <c r="G758" s="31">
        <v>3</v>
      </c>
      <c r="H758" s="32">
        <v>16.99</v>
      </c>
      <c r="I758">
        <v>4</v>
      </c>
      <c r="J758" s="33">
        <v>0</v>
      </c>
      <c r="K758" s="33">
        <v>0</v>
      </c>
      <c r="L758" s="33">
        <v>5</v>
      </c>
      <c r="M758">
        <v>9</v>
      </c>
      <c r="N758">
        <v>0</v>
      </c>
      <c r="O758">
        <v>0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61</v>
      </c>
      <c r="AK758">
        <v>30</v>
      </c>
      <c r="AL758">
        <v>24</v>
      </c>
      <c r="AM758">
        <v>36</v>
      </c>
      <c r="AN758" s="22">
        <v>0.114754098360656</v>
      </c>
      <c r="AO758" s="22">
        <v>0.1</v>
      </c>
      <c r="AP758" s="22">
        <v>0.0416666666666667</v>
      </c>
      <c r="AQ758" s="22">
        <v>0.0833333333333333</v>
      </c>
      <c r="AR758" s="35">
        <v>1</v>
      </c>
      <c r="AS758" s="35">
        <v>60</v>
      </c>
      <c r="AT758" s="35">
        <v>-51</v>
      </c>
      <c r="AU758" s="31">
        <f t="shared" si="15"/>
        <v>9</v>
      </c>
      <c r="AV758" s="36">
        <f>IFERROR(时间!$B$4+AU758,"上周无销量")</f>
        <v>43341</v>
      </c>
    </row>
    <row r="759" spans="1:48">
      <c r="A759" s="20" t="s">
        <v>1722</v>
      </c>
      <c r="B759" t="s">
        <v>1723</v>
      </c>
      <c r="C759" t="s">
        <v>1719</v>
      </c>
      <c r="D759" s="31">
        <v>0</v>
      </c>
      <c r="E759" s="31">
        <v>1</v>
      </c>
      <c r="F759" s="31">
        <v>3</v>
      </c>
      <c r="G759" s="31">
        <v>2</v>
      </c>
      <c r="H759" s="32">
        <v>22.9</v>
      </c>
      <c r="I759">
        <v>1</v>
      </c>
      <c r="J759" s="33">
        <v>5</v>
      </c>
      <c r="K759" s="33">
        <v>0</v>
      </c>
      <c r="L759" s="33">
        <v>0</v>
      </c>
      <c r="M759">
        <v>6</v>
      </c>
      <c r="N759">
        <v>0</v>
      </c>
      <c r="O759">
        <v>0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23</v>
      </c>
      <c r="AK759">
        <v>26</v>
      </c>
      <c r="AL759">
        <v>20</v>
      </c>
      <c r="AM759">
        <v>16</v>
      </c>
      <c r="AN759" s="22">
        <v>0</v>
      </c>
      <c r="AO759" s="22">
        <v>0.0384615384615385</v>
      </c>
      <c r="AP759" s="22">
        <v>0.15</v>
      </c>
      <c r="AQ759" s="22">
        <v>0.125</v>
      </c>
      <c r="AR759" s="35">
        <v>0</v>
      </c>
      <c r="AS759" s="35">
        <v>0</v>
      </c>
      <c r="AT759" s="35">
        <v>6</v>
      </c>
      <c r="AU759" s="31" t="str">
        <f t="shared" si="15"/>
        <v>库存为6</v>
      </c>
      <c r="AV759" s="36" t="str">
        <f>IFERROR(时间!$B$4+AU759,"上周无销量")</f>
        <v>上周无销量</v>
      </c>
    </row>
    <row r="760" spans="1:48">
      <c r="A760" s="20" t="s">
        <v>1724</v>
      </c>
      <c r="B760" t="s">
        <v>1725</v>
      </c>
      <c r="C760" t="s">
        <v>1719</v>
      </c>
      <c r="D760" s="31">
        <v>3</v>
      </c>
      <c r="E760" s="31">
        <v>1</v>
      </c>
      <c r="F760" s="31">
        <v>1</v>
      </c>
      <c r="G760" s="31">
        <v>0</v>
      </c>
      <c r="H760" s="32">
        <v>23.9</v>
      </c>
      <c r="I760">
        <v>6</v>
      </c>
      <c r="J760" s="33">
        <v>0</v>
      </c>
      <c r="K760" s="33">
        <v>0</v>
      </c>
      <c r="L760" s="33">
        <v>0</v>
      </c>
      <c r="M760">
        <v>6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33</v>
      </c>
      <c r="AK760">
        <v>18</v>
      </c>
      <c r="AL760">
        <v>13</v>
      </c>
      <c r="AM760">
        <v>11</v>
      </c>
      <c r="AN760" s="22">
        <v>0.0909090909090909</v>
      </c>
      <c r="AO760" s="22">
        <v>0.0555555555555556</v>
      </c>
      <c r="AP760" s="22">
        <v>0.0769230769230769</v>
      </c>
      <c r="AQ760" s="22">
        <v>0</v>
      </c>
      <c r="AR760" s="35">
        <v>0.428571428571429</v>
      </c>
      <c r="AS760" s="35">
        <v>25.7142857142857</v>
      </c>
      <c r="AT760" s="35">
        <v>-19.7142857142857</v>
      </c>
      <c r="AU760" s="31">
        <f t="shared" si="15"/>
        <v>14</v>
      </c>
      <c r="AV760" s="36">
        <f>IFERROR(时间!$B$4+AU760,"上周无销量")</f>
        <v>43346</v>
      </c>
    </row>
    <row r="761" spans="1:48">
      <c r="A761" s="20" t="s">
        <v>1726</v>
      </c>
      <c r="B761" t="s">
        <v>1727</v>
      </c>
      <c r="C761" t="s">
        <v>1719</v>
      </c>
      <c r="D761" s="31">
        <v>1</v>
      </c>
      <c r="E761" s="31">
        <v>0</v>
      </c>
      <c r="F761" s="31">
        <v>0</v>
      </c>
      <c r="G761" s="31">
        <v>0</v>
      </c>
      <c r="H761" s="32">
        <v>26.9</v>
      </c>
      <c r="I761">
        <v>5</v>
      </c>
      <c r="J761" s="33">
        <v>0</v>
      </c>
      <c r="K761" s="33">
        <v>0</v>
      </c>
      <c r="L761" s="33">
        <v>0</v>
      </c>
      <c r="M761">
        <v>5</v>
      </c>
      <c r="N761">
        <v>0</v>
      </c>
      <c r="O761">
        <v>6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11</v>
      </c>
      <c r="AK761">
        <v>19</v>
      </c>
      <c r="AL761">
        <v>14</v>
      </c>
      <c r="AM761">
        <v>14</v>
      </c>
      <c r="AN761" s="22">
        <v>0.0909090909090909</v>
      </c>
      <c r="AO761" s="22">
        <v>0</v>
      </c>
      <c r="AP761" s="22">
        <v>0</v>
      </c>
      <c r="AQ761" s="22">
        <v>0</v>
      </c>
      <c r="AR761" s="35">
        <v>0.142857142857143</v>
      </c>
      <c r="AS761" s="35">
        <v>8.57142857142857</v>
      </c>
      <c r="AT761" s="35">
        <v>-3.57142857142857</v>
      </c>
      <c r="AU761" s="31">
        <f t="shared" si="15"/>
        <v>35</v>
      </c>
      <c r="AV761" s="36">
        <f>IFERROR(时间!$B$4+AU761,"上周无销量")</f>
        <v>43367</v>
      </c>
    </row>
    <row r="762" spans="1:48">
      <c r="A762" s="20" t="s">
        <v>1728</v>
      </c>
      <c r="B762" t="s">
        <v>1729</v>
      </c>
      <c r="C762" t="s">
        <v>1719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7</v>
      </c>
      <c r="J762" s="33">
        <v>0</v>
      </c>
      <c r="K762" s="33">
        <v>0</v>
      </c>
      <c r="L762" s="33">
        <v>0</v>
      </c>
      <c r="M762">
        <v>7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16</v>
      </c>
      <c r="AK762">
        <v>12</v>
      </c>
      <c r="AL762">
        <v>13</v>
      </c>
      <c r="AM762">
        <v>13</v>
      </c>
      <c r="AN762" s="22">
        <v>0</v>
      </c>
      <c r="AO762" s="22">
        <v>0</v>
      </c>
      <c r="AP762" s="22">
        <v>0</v>
      </c>
      <c r="AQ762" s="22">
        <v>0</v>
      </c>
      <c r="AR762" s="35">
        <v>0</v>
      </c>
      <c r="AS762" s="35">
        <v>0</v>
      </c>
      <c r="AT762" s="35">
        <v>7</v>
      </c>
      <c r="AU762" s="31" t="str">
        <f t="shared" si="15"/>
        <v>库存为7</v>
      </c>
      <c r="AV762" s="36" t="str">
        <f>IFERROR(时间!$B$4+AU762,"上周无销量")</f>
        <v>上周无销量</v>
      </c>
    </row>
    <row r="763" spans="1:48">
      <c r="A763" s="20" t="s">
        <v>1730</v>
      </c>
      <c r="B763" t="s">
        <v>1731</v>
      </c>
      <c r="C763" t="s">
        <v>1719</v>
      </c>
      <c r="D763" s="31">
        <v>4</v>
      </c>
      <c r="E763" s="31">
        <v>1</v>
      </c>
      <c r="F763" s="31">
        <v>0</v>
      </c>
      <c r="G763" s="31">
        <v>3</v>
      </c>
      <c r="H763" s="32">
        <v>7.9</v>
      </c>
      <c r="I763">
        <v>2</v>
      </c>
      <c r="J763" s="33">
        <v>10</v>
      </c>
      <c r="K763" s="33">
        <v>0</v>
      </c>
      <c r="L763" s="33">
        <v>0</v>
      </c>
      <c r="M763">
        <v>12</v>
      </c>
      <c r="N763">
        <v>0</v>
      </c>
      <c r="O763">
        <v>0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144</v>
      </c>
      <c r="AK763">
        <v>112</v>
      </c>
      <c r="AL763">
        <v>45</v>
      </c>
      <c r="AM763">
        <v>54</v>
      </c>
      <c r="AN763" s="22">
        <v>0.0277777777777778</v>
      </c>
      <c r="AO763" s="22">
        <v>0.00892857142857143</v>
      </c>
      <c r="AP763" s="22">
        <v>0</v>
      </c>
      <c r="AQ763" s="22">
        <v>0.0555555555555556</v>
      </c>
      <c r="AR763" s="35">
        <v>0.571428571428571</v>
      </c>
      <c r="AS763" s="35">
        <v>34.2857142857143</v>
      </c>
      <c r="AT763" s="35">
        <v>-22.2857142857143</v>
      </c>
      <c r="AU763" s="31">
        <f t="shared" si="15"/>
        <v>21</v>
      </c>
      <c r="AV763" s="36">
        <f>IFERROR(时间!$B$4+AU763,"上周无销量")</f>
        <v>43353</v>
      </c>
    </row>
    <row r="764" spans="1:48">
      <c r="A764" s="20" t="s">
        <v>1732</v>
      </c>
      <c r="B764" t="s">
        <v>1733</v>
      </c>
      <c r="C764" t="s">
        <v>1719</v>
      </c>
      <c r="D764" s="31">
        <v>3</v>
      </c>
      <c r="E764" s="31">
        <v>0</v>
      </c>
      <c r="F764" s="31">
        <v>0</v>
      </c>
      <c r="G764" s="31">
        <v>2</v>
      </c>
      <c r="H764" s="32">
        <v>10.9</v>
      </c>
      <c r="I764">
        <v>2</v>
      </c>
      <c r="J764" s="33">
        <v>0</v>
      </c>
      <c r="K764" s="33">
        <v>5</v>
      </c>
      <c r="L764" s="33">
        <v>1</v>
      </c>
      <c r="M764">
        <v>8</v>
      </c>
      <c r="N764">
        <v>0</v>
      </c>
      <c r="O764">
        <v>0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72</v>
      </c>
      <c r="AK764">
        <v>64</v>
      </c>
      <c r="AL764">
        <v>42</v>
      </c>
      <c r="AM764">
        <v>42</v>
      </c>
      <c r="AN764" s="22">
        <v>0.0416666666666667</v>
      </c>
      <c r="AO764" s="22">
        <v>0</v>
      </c>
      <c r="AP764" s="22">
        <v>0</v>
      </c>
      <c r="AQ764" s="22">
        <v>0.0476190476190476</v>
      </c>
      <c r="AR764" s="35">
        <v>0.428571428571429</v>
      </c>
      <c r="AS764" s="35">
        <v>25.7142857142857</v>
      </c>
      <c r="AT764" s="35">
        <v>-17.7142857142857</v>
      </c>
      <c r="AU764" s="31">
        <f t="shared" si="15"/>
        <v>18</v>
      </c>
      <c r="AV764" s="36">
        <f>IFERROR(时间!$B$4+AU764,"上周无销量")</f>
        <v>43350</v>
      </c>
    </row>
    <row r="765" spans="1:48">
      <c r="A765" s="20" t="s">
        <v>1734</v>
      </c>
      <c r="B765" t="s">
        <v>1735</v>
      </c>
      <c r="C765" t="s">
        <v>1719</v>
      </c>
      <c r="D765" s="31">
        <v>1</v>
      </c>
      <c r="E765" s="31">
        <v>0</v>
      </c>
      <c r="F765" s="31">
        <v>1</v>
      </c>
      <c r="G765" s="31">
        <v>1</v>
      </c>
      <c r="H765" s="32">
        <v>13.9</v>
      </c>
      <c r="I765">
        <v>23</v>
      </c>
      <c r="J765" s="33">
        <v>0</v>
      </c>
      <c r="K765" s="33">
        <v>0</v>
      </c>
      <c r="L765" s="33">
        <v>0</v>
      </c>
      <c r="M765">
        <v>23</v>
      </c>
      <c r="N765">
        <v>0</v>
      </c>
      <c r="O765">
        <v>24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50</v>
      </c>
      <c r="AK765">
        <v>32</v>
      </c>
      <c r="AL765">
        <v>21</v>
      </c>
      <c r="AM765">
        <v>20</v>
      </c>
      <c r="AN765" s="22">
        <v>0.02</v>
      </c>
      <c r="AO765" s="22">
        <v>0</v>
      </c>
      <c r="AP765" s="22">
        <v>0.0476190476190476</v>
      </c>
      <c r="AQ765" s="22">
        <v>0.05</v>
      </c>
      <c r="AR765" s="35">
        <v>0.142857142857143</v>
      </c>
      <c r="AS765" s="35">
        <v>8.57142857142857</v>
      </c>
      <c r="AT765" s="35">
        <v>14.4285714285714</v>
      </c>
      <c r="AU765" s="31">
        <f t="shared" si="15"/>
        <v>161</v>
      </c>
      <c r="AV765" s="36">
        <f>IFERROR(时间!$B$4+AU765,"上周无销量")</f>
        <v>43493</v>
      </c>
    </row>
    <row r="766" spans="1:48">
      <c r="A766" s="20" t="s">
        <v>1736</v>
      </c>
      <c r="B766" t="s">
        <v>1737</v>
      </c>
      <c r="C766" t="s">
        <v>1719</v>
      </c>
      <c r="D766" s="31">
        <v>0</v>
      </c>
      <c r="E766" s="31">
        <v>2</v>
      </c>
      <c r="F766" s="31">
        <v>0</v>
      </c>
      <c r="G766" s="31">
        <v>3</v>
      </c>
      <c r="H766" s="32">
        <v>16.99</v>
      </c>
      <c r="I766">
        <v>0</v>
      </c>
      <c r="J766" s="33">
        <v>20</v>
      </c>
      <c r="K766" s="33">
        <v>0</v>
      </c>
      <c r="L766" s="33">
        <v>0</v>
      </c>
      <c r="M766">
        <v>20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0</v>
      </c>
      <c r="AK766">
        <v>16</v>
      </c>
      <c r="AL766">
        <v>12</v>
      </c>
      <c r="AM766">
        <v>26</v>
      </c>
      <c r="AN766" s="22" t="s">
        <v>53</v>
      </c>
      <c r="AO766" s="22">
        <v>0.125</v>
      </c>
      <c r="AP766" s="22">
        <v>0</v>
      </c>
      <c r="AQ766" s="22">
        <v>0.115384615384615</v>
      </c>
      <c r="AR766" s="35">
        <v>0</v>
      </c>
      <c r="AS766" s="35">
        <v>0</v>
      </c>
      <c r="AT766" s="35">
        <v>20</v>
      </c>
      <c r="AU766" s="31" t="str">
        <f t="shared" si="15"/>
        <v>库存为20</v>
      </c>
      <c r="AV766" s="36" t="str">
        <f>IFERROR(时间!$B$4+AU766,"上周无销量")</f>
        <v>上周无销量</v>
      </c>
    </row>
    <row r="767" spans="1:48">
      <c r="A767" s="20" t="s">
        <v>1738</v>
      </c>
      <c r="B767" t="s">
        <v>1739</v>
      </c>
      <c r="C767" t="s">
        <v>1719</v>
      </c>
      <c r="D767" s="31">
        <v>0</v>
      </c>
      <c r="E767" s="31">
        <v>0</v>
      </c>
      <c r="F767" s="31">
        <v>1</v>
      </c>
      <c r="G767" s="31">
        <v>1</v>
      </c>
      <c r="H767" s="32">
        <v>21.9</v>
      </c>
      <c r="I767">
        <v>5</v>
      </c>
      <c r="J767" s="33">
        <v>5</v>
      </c>
      <c r="K767" s="33">
        <v>0</v>
      </c>
      <c r="L767" s="33">
        <v>0</v>
      </c>
      <c r="M767">
        <v>10</v>
      </c>
      <c r="N767">
        <v>0</v>
      </c>
      <c r="O767">
        <v>4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14</v>
      </c>
      <c r="AK767">
        <v>10</v>
      </c>
      <c r="AL767">
        <v>3</v>
      </c>
      <c r="AM767">
        <v>7</v>
      </c>
      <c r="AN767" s="22">
        <v>0</v>
      </c>
      <c r="AO767" s="22">
        <v>0</v>
      </c>
      <c r="AP767" s="22">
        <v>0.333333333333333</v>
      </c>
      <c r="AQ767" s="22">
        <v>0.142857142857143</v>
      </c>
      <c r="AR767" s="35">
        <v>0</v>
      </c>
      <c r="AS767" s="35">
        <v>0</v>
      </c>
      <c r="AT767" s="35">
        <v>10</v>
      </c>
      <c r="AU767" s="31" t="str">
        <f t="shared" si="15"/>
        <v>库存为10</v>
      </c>
      <c r="AV767" s="36" t="str">
        <f>IFERROR(时间!$B$4+AU767,"上周无销量")</f>
        <v>上周无销量</v>
      </c>
    </row>
    <row r="768" spans="1:48">
      <c r="A768" s="20" t="s">
        <v>1740</v>
      </c>
      <c r="B768" t="s">
        <v>1741</v>
      </c>
      <c r="C768" t="s">
        <v>1719</v>
      </c>
      <c r="D768" s="31">
        <v>0</v>
      </c>
      <c r="E768" s="31">
        <v>0</v>
      </c>
      <c r="F768" s="31">
        <v>1</v>
      </c>
      <c r="G768" s="31">
        <v>0</v>
      </c>
      <c r="H768" s="32">
        <v>23.9</v>
      </c>
      <c r="I768">
        <v>6</v>
      </c>
      <c r="J768" s="33">
        <v>0</v>
      </c>
      <c r="K768" s="33">
        <v>2</v>
      </c>
      <c r="L768" s="33">
        <v>0</v>
      </c>
      <c r="M768">
        <v>8</v>
      </c>
      <c r="N768">
        <v>0</v>
      </c>
      <c r="O768">
        <v>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25</v>
      </c>
      <c r="AK768">
        <v>12</v>
      </c>
      <c r="AL768">
        <v>11</v>
      </c>
      <c r="AM768">
        <v>9</v>
      </c>
      <c r="AN768" s="22">
        <v>0</v>
      </c>
      <c r="AO768" s="22">
        <v>0</v>
      </c>
      <c r="AP768" s="22">
        <v>0.0909090909090909</v>
      </c>
      <c r="AQ768" s="22">
        <v>0</v>
      </c>
      <c r="AR768" s="35">
        <v>0</v>
      </c>
      <c r="AS768" s="35">
        <v>0</v>
      </c>
      <c r="AT768" s="35">
        <v>8</v>
      </c>
      <c r="AU768" s="31" t="str">
        <f t="shared" si="15"/>
        <v>库存为8</v>
      </c>
      <c r="AV768" s="36" t="str">
        <f>IFERROR(时间!$B$4+AU768,"上周无销量")</f>
        <v>上周无销量</v>
      </c>
    </row>
    <row r="769" spans="1:48">
      <c r="A769" s="20" t="s">
        <v>1742</v>
      </c>
      <c r="B769" t="s">
        <v>1743</v>
      </c>
      <c r="C769" t="s">
        <v>1719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2</v>
      </c>
      <c r="J769" s="33">
        <v>0</v>
      </c>
      <c r="K769" s="33">
        <v>0</v>
      </c>
      <c r="L769" s="33">
        <v>0</v>
      </c>
      <c r="M769">
        <v>2</v>
      </c>
      <c r="N769">
        <v>0</v>
      </c>
      <c r="O769">
        <v>2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11</v>
      </c>
      <c r="AK769">
        <v>12</v>
      </c>
      <c r="AL769">
        <v>13</v>
      </c>
      <c r="AM769">
        <v>5</v>
      </c>
      <c r="AN769" s="22">
        <v>0</v>
      </c>
      <c r="AO769" s="22">
        <v>0</v>
      </c>
      <c r="AP769" s="22">
        <v>0</v>
      </c>
      <c r="AQ769" s="22">
        <v>0</v>
      </c>
      <c r="AR769" s="35">
        <v>0</v>
      </c>
      <c r="AS769" s="35">
        <v>0</v>
      </c>
      <c r="AT769" s="35">
        <v>2</v>
      </c>
      <c r="AU769" s="31" t="str">
        <f t="shared" si="15"/>
        <v>库存为2</v>
      </c>
      <c r="AV769" s="36" t="str">
        <f>IFERROR(时间!$B$4+AU769,"上周无销量")</f>
        <v>上周无销量</v>
      </c>
    </row>
    <row r="770" spans="1:48">
      <c r="A770" s="20" t="s">
        <v>1744</v>
      </c>
      <c r="B770" t="s">
        <v>1745</v>
      </c>
      <c r="C770" t="s">
        <v>1719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15</v>
      </c>
      <c r="J770" s="33">
        <v>0</v>
      </c>
      <c r="K770" s="33">
        <v>0</v>
      </c>
      <c r="L770" s="33">
        <v>0</v>
      </c>
      <c r="M770">
        <v>15</v>
      </c>
      <c r="N770">
        <v>0</v>
      </c>
      <c r="O770">
        <v>16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29</v>
      </c>
      <c r="AK770">
        <v>19</v>
      </c>
      <c r="AL770">
        <v>16</v>
      </c>
      <c r="AM770">
        <v>13</v>
      </c>
      <c r="AN770" s="22">
        <v>0</v>
      </c>
      <c r="AO770" s="22">
        <v>0</v>
      </c>
      <c r="AP770" s="22">
        <v>0</v>
      </c>
      <c r="AQ770" s="22">
        <v>0</v>
      </c>
      <c r="AR770" s="35">
        <v>0</v>
      </c>
      <c r="AS770" s="35">
        <v>0</v>
      </c>
      <c r="AT770" s="35">
        <v>15</v>
      </c>
      <c r="AU770" s="31" t="str">
        <f t="shared" si="15"/>
        <v>库存为15</v>
      </c>
      <c r="AV770" s="36" t="str">
        <f>IFERROR(时间!$B$4+AU770,"上周无销量")</f>
        <v>上周无销量</v>
      </c>
    </row>
    <row r="771" spans="1:48">
      <c r="A771" s="20" t="s">
        <v>1746</v>
      </c>
      <c r="B771" t="s">
        <v>1747</v>
      </c>
      <c r="C771" t="s">
        <v>1719</v>
      </c>
      <c r="D771" s="31">
        <v>0</v>
      </c>
      <c r="E771" s="31">
        <v>1</v>
      </c>
      <c r="F771" s="31">
        <v>3</v>
      </c>
      <c r="G771" s="31">
        <v>0</v>
      </c>
      <c r="H771" s="32">
        <v>7.9</v>
      </c>
      <c r="I771">
        <v>0</v>
      </c>
      <c r="J771" s="33">
        <v>18</v>
      </c>
      <c r="K771" s="33">
        <v>0</v>
      </c>
      <c r="L771" s="33">
        <v>0</v>
      </c>
      <c r="M771">
        <v>18</v>
      </c>
      <c r="N771">
        <v>0</v>
      </c>
      <c r="O771">
        <v>0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0</v>
      </c>
      <c r="AK771">
        <v>0</v>
      </c>
      <c r="AL771">
        <v>23</v>
      </c>
      <c r="AM771">
        <v>41</v>
      </c>
      <c r="AN771" s="22" t="s">
        <v>53</v>
      </c>
      <c r="AO771" s="22" t="s">
        <v>53</v>
      </c>
      <c r="AP771" s="22">
        <v>0.130434782608696</v>
      </c>
      <c r="AQ771" s="22">
        <v>0</v>
      </c>
      <c r="AR771" s="35">
        <v>0</v>
      </c>
      <c r="AS771" s="35">
        <v>0</v>
      </c>
      <c r="AT771" s="35">
        <v>18</v>
      </c>
      <c r="AU771" s="31" t="str">
        <f t="shared" si="15"/>
        <v>库存为18</v>
      </c>
      <c r="AV771" s="36" t="str">
        <f>IFERROR(时间!$B$4+AU771,"上周无销量")</f>
        <v>上周无销量</v>
      </c>
    </row>
    <row r="772" spans="1:48">
      <c r="A772" s="20" t="s">
        <v>1748</v>
      </c>
      <c r="B772" t="s">
        <v>1749</v>
      </c>
      <c r="C772" t="s">
        <v>1719</v>
      </c>
      <c r="D772" s="31">
        <v>2</v>
      </c>
      <c r="E772" s="31">
        <v>0</v>
      </c>
      <c r="F772" s="31">
        <v>0</v>
      </c>
      <c r="G772" s="31">
        <v>0</v>
      </c>
      <c r="H772" s="32">
        <v>10.9</v>
      </c>
      <c r="I772">
        <v>18</v>
      </c>
      <c r="J772" s="33">
        <v>0</v>
      </c>
      <c r="K772" s="33">
        <v>0</v>
      </c>
      <c r="L772" s="33">
        <v>0</v>
      </c>
      <c r="M772">
        <v>18</v>
      </c>
      <c r="N772">
        <v>0</v>
      </c>
      <c r="O772">
        <v>0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52</v>
      </c>
      <c r="AK772">
        <v>27</v>
      </c>
      <c r="AL772">
        <v>2</v>
      </c>
      <c r="AM772">
        <v>0</v>
      </c>
      <c r="AN772" s="22">
        <v>0.0384615384615385</v>
      </c>
      <c r="AO772" s="22">
        <v>0</v>
      </c>
      <c r="AP772" s="22">
        <v>0</v>
      </c>
      <c r="AQ772" s="22" t="s">
        <v>53</v>
      </c>
      <c r="AR772" s="35">
        <v>0.285714285714286</v>
      </c>
      <c r="AS772" s="35">
        <v>17.1428571428571</v>
      </c>
      <c r="AT772" s="35">
        <v>0.857142857142858</v>
      </c>
      <c r="AU772" s="31">
        <f t="shared" si="15"/>
        <v>63</v>
      </c>
      <c r="AV772" s="36">
        <f>IFERROR(时间!$B$4+AU772,"上周无销量")</f>
        <v>43395</v>
      </c>
    </row>
    <row r="773" spans="1:48">
      <c r="A773" s="20" t="s">
        <v>1750</v>
      </c>
      <c r="B773" t="s">
        <v>1751</v>
      </c>
      <c r="C773" t="s">
        <v>1752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5</v>
      </c>
      <c r="AK773">
        <v>9</v>
      </c>
      <c r="AL773">
        <v>4</v>
      </c>
      <c r="AM773">
        <v>7</v>
      </c>
      <c r="AN773" s="22">
        <v>0</v>
      </c>
      <c r="AO773" s="22">
        <v>0</v>
      </c>
      <c r="AP773" s="22">
        <v>0</v>
      </c>
      <c r="AQ773" s="22">
        <v>0</v>
      </c>
      <c r="AR773" s="35">
        <v>0</v>
      </c>
      <c r="AS773" s="35">
        <v>0</v>
      </c>
      <c r="AT773" s="35">
        <v>0</v>
      </c>
      <c r="AU773" s="31" t="str">
        <f t="shared" ref="AU773:AU836" si="16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0" t="s">
        <v>1753</v>
      </c>
      <c r="B774" t="s">
        <v>1754</v>
      </c>
      <c r="C774" t="s">
        <v>1752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8</v>
      </c>
      <c r="J774" s="33">
        <v>0</v>
      </c>
      <c r="K774" s="33">
        <v>0</v>
      </c>
      <c r="L774" s="33">
        <v>0</v>
      </c>
      <c r="M774">
        <v>8</v>
      </c>
      <c r="N774">
        <v>0</v>
      </c>
      <c r="O774">
        <v>8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0</v>
      </c>
      <c r="AK774">
        <v>11</v>
      </c>
      <c r="AL774">
        <v>3</v>
      </c>
      <c r="AM774">
        <v>4</v>
      </c>
      <c r="AN774" s="22" t="s">
        <v>53</v>
      </c>
      <c r="AO774" s="22">
        <v>0</v>
      </c>
      <c r="AP774" s="22">
        <v>0</v>
      </c>
      <c r="AQ774" s="22">
        <v>0</v>
      </c>
      <c r="AR774" s="35">
        <v>0</v>
      </c>
      <c r="AS774" s="35">
        <v>0</v>
      </c>
      <c r="AT774" s="35">
        <v>8</v>
      </c>
      <c r="AU774" s="31" t="str">
        <f t="shared" si="16"/>
        <v>库存为8</v>
      </c>
      <c r="AV774" s="36" t="str">
        <f>IFERROR(时间!$B$4+AU774,"上周无销量")</f>
        <v>上周无销量</v>
      </c>
    </row>
    <row r="775" spans="1:48">
      <c r="A775" s="20" t="s">
        <v>1755</v>
      </c>
      <c r="B775" t="s">
        <v>1756</v>
      </c>
      <c r="C775" t="s">
        <v>1752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53</v>
      </c>
      <c r="Q775" t="s">
        <v>53</v>
      </c>
      <c r="R775" t="s">
        <v>53</v>
      </c>
      <c r="S775" t="s">
        <v>53</v>
      </c>
      <c r="T775" t="s">
        <v>53</v>
      </c>
      <c r="U775" t="s">
        <v>53</v>
      </c>
      <c r="V775" t="s">
        <v>53</v>
      </c>
      <c r="W775" t="s">
        <v>53</v>
      </c>
      <c r="X775" s="22" t="s">
        <v>53</v>
      </c>
      <c r="Y775" s="22" t="s">
        <v>53</v>
      </c>
      <c r="Z775" s="22" t="s">
        <v>53</v>
      </c>
      <c r="AA775" s="22" t="s">
        <v>53</v>
      </c>
      <c r="AB775" t="s">
        <v>53</v>
      </c>
      <c r="AC775" t="s">
        <v>53</v>
      </c>
      <c r="AD775" t="s">
        <v>53</v>
      </c>
      <c r="AE775" t="s">
        <v>53</v>
      </c>
      <c r="AF775" s="22" t="s">
        <v>53</v>
      </c>
      <c r="AG775" s="22" t="s">
        <v>53</v>
      </c>
      <c r="AH775" s="22" t="s">
        <v>53</v>
      </c>
      <c r="AI775" s="22" t="s">
        <v>53</v>
      </c>
      <c r="AJ775">
        <v>0</v>
      </c>
      <c r="AK775">
        <v>5</v>
      </c>
      <c r="AL775">
        <v>1</v>
      </c>
      <c r="AM775">
        <v>2</v>
      </c>
      <c r="AN775" s="22" t="s">
        <v>53</v>
      </c>
      <c r="AO775" s="22">
        <v>0</v>
      </c>
      <c r="AP775" s="22">
        <v>0</v>
      </c>
      <c r="AQ775" s="22">
        <v>0</v>
      </c>
      <c r="AR775" s="35">
        <v>0</v>
      </c>
      <c r="AS775" s="35">
        <v>0</v>
      </c>
      <c r="AT775" s="35">
        <v>0</v>
      </c>
      <c r="AU775" s="31" t="str">
        <f t="shared" si="16"/>
        <v>库存为0</v>
      </c>
      <c r="AV775" s="36" t="str">
        <f>IFERROR(时间!$B$4+AU775,"上周无销量")</f>
        <v>上周无销量</v>
      </c>
    </row>
    <row r="776" spans="1:48">
      <c r="A776" s="20" t="s">
        <v>1757</v>
      </c>
      <c r="B776" t="s">
        <v>1758</v>
      </c>
      <c r="C776" t="s">
        <v>1759</v>
      </c>
      <c r="D776" s="31">
        <v>0</v>
      </c>
      <c r="E776" s="31">
        <v>0</v>
      </c>
      <c r="F776" s="31">
        <v>0</v>
      </c>
      <c r="G776" s="31">
        <v>2</v>
      </c>
      <c r="H776" s="32">
        <v>16.99</v>
      </c>
      <c r="I776">
        <v>10</v>
      </c>
      <c r="J776" s="33">
        <v>0</v>
      </c>
      <c r="K776" s="33">
        <v>0</v>
      </c>
      <c r="L776" s="33">
        <v>0</v>
      </c>
      <c r="M776">
        <v>10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10</v>
      </c>
      <c r="AK776">
        <v>9</v>
      </c>
      <c r="AL776">
        <v>2</v>
      </c>
      <c r="AM776">
        <v>4</v>
      </c>
      <c r="AN776" s="22">
        <v>0</v>
      </c>
      <c r="AO776" s="22">
        <v>0</v>
      </c>
      <c r="AP776" s="22">
        <v>0</v>
      </c>
      <c r="AQ776" s="22">
        <v>0.5</v>
      </c>
      <c r="AR776" s="35">
        <v>0</v>
      </c>
      <c r="AS776" s="35">
        <v>0</v>
      </c>
      <c r="AT776" s="35">
        <v>10</v>
      </c>
      <c r="AU776" s="31" t="str">
        <f t="shared" si="16"/>
        <v>库存为10</v>
      </c>
      <c r="AV776" s="36" t="str">
        <f>IFERROR(时间!$B$4+AU776,"上周无销量")</f>
        <v>上周无销量</v>
      </c>
    </row>
    <row r="777" spans="1:48">
      <c r="A777" s="20" t="s">
        <v>1760</v>
      </c>
      <c r="B777" t="s">
        <v>1761</v>
      </c>
      <c r="C777" t="s">
        <v>1759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8</v>
      </c>
      <c r="J777" s="33">
        <v>0</v>
      </c>
      <c r="K777" s="33">
        <v>0</v>
      </c>
      <c r="L777" s="33">
        <v>0</v>
      </c>
      <c r="M777">
        <v>8</v>
      </c>
      <c r="N777">
        <v>0</v>
      </c>
      <c r="O777">
        <v>8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14</v>
      </c>
      <c r="AK777">
        <v>6</v>
      </c>
      <c r="AL777">
        <v>8</v>
      </c>
      <c r="AM777">
        <v>3</v>
      </c>
      <c r="AN777" s="22">
        <v>0</v>
      </c>
      <c r="AO777" s="22">
        <v>0</v>
      </c>
      <c r="AP777" s="22">
        <v>0</v>
      </c>
      <c r="AQ777" s="22">
        <v>0</v>
      </c>
      <c r="AR777" s="35">
        <v>0</v>
      </c>
      <c r="AS777" s="35">
        <v>0</v>
      </c>
      <c r="AT777" s="35">
        <v>8</v>
      </c>
      <c r="AU777" s="31" t="str">
        <f t="shared" si="16"/>
        <v>库存为8</v>
      </c>
      <c r="AV777" s="36" t="str">
        <f>IFERROR(时间!$B$4+AU777,"上周无销量")</f>
        <v>上周无销量</v>
      </c>
    </row>
    <row r="778" spans="1:48">
      <c r="A778" s="20" t="s">
        <v>1762</v>
      </c>
      <c r="B778" t="s">
        <v>1763</v>
      </c>
      <c r="C778" t="s">
        <v>1759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5</v>
      </c>
      <c r="J778" s="33">
        <v>0</v>
      </c>
      <c r="K778" s="33">
        <v>0</v>
      </c>
      <c r="L778" s="33">
        <v>0</v>
      </c>
      <c r="M778">
        <v>5</v>
      </c>
      <c r="N778">
        <v>1</v>
      </c>
      <c r="O778">
        <v>5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15</v>
      </c>
      <c r="AK778">
        <v>9</v>
      </c>
      <c r="AL778">
        <v>5</v>
      </c>
      <c r="AM778">
        <v>10</v>
      </c>
      <c r="AN778" s="22">
        <v>0</v>
      </c>
      <c r="AO778" s="22">
        <v>0</v>
      </c>
      <c r="AP778" s="22">
        <v>0</v>
      </c>
      <c r="AQ778" s="22">
        <v>0</v>
      </c>
      <c r="AR778" s="35">
        <v>0</v>
      </c>
      <c r="AS778" s="35">
        <v>0</v>
      </c>
      <c r="AT778" s="35">
        <v>5</v>
      </c>
      <c r="AU778" s="31" t="str">
        <f t="shared" si="16"/>
        <v>库存为5</v>
      </c>
      <c r="AV778" s="36" t="str">
        <f>IFERROR(时间!$B$4+AU778,"上周无销量")</f>
        <v>上周无销量</v>
      </c>
    </row>
    <row r="779" spans="1:48">
      <c r="A779" s="20" t="s">
        <v>1764</v>
      </c>
      <c r="B779" t="s">
        <v>1765</v>
      </c>
      <c r="C779" t="s">
        <v>1759</v>
      </c>
      <c r="D779" s="31">
        <v>0</v>
      </c>
      <c r="E779" s="31">
        <v>0</v>
      </c>
      <c r="F779" s="31">
        <v>0</v>
      </c>
      <c r="G779" s="31">
        <v>1</v>
      </c>
      <c r="H779" s="32">
        <v>30.99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11</v>
      </c>
      <c r="AK779">
        <v>19</v>
      </c>
      <c r="AL779">
        <v>12</v>
      </c>
      <c r="AM779">
        <v>13</v>
      </c>
      <c r="AN779" s="22">
        <v>0</v>
      </c>
      <c r="AO779" s="22">
        <v>0</v>
      </c>
      <c r="AP779" s="22">
        <v>0</v>
      </c>
      <c r="AQ779" s="22">
        <v>0.0769230769230769</v>
      </c>
      <c r="AR779" s="35">
        <v>0</v>
      </c>
      <c r="AS779" s="35">
        <v>0</v>
      </c>
      <c r="AT779" s="35">
        <v>0</v>
      </c>
      <c r="AU779" s="31" t="str">
        <f t="shared" si="16"/>
        <v>库存为0</v>
      </c>
      <c r="AV779" s="36" t="str">
        <f>IFERROR(时间!$B$4+AU779,"上周无销量")</f>
        <v>上周无销量</v>
      </c>
    </row>
    <row r="780" spans="1:48">
      <c r="A780" s="20" t="s">
        <v>1766</v>
      </c>
      <c r="B780" t="s">
        <v>1767</v>
      </c>
      <c r="C780" t="s">
        <v>1759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6</v>
      </c>
      <c r="J780" s="33">
        <v>0</v>
      </c>
      <c r="K780" s="33">
        <v>0</v>
      </c>
      <c r="L780" s="33">
        <v>0</v>
      </c>
      <c r="M780">
        <v>6</v>
      </c>
      <c r="N780">
        <v>0</v>
      </c>
      <c r="O780">
        <v>6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8</v>
      </c>
      <c r="AK780">
        <v>4</v>
      </c>
      <c r="AL780">
        <v>5</v>
      </c>
      <c r="AM780">
        <v>6</v>
      </c>
      <c r="AN780" s="22">
        <v>0</v>
      </c>
      <c r="AO780" s="22">
        <v>0</v>
      </c>
      <c r="AP780" s="22">
        <v>0</v>
      </c>
      <c r="AQ780" s="22">
        <v>0</v>
      </c>
      <c r="AR780" s="35">
        <v>0</v>
      </c>
      <c r="AS780" s="35">
        <v>0</v>
      </c>
      <c r="AT780" s="35">
        <v>6</v>
      </c>
      <c r="AU780" s="31" t="str">
        <f t="shared" si="16"/>
        <v>库存为6</v>
      </c>
      <c r="AV780" s="36" t="str">
        <f>IFERROR(时间!$B$4+AU780,"上周无销量")</f>
        <v>上周无销量</v>
      </c>
    </row>
    <row r="781" spans="1:48">
      <c r="A781" s="20" t="s">
        <v>1768</v>
      </c>
      <c r="B781" t="s">
        <v>1769</v>
      </c>
      <c r="C781" t="s">
        <v>1759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9</v>
      </c>
      <c r="J781" s="33">
        <v>0</v>
      </c>
      <c r="K781" s="33">
        <v>0</v>
      </c>
      <c r="L781" s="33">
        <v>0</v>
      </c>
      <c r="M781">
        <v>9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3</v>
      </c>
      <c r="AK781">
        <v>2</v>
      </c>
      <c r="AL781">
        <v>6</v>
      </c>
      <c r="AM781">
        <v>7</v>
      </c>
      <c r="AN781" s="22">
        <v>0</v>
      </c>
      <c r="AO781" s="22">
        <v>0</v>
      </c>
      <c r="AP781" s="22">
        <v>0</v>
      </c>
      <c r="AQ781" s="22">
        <v>0</v>
      </c>
      <c r="AR781" s="35">
        <v>0</v>
      </c>
      <c r="AS781" s="35">
        <v>0</v>
      </c>
      <c r="AT781" s="35">
        <v>9</v>
      </c>
      <c r="AU781" s="31" t="str">
        <f t="shared" si="16"/>
        <v>库存为9</v>
      </c>
      <c r="AV781" s="36" t="str">
        <f>IFERROR(时间!$B$4+AU781,"上周无销量")</f>
        <v>上周无销量</v>
      </c>
    </row>
    <row r="782" spans="1:48">
      <c r="A782" s="20" t="s">
        <v>1770</v>
      </c>
      <c r="B782" t="s">
        <v>1771</v>
      </c>
      <c r="C782" t="s">
        <v>1759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8</v>
      </c>
      <c r="J782" s="33">
        <v>0</v>
      </c>
      <c r="K782" s="33">
        <v>0</v>
      </c>
      <c r="L782" s="33">
        <v>0</v>
      </c>
      <c r="M782">
        <v>8</v>
      </c>
      <c r="N782">
        <v>0</v>
      </c>
      <c r="O782">
        <v>3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19</v>
      </c>
      <c r="AK782">
        <v>9</v>
      </c>
      <c r="AL782">
        <v>7</v>
      </c>
      <c r="AM782">
        <v>5</v>
      </c>
      <c r="AN782" s="22">
        <v>0</v>
      </c>
      <c r="AO782" s="22">
        <v>0</v>
      </c>
      <c r="AP782" s="22">
        <v>0</v>
      </c>
      <c r="AQ782" s="22">
        <v>0</v>
      </c>
      <c r="AR782" s="35">
        <v>0</v>
      </c>
      <c r="AS782" s="35">
        <v>0</v>
      </c>
      <c r="AT782" s="35">
        <v>8</v>
      </c>
      <c r="AU782" s="31" t="str">
        <f t="shared" si="16"/>
        <v>库存为8</v>
      </c>
      <c r="AV782" s="36" t="str">
        <f>IFERROR(时间!$B$4+AU782,"上周无销量")</f>
        <v>上周无销量</v>
      </c>
    </row>
    <row r="783" spans="1:48">
      <c r="A783" s="20" t="s">
        <v>1772</v>
      </c>
      <c r="B783" t="s">
        <v>1773</v>
      </c>
      <c r="C783" t="s">
        <v>1759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7</v>
      </c>
      <c r="J783" s="33">
        <v>0</v>
      </c>
      <c r="K783" s="33">
        <v>0</v>
      </c>
      <c r="L783" s="33">
        <v>0</v>
      </c>
      <c r="M783">
        <v>7</v>
      </c>
      <c r="N783">
        <v>0</v>
      </c>
      <c r="O783">
        <v>2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21</v>
      </c>
      <c r="AK783">
        <v>18</v>
      </c>
      <c r="AL783">
        <v>8</v>
      </c>
      <c r="AM783">
        <v>10</v>
      </c>
      <c r="AN783" s="22">
        <v>0</v>
      </c>
      <c r="AO783" s="22">
        <v>0</v>
      </c>
      <c r="AP783" s="22">
        <v>0</v>
      </c>
      <c r="AQ783" s="22">
        <v>0</v>
      </c>
      <c r="AR783" s="35">
        <v>0</v>
      </c>
      <c r="AS783" s="35">
        <v>0</v>
      </c>
      <c r="AT783" s="35">
        <v>7</v>
      </c>
      <c r="AU783" s="31" t="str">
        <f t="shared" si="16"/>
        <v>库存为7</v>
      </c>
      <c r="AV783" s="36" t="str">
        <f>IFERROR(时间!$B$4+AU783,"上周无销量")</f>
        <v>上周无销量</v>
      </c>
    </row>
    <row r="784" spans="1:48">
      <c r="A784" s="20" t="s">
        <v>1774</v>
      </c>
      <c r="B784" t="s">
        <v>1775</v>
      </c>
      <c r="C784" t="s">
        <v>1759</v>
      </c>
      <c r="D784" s="31">
        <v>2</v>
      </c>
      <c r="E784" s="31">
        <v>1</v>
      </c>
      <c r="F784" s="31">
        <v>1</v>
      </c>
      <c r="G784" s="31">
        <v>0</v>
      </c>
      <c r="H784" s="32">
        <v>17.99</v>
      </c>
      <c r="I784">
        <v>6</v>
      </c>
      <c r="J784" s="33">
        <v>0</v>
      </c>
      <c r="K784" s="33">
        <v>0</v>
      </c>
      <c r="L784" s="33">
        <v>0</v>
      </c>
      <c r="M784">
        <v>6</v>
      </c>
      <c r="N784">
        <v>0</v>
      </c>
      <c r="O784">
        <v>0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27</v>
      </c>
      <c r="AK784">
        <v>25</v>
      </c>
      <c r="AL784">
        <v>16</v>
      </c>
      <c r="AM784">
        <v>16</v>
      </c>
      <c r="AN784" s="22">
        <v>0.0740740740740741</v>
      </c>
      <c r="AO784" s="22">
        <v>0.04</v>
      </c>
      <c r="AP784" s="22">
        <v>0.0625</v>
      </c>
      <c r="AQ784" s="22">
        <v>0</v>
      </c>
      <c r="AR784" s="35">
        <v>0.285714285714286</v>
      </c>
      <c r="AS784" s="35">
        <v>17.1428571428571</v>
      </c>
      <c r="AT784" s="35">
        <v>-11.1428571428571</v>
      </c>
      <c r="AU784" s="31">
        <f t="shared" si="16"/>
        <v>21</v>
      </c>
      <c r="AV784" s="36">
        <f>IFERROR(时间!$B$4+AU784,"上周无销量")</f>
        <v>43353</v>
      </c>
    </row>
    <row r="785" spans="1:48">
      <c r="A785" s="20" t="s">
        <v>1776</v>
      </c>
      <c r="B785" t="s">
        <v>1777</v>
      </c>
      <c r="C785" t="s">
        <v>1759</v>
      </c>
      <c r="D785" s="31">
        <v>4</v>
      </c>
      <c r="E785" s="31">
        <v>2</v>
      </c>
      <c r="F785" s="31">
        <v>1</v>
      </c>
      <c r="G785" s="31">
        <v>1</v>
      </c>
      <c r="H785" s="32">
        <v>19.99</v>
      </c>
      <c r="I785">
        <v>9</v>
      </c>
      <c r="J785" s="33">
        <v>0</v>
      </c>
      <c r="K785" s="33">
        <v>0</v>
      </c>
      <c r="L785" s="33">
        <v>0</v>
      </c>
      <c r="M785">
        <v>9</v>
      </c>
      <c r="N785">
        <v>0</v>
      </c>
      <c r="O785">
        <v>10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21</v>
      </c>
      <c r="AK785">
        <v>12</v>
      </c>
      <c r="AL785">
        <v>10</v>
      </c>
      <c r="AM785">
        <v>15</v>
      </c>
      <c r="AN785" s="22">
        <v>0.19047619047619</v>
      </c>
      <c r="AO785" s="22">
        <v>0.166666666666667</v>
      </c>
      <c r="AP785" s="22">
        <v>0.1</v>
      </c>
      <c r="AQ785" s="22">
        <v>0.0666666666666667</v>
      </c>
      <c r="AR785" s="35">
        <v>0.571428571428571</v>
      </c>
      <c r="AS785" s="35">
        <v>34.2857142857143</v>
      </c>
      <c r="AT785" s="35">
        <v>-25.2857142857143</v>
      </c>
      <c r="AU785" s="31">
        <f t="shared" si="16"/>
        <v>15</v>
      </c>
      <c r="AV785" s="36">
        <f>IFERROR(时间!$B$4+AU785,"上周无销量")</f>
        <v>43347</v>
      </c>
    </row>
    <row r="786" spans="1:48">
      <c r="A786" s="20" t="s">
        <v>1778</v>
      </c>
      <c r="B786" t="s">
        <v>1779</v>
      </c>
      <c r="C786" t="s">
        <v>1759</v>
      </c>
      <c r="D786" s="31">
        <v>2</v>
      </c>
      <c r="E786" s="31">
        <v>0</v>
      </c>
      <c r="F786" s="31">
        <v>0</v>
      </c>
      <c r="G786" s="31">
        <v>0</v>
      </c>
      <c r="H786" s="32">
        <v>21.99</v>
      </c>
      <c r="I786">
        <v>3</v>
      </c>
      <c r="J786" s="33">
        <v>0</v>
      </c>
      <c r="K786" s="33">
        <v>0</v>
      </c>
      <c r="L786" s="33">
        <v>0</v>
      </c>
      <c r="M786">
        <v>3</v>
      </c>
      <c r="N786">
        <v>0</v>
      </c>
      <c r="O786">
        <v>5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37</v>
      </c>
      <c r="AK786">
        <v>13</v>
      </c>
      <c r="AL786">
        <v>9</v>
      </c>
      <c r="AM786">
        <v>16</v>
      </c>
      <c r="AN786" s="22">
        <v>0.0540540540540541</v>
      </c>
      <c r="AO786" s="22">
        <v>0</v>
      </c>
      <c r="AP786" s="22">
        <v>0</v>
      </c>
      <c r="AQ786" s="22">
        <v>0</v>
      </c>
      <c r="AR786" s="35">
        <v>0.285714285714286</v>
      </c>
      <c r="AS786" s="35">
        <v>17.1428571428571</v>
      </c>
      <c r="AT786" s="35">
        <v>-14.1428571428571</v>
      </c>
      <c r="AU786" s="31">
        <f t="shared" si="16"/>
        <v>10</v>
      </c>
      <c r="AV786" s="36">
        <f>IFERROR(时间!$B$4+AU786,"上周无销量")</f>
        <v>43342</v>
      </c>
    </row>
    <row r="787" spans="1:48">
      <c r="A787" s="20" t="s">
        <v>1780</v>
      </c>
      <c r="B787" t="s">
        <v>1781</v>
      </c>
      <c r="C787" t="s">
        <v>1759</v>
      </c>
      <c r="D787" s="31">
        <v>0</v>
      </c>
      <c r="E787" s="31">
        <v>0</v>
      </c>
      <c r="F787" s="31">
        <v>0</v>
      </c>
      <c r="G787" s="31">
        <v>1</v>
      </c>
      <c r="H787" s="32">
        <v>23.99</v>
      </c>
      <c r="I787">
        <v>6</v>
      </c>
      <c r="J787" s="33">
        <v>0</v>
      </c>
      <c r="K787" s="33">
        <v>0</v>
      </c>
      <c r="L787" s="33">
        <v>0</v>
      </c>
      <c r="M787">
        <v>6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22</v>
      </c>
      <c r="AK787">
        <v>16</v>
      </c>
      <c r="AL787">
        <v>6</v>
      </c>
      <c r="AM787">
        <v>10</v>
      </c>
      <c r="AN787" s="22">
        <v>0</v>
      </c>
      <c r="AO787" s="22">
        <v>0</v>
      </c>
      <c r="AP787" s="22">
        <v>0</v>
      </c>
      <c r="AQ787" s="22">
        <v>0.1</v>
      </c>
      <c r="AR787" s="35">
        <v>0</v>
      </c>
      <c r="AS787" s="35">
        <v>0</v>
      </c>
      <c r="AT787" s="35">
        <v>6</v>
      </c>
      <c r="AU787" s="31" t="str">
        <f t="shared" si="16"/>
        <v>库存为6</v>
      </c>
      <c r="AV787" s="36" t="str">
        <f>IFERROR(时间!$B$4+AU787,"上周无销量")</f>
        <v>上周无销量</v>
      </c>
    </row>
    <row r="788" spans="1:48">
      <c r="A788" s="20" t="s">
        <v>1782</v>
      </c>
      <c r="B788" t="s">
        <v>1783</v>
      </c>
      <c r="C788" t="s">
        <v>1759</v>
      </c>
      <c r="D788" s="31">
        <v>0</v>
      </c>
      <c r="E788" s="31">
        <v>4</v>
      </c>
      <c r="F788" s="31">
        <v>0</v>
      </c>
      <c r="G788" s="31">
        <v>0</v>
      </c>
      <c r="H788" s="32">
        <v>26.99</v>
      </c>
      <c r="I788">
        <v>3</v>
      </c>
      <c r="J788" s="33">
        <v>0</v>
      </c>
      <c r="K788" s="33">
        <v>0</v>
      </c>
      <c r="L788" s="33">
        <v>0</v>
      </c>
      <c r="M788">
        <v>3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27</v>
      </c>
      <c r="AK788">
        <v>20</v>
      </c>
      <c r="AL788">
        <v>10</v>
      </c>
      <c r="AM788">
        <v>12</v>
      </c>
      <c r="AN788" s="22">
        <v>0</v>
      </c>
      <c r="AO788" s="22">
        <v>0.2</v>
      </c>
      <c r="AP788" s="22">
        <v>0</v>
      </c>
      <c r="AQ788" s="22">
        <v>0</v>
      </c>
      <c r="AR788" s="35">
        <v>0</v>
      </c>
      <c r="AS788" s="35">
        <v>0</v>
      </c>
      <c r="AT788" s="35">
        <v>3</v>
      </c>
      <c r="AU788" s="31" t="str">
        <f t="shared" si="16"/>
        <v>库存为3</v>
      </c>
      <c r="AV788" s="36" t="str">
        <f>IFERROR(时间!$B$4+AU788,"上周无销量")</f>
        <v>上周无销量</v>
      </c>
    </row>
    <row r="789" spans="1:48">
      <c r="A789" s="20" t="s">
        <v>1784</v>
      </c>
      <c r="B789" t="s">
        <v>1785</v>
      </c>
      <c r="C789" t="s">
        <v>1759</v>
      </c>
      <c r="D789" s="31">
        <v>0</v>
      </c>
      <c r="E789" s="31">
        <v>0</v>
      </c>
      <c r="F789" s="31">
        <v>1</v>
      </c>
      <c r="G789" s="31">
        <v>1</v>
      </c>
      <c r="H789" s="32">
        <v>27.99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1</v>
      </c>
      <c r="O789">
        <v>0</v>
      </c>
      <c r="P789" t="s">
        <v>53</v>
      </c>
      <c r="Q789" t="s">
        <v>53</v>
      </c>
      <c r="R789" t="s">
        <v>53</v>
      </c>
      <c r="S789" t="s">
        <v>53</v>
      </c>
      <c r="T789" t="s">
        <v>53</v>
      </c>
      <c r="U789" t="s">
        <v>53</v>
      </c>
      <c r="V789" t="s">
        <v>53</v>
      </c>
      <c r="W789" t="s">
        <v>53</v>
      </c>
      <c r="X789" s="22" t="s">
        <v>53</v>
      </c>
      <c r="Y789" s="22" t="s">
        <v>53</v>
      </c>
      <c r="Z789" s="22" t="s">
        <v>53</v>
      </c>
      <c r="AA789" s="22" t="s">
        <v>53</v>
      </c>
      <c r="AB789" t="s">
        <v>53</v>
      </c>
      <c r="AC789" t="s">
        <v>53</v>
      </c>
      <c r="AD789" t="s">
        <v>53</v>
      </c>
      <c r="AE789" t="s">
        <v>53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3</v>
      </c>
      <c r="AK789">
        <v>15</v>
      </c>
      <c r="AL789">
        <v>7</v>
      </c>
      <c r="AM789">
        <v>15</v>
      </c>
      <c r="AN789" s="22">
        <v>0</v>
      </c>
      <c r="AO789" s="22">
        <v>0</v>
      </c>
      <c r="AP789" s="22">
        <v>0.142857142857143</v>
      </c>
      <c r="AQ789" s="22">
        <v>0.0666666666666667</v>
      </c>
      <c r="AR789" s="35">
        <v>0</v>
      </c>
      <c r="AS789" s="35">
        <v>0</v>
      </c>
      <c r="AT789" s="35">
        <v>0</v>
      </c>
      <c r="AU789" s="31" t="str">
        <f t="shared" si="16"/>
        <v>库存为0</v>
      </c>
      <c r="AV789" s="36" t="str">
        <f>IFERROR(时间!$B$4+AU789,"上周无销量")</f>
        <v>上周无销量</v>
      </c>
    </row>
    <row r="790" spans="1:48">
      <c r="A790" s="20" t="s">
        <v>1786</v>
      </c>
      <c r="B790" t="s">
        <v>1787</v>
      </c>
      <c r="C790" t="s">
        <v>1759</v>
      </c>
      <c r="D790" s="31">
        <v>0</v>
      </c>
      <c r="E790" s="31">
        <v>1</v>
      </c>
      <c r="F790" s="31">
        <v>0</v>
      </c>
      <c r="G790" s="31">
        <v>0</v>
      </c>
      <c r="H790" s="32">
        <v>30.99</v>
      </c>
      <c r="I790">
        <v>22</v>
      </c>
      <c r="J790" s="33">
        <v>0</v>
      </c>
      <c r="K790" s="33">
        <v>0</v>
      </c>
      <c r="L790" s="33">
        <v>0</v>
      </c>
      <c r="M790">
        <v>22</v>
      </c>
      <c r="N790">
        <v>0</v>
      </c>
      <c r="O790">
        <v>17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11</v>
      </c>
      <c r="AK790">
        <v>12</v>
      </c>
      <c r="AL790">
        <v>9</v>
      </c>
      <c r="AM790">
        <v>12</v>
      </c>
      <c r="AN790" s="22">
        <v>0</v>
      </c>
      <c r="AO790" s="22">
        <v>0.0833333333333333</v>
      </c>
      <c r="AP790" s="22">
        <v>0</v>
      </c>
      <c r="AQ790" s="22">
        <v>0</v>
      </c>
      <c r="AR790" s="35">
        <v>0</v>
      </c>
      <c r="AS790" s="35">
        <v>0</v>
      </c>
      <c r="AT790" s="35">
        <v>22</v>
      </c>
      <c r="AU790" s="31" t="str">
        <f t="shared" si="16"/>
        <v>库存为22</v>
      </c>
      <c r="AV790" s="36" t="str">
        <f>IFERROR(时间!$B$4+AU790,"上周无销量")</f>
        <v>上周无销量</v>
      </c>
    </row>
    <row r="791" spans="1:48">
      <c r="A791" s="20" t="s">
        <v>1788</v>
      </c>
      <c r="B791" t="s">
        <v>1789</v>
      </c>
      <c r="C791" t="s">
        <v>1759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37</v>
      </c>
      <c r="J791" s="33">
        <v>0</v>
      </c>
      <c r="K791" s="33">
        <v>0</v>
      </c>
      <c r="L791" s="33">
        <v>0</v>
      </c>
      <c r="M791">
        <v>37</v>
      </c>
      <c r="N791">
        <v>0</v>
      </c>
      <c r="O791">
        <v>37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25</v>
      </c>
      <c r="AK791">
        <v>15</v>
      </c>
      <c r="AL791">
        <v>12</v>
      </c>
      <c r="AM791">
        <v>7</v>
      </c>
      <c r="AN791" s="22">
        <v>0</v>
      </c>
      <c r="AO791" s="22">
        <v>0</v>
      </c>
      <c r="AP791" s="22">
        <v>0</v>
      </c>
      <c r="AQ791" s="22">
        <v>0</v>
      </c>
      <c r="AR791" s="35">
        <v>0</v>
      </c>
      <c r="AS791" s="35">
        <v>0</v>
      </c>
      <c r="AT791" s="35">
        <v>37</v>
      </c>
      <c r="AU791" s="31" t="str">
        <f t="shared" si="16"/>
        <v>库存为37</v>
      </c>
      <c r="AV791" s="36" t="str">
        <f>IFERROR(时间!$B$4+AU791,"上周无销量")</f>
        <v>上周无销量</v>
      </c>
    </row>
    <row r="792" spans="1:48">
      <c r="A792" s="20" t="s">
        <v>1790</v>
      </c>
      <c r="B792" t="s">
        <v>1791</v>
      </c>
      <c r="C792" t="s">
        <v>1759</v>
      </c>
      <c r="D792" s="31">
        <v>2</v>
      </c>
      <c r="E792" s="31">
        <v>3</v>
      </c>
      <c r="F792" s="31">
        <v>2</v>
      </c>
      <c r="G792" s="31">
        <v>0</v>
      </c>
      <c r="H792" s="32">
        <v>6.62</v>
      </c>
      <c r="I792">
        <v>8</v>
      </c>
      <c r="J792" s="33">
        <v>0</v>
      </c>
      <c r="K792" s="33">
        <v>0</v>
      </c>
      <c r="L792" s="33">
        <v>6</v>
      </c>
      <c r="M792">
        <v>14</v>
      </c>
      <c r="N792">
        <v>0</v>
      </c>
      <c r="O792">
        <v>0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56</v>
      </c>
      <c r="AK792">
        <v>45</v>
      </c>
      <c r="AL792">
        <v>28</v>
      </c>
      <c r="AM792">
        <v>27</v>
      </c>
      <c r="AN792" s="22">
        <v>0.0357142857142857</v>
      </c>
      <c r="AO792" s="22">
        <v>0.0666666666666667</v>
      </c>
      <c r="AP792" s="22">
        <v>0.0714285714285714</v>
      </c>
      <c r="AQ792" s="22">
        <v>0</v>
      </c>
      <c r="AR792" s="35">
        <v>0.285714285714286</v>
      </c>
      <c r="AS792" s="35">
        <v>17.1428571428571</v>
      </c>
      <c r="AT792" s="35">
        <v>-3.14285714285714</v>
      </c>
      <c r="AU792" s="31">
        <f t="shared" si="16"/>
        <v>49</v>
      </c>
      <c r="AV792" s="36">
        <f>IFERROR(时间!$B$4+AU792,"上周无销量")</f>
        <v>43381</v>
      </c>
    </row>
    <row r="793" spans="1:48">
      <c r="A793" s="20" t="s">
        <v>1792</v>
      </c>
      <c r="B793" t="s">
        <v>1793</v>
      </c>
      <c r="C793" t="s">
        <v>1759</v>
      </c>
      <c r="D793" s="31">
        <v>0</v>
      </c>
      <c r="E793" s="31">
        <v>1</v>
      </c>
      <c r="F793" s="31">
        <v>0</v>
      </c>
      <c r="G793" s="31">
        <v>0</v>
      </c>
      <c r="H793" s="32">
        <v>14.43</v>
      </c>
      <c r="I793">
        <v>8</v>
      </c>
      <c r="J793" s="33">
        <v>0</v>
      </c>
      <c r="K793" s="33">
        <v>0</v>
      </c>
      <c r="L793" s="33">
        <v>0</v>
      </c>
      <c r="M793">
        <v>8</v>
      </c>
      <c r="N793">
        <v>0</v>
      </c>
      <c r="O793">
        <v>8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14</v>
      </c>
      <c r="AK793">
        <v>19</v>
      </c>
      <c r="AL793">
        <v>4</v>
      </c>
      <c r="AM793">
        <v>2</v>
      </c>
      <c r="AN793" s="22">
        <v>0</v>
      </c>
      <c r="AO793" s="22">
        <v>0.0526315789473684</v>
      </c>
      <c r="AP793" s="22">
        <v>0</v>
      </c>
      <c r="AQ793" s="22">
        <v>0</v>
      </c>
      <c r="AR793" s="35">
        <v>0</v>
      </c>
      <c r="AS793" s="35">
        <v>0</v>
      </c>
      <c r="AT793" s="35">
        <v>8</v>
      </c>
      <c r="AU793" s="31" t="str">
        <f t="shared" si="16"/>
        <v>库存为8</v>
      </c>
      <c r="AV793" s="36" t="str">
        <f>IFERROR(时间!$B$4+AU793,"上周无销量")</f>
        <v>上周无销量</v>
      </c>
    </row>
    <row r="794" spans="1:48">
      <c r="A794" s="20" t="s">
        <v>1794</v>
      </c>
      <c r="B794" t="s">
        <v>1795</v>
      </c>
      <c r="C794" t="s">
        <v>1759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53</v>
      </c>
      <c r="Q794" t="s">
        <v>53</v>
      </c>
      <c r="R794" t="s">
        <v>53</v>
      </c>
      <c r="S794" t="s">
        <v>53</v>
      </c>
      <c r="T794" t="s">
        <v>53</v>
      </c>
      <c r="U794" t="s">
        <v>53</v>
      </c>
      <c r="V794" t="s">
        <v>53</v>
      </c>
      <c r="W794" t="s">
        <v>53</v>
      </c>
      <c r="X794" s="22" t="s">
        <v>53</v>
      </c>
      <c r="Y794" s="22" t="s">
        <v>53</v>
      </c>
      <c r="Z794" s="22" t="s">
        <v>53</v>
      </c>
      <c r="AA794" s="22" t="s">
        <v>53</v>
      </c>
      <c r="AB794" t="s">
        <v>53</v>
      </c>
      <c r="AC794" t="s">
        <v>53</v>
      </c>
      <c r="AD794" t="s">
        <v>53</v>
      </c>
      <c r="AE794" t="s">
        <v>53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1</v>
      </c>
      <c r="AK794">
        <v>9</v>
      </c>
      <c r="AL794">
        <v>5</v>
      </c>
      <c r="AM794">
        <v>3</v>
      </c>
      <c r="AN794" s="22">
        <v>0</v>
      </c>
      <c r="AO794" s="22">
        <v>0</v>
      </c>
      <c r="AP794" s="22">
        <v>0</v>
      </c>
      <c r="AQ794" s="22">
        <v>0</v>
      </c>
      <c r="AR794" s="35">
        <v>0</v>
      </c>
      <c r="AS794" s="35">
        <v>0</v>
      </c>
      <c r="AT794" s="35">
        <v>0</v>
      </c>
      <c r="AU794" s="31" t="str">
        <f t="shared" si="16"/>
        <v>库存为0</v>
      </c>
      <c r="AV794" s="36" t="str">
        <f>IFERROR(时间!$B$4+AU794,"上周无销量")</f>
        <v>上周无销量</v>
      </c>
    </row>
    <row r="795" spans="1:48">
      <c r="A795" s="20" t="s">
        <v>1796</v>
      </c>
      <c r="B795" t="s">
        <v>1797</v>
      </c>
      <c r="C795" t="s">
        <v>1759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13</v>
      </c>
      <c r="J795" s="33">
        <v>0</v>
      </c>
      <c r="K795" s="33">
        <v>0</v>
      </c>
      <c r="L795" s="33">
        <v>0</v>
      </c>
      <c r="M795">
        <v>13</v>
      </c>
      <c r="N795">
        <v>0</v>
      </c>
      <c r="O795">
        <v>13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10</v>
      </c>
      <c r="AK795">
        <v>8</v>
      </c>
      <c r="AL795">
        <v>5</v>
      </c>
      <c r="AM795">
        <v>5</v>
      </c>
      <c r="AN795" s="22">
        <v>0</v>
      </c>
      <c r="AO795" s="22">
        <v>0</v>
      </c>
      <c r="AP795" s="22">
        <v>0</v>
      </c>
      <c r="AQ795" s="22">
        <v>0</v>
      </c>
      <c r="AR795" s="35">
        <v>0</v>
      </c>
      <c r="AS795" s="35">
        <v>0</v>
      </c>
      <c r="AT795" s="35">
        <v>13</v>
      </c>
      <c r="AU795" s="31" t="str">
        <f t="shared" si="16"/>
        <v>库存为13</v>
      </c>
      <c r="AV795" s="36" t="str">
        <f>IFERROR(时间!$B$4+AU795,"上周无销量")</f>
        <v>上周无销量</v>
      </c>
    </row>
    <row r="796" spans="1:48">
      <c r="A796" s="20" t="s">
        <v>1798</v>
      </c>
      <c r="B796" t="s">
        <v>1799</v>
      </c>
      <c r="C796" t="s">
        <v>1759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15</v>
      </c>
      <c r="J796" s="33">
        <v>0</v>
      </c>
      <c r="K796" s="33">
        <v>0</v>
      </c>
      <c r="L796" s="33">
        <v>0</v>
      </c>
      <c r="M796">
        <v>15</v>
      </c>
      <c r="N796">
        <v>0</v>
      </c>
      <c r="O796">
        <v>15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7</v>
      </c>
      <c r="AK796">
        <v>19</v>
      </c>
      <c r="AL796">
        <v>5</v>
      </c>
      <c r="AM796">
        <v>10</v>
      </c>
      <c r="AN796" s="22">
        <v>0</v>
      </c>
      <c r="AO796" s="22">
        <v>0</v>
      </c>
      <c r="AP796" s="22">
        <v>0</v>
      </c>
      <c r="AQ796" s="22">
        <v>0</v>
      </c>
      <c r="AR796" s="35">
        <v>0</v>
      </c>
      <c r="AS796" s="35">
        <v>0</v>
      </c>
      <c r="AT796" s="35">
        <v>15</v>
      </c>
      <c r="AU796" s="31" t="str">
        <f t="shared" si="16"/>
        <v>库存为15</v>
      </c>
      <c r="AV796" s="36" t="str">
        <f>IFERROR(时间!$B$4+AU796,"上周无销量")</f>
        <v>上周无销量</v>
      </c>
    </row>
    <row r="797" spans="1:48">
      <c r="A797" s="20" t="s">
        <v>1800</v>
      </c>
      <c r="B797" t="s">
        <v>1801</v>
      </c>
      <c r="C797" t="s">
        <v>1759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17</v>
      </c>
      <c r="J797" s="33">
        <v>0</v>
      </c>
      <c r="K797" s="33">
        <v>0</v>
      </c>
      <c r="L797" s="33">
        <v>0</v>
      </c>
      <c r="M797">
        <v>17</v>
      </c>
      <c r="N797">
        <v>0</v>
      </c>
      <c r="O797">
        <v>17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9</v>
      </c>
      <c r="AK797">
        <v>10</v>
      </c>
      <c r="AL797">
        <v>6</v>
      </c>
      <c r="AM797">
        <v>3</v>
      </c>
      <c r="AN797" s="22">
        <v>0</v>
      </c>
      <c r="AO797" s="22">
        <v>0</v>
      </c>
      <c r="AP797" s="22">
        <v>0</v>
      </c>
      <c r="AQ797" s="22">
        <v>0</v>
      </c>
      <c r="AR797" s="35">
        <v>0</v>
      </c>
      <c r="AS797" s="35">
        <v>0</v>
      </c>
      <c r="AT797" s="35">
        <v>17</v>
      </c>
      <c r="AU797" s="31" t="str">
        <f t="shared" si="16"/>
        <v>库存为17</v>
      </c>
      <c r="AV797" s="36" t="str">
        <f>IFERROR(时间!$B$4+AU797,"上周无销量")</f>
        <v>上周无销量</v>
      </c>
    </row>
    <row r="798" spans="1:48">
      <c r="A798" s="20" t="s">
        <v>1802</v>
      </c>
      <c r="B798" t="s">
        <v>1803</v>
      </c>
      <c r="C798" t="s">
        <v>1759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10</v>
      </c>
      <c r="J798" s="33">
        <v>0</v>
      </c>
      <c r="K798" s="33">
        <v>0</v>
      </c>
      <c r="L798" s="33">
        <v>1</v>
      </c>
      <c r="M798">
        <v>11</v>
      </c>
      <c r="N798">
        <v>0</v>
      </c>
      <c r="O798">
        <v>11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7</v>
      </c>
      <c r="AK798">
        <v>8</v>
      </c>
      <c r="AL798">
        <v>4</v>
      </c>
      <c r="AM798">
        <v>6</v>
      </c>
      <c r="AN798" s="22">
        <v>0</v>
      </c>
      <c r="AO798" s="22">
        <v>0</v>
      </c>
      <c r="AP798" s="22">
        <v>0</v>
      </c>
      <c r="AQ798" s="22">
        <v>0</v>
      </c>
      <c r="AR798" s="35">
        <v>0</v>
      </c>
      <c r="AS798" s="35">
        <v>0</v>
      </c>
      <c r="AT798" s="35">
        <v>11</v>
      </c>
      <c r="AU798" s="31" t="str">
        <f t="shared" si="16"/>
        <v>库存为11</v>
      </c>
      <c r="AV798" s="36" t="str">
        <f>IFERROR(时间!$B$4+AU798,"上周无销量")</f>
        <v>上周无销量</v>
      </c>
    </row>
    <row r="799" spans="1:48">
      <c r="A799" s="20" t="s">
        <v>1804</v>
      </c>
      <c r="B799" t="s">
        <v>1805</v>
      </c>
      <c r="C799" t="s">
        <v>1759</v>
      </c>
      <c r="D799" s="31">
        <v>9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1</v>
      </c>
      <c r="AK799">
        <v>15</v>
      </c>
      <c r="AL799">
        <v>4</v>
      </c>
      <c r="AM799">
        <v>5</v>
      </c>
      <c r="AN799" s="22">
        <v>9</v>
      </c>
      <c r="AO799" s="22">
        <v>0</v>
      </c>
      <c r="AP799" s="22">
        <v>0</v>
      </c>
      <c r="AQ799" s="22">
        <v>0</v>
      </c>
      <c r="AR799" s="35">
        <v>1.28571428571429</v>
      </c>
      <c r="AS799" s="35">
        <v>77.1428571428572</v>
      </c>
      <c r="AT799" s="35">
        <v>-77.1428571428572</v>
      </c>
      <c r="AU799" s="31">
        <f t="shared" si="16"/>
        <v>0</v>
      </c>
      <c r="AV799" s="36">
        <f>IFERROR(时间!$B$4+AU799,"上周无销量")</f>
        <v>43332</v>
      </c>
    </row>
    <row r="800" spans="1:48">
      <c r="A800" s="20" t="s">
        <v>1806</v>
      </c>
      <c r="B800" t="s">
        <v>1807</v>
      </c>
      <c r="C800" t="s">
        <v>1759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21</v>
      </c>
      <c r="J800" s="33">
        <v>0</v>
      </c>
      <c r="K800" s="33">
        <v>0</v>
      </c>
      <c r="L800" s="33">
        <v>0</v>
      </c>
      <c r="M800">
        <v>21</v>
      </c>
      <c r="N800">
        <v>0</v>
      </c>
      <c r="O800">
        <v>19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13</v>
      </c>
      <c r="AK800">
        <v>11</v>
      </c>
      <c r="AL800">
        <v>1</v>
      </c>
      <c r="AM800">
        <v>7</v>
      </c>
      <c r="AN800" s="22">
        <v>0</v>
      </c>
      <c r="AO800" s="22">
        <v>0</v>
      </c>
      <c r="AP800" s="22">
        <v>0</v>
      </c>
      <c r="AQ800" s="22">
        <v>0</v>
      </c>
      <c r="AR800" s="35">
        <v>0</v>
      </c>
      <c r="AS800" s="35">
        <v>0</v>
      </c>
      <c r="AT800" s="35">
        <v>21</v>
      </c>
      <c r="AU800" s="31" t="str">
        <f t="shared" si="16"/>
        <v>库存为21</v>
      </c>
      <c r="AV800" s="36" t="str">
        <f>IFERROR(时间!$B$4+AU800,"上周无销量")</f>
        <v>上周无销量</v>
      </c>
    </row>
    <row r="801" spans="1:48">
      <c r="A801" s="20" t="s">
        <v>1808</v>
      </c>
      <c r="B801" t="s">
        <v>1809</v>
      </c>
      <c r="C801" t="s">
        <v>1759</v>
      </c>
      <c r="D801" s="31">
        <v>0</v>
      </c>
      <c r="E801" s="31">
        <v>0</v>
      </c>
      <c r="F801" s="31">
        <v>1</v>
      </c>
      <c r="G801" s="31">
        <v>0</v>
      </c>
      <c r="H801" s="32">
        <v>12.99</v>
      </c>
      <c r="I801">
        <v>7</v>
      </c>
      <c r="J801" s="33">
        <v>0</v>
      </c>
      <c r="K801" s="33">
        <v>0</v>
      </c>
      <c r="L801" s="33">
        <v>0</v>
      </c>
      <c r="M801">
        <v>7</v>
      </c>
      <c r="N801">
        <v>0</v>
      </c>
      <c r="O801">
        <v>7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25</v>
      </c>
      <c r="AK801">
        <v>20</v>
      </c>
      <c r="AL801">
        <v>10</v>
      </c>
      <c r="AM801">
        <v>6</v>
      </c>
      <c r="AN801" s="22">
        <v>0</v>
      </c>
      <c r="AO801" s="22">
        <v>0</v>
      </c>
      <c r="AP801" s="22">
        <v>0.1</v>
      </c>
      <c r="AQ801" s="22">
        <v>0</v>
      </c>
      <c r="AR801" s="35">
        <v>0</v>
      </c>
      <c r="AS801" s="35">
        <v>0</v>
      </c>
      <c r="AT801" s="35">
        <v>7</v>
      </c>
      <c r="AU801" s="31" t="str">
        <f t="shared" si="16"/>
        <v>库存为7</v>
      </c>
      <c r="AV801" s="36" t="str">
        <f>IFERROR(时间!$B$4+AU801,"上周无销量")</f>
        <v>上周无销量</v>
      </c>
    </row>
    <row r="802" spans="1:48">
      <c r="A802" s="20" t="s">
        <v>1810</v>
      </c>
      <c r="B802" t="s">
        <v>1811</v>
      </c>
      <c r="C802" t="s">
        <v>1759</v>
      </c>
      <c r="D802" s="31">
        <v>2</v>
      </c>
      <c r="E802" s="31">
        <v>3</v>
      </c>
      <c r="F802" s="31">
        <v>0</v>
      </c>
      <c r="G802" s="31">
        <v>5</v>
      </c>
      <c r="H802" s="32">
        <v>16.191</v>
      </c>
      <c r="I802">
        <v>14</v>
      </c>
      <c r="J802" s="33">
        <v>0</v>
      </c>
      <c r="K802" s="33">
        <v>0</v>
      </c>
      <c r="L802" s="33">
        <v>0</v>
      </c>
      <c r="M802">
        <v>14</v>
      </c>
      <c r="N802">
        <v>1</v>
      </c>
      <c r="O802">
        <v>0</v>
      </c>
      <c r="P802">
        <v>628</v>
      </c>
      <c r="Q802">
        <v>597</v>
      </c>
      <c r="R802">
        <v>803</v>
      </c>
      <c r="S802">
        <v>1241</v>
      </c>
      <c r="T802">
        <v>7</v>
      </c>
      <c r="U802">
        <v>6</v>
      </c>
      <c r="V802">
        <v>4</v>
      </c>
      <c r="W802">
        <v>10</v>
      </c>
      <c r="X802" s="22">
        <v>0.0111464968152866</v>
      </c>
      <c r="Y802" s="22">
        <v>0.0100502512562814</v>
      </c>
      <c r="Z802" s="22">
        <v>0.0049813200498132</v>
      </c>
      <c r="AA802" s="22">
        <v>0.008058017727639</v>
      </c>
      <c r="AB802">
        <v>1.36</v>
      </c>
      <c r="AC802">
        <v>0.98</v>
      </c>
      <c r="AD802">
        <v>0.81</v>
      </c>
      <c r="AE802">
        <v>1.28</v>
      </c>
      <c r="AF802" s="22">
        <v>0.0419986412204311</v>
      </c>
      <c r="AG802" s="22">
        <v>0.0201758178411875</v>
      </c>
      <c r="AH802" s="22" t="s">
        <v>1812</v>
      </c>
      <c r="AI802" s="22">
        <v>0.0158112531653388</v>
      </c>
      <c r="AJ802">
        <v>79</v>
      </c>
      <c r="AK802">
        <v>65</v>
      </c>
      <c r="AL802">
        <v>32</v>
      </c>
      <c r="AM802">
        <v>38</v>
      </c>
      <c r="AN802" s="22">
        <v>0.0253164556962025</v>
      </c>
      <c r="AO802" s="22">
        <v>0.0461538461538462</v>
      </c>
      <c r="AP802" s="22">
        <v>0</v>
      </c>
      <c r="AQ802" s="22">
        <v>0.131578947368421</v>
      </c>
      <c r="AR802" s="35">
        <v>0.285714285714286</v>
      </c>
      <c r="AS802" s="35">
        <v>17.1428571428571</v>
      </c>
      <c r="AT802" s="35">
        <v>-3.14285714285714</v>
      </c>
      <c r="AU802" s="31">
        <f t="shared" si="16"/>
        <v>49</v>
      </c>
      <c r="AV802" s="36">
        <f>IFERROR(时间!$B$4+AU802,"上周无销量")</f>
        <v>43381</v>
      </c>
    </row>
    <row r="803" spans="1:48">
      <c r="A803" s="20" t="s">
        <v>1813</v>
      </c>
      <c r="B803" t="s">
        <v>1814</v>
      </c>
      <c r="C803" t="s">
        <v>1759</v>
      </c>
      <c r="D803" s="31">
        <v>1</v>
      </c>
      <c r="E803" s="31">
        <v>1</v>
      </c>
      <c r="F803" s="31">
        <v>3</v>
      </c>
      <c r="G803" s="31">
        <v>0</v>
      </c>
      <c r="H803" s="32">
        <v>19.99</v>
      </c>
      <c r="I803">
        <v>19</v>
      </c>
      <c r="J803" s="33">
        <v>0</v>
      </c>
      <c r="K803" s="33">
        <v>0</v>
      </c>
      <c r="L803" s="33">
        <v>0</v>
      </c>
      <c r="M803">
        <v>19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77</v>
      </c>
      <c r="AK803">
        <v>31</v>
      </c>
      <c r="AL803">
        <v>30</v>
      </c>
      <c r="AM803">
        <v>32</v>
      </c>
      <c r="AN803" s="22">
        <v>0.012987012987013</v>
      </c>
      <c r="AO803" s="22">
        <v>0.032258064516129</v>
      </c>
      <c r="AP803" s="22">
        <v>0.1</v>
      </c>
      <c r="AQ803" s="22">
        <v>0</v>
      </c>
      <c r="AR803" s="35">
        <v>0.142857142857143</v>
      </c>
      <c r="AS803" s="35">
        <v>8.57142857142857</v>
      </c>
      <c r="AT803" s="35">
        <v>10.4285714285714</v>
      </c>
      <c r="AU803" s="31">
        <f t="shared" si="16"/>
        <v>133</v>
      </c>
      <c r="AV803" s="36">
        <f>IFERROR(时间!$B$4+AU803,"上周无销量")</f>
        <v>43465</v>
      </c>
    </row>
    <row r="804" spans="1:48">
      <c r="A804" s="20" t="s">
        <v>1815</v>
      </c>
      <c r="B804" t="s">
        <v>1816</v>
      </c>
      <c r="C804" t="s">
        <v>1759</v>
      </c>
      <c r="D804" s="31">
        <v>1</v>
      </c>
      <c r="E804" s="31">
        <v>1</v>
      </c>
      <c r="F804" s="31">
        <v>0</v>
      </c>
      <c r="G804" s="31">
        <v>2</v>
      </c>
      <c r="H804" s="32">
        <v>21.99</v>
      </c>
      <c r="I804">
        <v>3</v>
      </c>
      <c r="J804" s="33">
        <v>0</v>
      </c>
      <c r="K804" s="33">
        <v>0</v>
      </c>
      <c r="L804" s="33">
        <v>0</v>
      </c>
      <c r="M804">
        <v>3</v>
      </c>
      <c r="N804">
        <v>0</v>
      </c>
      <c r="O804">
        <v>4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39</v>
      </c>
      <c r="AK804">
        <v>19</v>
      </c>
      <c r="AL804">
        <v>13</v>
      </c>
      <c r="AM804">
        <v>9</v>
      </c>
      <c r="AN804" s="22">
        <v>0.0256410256410256</v>
      </c>
      <c r="AO804" s="22">
        <v>0.0526315789473684</v>
      </c>
      <c r="AP804" s="22">
        <v>0</v>
      </c>
      <c r="AQ804" s="22">
        <v>0.222222222222222</v>
      </c>
      <c r="AR804" s="35">
        <v>0.142857142857143</v>
      </c>
      <c r="AS804" s="35">
        <v>8.57142857142857</v>
      </c>
      <c r="AT804" s="35">
        <v>-5.57142857142857</v>
      </c>
      <c r="AU804" s="31">
        <f t="shared" si="16"/>
        <v>21</v>
      </c>
      <c r="AV804" s="36">
        <f>IFERROR(时间!$B$4+AU804,"上周无销量")</f>
        <v>43353</v>
      </c>
    </row>
    <row r="805" spans="1:48">
      <c r="A805" s="20" t="s">
        <v>1817</v>
      </c>
      <c r="B805" t="s">
        <v>1818</v>
      </c>
      <c r="C805" t="s">
        <v>1759</v>
      </c>
      <c r="D805" s="31">
        <v>1</v>
      </c>
      <c r="E805" s="31">
        <v>7</v>
      </c>
      <c r="F805" s="31">
        <v>2</v>
      </c>
      <c r="G805" s="31">
        <v>2</v>
      </c>
      <c r="H805" s="32">
        <v>22.99</v>
      </c>
      <c r="I805">
        <v>28</v>
      </c>
      <c r="J805" s="33">
        <v>0</v>
      </c>
      <c r="K805" s="33">
        <v>0</v>
      </c>
      <c r="L805" s="33">
        <v>0</v>
      </c>
      <c r="M805">
        <v>28</v>
      </c>
      <c r="N805">
        <v>0</v>
      </c>
      <c r="O805">
        <v>0</v>
      </c>
      <c r="P805">
        <v>3865</v>
      </c>
      <c r="Q805">
        <v>3238</v>
      </c>
      <c r="R805">
        <v>1275</v>
      </c>
      <c r="S805">
        <v>770</v>
      </c>
      <c r="T805">
        <v>43</v>
      </c>
      <c r="U805">
        <v>35</v>
      </c>
      <c r="V805">
        <v>18</v>
      </c>
      <c r="W805">
        <v>10</v>
      </c>
      <c r="X805" s="22">
        <v>0.0111254851228978</v>
      </c>
      <c r="Y805" s="22">
        <v>0.0108091414453366</v>
      </c>
      <c r="Z805" s="22">
        <v>0.0141176470588235</v>
      </c>
      <c r="AA805" s="22">
        <v>0.012987012987013</v>
      </c>
      <c r="AB805">
        <v>18.04</v>
      </c>
      <c r="AC805">
        <v>12.58</v>
      </c>
      <c r="AD805">
        <v>4.73</v>
      </c>
      <c r="AE805">
        <v>1.64</v>
      </c>
      <c r="AF805" s="22">
        <v>0.784688995215311</v>
      </c>
      <c r="AG805" s="22">
        <v>0.0781706331945567</v>
      </c>
      <c r="AH805" s="22">
        <v>0.102870813397129</v>
      </c>
      <c r="AI805" s="22">
        <v>0.035667681600696</v>
      </c>
      <c r="AJ805">
        <v>159</v>
      </c>
      <c r="AK805">
        <v>111</v>
      </c>
      <c r="AL805">
        <v>41</v>
      </c>
      <c r="AM805">
        <v>47</v>
      </c>
      <c r="AN805" s="22">
        <v>0.00628930817610063</v>
      </c>
      <c r="AO805" s="22">
        <v>0.0630630630630631</v>
      </c>
      <c r="AP805" s="22">
        <v>0.0487804878048781</v>
      </c>
      <c r="AQ805" s="22">
        <v>0.0425531914893617</v>
      </c>
      <c r="AR805" s="35">
        <v>0.142857142857143</v>
      </c>
      <c r="AS805" s="35">
        <v>8.57142857142857</v>
      </c>
      <c r="AT805" s="35">
        <v>19.4285714285714</v>
      </c>
      <c r="AU805" s="31">
        <f t="shared" si="16"/>
        <v>196</v>
      </c>
      <c r="AV805" s="36">
        <f>IFERROR(时间!$B$4+AU805,"上周无销量")</f>
        <v>43528</v>
      </c>
    </row>
    <row r="806" spans="1:48">
      <c r="A806" s="20" t="s">
        <v>1819</v>
      </c>
      <c r="B806" t="s">
        <v>1820</v>
      </c>
      <c r="C806" t="s">
        <v>1759</v>
      </c>
      <c r="D806" s="31">
        <v>0</v>
      </c>
      <c r="E806" s="31">
        <v>4</v>
      </c>
      <c r="F806" s="31">
        <v>3</v>
      </c>
      <c r="G806" s="31">
        <v>2</v>
      </c>
      <c r="H806" s="32">
        <v>25.99</v>
      </c>
      <c r="I806">
        <v>8</v>
      </c>
      <c r="J806" s="33">
        <v>0</v>
      </c>
      <c r="K806" s="33">
        <v>0</v>
      </c>
      <c r="L806" s="33">
        <v>0</v>
      </c>
      <c r="M806">
        <v>8</v>
      </c>
      <c r="N806">
        <v>0</v>
      </c>
      <c r="O806">
        <v>0</v>
      </c>
      <c r="P806">
        <v>2700</v>
      </c>
      <c r="Q806">
        <v>4716</v>
      </c>
      <c r="R806">
        <v>1633</v>
      </c>
      <c r="S806">
        <v>764</v>
      </c>
      <c r="T806">
        <v>19</v>
      </c>
      <c r="U806">
        <v>58</v>
      </c>
      <c r="V806">
        <v>25</v>
      </c>
      <c r="W806">
        <v>7</v>
      </c>
      <c r="X806" s="22">
        <v>0.00703703703703704</v>
      </c>
      <c r="Y806" s="22">
        <v>0.0122985581000848</v>
      </c>
      <c r="Z806" s="22">
        <v>0.0153092467850582</v>
      </c>
      <c r="AA806" s="22">
        <v>0.00916230366492147</v>
      </c>
      <c r="AB806">
        <v>8.34</v>
      </c>
      <c r="AC806">
        <v>24.7</v>
      </c>
      <c r="AD806">
        <v>7.96</v>
      </c>
      <c r="AE806">
        <v>1.33</v>
      </c>
      <c r="AF806" s="22" t="s">
        <v>1821</v>
      </c>
      <c r="AG806" s="22">
        <v>0.2375913813005</v>
      </c>
      <c r="AH806" s="22">
        <v>0.102090547646531</v>
      </c>
      <c r="AI806" s="22">
        <v>0.0255867641400539</v>
      </c>
      <c r="AJ806">
        <v>65</v>
      </c>
      <c r="AK806">
        <v>92</v>
      </c>
      <c r="AL806">
        <v>47</v>
      </c>
      <c r="AM806">
        <v>42</v>
      </c>
      <c r="AN806" s="22">
        <v>0</v>
      </c>
      <c r="AO806" s="22">
        <v>0.0434782608695652</v>
      </c>
      <c r="AP806" s="22">
        <v>0.0638297872340425</v>
      </c>
      <c r="AQ806" s="22">
        <v>0.0476190476190476</v>
      </c>
      <c r="AR806" s="35">
        <v>0</v>
      </c>
      <c r="AS806" s="35">
        <v>0</v>
      </c>
      <c r="AT806" s="35">
        <v>8</v>
      </c>
      <c r="AU806" s="31" t="str">
        <f t="shared" si="16"/>
        <v>库存为8</v>
      </c>
      <c r="AV806" s="36" t="str">
        <f>IFERROR(时间!$B$4+AU806,"上周无销量")</f>
        <v>上周无销量</v>
      </c>
    </row>
    <row r="807" spans="1:48">
      <c r="A807" s="20" t="s">
        <v>1822</v>
      </c>
      <c r="B807" t="s">
        <v>1823</v>
      </c>
      <c r="C807" t="s">
        <v>1759</v>
      </c>
      <c r="D807" s="31">
        <v>1</v>
      </c>
      <c r="E807" s="31">
        <v>3</v>
      </c>
      <c r="F807" s="31">
        <v>1</v>
      </c>
      <c r="G807" s="31">
        <v>1</v>
      </c>
      <c r="H807" s="32">
        <v>27.99</v>
      </c>
      <c r="I807">
        <v>15</v>
      </c>
      <c r="J807" s="33">
        <v>0</v>
      </c>
      <c r="K807" s="33">
        <v>0</v>
      </c>
      <c r="L807" s="33">
        <v>0</v>
      </c>
      <c r="M807">
        <v>15</v>
      </c>
      <c r="N807">
        <v>0</v>
      </c>
      <c r="O807">
        <v>0</v>
      </c>
      <c r="P807">
        <v>1167</v>
      </c>
      <c r="Q807">
        <v>634</v>
      </c>
      <c r="R807">
        <v>488</v>
      </c>
      <c r="S807">
        <v>534</v>
      </c>
      <c r="T807">
        <v>5</v>
      </c>
      <c r="U807">
        <v>9</v>
      </c>
      <c r="V807">
        <v>5</v>
      </c>
      <c r="W807">
        <v>8</v>
      </c>
      <c r="X807" s="22">
        <v>0.00428449014567267</v>
      </c>
      <c r="Y807" s="22">
        <v>0.0141955835962145</v>
      </c>
      <c r="Z807" s="22">
        <v>0.0102459016393443</v>
      </c>
      <c r="AA807" s="22">
        <v>0.0149812734082397</v>
      </c>
      <c r="AB807">
        <v>0.93</v>
      </c>
      <c r="AC807">
        <v>0.75</v>
      </c>
      <c r="AD807">
        <v>0.79</v>
      </c>
      <c r="AE807">
        <v>1.02</v>
      </c>
      <c r="AF807" s="22">
        <v>0.0332261521972133</v>
      </c>
      <c r="AG807" s="22">
        <v>0.00893176134333691</v>
      </c>
      <c r="AH807" s="22">
        <v>0.0282243658449446</v>
      </c>
      <c r="AI807" s="22">
        <v>0.0364415862808146</v>
      </c>
      <c r="AJ807">
        <v>50</v>
      </c>
      <c r="AK807">
        <v>32</v>
      </c>
      <c r="AL807">
        <v>26</v>
      </c>
      <c r="AM807">
        <v>18</v>
      </c>
      <c r="AN807" s="22">
        <v>0.02</v>
      </c>
      <c r="AO807" s="22">
        <v>0.09375</v>
      </c>
      <c r="AP807" s="22">
        <v>0.0384615384615385</v>
      </c>
      <c r="AQ807" s="22">
        <v>0.0555555555555556</v>
      </c>
      <c r="AR807" s="35">
        <v>0.142857142857143</v>
      </c>
      <c r="AS807" s="35">
        <v>8.57142857142857</v>
      </c>
      <c r="AT807" s="35">
        <v>6.42857142857143</v>
      </c>
      <c r="AU807" s="31">
        <f t="shared" si="16"/>
        <v>105</v>
      </c>
      <c r="AV807" s="36">
        <f>IFERROR(时间!$B$4+AU807,"上周无销量")</f>
        <v>43437</v>
      </c>
    </row>
    <row r="808" spans="1:48">
      <c r="A808" s="20" t="s">
        <v>1824</v>
      </c>
      <c r="B808" t="s">
        <v>1825</v>
      </c>
      <c r="C808" t="s">
        <v>1759</v>
      </c>
      <c r="D808" s="31">
        <v>2</v>
      </c>
      <c r="E808" s="31">
        <v>6</v>
      </c>
      <c r="F808" s="31">
        <v>0</v>
      </c>
      <c r="G808" s="31">
        <v>3</v>
      </c>
      <c r="H808" s="32">
        <v>29.99</v>
      </c>
      <c r="I808">
        <v>15</v>
      </c>
      <c r="J808" s="33">
        <v>0</v>
      </c>
      <c r="K808" s="33">
        <v>0</v>
      </c>
      <c r="L808" s="33">
        <v>3</v>
      </c>
      <c r="M808">
        <v>18</v>
      </c>
      <c r="N808">
        <v>0</v>
      </c>
      <c r="O808">
        <v>0</v>
      </c>
      <c r="P808">
        <v>221</v>
      </c>
      <c r="Q808">
        <v>164</v>
      </c>
      <c r="R808">
        <v>98</v>
      </c>
      <c r="S808">
        <v>185</v>
      </c>
      <c r="T808">
        <v>2</v>
      </c>
      <c r="U808">
        <v>5</v>
      </c>
      <c r="V808">
        <v>2</v>
      </c>
      <c r="W808">
        <v>2</v>
      </c>
      <c r="X808" s="22">
        <v>0.00904977375565611</v>
      </c>
      <c r="Y808" s="22">
        <v>0.0304878048780488</v>
      </c>
      <c r="Z808" s="22">
        <v>0.0204081632653061</v>
      </c>
      <c r="AA808" s="22">
        <v>0.0108108108108108</v>
      </c>
      <c r="AB808">
        <v>0.21</v>
      </c>
      <c r="AC808">
        <v>0.47</v>
      </c>
      <c r="AD808">
        <v>0.19</v>
      </c>
      <c r="AE808">
        <v>0.33</v>
      </c>
      <c r="AF808" s="22">
        <v>0.00350116705568523</v>
      </c>
      <c r="AG808" s="22">
        <v>0.00261198177170168</v>
      </c>
      <c r="AH808" s="22" t="s">
        <v>1826</v>
      </c>
      <c r="AI808" s="22">
        <v>0.00366788929643214</v>
      </c>
      <c r="AJ808">
        <v>78</v>
      </c>
      <c r="AK808">
        <v>65</v>
      </c>
      <c r="AL808">
        <v>37</v>
      </c>
      <c r="AM808">
        <v>30</v>
      </c>
      <c r="AN808" s="22">
        <v>0.0256410256410256</v>
      </c>
      <c r="AO808" s="22">
        <v>0.0923076923076923</v>
      </c>
      <c r="AP808" s="22">
        <v>0</v>
      </c>
      <c r="AQ808" s="22">
        <v>0.1</v>
      </c>
      <c r="AR808" s="35">
        <v>0.285714285714286</v>
      </c>
      <c r="AS808" s="35">
        <v>17.1428571428571</v>
      </c>
      <c r="AT808" s="35">
        <v>0.857142857142858</v>
      </c>
      <c r="AU808" s="31">
        <f t="shared" si="16"/>
        <v>63</v>
      </c>
      <c r="AV808" s="36">
        <f>IFERROR(时间!$B$4+AU808,"上周无销量")</f>
        <v>43395</v>
      </c>
    </row>
    <row r="809" spans="1:48">
      <c r="A809" s="20" t="s">
        <v>1827</v>
      </c>
      <c r="B809" t="s">
        <v>1828</v>
      </c>
      <c r="C809" t="s">
        <v>1759</v>
      </c>
      <c r="D809" s="31">
        <v>2</v>
      </c>
      <c r="E809" s="31">
        <v>0</v>
      </c>
      <c r="F809" s="31">
        <v>0</v>
      </c>
      <c r="G809" s="31">
        <v>1</v>
      </c>
      <c r="H809" s="32">
        <v>8.99</v>
      </c>
      <c r="I809">
        <v>44</v>
      </c>
      <c r="J809" s="33">
        <v>0</v>
      </c>
      <c r="K809" s="33">
        <v>0</v>
      </c>
      <c r="L809" s="33">
        <v>0</v>
      </c>
      <c r="M809">
        <v>44</v>
      </c>
      <c r="N809">
        <v>0</v>
      </c>
      <c r="O809">
        <v>43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122</v>
      </c>
      <c r="AK809">
        <v>81</v>
      </c>
      <c r="AL809">
        <v>64</v>
      </c>
      <c r="AM809">
        <v>48</v>
      </c>
      <c r="AN809" s="22">
        <v>0.0163934426229508</v>
      </c>
      <c r="AO809" s="22">
        <v>0</v>
      </c>
      <c r="AP809" s="22">
        <v>0</v>
      </c>
      <c r="AQ809" s="22">
        <v>0.0208333333333333</v>
      </c>
      <c r="AR809" s="35">
        <v>0.285714285714286</v>
      </c>
      <c r="AS809" s="35">
        <v>17.1428571428571</v>
      </c>
      <c r="AT809" s="35">
        <v>26.8571428571429</v>
      </c>
      <c r="AU809" s="31">
        <f t="shared" si="16"/>
        <v>154</v>
      </c>
      <c r="AV809" s="36">
        <f>IFERROR(时间!$B$4+AU809,"上周无销量")</f>
        <v>43486</v>
      </c>
    </row>
    <row r="810" spans="1:48">
      <c r="A810" s="20" t="s">
        <v>1829</v>
      </c>
      <c r="B810" t="s">
        <v>1830</v>
      </c>
      <c r="C810" t="s">
        <v>1759</v>
      </c>
      <c r="D810" s="31">
        <v>3</v>
      </c>
      <c r="E810" s="31">
        <v>1</v>
      </c>
      <c r="F810" s="31">
        <v>6</v>
      </c>
      <c r="G810" s="31">
        <v>2</v>
      </c>
      <c r="H810" s="32">
        <v>12.99</v>
      </c>
      <c r="I810">
        <v>1</v>
      </c>
      <c r="J810" s="33">
        <v>0</v>
      </c>
      <c r="K810" s="33">
        <v>0</v>
      </c>
      <c r="L810" s="33">
        <v>0</v>
      </c>
      <c r="M810">
        <v>1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354</v>
      </c>
      <c r="AK810">
        <v>220</v>
      </c>
      <c r="AL810">
        <v>111</v>
      </c>
      <c r="AM810">
        <v>92</v>
      </c>
      <c r="AN810" s="22">
        <v>0.00847457627118644</v>
      </c>
      <c r="AO810" s="22">
        <v>0.00454545454545455</v>
      </c>
      <c r="AP810" s="22">
        <v>0.0540540540540541</v>
      </c>
      <c r="AQ810" s="22">
        <v>0.0217391304347826</v>
      </c>
      <c r="AR810" s="35">
        <v>0.428571428571429</v>
      </c>
      <c r="AS810" s="35">
        <v>25.7142857142857</v>
      </c>
      <c r="AT810" s="35">
        <v>-24.7142857142857</v>
      </c>
      <c r="AU810" s="31">
        <f t="shared" si="16"/>
        <v>2</v>
      </c>
      <c r="AV810" s="36">
        <f>IFERROR(时间!$B$4+AU810,"上周无销量")</f>
        <v>43334</v>
      </c>
    </row>
    <row r="811" spans="1:48">
      <c r="A811" s="20" t="s">
        <v>1831</v>
      </c>
      <c r="B811" t="s">
        <v>1832</v>
      </c>
      <c r="C811" t="s">
        <v>1759</v>
      </c>
      <c r="D811" s="31">
        <v>0</v>
      </c>
      <c r="E811" s="31">
        <v>1</v>
      </c>
      <c r="F811" s="31">
        <v>0</v>
      </c>
      <c r="G811" s="31">
        <v>0</v>
      </c>
      <c r="H811" s="32">
        <v>16.99</v>
      </c>
      <c r="I811">
        <v>10</v>
      </c>
      <c r="J811" s="33">
        <v>0</v>
      </c>
      <c r="K811" s="33">
        <v>0</v>
      </c>
      <c r="L811" s="33">
        <v>0</v>
      </c>
      <c r="M811">
        <v>10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20</v>
      </c>
      <c r="AK811">
        <v>15</v>
      </c>
      <c r="AL811">
        <v>10</v>
      </c>
      <c r="AM811">
        <v>13</v>
      </c>
      <c r="AN811" s="22">
        <v>0</v>
      </c>
      <c r="AO811" s="22">
        <v>0.0666666666666667</v>
      </c>
      <c r="AP811" s="22">
        <v>0</v>
      </c>
      <c r="AQ811" s="22">
        <v>0</v>
      </c>
      <c r="AR811" s="35">
        <v>0</v>
      </c>
      <c r="AS811" s="35">
        <v>0</v>
      </c>
      <c r="AT811" s="35">
        <v>10</v>
      </c>
      <c r="AU811" s="31" t="str">
        <f t="shared" si="16"/>
        <v>库存为10</v>
      </c>
      <c r="AV811" s="36" t="str">
        <f>IFERROR(时间!$B$4+AU811,"上周无销量")</f>
        <v>上周无销量</v>
      </c>
    </row>
    <row r="812" spans="1:48">
      <c r="A812" s="20" t="s">
        <v>1833</v>
      </c>
      <c r="B812" t="s">
        <v>1834</v>
      </c>
      <c r="C812" t="s">
        <v>1759</v>
      </c>
      <c r="D812" s="31">
        <v>0</v>
      </c>
      <c r="E812" s="31">
        <v>1</v>
      </c>
      <c r="F812" s="31">
        <v>1</v>
      </c>
      <c r="G812" s="31">
        <v>1</v>
      </c>
      <c r="H812" s="32">
        <v>20.99</v>
      </c>
      <c r="I812">
        <v>22</v>
      </c>
      <c r="J812" s="33">
        <v>0</v>
      </c>
      <c r="K812" s="33">
        <v>0</v>
      </c>
      <c r="L812" s="33">
        <v>0</v>
      </c>
      <c r="M812">
        <v>22</v>
      </c>
      <c r="N812">
        <v>0</v>
      </c>
      <c r="O812">
        <v>2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29</v>
      </c>
      <c r="AK812">
        <v>13</v>
      </c>
      <c r="AL812">
        <v>12</v>
      </c>
      <c r="AM812">
        <v>11</v>
      </c>
      <c r="AN812" s="22">
        <v>0</v>
      </c>
      <c r="AO812" s="22">
        <v>0.0769230769230769</v>
      </c>
      <c r="AP812" s="22">
        <v>0.0833333333333333</v>
      </c>
      <c r="AQ812" s="22">
        <v>0.0909090909090909</v>
      </c>
      <c r="AR812" s="35">
        <v>0</v>
      </c>
      <c r="AS812" s="35">
        <v>0</v>
      </c>
      <c r="AT812" s="35">
        <v>22</v>
      </c>
      <c r="AU812" s="31" t="str">
        <f t="shared" si="16"/>
        <v>库存为22</v>
      </c>
      <c r="AV812" s="36" t="str">
        <f>IFERROR(时间!$B$4+AU812,"上周无销量")</f>
        <v>上周无销量</v>
      </c>
    </row>
    <row r="813" spans="1:48">
      <c r="A813" s="20" t="s">
        <v>1835</v>
      </c>
      <c r="B813" t="s">
        <v>1836</v>
      </c>
      <c r="C813" t="s">
        <v>1759</v>
      </c>
      <c r="D813" s="31">
        <v>1</v>
      </c>
      <c r="E813" s="31">
        <v>0</v>
      </c>
      <c r="F813" s="31">
        <v>1</v>
      </c>
      <c r="G813" s="31">
        <v>0</v>
      </c>
      <c r="H813" s="32">
        <v>26.99</v>
      </c>
      <c r="I813">
        <v>4</v>
      </c>
      <c r="J813" s="33">
        <v>0</v>
      </c>
      <c r="K813" s="33">
        <v>0</v>
      </c>
      <c r="L813" s="33">
        <v>0</v>
      </c>
      <c r="M813">
        <v>4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22</v>
      </c>
      <c r="AK813">
        <v>15</v>
      </c>
      <c r="AL813">
        <v>11</v>
      </c>
      <c r="AM813">
        <v>8</v>
      </c>
      <c r="AN813" s="22">
        <v>0.0454545454545455</v>
      </c>
      <c r="AO813" s="22">
        <v>0</v>
      </c>
      <c r="AP813" s="22">
        <v>0.0909090909090909</v>
      </c>
      <c r="AQ813" s="22">
        <v>0</v>
      </c>
      <c r="AR813" s="35">
        <v>0.142857142857143</v>
      </c>
      <c r="AS813" s="35">
        <v>8.57142857142857</v>
      </c>
      <c r="AT813" s="35">
        <v>-4.57142857142857</v>
      </c>
      <c r="AU813" s="31">
        <f t="shared" si="16"/>
        <v>28</v>
      </c>
      <c r="AV813" s="36">
        <f>IFERROR(时间!$B$4+AU813,"上周无销量")</f>
        <v>43360</v>
      </c>
    </row>
    <row r="814" spans="1:48">
      <c r="A814" s="20" t="s">
        <v>1837</v>
      </c>
      <c r="B814" t="s">
        <v>1838</v>
      </c>
      <c r="C814" t="s">
        <v>1759</v>
      </c>
      <c r="D814" s="31">
        <v>0</v>
      </c>
      <c r="E814" s="31">
        <v>1</v>
      </c>
      <c r="F814" s="31">
        <v>0</v>
      </c>
      <c r="G814" s="31">
        <v>0</v>
      </c>
      <c r="H814" s="32">
        <v>30.99</v>
      </c>
      <c r="I814">
        <v>9</v>
      </c>
      <c r="J814" s="33">
        <v>0</v>
      </c>
      <c r="K814" s="33">
        <v>0</v>
      </c>
      <c r="L814" s="33">
        <v>0</v>
      </c>
      <c r="M814">
        <v>9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13</v>
      </c>
      <c r="AK814">
        <v>13</v>
      </c>
      <c r="AL814">
        <v>14</v>
      </c>
      <c r="AM814">
        <v>6</v>
      </c>
      <c r="AN814" s="22">
        <v>0</v>
      </c>
      <c r="AO814" s="22">
        <v>0.0769230769230769</v>
      </c>
      <c r="AP814" s="22">
        <v>0</v>
      </c>
      <c r="AQ814" s="22">
        <v>0</v>
      </c>
      <c r="AR814" s="35">
        <v>0</v>
      </c>
      <c r="AS814" s="35">
        <v>0</v>
      </c>
      <c r="AT814" s="35">
        <v>9</v>
      </c>
      <c r="AU814" s="31" t="str">
        <f t="shared" si="16"/>
        <v>库存为9</v>
      </c>
      <c r="AV814" s="36" t="str">
        <f>IFERROR(时间!$B$4+AU814,"上周无销量")</f>
        <v>上周无销量</v>
      </c>
    </row>
    <row r="815" spans="1:48">
      <c r="A815" s="20" t="s">
        <v>1839</v>
      </c>
      <c r="B815" t="s">
        <v>1840</v>
      </c>
      <c r="C815" t="s">
        <v>1759</v>
      </c>
      <c r="D815" s="31">
        <v>1</v>
      </c>
      <c r="E815" s="31">
        <v>0</v>
      </c>
      <c r="F815" s="31">
        <v>0</v>
      </c>
      <c r="G815" s="31">
        <v>0</v>
      </c>
      <c r="H815" s="32">
        <v>36.99</v>
      </c>
      <c r="I815">
        <v>7</v>
      </c>
      <c r="J815" s="33">
        <v>0</v>
      </c>
      <c r="K815" s="33">
        <v>0</v>
      </c>
      <c r="L815" s="33">
        <v>0</v>
      </c>
      <c r="M815">
        <v>7</v>
      </c>
      <c r="N815">
        <v>0</v>
      </c>
      <c r="O815">
        <v>1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18</v>
      </c>
      <c r="AK815">
        <v>5</v>
      </c>
      <c r="AL815">
        <v>5</v>
      </c>
      <c r="AM815">
        <v>4</v>
      </c>
      <c r="AN815" s="22">
        <v>0.0555555555555556</v>
      </c>
      <c r="AO815" s="22">
        <v>0</v>
      </c>
      <c r="AP815" s="22">
        <v>0</v>
      </c>
      <c r="AQ815" s="22">
        <v>0</v>
      </c>
      <c r="AR815" s="35">
        <v>0.142857142857143</v>
      </c>
      <c r="AS815" s="35">
        <v>8.57142857142857</v>
      </c>
      <c r="AT815" s="35">
        <v>-1.57142857142857</v>
      </c>
      <c r="AU815" s="31">
        <f t="shared" si="16"/>
        <v>49</v>
      </c>
      <c r="AV815" s="36">
        <f>IFERROR(时间!$B$4+AU815,"上周无销量")</f>
        <v>43381</v>
      </c>
    </row>
    <row r="816" spans="1:48">
      <c r="A816" s="20" t="s">
        <v>1841</v>
      </c>
      <c r="B816" t="s">
        <v>1842</v>
      </c>
      <c r="C816" t="s">
        <v>1759</v>
      </c>
      <c r="D816" s="31">
        <v>0</v>
      </c>
      <c r="E816" s="31">
        <v>1</v>
      </c>
      <c r="F816" s="31">
        <v>0</v>
      </c>
      <c r="G816" s="31">
        <v>0</v>
      </c>
      <c r="H816" s="32">
        <v>40.99</v>
      </c>
      <c r="I816">
        <v>12</v>
      </c>
      <c r="J816" s="33">
        <v>0</v>
      </c>
      <c r="K816" s="33">
        <v>0</v>
      </c>
      <c r="L816" s="33">
        <v>0</v>
      </c>
      <c r="M816">
        <v>12</v>
      </c>
      <c r="N816">
        <v>0</v>
      </c>
      <c r="O816">
        <v>7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6</v>
      </c>
      <c r="AK816">
        <v>5</v>
      </c>
      <c r="AL816">
        <v>6</v>
      </c>
      <c r="AM816">
        <v>7</v>
      </c>
      <c r="AN816" s="22">
        <v>0</v>
      </c>
      <c r="AO816" s="22">
        <v>0.2</v>
      </c>
      <c r="AP816" s="22">
        <v>0</v>
      </c>
      <c r="AQ816" s="22">
        <v>0</v>
      </c>
      <c r="AR816" s="35">
        <v>0</v>
      </c>
      <c r="AS816" s="35">
        <v>0</v>
      </c>
      <c r="AT816" s="35">
        <v>12</v>
      </c>
      <c r="AU816" s="31" t="str">
        <f t="shared" si="16"/>
        <v>库存为12</v>
      </c>
      <c r="AV816" s="36" t="str">
        <f>IFERROR(时间!$B$4+AU816,"上周无销量")</f>
        <v>上周无销量</v>
      </c>
    </row>
    <row r="817" spans="1:48">
      <c r="A817" s="20" t="s">
        <v>1843</v>
      </c>
      <c r="B817" t="s">
        <v>1844</v>
      </c>
      <c r="C817" t="s">
        <v>1759</v>
      </c>
      <c r="D817" s="31">
        <v>0</v>
      </c>
      <c r="E817" s="31">
        <v>1</v>
      </c>
      <c r="F817" s="31">
        <v>1</v>
      </c>
      <c r="G817" s="31">
        <v>0</v>
      </c>
      <c r="H817" s="32">
        <v>7.99</v>
      </c>
      <c r="I817">
        <v>1</v>
      </c>
      <c r="J817" s="33">
        <v>0</v>
      </c>
      <c r="K817" s="33">
        <v>0</v>
      </c>
      <c r="L817" s="33">
        <v>0</v>
      </c>
      <c r="M817">
        <v>1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19</v>
      </c>
      <c r="AK817">
        <v>8</v>
      </c>
      <c r="AL817">
        <v>10</v>
      </c>
      <c r="AM817">
        <v>8</v>
      </c>
      <c r="AN817" s="22">
        <v>0</v>
      </c>
      <c r="AO817" s="22">
        <v>0.125</v>
      </c>
      <c r="AP817" s="22">
        <v>0.1</v>
      </c>
      <c r="AQ817" s="22">
        <v>0</v>
      </c>
      <c r="AR817" s="35">
        <v>0</v>
      </c>
      <c r="AS817" s="35">
        <v>0</v>
      </c>
      <c r="AT817" s="35">
        <v>1</v>
      </c>
      <c r="AU817" s="31" t="str">
        <f t="shared" si="16"/>
        <v>库存为1</v>
      </c>
      <c r="AV817" s="36" t="str">
        <f>IFERROR(时间!$B$4+AU817,"上周无销量")</f>
        <v>上周无销量</v>
      </c>
    </row>
    <row r="818" spans="1:48">
      <c r="A818" s="20" t="s">
        <v>1845</v>
      </c>
      <c r="B818" t="s">
        <v>1846</v>
      </c>
      <c r="C818" t="s">
        <v>1759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4</v>
      </c>
      <c r="J818" s="33">
        <v>0</v>
      </c>
      <c r="K818" s="33">
        <v>0</v>
      </c>
      <c r="L818" s="33">
        <v>0</v>
      </c>
      <c r="M818">
        <v>4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44</v>
      </c>
      <c r="AK818">
        <v>21</v>
      </c>
      <c r="AL818">
        <v>12</v>
      </c>
      <c r="AM818">
        <v>9</v>
      </c>
      <c r="AN818" s="22">
        <v>0</v>
      </c>
      <c r="AO818" s="22">
        <v>0</v>
      </c>
      <c r="AP818" s="22">
        <v>0</v>
      </c>
      <c r="AQ818" s="22">
        <v>0</v>
      </c>
      <c r="AR818" s="35">
        <v>0</v>
      </c>
      <c r="AS818" s="35">
        <v>0</v>
      </c>
      <c r="AT818" s="35">
        <v>4</v>
      </c>
      <c r="AU818" s="31" t="str">
        <f t="shared" si="16"/>
        <v>库存为4</v>
      </c>
      <c r="AV818" s="36" t="str">
        <f>IFERROR(时间!$B$4+AU818,"上周无销量")</f>
        <v>上周无销量</v>
      </c>
    </row>
    <row r="819" spans="1:48">
      <c r="A819" s="20" t="s">
        <v>1847</v>
      </c>
      <c r="B819" t="s">
        <v>1848</v>
      </c>
      <c r="C819" t="s">
        <v>1849</v>
      </c>
      <c r="D819" s="31">
        <v>1</v>
      </c>
      <c r="E819" s="31">
        <v>1</v>
      </c>
      <c r="F819" s="31">
        <v>0</v>
      </c>
      <c r="G819" s="31">
        <v>0</v>
      </c>
      <c r="H819" s="32">
        <v>9.95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0</v>
      </c>
      <c r="AK819">
        <v>6</v>
      </c>
      <c r="AL819">
        <v>1</v>
      </c>
      <c r="AM819">
        <v>2</v>
      </c>
      <c r="AN819" s="22" t="s">
        <v>53</v>
      </c>
      <c r="AO819" s="22">
        <v>0.166666666666667</v>
      </c>
      <c r="AP819" s="22">
        <v>0</v>
      </c>
      <c r="AQ819" s="22">
        <v>0</v>
      </c>
      <c r="AR819" s="35">
        <v>0.142857142857143</v>
      </c>
      <c r="AS819" s="35">
        <v>8.57142857142857</v>
      </c>
      <c r="AT819" s="35">
        <v>-8.57142857142857</v>
      </c>
      <c r="AU819" s="31">
        <f t="shared" si="16"/>
        <v>0</v>
      </c>
      <c r="AV819" s="36">
        <f>IFERROR(时间!$B$4+AU819,"上周无销量")</f>
        <v>43332</v>
      </c>
    </row>
    <row r="820" spans="1:48">
      <c r="A820" s="20" t="s">
        <v>1850</v>
      </c>
      <c r="B820" t="s">
        <v>1851</v>
      </c>
      <c r="C820" t="s">
        <v>1849</v>
      </c>
      <c r="D820" s="31">
        <v>2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2</v>
      </c>
      <c r="AK820">
        <v>3</v>
      </c>
      <c r="AL820">
        <v>0</v>
      </c>
      <c r="AM820">
        <v>5</v>
      </c>
      <c r="AN820" s="22">
        <v>1</v>
      </c>
      <c r="AO820" s="22">
        <v>0</v>
      </c>
      <c r="AP820" s="22" t="s">
        <v>53</v>
      </c>
      <c r="AQ820" s="22">
        <v>0</v>
      </c>
      <c r="AR820" s="35">
        <v>0.285714285714286</v>
      </c>
      <c r="AS820" s="35">
        <v>17.1428571428571</v>
      </c>
      <c r="AT820" s="35">
        <v>-17.1428571428571</v>
      </c>
      <c r="AU820" s="31">
        <f t="shared" si="16"/>
        <v>0</v>
      </c>
      <c r="AV820" s="36">
        <f>IFERROR(时间!$B$4+AU820,"上周无销量")</f>
        <v>43332</v>
      </c>
    </row>
    <row r="821" spans="1:48">
      <c r="A821" s="20" t="s">
        <v>1852</v>
      </c>
      <c r="B821" t="s">
        <v>1853</v>
      </c>
      <c r="C821" t="s">
        <v>1849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7</v>
      </c>
      <c r="J821" s="33">
        <v>0</v>
      </c>
      <c r="K821" s="33">
        <v>0</v>
      </c>
      <c r="L821" s="33">
        <v>0</v>
      </c>
      <c r="M821">
        <v>7</v>
      </c>
      <c r="N821">
        <v>0</v>
      </c>
      <c r="O821">
        <v>7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</v>
      </c>
      <c r="AK821">
        <v>4</v>
      </c>
      <c r="AL821">
        <v>1</v>
      </c>
      <c r="AM821">
        <v>3</v>
      </c>
      <c r="AN821" s="22">
        <v>0</v>
      </c>
      <c r="AO821" s="22">
        <v>0</v>
      </c>
      <c r="AP821" s="22">
        <v>0</v>
      </c>
      <c r="AQ821" s="22">
        <v>0</v>
      </c>
      <c r="AR821" s="35">
        <v>0</v>
      </c>
      <c r="AS821" s="35">
        <v>0</v>
      </c>
      <c r="AT821" s="35">
        <v>7</v>
      </c>
      <c r="AU821" s="31" t="str">
        <f t="shared" si="16"/>
        <v>库存为7</v>
      </c>
      <c r="AV821" s="36" t="str">
        <f>IFERROR(时间!$B$4+AU821,"上周无销量")</f>
        <v>上周无销量</v>
      </c>
    </row>
    <row r="822" spans="1:48">
      <c r="A822" s="20" t="s">
        <v>1854</v>
      </c>
      <c r="B822" t="s">
        <v>1855</v>
      </c>
      <c r="C822" t="s">
        <v>1849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6</v>
      </c>
      <c r="J822" s="33">
        <v>0</v>
      </c>
      <c r="K822" s="33">
        <v>0</v>
      </c>
      <c r="L822" s="33">
        <v>0</v>
      </c>
      <c r="M822">
        <v>6</v>
      </c>
      <c r="N822">
        <v>0</v>
      </c>
      <c r="O822">
        <v>6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1</v>
      </c>
      <c r="AK822">
        <v>2</v>
      </c>
      <c r="AL822">
        <v>0</v>
      </c>
      <c r="AM822">
        <v>0</v>
      </c>
      <c r="AN822" s="22">
        <v>0</v>
      </c>
      <c r="AO822" s="22">
        <v>0</v>
      </c>
      <c r="AP822" s="22" t="s">
        <v>53</v>
      </c>
      <c r="AQ822" s="22" t="s">
        <v>53</v>
      </c>
      <c r="AR822" s="35">
        <v>0</v>
      </c>
      <c r="AS822" s="35">
        <v>0</v>
      </c>
      <c r="AT822" s="35">
        <v>6</v>
      </c>
      <c r="AU822" s="31" t="str">
        <f t="shared" si="16"/>
        <v>库存为6</v>
      </c>
      <c r="AV822" s="36" t="str">
        <f>IFERROR(时间!$B$4+AU822,"上周无销量")</f>
        <v>上周无销量</v>
      </c>
    </row>
    <row r="823" spans="1:48">
      <c r="A823" s="20" t="s">
        <v>1856</v>
      </c>
      <c r="B823" t="s">
        <v>1857</v>
      </c>
      <c r="C823" t="s">
        <v>1849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2</v>
      </c>
      <c r="J823" s="33">
        <v>0</v>
      </c>
      <c r="K823" s="33">
        <v>0</v>
      </c>
      <c r="L823" s="33">
        <v>0</v>
      </c>
      <c r="M823">
        <v>2</v>
      </c>
      <c r="N823">
        <v>0</v>
      </c>
      <c r="O823">
        <v>2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0</v>
      </c>
      <c r="AK823">
        <v>3</v>
      </c>
      <c r="AL823">
        <v>14</v>
      </c>
      <c r="AM823">
        <v>2</v>
      </c>
      <c r="AN823" s="22" t="s">
        <v>53</v>
      </c>
      <c r="AO823" s="22">
        <v>0</v>
      </c>
      <c r="AP823" s="22">
        <v>0</v>
      </c>
      <c r="AQ823" s="22">
        <v>0</v>
      </c>
      <c r="AR823" s="35">
        <v>0</v>
      </c>
      <c r="AS823" s="35">
        <v>0</v>
      </c>
      <c r="AT823" s="35">
        <v>2</v>
      </c>
      <c r="AU823" s="31" t="str">
        <f t="shared" si="16"/>
        <v>库存为2</v>
      </c>
      <c r="AV823" s="36" t="str">
        <f>IFERROR(时间!$B$4+AU823,"上周无销量")</f>
        <v>上周无销量</v>
      </c>
    </row>
    <row r="824" spans="1:48">
      <c r="A824" s="20" t="s">
        <v>1858</v>
      </c>
      <c r="B824" t="s">
        <v>1859</v>
      </c>
      <c r="C824" t="s">
        <v>1860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4</v>
      </c>
      <c r="J824" s="33">
        <v>0</v>
      </c>
      <c r="K824" s="33">
        <v>0</v>
      </c>
      <c r="L824" s="33">
        <v>0</v>
      </c>
      <c r="M824">
        <v>4</v>
      </c>
      <c r="N824">
        <v>0</v>
      </c>
      <c r="O824">
        <v>4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4</v>
      </c>
      <c r="AK824">
        <v>6</v>
      </c>
      <c r="AL824">
        <v>9</v>
      </c>
      <c r="AM824">
        <v>6</v>
      </c>
      <c r="AN824" s="22">
        <v>0</v>
      </c>
      <c r="AO824" s="22">
        <v>0</v>
      </c>
      <c r="AP824" s="22">
        <v>0</v>
      </c>
      <c r="AQ824" s="22">
        <v>0</v>
      </c>
      <c r="AR824" s="35">
        <v>0</v>
      </c>
      <c r="AS824" s="35">
        <v>0</v>
      </c>
      <c r="AT824" s="35">
        <v>4</v>
      </c>
      <c r="AU824" s="31" t="str">
        <f t="shared" si="16"/>
        <v>库存为4</v>
      </c>
      <c r="AV824" s="36" t="str">
        <f>IFERROR(时间!$B$4+AU824,"上周无销量")</f>
        <v>上周无销量</v>
      </c>
    </row>
    <row r="825" spans="1:48">
      <c r="A825" s="20" t="s">
        <v>1861</v>
      </c>
      <c r="B825" t="s">
        <v>1862</v>
      </c>
      <c r="C825" t="s">
        <v>1860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0</v>
      </c>
      <c r="AK825">
        <v>0</v>
      </c>
      <c r="AL825">
        <v>0</v>
      </c>
      <c r="AM825">
        <v>0</v>
      </c>
      <c r="AN825" s="22" t="s">
        <v>53</v>
      </c>
      <c r="AO825" s="22" t="s">
        <v>53</v>
      </c>
      <c r="AP825" s="22" t="s">
        <v>53</v>
      </c>
      <c r="AQ825" s="22" t="s">
        <v>53</v>
      </c>
      <c r="AR825" s="35">
        <v>0</v>
      </c>
      <c r="AS825" s="35">
        <v>0</v>
      </c>
      <c r="AT825" s="35">
        <v>0</v>
      </c>
      <c r="AU825" s="31" t="str">
        <f t="shared" si="16"/>
        <v>库存为0</v>
      </c>
      <c r="AV825" s="36" t="str">
        <f>IFERROR(时间!$B$4+AU825,"上周无销量")</f>
        <v>上周无销量</v>
      </c>
    </row>
    <row r="826" spans="1:48">
      <c r="A826" s="20" t="s">
        <v>1863</v>
      </c>
      <c r="B826" t="s">
        <v>1864</v>
      </c>
      <c r="C826" t="s">
        <v>1860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3</v>
      </c>
      <c r="J826" s="33">
        <v>0</v>
      </c>
      <c r="K826" s="33">
        <v>0</v>
      </c>
      <c r="L826" s="33">
        <v>0</v>
      </c>
      <c r="M826">
        <v>3</v>
      </c>
      <c r="N826">
        <v>0</v>
      </c>
      <c r="O826">
        <v>3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17</v>
      </c>
      <c r="AK826">
        <v>5</v>
      </c>
      <c r="AL826">
        <v>7</v>
      </c>
      <c r="AM826">
        <v>5</v>
      </c>
      <c r="AN826" s="22">
        <v>0</v>
      </c>
      <c r="AO826" s="22">
        <v>0</v>
      </c>
      <c r="AP826" s="22">
        <v>0</v>
      </c>
      <c r="AQ826" s="22">
        <v>0</v>
      </c>
      <c r="AR826" s="35">
        <v>0</v>
      </c>
      <c r="AS826" s="35">
        <v>0</v>
      </c>
      <c r="AT826" s="35">
        <v>3</v>
      </c>
      <c r="AU826" s="31" t="str">
        <f t="shared" si="16"/>
        <v>库存为3</v>
      </c>
      <c r="AV826" s="36" t="str">
        <f>IFERROR(时间!$B$4+AU826,"上周无销量")</f>
        <v>上周无销量</v>
      </c>
    </row>
    <row r="827" spans="1:48">
      <c r="A827" s="20" t="s">
        <v>1865</v>
      </c>
      <c r="B827" t="s">
        <v>1866</v>
      </c>
      <c r="C827" t="s">
        <v>1867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4</v>
      </c>
      <c r="J827" s="33">
        <v>0</v>
      </c>
      <c r="K827" s="33">
        <v>0</v>
      </c>
      <c r="L827" s="33">
        <v>0</v>
      </c>
      <c r="M827">
        <v>4</v>
      </c>
      <c r="N827">
        <v>0</v>
      </c>
      <c r="O827">
        <v>4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7</v>
      </c>
      <c r="AK827">
        <v>10</v>
      </c>
      <c r="AL827">
        <v>3</v>
      </c>
      <c r="AM827">
        <v>3</v>
      </c>
      <c r="AN827" s="22">
        <v>0</v>
      </c>
      <c r="AO827" s="22">
        <v>0</v>
      </c>
      <c r="AP827" s="22">
        <v>0</v>
      </c>
      <c r="AQ827" s="22">
        <v>0</v>
      </c>
      <c r="AR827" s="35">
        <v>0</v>
      </c>
      <c r="AS827" s="35">
        <v>0</v>
      </c>
      <c r="AT827" s="35">
        <v>4</v>
      </c>
      <c r="AU827" s="31" t="str">
        <f t="shared" si="16"/>
        <v>库存为4</v>
      </c>
      <c r="AV827" s="36" t="str">
        <f>IFERROR(时间!$B$4+AU827,"上周无销量")</f>
        <v>上周无销量</v>
      </c>
    </row>
    <row r="828" spans="1:48">
      <c r="A828" s="20" t="s">
        <v>1868</v>
      </c>
      <c r="B828" t="s">
        <v>1869</v>
      </c>
      <c r="C828" t="s">
        <v>1867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5</v>
      </c>
      <c r="J828" s="33">
        <v>0</v>
      </c>
      <c r="K828" s="33">
        <v>0</v>
      </c>
      <c r="L828" s="33">
        <v>0</v>
      </c>
      <c r="M828">
        <v>5</v>
      </c>
      <c r="N828">
        <v>0</v>
      </c>
      <c r="O828">
        <v>5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3</v>
      </c>
      <c r="AK828">
        <v>4</v>
      </c>
      <c r="AL828">
        <v>2</v>
      </c>
      <c r="AM828">
        <v>4</v>
      </c>
      <c r="AN828" s="22">
        <v>0</v>
      </c>
      <c r="AO828" s="22">
        <v>0</v>
      </c>
      <c r="AP828" s="22">
        <v>0</v>
      </c>
      <c r="AQ828" s="22">
        <v>0</v>
      </c>
      <c r="AR828" s="35">
        <v>0</v>
      </c>
      <c r="AS828" s="35">
        <v>0</v>
      </c>
      <c r="AT828" s="35">
        <v>5</v>
      </c>
      <c r="AU828" s="31" t="str">
        <f t="shared" si="16"/>
        <v>库存为5</v>
      </c>
      <c r="AV828" s="36" t="str">
        <f>IFERROR(时间!$B$4+AU828,"上周无销量")</f>
        <v>上周无销量</v>
      </c>
    </row>
    <row r="829" spans="1:48">
      <c r="A829" s="20" t="s">
        <v>1870</v>
      </c>
      <c r="B829" t="s">
        <v>1871</v>
      </c>
      <c r="C829" t="s">
        <v>1867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0</v>
      </c>
      <c r="AK829">
        <v>0</v>
      </c>
      <c r="AL829">
        <v>0</v>
      </c>
      <c r="AM829">
        <v>0</v>
      </c>
      <c r="AN829" s="22" t="s">
        <v>53</v>
      </c>
      <c r="AO829" s="22" t="s">
        <v>53</v>
      </c>
      <c r="AP829" s="22" t="s">
        <v>53</v>
      </c>
      <c r="AQ829" s="22" t="s">
        <v>53</v>
      </c>
      <c r="AR829" s="35">
        <v>0</v>
      </c>
      <c r="AS829" s="35">
        <v>0</v>
      </c>
      <c r="AT829" s="35">
        <v>0</v>
      </c>
      <c r="AU829" s="31" t="str">
        <f t="shared" si="16"/>
        <v>库存为0</v>
      </c>
      <c r="AV829" s="36" t="str">
        <f>IFERROR(时间!$B$4+AU829,"上周无销量")</f>
        <v>上周无销量</v>
      </c>
    </row>
    <row r="830" spans="1:48">
      <c r="A830" s="20" t="s">
        <v>1872</v>
      </c>
      <c r="B830" t="s">
        <v>1873</v>
      </c>
      <c r="C830" t="s">
        <v>1867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5</v>
      </c>
      <c r="J830" s="33">
        <v>0</v>
      </c>
      <c r="K830" s="33">
        <v>0</v>
      </c>
      <c r="L830" s="33">
        <v>0</v>
      </c>
      <c r="M830">
        <v>5</v>
      </c>
      <c r="N830">
        <v>0</v>
      </c>
      <c r="O830">
        <v>5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0</v>
      </c>
      <c r="AK830">
        <v>6</v>
      </c>
      <c r="AL830">
        <v>2</v>
      </c>
      <c r="AM830">
        <v>3</v>
      </c>
      <c r="AN830" s="22" t="s">
        <v>53</v>
      </c>
      <c r="AO830" s="22">
        <v>0</v>
      </c>
      <c r="AP830" s="22">
        <v>0</v>
      </c>
      <c r="AQ830" s="22">
        <v>0</v>
      </c>
      <c r="AR830" s="35">
        <v>0</v>
      </c>
      <c r="AS830" s="35">
        <v>0</v>
      </c>
      <c r="AT830" s="35">
        <v>5</v>
      </c>
      <c r="AU830" s="31" t="str">
        <f t="shared" si="16"/>
        <v>库存为5</v>
      </c>
      <c r="AV830" s="36" t="str">
        <f>IFERROR(时间!$B$4+AU830,"上周无销量")</f>
        <v>上周无销量</v>
      </c>
    </row>
    <row r="831" spans="1:48">
      <c r="A831" s="20" t="s">
        <v>1874</v>
      </c>
      <c r="B831" t="s">
        <v>1875</v>
      </c>
      <c r="C831" t="s">
        <v>1867</v>
      </c>
      <c r="D831" s="31">
        <v>0</v>
      </c>
      <c r="E831" s="31">
        <v>0</v>
      </c>
      <c r="F831" s="31">
        <v>1</v>
      </c>
      <c r="G831" s="31">
        <v>0</v>
      </c>
      <c r="H831" s="32">
        <v>10.9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0</v>
      </c>
      <c r="AK831">
        <v>0</v>
      </c>
      <c r="AL831">
        <v>2</v>
      </c>
      <c r="AM831">
        <v>2</v>
      </c>
      <c r="AN831" s="22" t="s">
        <v>53</v>
      </c>
      <c r="AO831" s="22" t="s">
        <v>53</v>
      </c>
      <c r="AP831" s="22">
        <v>0.5</v>
      </c>
      <c r="AQ831" s="22">
        <v>0</v>
      </c>
      <c r="AR831" s="35">
        <v>0</v>
      </c>
      <c r="AS831" s="35">
        <v>0</v>
      </c>
      <c r="AT831" s="35">
        <v>0</v>
      </c>
      <c r="AU831" s="31" t="str">
        <f t="shared" si="16"/>
        <v>库存为0</v>
      </c>
      <c r="AV831" s="36" t="str">
        <f>IFERROR(时间!$B$4+AU831,"上周无销量")</f>
        <v>上周无销量</v>
      </c>
    </row>
    <row r="832" spans="1:48">
      <c r="A832" s="20" t="s">
        <v>1876</v>
      </c>
      <c r="B832" t="s">
        <v>1877</v>
      </c>
      <c r="C832" t="s">
        <v>1878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0</v>
      </c>
      <c r="AK832">
        <v>0</v>
      </c>
      <c r="AL832">
        <v>0</v>
      </c>
      <c r="AM832">
        <v>0</v>
      </c>
      <c r="AN832" s="22" t="s">
        <v>53</v>
      </c>
      <c r="AO832" s="22" t="s">
        <v>53</v>
      </c>
      <c r="AP832" s="22" t="s">
        <v>53</v>
      </c>
      <c r="AQ832" s="22" t="s">
        <v>53</v>
      </c>
      <c r="AR832" s="35">
        <v>0</v>
      </c>
      <c r="AS832" s="35">
        <v>0</v>
      </c>
      <c r="AT832" s="35">
        <v>0</v>
      </c>
      <c r="AU832" s="31" t="str">
        <f t="shared" si="16"/>
        <v>库存为0</v>
      </c>
      <c r="AV832" s="36" t="str">
        <f>IFERROR(时间!$B$4+AU832,"上周无销量")</f>
        <v>上周无销量</v>
      </c>
    </row>
    <row r="833" spans="1:48">
      <c r="A833" s="20" t="s">
        <v>1879</v>
      </c>
      <c r="B833" t="s">
        <v>1880</v>
      </c>
      <c r="C833" t="s">
        <v>1878</v>
      </c>
      <c r="D833" s="31">
        <v>0</v>
      </c>
      <c r="E833" s="31">
        <v>1</v>
      </c>
      <c r="F833" s="31">
        <v>0</v>
      </c>
      <c r="G833" s="31">
        <v>0</v>
      </c>
      <c r="H833" s="32">
        <v>18.9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0</v>
      </c>
      <c r="AK833">
        <v>7</v>
      </c>
      <c r="AL833">
        <v>2</v>
      </c>
      <c r="AM833">
        <v>2</v>
      </c>
      <c r="AN833" s="22" t="s">
        <v>53</v>
      </c>
      <c r="AO833" s="22">
        <v>0.142857142857143</v>
      </c>
      <c r="AP833" s="22">
        <v>0</v>
      </c>
      <c r="AQ833" s="22">
        <v>0</v>
      </c>
      <c r="AR833" s="35">
        <v>0</v>
      </c>
      <c r="AS833" s="35">
        <v>0</v>
      </c>
      <c r="AT833" s="35">
        <v>0</v>
      </c>
      <c r="AU833" s="31" t="str">
        <f t="shared" si="16"/>
        <v>库存为0</v>
      </c>
      <c r="AV833" s="36" t="str">
        <f>IFERROR(时间!$B$4+AU833,"上周无销量")</f>
        <v>上周无销量</v>
      </c>
    </row>
    <row r="834" spans="1:48">
      <c r="A834" s="20" t="s">
        <v>1881</v>
      </c>
      <c r="B834" t="s">
        <v>1882</v>
      </c>
      <c r="C834" t="s">
        <v>1878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0</v>
      </c>
      <c r="AK834">
        <v>0</v>
      </c>
      <c r="AL834">
        <v>0</v>
      </c>
      <c r="AM834">
        <v>0</v>
      </c>
      <c r="AN834" s="22" t="s">
        <v>53</v>
      </c>
      <c r="AO834" s="22" t="s">
        <v>53</v>
      </c>
      <c r="AP834" s="22" t="s">
        <v>53</v>
      </c>
      <c r="AQ834" s="22" t="s">
        <v>53</v>
      </c>
      <c r="AR834" s="35">
        <v>0</v>
      </c>
      <c r="AS834" s="35">
        <v>0</v>
      </c>
      <c r="AT834" s="35">
        <v>0</v>
      </c>
      <c r="AU834" s="31" t="str">
        <f t="shared" si="16"/>
        <v>库存为0</v>
      </c>
      <c r="AV834" s="36" t="str">
        <f>IFERROR(时间!$B$4+AU834,"上周无销量")</f>
        <v>上周无销量</v>
      </c>
    </row>
    <row r="835" spans="1:48">
      <c r="A835" s="20" t="s">
        <v>1883</v>
      </c>
      <c r="B835" t="s">
        <v>1884</v>
      </c>
      <c r="C835" t="s">
        <v>1885</v>
      </c>
      <c r="D835" s="31">
        <v>0</v>
      </c>
      <c r="E835" s="31">
        <v>0</v>
      </c>
      <c r="F835" s="31">
        <v>1</v>
      </c>
      <c r="G835" s="31">
        <v>3</v>
      </c>
      <c r="H835" s="32">
        <v>19.99</v>
      </c>
      <c r="I835">
        <v>0</v>
      </c>
      <c r="J835" s="33">
        <v>10</v>
      </c>
      <c r="K835" s="33">
        <v>0</v>
      </c>
      <c r="L835" s="33">
        <v>0</v>
      </c>
      <c r="M835">
        <v>10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0</v>
      </c>
      <c r="AK835">
        <v>0</v>
      </c>
      <c r="AL835">
        <v>0</v>
      </c>
      <c r="AM835">
        <v>14</v>
      </c>
      <c r="AN835" s="22" t="s">
        <v>53</v>
      </c>
      <c r="AO835" s="22" t="s">
        <v>53</v>
      </c>
      <c r="AP835" s="22" t="s">
        <v>53</v>
      </c>
      <c r="AQ835" s="22">
        <v>0.214285714285714</v>
      </c>
      <c r="AR835" s="35">
        <v>0</v>
      </c>
      <c r="AS835" s="35">
        <v>0</v>
      </c>
      <c r="AT835" s="35">
        <v>10</v>
      </c>
      <c r="AU835" s="31" t="str">
        <f t="shared" si="16"/>
        <v>库存为10</v>
      </c>
      <c r="AV835" s="36" t="str">
        <f>IFERROR(时间!$B$4+AU835,"上周无销量")</f>
        <v>上周无销量</v>
      </c>
    </row>
    <row r="836" spans="1:48">
      <c r="A836" s="20" t="s">
        <v>1886</v>
      </c>
      <c r="B836" t="s">
        <v>1887</v>
      </c>
      <c r="C836" t="s">
        <v>1885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3</v>
      </c>
      <c r="J836" s="33">
        <v>0</v>
      </c>
      <c r="K836" s="33">
        <v>0</v>
      </c>
      <c r="L836" s="33">
        <v>0</v>
      </c>
      <c r="M836">
        <v>3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40</v>
      </c>
      <c r="AK836">
        <v>22</v>
      </c>
      <c r="AL836">
        <v>20</v>
      </c>
      <c r="AM836">
        <v>18</v>
      </c>
      <c r="AN836" s="22">
        <v>0</v>
      </c>
      <c r="AO836" s="22">
        <v>0</v>
      </c>
      <c r="AP836" s="22">
        <v>0</v>
      </c>
      <c r="AQ836" s="22">
        <v>0</v>
      </c>
      <c r="AR836" s="35">
        <v>0</v>
      </c>
      <c r="AS836" s="35">
        <v>0</v>
      </c>
      <c r="AT836" s="35">
        <v>3</v>
      </c>
      <c r="AU836" s="31" t="str">
        <f t="shared" si="16"/>
        <v>库存为3</v>
      </c>
      <c r="AV836" s="36" t="str">
        <f>IFERROR(时间!$B$4+AU836,"上周无销量")</f>
        <v>上周无销量</v>
      </c>
    </row>
    <row r="837" spans="1:48">
      <c r="A837" s="20" t="s">
        <v>1888</v>
      </c>
      <c r="B837" t="s">
        <v>1889</v>
      </c>
      <c r="C837" t="s">
        <v>1885</v>
      </c>
      <c r="D837" s="31">
        <v>0</v>
      </c>
      <c r="E837" s="31">
        <v>0</v>
      </c>
      <c r="F837" s="31">
        <v>0</v>
      </c>
      <c r="G837" s="31">
        <v>1</v>
      </c>
      <c r="H837" s="32">
        <v>22.99</v>
      </c>
      <c r="I837">
        <v>12</v>
      </c>
      <c r="J837" s="33">
        <v>0</v>
      </c>
      <c r="K837" s="33">
        <v>0</v>
      </c>
      <c r="L837" s="33">
        <v>0</v>
      </c>
      <c r="M837">
        <v>12</v>
      </c>
      <c r="N837">
        <v>0</v>
      </c>
      <c r="O837">
        <v>11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37</v>
      </c>
      <c r="AK837">
        <v>14</v>
      </c>
      <c r="AL837">
        <v>11</v>
      </c>
      <c r="AM837">
        <v>7</v>
      </c>
      <c r="AN837" s="22">
        <v>0</v>
      </c>
      <c r="AO837" s="22">
        <v>0</v>
      </c>
      <c r="AP837" s="22">
        <v>0</v>
      </c>
      <c r="AQ837" s="22">
        <v>0.142857142857143</v>
      </c>
      <c r="AR837" s="35">
        <v>0</v>
      </c>
      <c r="AS837" s="35">
        <v>0</v>
      </c>
      <c r="AT837" s="35">
        <v>12</v>
      </c>
      <c r="AU837" s="31" t="str">
        <f t="shared" ref="AU837:AU900" si="17">IF(AR837="","库存为"&amp;M837,IF(AS837=0,"库存为"&amp;M837,INT(M837/AR837)))</f>
        <v>库存为12</v>
      </c>
      <c r="AV837" s="36" t="str">
        <f>IFERROR(时间!$B$4+AU837,"上周无销量")</f>
        <v>上周无销量</v>
      </c>
    </row>
    <row r="838" spans="1:48">
      <c r="A838" s="20" t="s">
        <v>1890</v>
      </c>
      <c r="B838" t="s">
        <v>1891</v>
      </c>
      <c r="C838" t="s">
        <v>1885</v>
      </c>
      <c r="D838" s="31">
        <v>0</v>
      </c>
      <c r="E838" s="31">
        <v>1</v>
      </c>
      <c r="F838" s="31">
        <v>1</v>
      </c>
      <c r="G838" s="31">
        <v>0</v>
      </c>
      <c r="H838" s="32">
        <v>25.99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10</v>
      </c>
      <c r="AK838">
        <v>20</v>
      </c>
      <c r="AL838">
        <v>8</v>
      </c>
      <c r="AM838">
        <v>10</v>
      </c>
      <c r="AN838" s="22">
        <v>0</v>
      </c>
      <c r="AO838" s="22">
        <v>0.05</v>
      </c>
      <c r="AP838" s="22">
        <v>0.125</v>
      </c>
      <c r="AQ838" s="22">
        <v>0</v>
      </c>
      <c r="AR838" s="35">
        <v>0</v>
      </c>
      <c r="AS838" s="35">
        <v>0</v>
      </c>
      <c r="AT838" s="35">
        <v>0</v>
      </c>
      <c r="AU838" s="31" t="str">
        <f t="shared" si="17"/>
        <v>库存为0</v>
      </c>
      <c r="AV838" s="36" t="str">
        <f>IFERROR(时间!$B$4+AU838,"上周无销量")</f>
        <v>上周无销量</v>
      </c>
    </row>
    <row r="839" spans="1:48">
      <c r="A839" s="20" t="s">
        <v>1892</v>
      </c>
      <c r="B839" t="s">
        <v>1893</v>
      </c>
      <c r="C839" t="s">
        <v>1885</v>
      </c>
      <c r="D839" s="31">
        <v>2</v>
      </c>
      <c r="E839" s="31">
        <v>1</v>
      </c>
      <c r="F839" s="31">
        <v>1</v>
      </c>
      <c r="G839" s="31">
        <v>1</v>
      </c>
      <c r="H839" s="32">
        <v>25.7</v>
      </c>
      <c r="I839">
        <v>11</v>
      </c>
      <c r="J839" s="33">
        <v>0</v>
      </c>
      <c r="K839" s="33">
        <v>0</v>
      </c>
      <c r="L839" s="33">
        <v>1</v>
      </c>
      <c r="M839">
        <v>12</v>
      </c>
      <c r="N839">
        <v>0</v>
      </c>
      <c r="O839">
        <v>14</v>
      </c>
      <c r="P839" t="s">
        <v>53</v>
      </c>
      <c r="Q839" t="s">
        <v>53</v>
      </c>
      <c r="R839" t="s">
        <v>53</v>
      </c>
      <c r="S839" t="s">
        <v>53</v>
      </c>
      <c r="T839" t="s">
        <v>53</v>
      </c>
      <c r="U839" t="s">
        <v>53</v>
      </c>
      <c r="V839" t="s">
        <v>53</v>
      </c>
      <c r="W839" t="s">
        <v>53</v>
      </c>
      <c r="X839" s="22" t="s">
        <v>53</v>
      </c>
      <c r="Y839" s="22" t="s">
        <v>53</v>
      </c>
      <c r="Z839" s="22" t="s">
        <v>53</v>
      </c>
      <c r="AA839" s="22" t="s">
        <v>53</v>
      </c>
      <c r="AB839" t="s">
        <v>53</v>
      </c>
      <c r="AC839" t="s">
        <v>53</v>
      </c>
      <c r="AD839" t="s">
        <v>53</v>
      </c>
      <c r="AE839" t="s">
        <v>53</v>
      </c>
      <c r="AF839" s="22" t="s">
        <v>53</v>
      </c>
      <c r="AG839" s="22" t="s">
        <v>53</v>
      </c>
      <c r="AH839" s="22" t="s">
        <v>53</v>
      </c>
      <c r="AI839" s="22" t="s">
        <v>53</v>
      </c>
      <c r="AJ839">
        <v>28</v>
      </c>
      <c r="AK839">
        <v>17</v>
      </c>
      <c r="AL839">
        <v>5</v>
      </c>
      <c r="AM839">
        <v>11</v>
      </c>
      <c r="AN839" s="22">
        <v>0.0714285714285714</v>
      </c>
      <c r="AO839" s="22">
        <v>0.0588235294117647</v>
      </c>
      <c r="AP839" s="22">
        <v>0.2</v>
      </c>
      <c r="AQ839" s="22">
        <v>0.0909090909090909</v>
      </c>
      <c r="AR839" s="35">
        <v>0.285714285714286</v>
      </c>
      <c r="AS839" s="35">
        <v>17.1428571428571</v>
      </c>
      <c r="AT839" s="35">
        <v>-5.14285714285714</v>
      </c>
      <c r="AU839" s="31">
        <f t="shared" si="17"/>
        <v>42</v>
      </c>
      <c r="AV839" s="36">
        <f>IFERROR(时间!$B$4+AU839,"上周无销量")</f>
        <v>43374</v>
      </c>
    </row>
    <row r="840" spans="1:48">
      <c r="A840" s="20" t="s">
        <v>1894</v>
      </c>
      <c r="B840" t="s">
        <v>1895</v>
      </c>
      <c r="C840" t="s">
        <v>1885</v>
      </c>
      <c r="D840" s="31">
        <v>0</v>
      </c>
      <c r="E840" s="31">
        <v>1</v>
      </c>
      <c r="F840" s="31">
        <v>1</v>
      </c>
      <c r="G840" s="31">
        <v>1</v>
      </c>
      <c r="H840" s="32">
        <v>32.99</v>
      </c>
      <c r="I840">
        <v>2</v>
      </c>
      <c r="J840" s="33">
        <v>0</v>
      </c>
      <c r="K840" s="33">
        <v>0</v>
      </c>
      <c r="L840" s="33">
        <v>0</v>
      </c>
      <c r="M840">
        <v>2</v>
      </c>
      <c r="N840">
        <v>0</v>
      </c>
      <c r="O840">
        <v>1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9</v>
      </c>
      <c r="AK840">
        <v>18</v>
      </c>
      <c r="AL840">
        <v>4</v>
      </c>
      <c r="AM840">
        <v>11</v>
      </c>
      <c r="AN840" s="22">
        <v>0</v>
      </c>
      <c r="AO840" s="22">
        <v>0.0555555555555556</v>
      </c>
      <c r="AP840" s="22">
        <v>0.25</v>
      </c>
      <c r="AQ840" s="22">
        <v>0.0909090909090909</v>
      </c>
      <c r="AR840" s="35">
        <v>0</v>
      </c>
      <c r="AS840" s="35">
        <v>0</v>
      </c>
      <c r="AT840" s="35">
        <v>2</v>
      </c>
      <c r="AU840" s="31" t="str">
        <f t="shared" si="17"/>
        <v>库存为2</v>
      </c>
      <c r="AV840" s="36" t="str">
        <f>IFERROR(时间!$B$4+AU840,"上周无销量")</f>
        <v>上周无销量</v>
      </c>
    </row>
    <row r="841" spans="1:48">
      <c r="A841" s="20" t="s">
        <v>1896</v>
      </c>
      <c r="B841" t="s">
        <v>1897</v>
      </c>
      <c r="C841" t="s">
        <v>1885</v>
      </c>
      <c r="D841" s="31">
        <v>0</v>
      </c>
      <c r="E841" s="31">
        <v>0</v>
      </c>
      <c r="F841" s="31">
        <v>1</v>
      </c>
      <c r="G841" s="31">
        <v>4</v>
      </c>
      <c r="H841" s="32">
        <v>39.99</v>
      </c>
      <c r="I841">
        <v>3</v>
      </c>
      <c r="J841" s="33">
        <v>10</v>
      </c>
      <c r="K841" s="33">
        <v>0</v>
      </c>
      <c r="L841" s="33">
        <v>0</v>
      </c>
      <c r="M841">
        <v>13</v>
      </c>
      <c r="N841">
        <v>2</v>
      </c>
      <c r="O841">
        <v>2</v>
      </c>
      <c r="P841" t="s">
        <v>53</v>
      </c>
      <c r="Q841" t="s">
        <v>53</v>
      </c>
      <c r="R841" t="s">
        <v>53</v>
      </c>
      <c r="S841" t="s">
        <v>53</v>
      </c>
      <c r="T841" t="s">
        <v>53</v>
      </c>
      <c r="U841" t="s">
        <v>53</v>
      </c>
      <c r="V841" t="s">
        <v>53</v>
      </c>
      <c r="W841" t="s">
        <v>53</v>
      </c>
      <c r="X841" s="22" t="s">
        <v>53</v>
      </c>
      <c r="Y841" s="22" t="s">
        <v>53</v>
      </c>
      <c r="Z841" s="22" t="s">
        <v>53</v>
      </c>
      <c r="AA841" s="22" t="s">
        <v>53</v>
      </c>
      <c r="AB841" t="s">
        <v>53</v>
      </c>
      <c r="AC841" t="s">
        <v>53</v>
      </c>
      <c r="AD841" t="s">
        <v>53</v>
      </c>
      <c r="AE841" t="s">
        <v>53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16</v>
      </c>
      <c r="AK841">
        <v>17</v>
      </c>
      <c r="AL841">
        <v>17</v>
      </c>
      <c r="AM841">
        <v>11</v>
      </c>
      <c r="AN841" s="22">
        <v>0</v>
      </c>
      <c r="AO841" s="22">
        <v>0</v>
      </c>
      <c r="AP841" s="22">
        <v>0.0588235294117647</v>
      </c>
      <c r="AQ841" s="22">
        <v>0.363636363636364</v>
      </c>
      <c r="AR841" s="35">
        <v>0</v>
      </c>
      <c r="AS841" s="35">
        <v>0</v>
      </c>
      <c r="AT841" s="35">
        <v>13</v>
      </c>
      <c r="AU841" s="31" t="str">
        <f t="shared" si="17"/>
        <v>库存为13</v>
      </c>
      <c r="AV841" s="36" t="str">
        <f>IFERROR(时间!$B$4+AU841,"上周无销量")</f>
        <v>上周无销量</v>
      </c>
    </row>
    <row r="842" spans="1:48">
      <c r="A842" s="20" t="s">
        <v>1898</v>
      </c>
      <c r="B842" t="s">
        <v>1899</v>
      </c>
      <c r="C842" t="s">
        <v>1885</v>
      </c>
      <c r="D842" s="31">
        <v>6</v>
      </c>
      <c r="E842" s="31">
        <v>2</v>
      </c>
      <c r="F842" s="31">
        <v>1</v>
      </c>
      <c r="G842" s="31">
        <v>1</v>
      </c>
      <c r="H842" s="32">
        <v>8.99</v>
      </c>
      <c r="I842">
        <v>17</v>
      </c>
      <c r="J842" s="33">
        <v>0</v>
      </c>
      <c r="K842" s="33">
        <v>0</v>
      </c>
      <c r="L842" s="33">
        <v>0</v>
      </c>
      <c r="M842">
        <v>17</v>
      </c>
      <c r="N842">
        <v>1</v>
      </c>
      <c r="O842">
        <v>24</v>
      </c>
      <c r="P842" t="s">
        <v>53</v>
      </c>
      <c r="Q842" t="s">
        <v>53</v>
      </c>
      <c r="R842" t="s">
        <v>53</v>
      </c>
      <c r="S842" t="s">
        <v>53</v>
      </c>
      <c r="T842" t="s">
        <v>53</v>
      </c>
      <c r="U842" t="s">
        <v>53</v>
      </c>
      <c r="V842" t="s">
        <v>53</v>
      </c>
      <c r="W842" t="s">
        <v>53</v>
      </c>
      <c r="X842" s="22" t="s">
        <v>53</v>
      </c>
      <c r="Y842" s="22" t="s">
        <v>53</v>
      </c>
      <c r="Z842" s="22" t="s">
        <v>53</v>
      </c>
      <c r="AA842" s="22" t="s">
        <v>53</v>
      </c>
      <c r="AB842" t="s">
        <v>53</v>
      </c>
      <c r="AC842" t="s">
        <v>53</v>
      </c>
      <c r="AD842" t="s">
        <v>53</v>
      </c>
      <c r="AE842" t="s">
        <v>53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72</v>
      </c>
      <c r="AK842">
        <v>43</v>
      </c>
      <c r="AL842">
        <v>50</v>
      </c>
      <c r="AM842">
        <v>44</v>
      </c>
      <c r="AN842" s="22">
        <v>0.0833333333333333</v>
      </c>
      <c r="AO842" s="22">
        <v>0.0465116279069767</v>
      </c>
      <c r="AP842" s="22">
        <v>0.02</v>
      </c>
      <c r="AQ842" s="22">
        <v>0.0227272727272727</v>
      </c>
      <c r="AR842" s="35">
        <v>0.857142857142857</v>
      </c>
      <c r="AS842" s="35">
        <v>51.4285714285714</v>
      </c>
      <c r="AT842" s="35">
        <v>-34.4285714285714</v>
      </c>
      <c r="AU842" s="31">
        <f t="shared" si="17"/>
        <v>19</v>
      </c>
      <c r="AV842" s="36">
        <f>IFERROR(时间!$B$4+AU842,"上周无销量")</f>
        <v>43351</v>
      </c>
    </row>
    <row r="843" spans="1:48">
      <c r="A843" s="20" t="s">
        <v>1900</v>
      </c>
      <c r="B843" t="s">
        <v>1901</v>
      </c>
      <c r="C843" t="s">
        <v>1885</v>
      </c>
      <c r="D843" s="31">
        <v>1</v>
      </c>
      <c r="E843" s="31">
        <v>0</v>
      </c>
      <c r="F843" s="31">
        <v>2</v>
      </c>
      <c r="G843" s="31">
        <v>2</v>
      </c>
      <c r="H843" s="32">
        <v>13.99</v>
      </c>
      <c r="I843">
        <v>2</v>
      </c>
      <c r="J843" s="33">
        <v>9</v>
      </c>
      <c r="K843" s="33">
        <v>0</v>
      </c>
      <c r="L843" s="33">
        <v>0</v>
      </c>
      <c r="M843">
        <v>11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71</v>
      </c>
      <c r="AK843">
        <v>49</v>
      </c>
      <c r="AL843">
        <v>28</v>
      </c>
      <c r="AM843">
        <v>20</v>
      </c>
      <c r="AN843" s="22">
        <v>0.0140845070422535</v>
      </c>
      <c r="AO843" s="22">
        <v>0</v>
      </c>
      <c r="AP843" s="22">
        <v>0.0714285714285714</v>
      </c>
      <c r="AQ843" s="22">
        <v>0.1</v>
      </c>
      <c r="AR843" s="35">
        <v>0.142857142857143</v>
      </c>
      <c r="AS843" s="35">
        <v>8.57142857142857</v>
      </c>
      <c r="AT843" s="35">
        <v>2.42857142857143</v>
      </c>
      <c r="AU843" s="31">
        <f t="shared" si="17"/>
        <v>77</v>
      </c>
      <c r="AV843" s="36">
        <f>IFERROR(时间!$B$4+AU843,"上周无销量")</f>
        <v>43409</v>
      </c>
    </row>
    <row r="844" spans="1:48">
      <c r="A844" s="20" t="s">
        <v>1902</v>
      </c>
      <c r="B844" t="s">
        <v>1903</v>
      </c>
      <c r="C844" t="s">
        <v>1904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0</v>
      </c>
      <c r="AK844">
        <v>0</v>
      </c>
      <c r="AL844">
        <v>0</v>
      </c>
      <c r="AM844">
        <v>0</v>
      </c>
      <c r="AN844" s="22" t="s">
        <v>53</v>
      </c>
      <c r="AO844" s="22" t="s">
        <v>53</v>
      </c>
      <c r="AP844" s="22" t="s">
        <v>53</v>
      </c>
      <c r="AQ844" s="22" t="s">
        <v>53</v>
      </c>
      <c r="AR844" s="35">
        <v>0</v>
      </c>
      <c r="AS844" s="35">
        <v>0</v>
      </c>
      <c r="AT844" s="35">
        <v>0</v>
      </c>
      <c r="AU844" s="31" t="str">
        <f t="shared" si="17"/>
        <v>库存为0</v>
      </c>
      <c r="AV844" s="36" t="str">
        <f>IFERROR(时间!$B$4+AU844,"上周无销量")</f>
        <v>上周无销量</v>
      </c>
    </row>
    <row r="845" spans="1:48">
      <c r="A845" s="20" t="s">
        <v>1905</v>
      </c>
      <c r="B845" t="s">
        <v>1906</v>
      </c>
      <c r="C845" t="s">
        <v>1904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0</v>
      </c>
      <c r="AK845">
        <v>0</v>
      </c>
      <c r="AL845">
        <v>0</v>
      </c>
      <c r="AM845">
        <v>0</v>
      </c>
      <c r="AN845" s="22" t="s">
        <v>53</v>
      </c>
      <c r="AO845" s="22" t="s">
        <v>53</v>
      </c>
      <c r="AP845" s="22" t="s">
        <v>53</v>
      </c>
      <c r="AQ845" s="22" t="s">
        <v>53</v>
      </c>
      <c r="AR845" s="35">
        <v>0</v>
      </c>
      <c r="AS845" s="35">
        <v>0</v>
      </c>
      <c r="AT845" s="35">
        <v>0</v>
      </c>
      <c r="AU845" s="31" t="str">
        <f t="shared" si="17"/>
        <v>库存为0</v>
      </c>
      <c r="AV845" s="36" t="str">
        <f>IFERROR(时间!$B$4+AU845,"上周无销量")</f>
        <v>上周无销量</v>
      </c>
    </row>
    <row r="846" spans="1:48">
      <c r="A846" s="20" t="s">
        <v>1907</v>
      </c>
      <c r="B846" t="s">
        <v>1908</v>
      </c>
      <c r="C846" t="s">
        <v>1904</v>
      </c>
      <c r="D846" s="31">
        <v>1</v>
      </c>
      <c r="E846" s="31">
        <v>0</v>
      </c>
      <c r="F846" s="31">
        <v>2</v>
      </c>
      <c r="G846" s="31">
        <v>0</v>
      </c>
      <c r="H846" s="32">
        <v>24.5</v>
      </c>
      <c r="I846">
        <v>14</v>
      </c>
      <c r="J846" s="33">
        <v>0</v>
      </c>
      <c r="K846" s="33">
        <v>0</v>
      </c>
      <c r="L846" s="33">
        <v>0</v>
      </c>
      <c r="M846">
        <v>14</v>
      </c>
      <c r="N846">
        <v>0</v>
      </c>
      <c r="O846">
        <v>15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14</v>
      </c>
      <c r="AK846">
        <v>8</v>
      </c>
      <c r="AL846">
        <v>4</v>
      </c>
      <c r="AM846">
        <v>7</v>
      </c>
      <c r="AN846" s="22">
        <v>0.0714285714285714</v>
      </c>
      <c r="AO846" s="22">
        <v>0</v>
      </c>
      <c r="AP846" s="22">
        <v>0.5</v>
      </c>
      <c r="AQ846" s="22">
        <v>0</v>
      </c>
      <c r="AR846" s="35">
        <v>0.142857142857143</v>
      </c>
      <c r="AS846" s="35">
        <v>8.57142857142857</v>
      </c>
      <c r="AT846" s="35">
        <v>5.42857142857143</v>
      </c>
      <c r="AU846" s="31">
        <f t="shared" si="17"/>
        <v>98</v>
      </c>
      <c r="AV846" s="36">
        <f>IFERROR(时间!$B$4+AU846,"上周无销量")</f>
        <v>43430</v>
      </c>
    </row>
    <row r="847" spans="1:48">
      <c r="A847" s="20" t="s">
        <v>1909</v>
      </c>
      <c r="B847" t="s">
        <v>1910</v>
      </c>
      <c r="C847" t="s">
        <v>1904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13</v>
      </c>
      <c r="J847" s="33">
        <v>0</v>
      </c>
      <c r="K847" s="33">
        <v>0</v>
      </c>
      <c r="L847" s="33">
        <v>0</v>
      </c>
      <c r="M847">
        <v>13</v>
      </c>
      <c r="N847">
        <v>0</v>
      </c>
      <c r="O847">
        <v>13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24</v>
      </c>
      <c r="AK847">
        <v>15</v>
      </c>
      <c r="AL847">
        <v>6</v>
      </c>
      <c r="AM847">
        <v>8</v>
      </c>
      <c r="AN847" s="22">
        <v>0</v>
      </c>
      <c r="AO847" s="22">
        <v>0</v>
      </c>
      <c r="AP847" s="22">
        <v>0</v>
      </c>
      <c r="AQ847" s="22">
        <v>0</v>
      </c>
      <c r="AR847" s="35">
        <v>0</v>
      </c>
      <c r="AS847" s="35">
        <v>0</v>
      </c>
      <c r="AT847" s="35">
        <v>13</v>
      </c>
      <c r="AU847" s="31" t="str">
        <f t="shared" si="17"/>
        <v>库存为13</v>
      </c>
      <c r="AV847" s="36" t="str">
        <f>IFERROR(时间!$B$4+AU847,"上周无销量")</f>
        <v>上周无销量</v>
      </c>
    </row>
    <row r="848" spans="1:48">
      <c r="A848" s="20" t="s">
        <v>1911</v>
      </c>
      <c r="B848" t="s">
        <v>1912</v>
      </c>
      <c r="C848" t="s">
        <v>1904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12</v>
      </c>
      <c r="J848" s="33">
        <v>0</v>
      </c>
      <c r="K848" s="33">
        <v>0</v>
      </c>
      <c r="L848" s="33">
        <v>0</v>
      </c>
      <c r="M848">
        <v>12</v>
      </c>
      <c r="N848">
        <v>0</v>
      </c>
      <c r="O848">
        <v>11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15</v>
      </c>
      <c r="AK848">
        <v>12</v>
      </c>
      <c r="AL848">
        <v>5</v>
      </c>
      <c r="AM848">
        <v>6</v>
      </c>
      <c r="AN848" s="22">
        <v>0</v>
      </c>
      <c r="AO848" s="22">
        <v>0</v>
      </c>
      <c r="AP848" s="22">
        <v>0</v>
      </c>
      <c r="AQ848" s="22">
        <v>0</v>
      </c>
      <c r="AR848" s="35">
        <v>0</v>
      </c>
      <c r="AS848" s="35">
        <v>0</v>
      </c>
      <c r="AT848" s="35">
        <v>12</v>
      </c>
      <c r="AU848" s="31" t="str">
        <f t="shared" si="17"/>
        <v>库存为12</v>
      </c>
      <c r="AV848" s="36" t="str">
        <f>IFERROR(时间!$B$4+AU848,"上周无销量")</f>
        <v>上周无销量</v>
      </c>
    </row>
    <row r="849" spans="1:48">
      <c r="A849" s="20" t="s">
        <v>1913</v>
      </c>
      <c r="B849" t="s">
        <v>1914</v>
      </c>
      <c r="C849" t="s">
        <v>1904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>
        <v>112</v>
      </c>
      <c r="Q849">
        <v>687</v>
      </c>
      <c r="R849">
        <v>1412</v>
      </c>
      <c r="S849">
        <v>944</v>
      </c>
      <c r="T849">
        <v>1</v>
      </c>
      <c r="U849">
        <v>3</v>
      </c>
      <c r="V849">
        <v>10</v>
      </c>
      <c r="W849">
        <v>3</v>
      </c>
      <c r="X849" s="22">
        <v>0.00892857142857143</v>
      </c>
      <c r="Y849" s="22">
        <v>0.00436681222707424</v>
      </c>
      <c r="Z849" s="22">
        <v>0.00708215297450425</v>
      </c>
      <c r="AA849" s="22">
        <v>0.00317796610169492</v>
      </c>
      <c r="AB849">
        <v>0.36</v>
      </c>
      <c r="AC849">
        <v>1</v>
      </c>
      <c r="AD849">
        <v>3.86</v>
      </c>
      <c r="AE849">
        <v>1.42</v>
      </c>
      <c r="AF849" s="22" t="s">
        <v>1915</v>
      </c>
      <c r="AG849" s="22" t="s">
        <v>1916</v>
      </c>
      <c r="AH849" s="22" t="s">
        <v>1917</v>
      </c>
      <c r="AI849" s="22" t="s">
        <v>934</v>
      </c>
      <c r="AJ849">
        <v>1</v>
      </c>
      <c r="AK849">
        <v>8</v>
      </c>
      <c r="AL849">
        <v>7</v>
      </c>
      <c r="AM849">
        <v>4</v>
      </c>
      <c r="AN849" s="22">
        <v>0</v>
      </c>
      <c r="AO849" s="22">
        <v>0</v>
      </c>
      <c r="AP849" s="22">
        <v>0</v>
      </c>
      <c r="AQ849" s="22">
        <v>0</v>
      </c>
      <c r="AR849" s="35">
        <v>0</v>
      </c>
      <c r="AS849" s="35">
        <v>0</v>
      </c>
      <c r="AT849" s="35">
        <v>0</v>
      </c>
      <c r="AU849" s="31" t="str">
        <f t="shared" si="17"/>
        <v>库存为0</v>
      </c>
      <c r="AV849" s="36" t="str">
        <f>IFERROR(时间!$B$4+AU849,"上周无销量")</f>
        <v>上周无销量</v>
      </c>
    </row>
    <row r="850" spans="1:48">
      <c r="A850" s="20" t="s">
        <v>1918</v>
      </c>
      <c r="B850" t="s">
        <v>1919</v>
      </c>
      <c r="C850" t="s">
        <v>1904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0</v>
      </c>
      <c r="AK850">
        <v>0</v>
      </c>
      <c r="AL850">
        <v>0</v>
      </c>
      <c r="AM850">
        <v>0</v>
      </c>
      <c r="AN850" s="22" t="s">
        <v>53</v>
      </c>
      <c r="AO850" s="22" t="s">
        <v>53</v>
      </c>
      <c r="AP850" s="22" t="s">
        <v>53</v>
      </c>
      <c r="AQ850" s="22" t="s">
        <v>53</v>
      </c>
      <c r="AR850" s="35">
        <v>0</v>
      </c>
      <c r="AS850" s="35">
        <v>0</v>
      </c>
      <c r="AT850" s="35">
        <v>0</v>
      </c>
      <c r="AU850" s="31" t="str">
        <f t="shared" si="17"/>
        <v>库存为0</v>
      </c>
      <c r="AV850" s="36" t="str">
        <f>IFERROR(时间!$B$4+AU850,"上周无销量")</f>
        <v>上周无销量</v>
      </c>
    </row>
    <row r="851" spans="1:48">
      <c r="A851" s="20" t="s">
        <v>1920</v>
      </c>
      <c r="B851" t="s">
        <v>1921</v>
      </c>
      <c r="C851" t="s">
        <v>1904</v>
      </c>
      <c r="D851" s="31">
        <v>0</v>
      </c>
      <c r="E851" s="31">
        <v>1</v>
      </c>
      <c r="F851" s="31">
        <v>0</v>
      </c>
      <c r="G851" s="31">
        <v>0</v>
      </c>
      <c r="H851" s="32">
        <v>11.5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1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0</v>
      </c>
      <c r="AK851">
        <v>10</v>
      </c>
      <c r="AL851">
        <v>0</v>
      </c>
      <c r="AM851">
        <v>0</v>
      </c>
      <c r="AN851" s="22" t="s">
        <v>53</v>
      </c>
      <c r="AO851" s="22">
        <v>0.1</v>
      </c>
      <c r="AP851" s="22" t="s">
        <v>53</v>
      </c>
      <c r="AQ851" s="22" t="s">
        <v>53</v>
      </c>
      <c r="AR851" s="35">
        <v>0</v>
      </c>
      <c r="AS851" s="35">
        <v>0</v>
      </c>
      <c r="AT851" s="35">
        <v>0</v>
      </c>
      <c r="AU851" s="31" t="str">
        <f t="shared" si="17"/>
        <v>库存为0</v>
      </c>
      <c r="AV851" s="36" t="str">
        <f>IFERROR(时间!$B$4+AU851,"上周无销量")</f>
        <v>上周无销量</v>
      </c>
    </row>
    <row r="852" spans="1:48">
      <c r="A852" s="20" t="s">
        <v>1922</v>
      </c>
      <c r="B852" t="s">
        <v>1923</v>
      </c>
      <c r="C852" t="s">
        <v>1924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0</v>
      </c>
      <c r="AU852" s="31" t="str">
        <f t="shared" si="17"/>
        <v>库存为0</v>
      </c>
      <c r="AV852" s="36" t="str">
        <f>IFERROR(时间!$B$4+AU852,"上周无销量")</f>
        <v>上周无销量</v>
      </c>
    </row>
    <row r="853" spans="1:48">
      <c r="A853" s="20" t="s">
        <v>1925</v>
      </c>
      <c r="B853" t="s">
        <v>1926</v>
      </c>
      <c r="C853" t="s">
        <v>1924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0</v>
      </c>
      <c r="AK853">
        <v>0</v>
      </c>
      <c r="AL853">
        <v>0</v>
      </c>
      <c r="AM853">
        <v>0</v>
      </c>
      <c r="AN853" s="22" t="s">
        <v>53</v>
      </c>
      <c r="AO853" s="22" t="s">
        <v>53</v>
      </c>
      <c r="AP853" s="22" t="s">
        <v>53</v>
      </c>
      <c r="AQ853" s="22" t="s">
        <v>53</v>
      </c>
      <c r="AR853" s="35">
        <v>0</v>
      </c>
      <c r="AS853" s="35">
        <v>0</v>
      </c>
      <c r="AT853" s="35">
        <v>0</v>
      </c>
      <c r="AU853" s="31" t="str">
        <f t="shared" si="17"/>
        <v>库存为0</v>
      </c>
      <c r="AV853" s="36" t="str">
        <f>IFERROR(时间!$B$4+AU853,"上周无销量")</f>
        <v>上周无销量</v>
      </c>
    </row>
    <row r="854" spans="1:48">
      <c r="A854" s="20" t="s">
        <v>1927</v>
      </c>
      <c r="B854" t="s">
        <v>1928</v>
      </c>
      <c r="C854" t="s">
        <v>1929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0</v>
      </c>
      <c r="AK854">
        <v>7</v>
      </c>
      <c r="AL854">
        <v>2</v>
      </c>
      <c r="AM854">
        <v>5</v>
      </c>
      <c r="AN854" s="22" t="s">
        <v>53</v>
      </c>
      <c r="AO854" s="22">
        <v>0</v>
      </c>
      <c r="AP854" s="22">
        <v>0</v>
      </c>
      <c r="AQ854" s="22">
        <v>0</v>
      </c>
      <c r="AR854" s="35">
        <v>0</v>
      </c>
      <c r="AS854" s="35">
        <v>0</v>
      </c>
      <c r="AT854" s="35">
        <v>0</v>
      </c>
      <c r="AU854" s="31" t="str">
        <f t="shared" si="17"/>
        <v>库存为0</v>
      </c>
      <c r="AV854" s="36" t="str">
        <f>IFERROR(时间!$B$4+AU854,"上周无销量")</f>
        <v>上周无销量</v>
      </c>
    </row>
    <row r="855" spans="1:48">
      <c r="A855" s="20" t="s">
        <v>1930</v>
      </c>
      <c r="B855" t="s">
        <v>1931</v>
      </c>
      <c r="C855" t="s">
        <v>1929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0</v>
      </c>
      <c r="AK855">
        <v>4</v>
      </c>
      <c r="AL855">
        <v>1</v>
      </c>
      <c r="AM855">
        <v>2</v>
      </c>
      <c r="AN855" s="22" t="s">
        <v>53</v>
      </c>
      <c r="AO855" s="22">
        <v>0</v>
      </c>
      <c r="AP855" s="22">
        <v>0</v>
      </c>
      <c r="AQ855" s="22">
        <v>0</v>
      </c>
      <c r="AR855" s="35">
        <v>0</v>
      </c>
      <c r="AS855" s="35">
        <v>0</v>
      </c>
      <c r="AT855" s="35">
        <v>0</v>
      </c>
      <c r="AU855" s="31" t="str">
        <f t="shared" si="17"/>
        <v>库存为0</v>
      </c>
      <c r="AV855" s="36" t="str">
        <f>IFERROR(时间!$B$4+AU855,"上周无销量")</f>
        <v>上周无销量</v>
      </c>
    </row>
    <row r="856" spans="1:48">
      <c r="A856" s="20" t="s">
        <v>1932</v>
      </c>
      <c r="B856" t="s">
        <v>1933</v>
      </c>
      <c r="C856" t="s">
        <v>1929</v>
      </c>
      <c r="D856" s="31">
        <v>0</v>
      </c>
      <c r="E856" s="31">
        <v>0</v>
      </c>
      <c r="F856" s="31">
        <v>3</v>
      </c>
      <c r="G856" s="31">
        <v>0</v>
      </c>
      <c r="H856" s="32">
        <v>15.99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0</v>
      </c>
      <c r="AK856">
        <v>17</v>
      </c>
      <c r="AL856">
        <v>4</v>
      </c>
      <c r="AM856">
        <v>1</v>
      </c>
      <c r="AN856" s="22" t="s">
        <v>53</v>
      </c>
      <c r="AO856" s="22">
        <v>0</v>
      </c>
      <c r="AP856" s="22">
        <v>0.75</v>
      </c>
      <c r="AQ856" s="22">
        <v>0</v>
      </c>
      <c r="AR856" s="35">
        <v>0</v>
      </c>
      <c r="AS856" s="35">
        <v>0</v>
      </c>
      <c r="AT856" s="35">
        <v>0</v>
      </c>
      <c r="AU856" s="31" t="str">
        <f t="shared" si="17"/>
        <v>库存为0</v>
      </c>
      <c r="AV856" s="36" t="str">
        <f>IFERROR(时间!$B$4+AU856,"上周无销量")</f>
        <v>上周无销量</v>
      </c>
    </row>
    <row r="857" spans="1:48">
      <c r="A857" s="20" t="s">
        <v>1934</v>
      </c>
      <c r="B857" t="s">
        <v>1935</v>
      </c>
      <c r="C857" t="s">
        <v>1929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13</v>
      </c>
      <c r="J857" s="33">
        <v>0</v>
      </c>
      <c r="K857" s="33">
        <v>0</v>
      </c>
      <c r="L857" s="33">
        <v>0</v>
      </c>
      <c r="M857">
        <v>13</v>
      </c>
      <c r="N857">
        <v>0</v>
      </c>
      <c r="O857">
        <v>13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5</v>
      </c>
      <c r="AK857">
        <v>5</v>
      </c>
      <c r="AL857">
        <v>3</v>
      </c>
      <c r="AM857">
        <v>4</v>
      </c>
      <c r="AN857" s="22">
        <v>0</v>
      </c>
      <c r="AO857" s="22">
        <v>0</v>
      </c>
      <c r="AP857" s="22">
        <v>0</v>
      </c>
      <c r="AQ857" s="22">
        <v>0</v>
      </c>
      <c r="AR857" s="35">
        <v>0</v>
      </c>
      <c r="AS857" s="35">
        <v>0</v>
      </c>
      <c r="AT857" s="35">
        <v>13</v>
      </c>
      <c r="AU857" s="31" t="str">
        <f t="shared" si="17"/>
        <v>库存为13</v>
      </c>
      <c r="AV857" s="36" t="str">
        <f>IFERROR(时间!$B$4+AU857,"上周无销量")</f>
        <v>上周无销量</v>
      </c>
    </row>
    <row r="858" spans="1:48">
      <c r="A858" s="20" t="s">
        <v>1936</v>
      </c>
      <c r="B858" t="s">
        <v>1937</v>
      </c>
      <c r="C858" t="s">
        <v>1938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0</v>
      </c>
      <c r="AK858">
        <v>0</v>
      </c>
      <c r="AL858">
        <v>0</v>
      </c>
      <c r="AM858">
        <v>0</v>
      </c>
      <c r="AN858" s="22" t="s">
        <v>53</v>
      </c>
      <c r="AO858" s="22" t="s">
        <v>53</v>
      </c>
      <c r="AP858" s="22" t="s">
        <v>53</v>
      </c>
      <c r="AQ858" s="22" t="s">
        <v>53</v>
      </c>
      <c r="AR858" s="35">
        <v>0</v>
      </c>
      <c r="AS858" s="35">
        <v>0</v>
      </c>
      <c r="AT858" s="35">
        <v>0</v>
      </c>
      <c r="AU858" s="31" t="str">
        <f t="shared" si="17"/>
        <v>库存为0</v>
      </c>
      <c r="AV858" s="36" t="str">
        <f>IFERROR(时间!$B$4+AU858,"上周无销量")</f>
        <v>上周无销量</v>
      </c>
    </row>
    <row r="859" spans="1:48">
      <c r="A859" s="20" t="s">
        <v>1939</v>
      </c>
      <c r="B859" t="s">
        <v>1940</v>
      </c>
      <c r="C859" t="s">
        <v>1941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0</v>
      </c>
      <c r="AK859">
        <v>0</v>
      </c>
      <c r="AL859">
        <v>0</v>
      </c>
      <c r="AM859">
        <v>0</v>
      </c>
      <c r="AN859" s="22" t="s">
        <v>53</v>
      </c>
      <c r="AO859" s="22" t="s">
        <v>53</v>
      </c>
      <c r="AP859" s="22" t="s">
        <v>53</v>
      </c>
      <c r="AQ859" s="22" t="s">
        <v>53</v>
      </c>
      <c r="AR859" s="35">
        <v>0</v>
      </c>
      <c r="AS859" s="35">
        <v>0</v>
      </c>
      <c r="AT859" s="35">
        <v>0</v>
      </c>
      <c r="AU859" s="31" t="str">
        <f t="shared" si="17"/>
        <v>库存为0</v>
      </c>
      <c r="AV859" s="36" t="str">
        <f>IFERROR(时间!$B$4+AU859,"上周无销量")</f>
        <v>上周无销量</v>
      </c>
    </row>
    <row r="860" spans="1:48">
      <c r="A860" s="20" t="s">
        <v>1942</v>
      </c>
      <c r="B860" t="s">
        <v>1943</v>
      </c>
      <c r="C860" t="s">
        <v>1944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0</v>
      </c>
      <c r="AK860">
        <v>0</v>
      </c>
      <c r="AL860">
        <v>0</v>
      </c>
      <c r="AM860">
        <v>0</v>
      </c>
      <c r="AN860" s="22" t="s">
        <v>53</v>
      </c>
      <c r="AO860" s="22" t="s">
        <v>53</v>
      </c>
      <c r="AP860" s="22" t="s">
        <v>53</v>
      </c>
      <c r="AQ860" s="22" t="s">
        <v>53</v>
      </c>
      <c r="AR860" s="35">
        <v>0</v>
      </c>
      <c r="AS860" s="35">
        <v>0</v>
      </c>
      <c r="AT860" s="35">
        <v>0</v>
      </c>
      <c r="AU860" s="31" t="str">
        <f t="shared" si="17"/>
        <v>库存为0</v>
      </c>
      <c r="AV860" s="36" t="str">
        <f>IFERROR(时间!$B$4+AU860,"上周无销量")</f>
        <v>上周无销量</v>
      </c>
    </row>
    <row r="861" spans="1:48">
      <c r="A861" s="20" t="s">
        <v>1945</v>
      </c>
      <c r="B861" t="s">
        <v>1946</v>
      </c>
      <c r="C861" t="s">
        <v>1944</v>
      </c>
      <c r="D861" s="31">
        <v>5</v>
      </c>
      <c r="E861" s="31">
        <v>0</v>
      </c>
      <c r="F861" s="31">
        <v>0</v>
      </c>
      <c r="G861" s="31">
        <v>0</v>
      </c>
      <c r="H861" s="32">
        <v>9</v>
      </c>
      <c r="I861">
        <v>1</v>
      </c>
      <c r="J861" s="33">
        <v>3</v>
      </c>
      <c r="K861" s="33">
        <v>0</v>
      </c>
      <c r="L861" s="33">
        <v>0</v>
      </c>
      <c r="M861">
        <v>4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6</v>
      </c>
      <c r="AK861">
        <v>4</v>
      </c>
      <c r="AL861">
        <v>1</v>
      </c>
      <c r="AM861">
        <v>1</v>
      </c>
      <c r="AN861" s="22">
        <v>0.833333333333333</v>
      </c>
      <c r="AO861" s="22">
        <v>0</v>
      </c>
      <c r="AP861" s="22">
        <v>0</v>
      </c>
      <c r="AQ861" s="22">
        <v>0</v>
      </c>
      <c r="AR861" s="35">
        <v>0.714285714285714</v>
      </c>
      <c r="AS861" s="35">
        <v>42.8571428571429</v>
      </c>
      <c r="AT861" s="35">
        <v>-38.8571428571429</v>
      </c>
      <c r="AU861" s="31">
        <f t="shared" si="17"/>
        <v>5</v>
      </c>
      <c r="AV861" s="36">
        <f>IFERROR(时间!$B$4+AU861,"上周无销量")</f>
        <v>43337</v>
      </c>
    </row>
    <row r="862" spans="1:48">
      <c r="A862" s="20" t="s">
        <v>1947</v>
      </c>
      <c r="B862" t="s">
        <v>1948</v>
      </c>
      <c r="C862" t="s">
        <v>1944</v>
      </c>
      <c r="D862" s="31">
        <v>0</v>
      </c>
      <c r="E862" s="31">
        <v>0</v>
      </c>
      <c r="F862" s="31">
        <v>2</v>
      </c>
      <c r="G862" s="31">
        <v>0</v>
      </c>
      <c r="H862" s="32">
        <v>8.5</v>
      </c>
      <c r="I862">
        <v>13</v>
      </c>
      <c r="J862" s="33">
        <v>3</v>
      </c>
      <c r="K862" s="33">
        <v>0</v>
      </c>
      <c r="L862" s="33">
        <v>0</v>
      </c>
      <c r="M862">
        <v>16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28</v>
      </c>
      <c r="AK862">
        <v>36</v>
      </c>
      <c r="AL862">
        <v>30</v>
      </c>
      <c r="AM862">
        <v>27</v>
      </c>
      <c r="AN862" s="22">
        <v>0</v>
      </c>
      <c r="AO862" s="22">
        <v>0</v>
      </c>
      <c r="AP862" s="22">
        <v>0.0666666666666667</v>
      </c>
      <c r="AQ862" s="22">
        <v>0</v>
      </c>
      <c r="AR862" s="35">
        <v>0</v>
      </c>
      <c r="AS862" s="35">
        <v>0</v>
      </c>
      <c r="AT862" s="35">
        <v>16</v>
      </c>
      <c r="AU862" s="31" t="str">
        <f t="shared" si="17"/>
        <v>库存为16</v>
      </c>
      <c r="AV862" s="36" t="str">
        <f>IFERROR(时间!$B$4+AU862,"上周无销量")</f>
        <v>上周无销量</v>
      </c>
    </row>
    <row r="863" spans="1:48">
      <c r="A863" s="20" t="s">
        <v>1949</v>
      </c>
      <c r="B863" t="s">
        <v>1950</v>
      </c>
      <c r="C863" t="s">
        <v>1944</v>
      </c>
      <c r="D863" s="31">
        <v>1</v>
      </c>
      <c r="E863" s="31">
        <v>0</v>
      </c>
      <c r="F863" s="31">
        <v>0</v>
      </c>
      <c r="G863" s="31">
        <v>0</v>
      </c>
      <c r="H863" s="32">
        <v>9</v>
      </c>
      <c r="I863">
        <v>3</v>
      </c>
      <c r="J863" s="33">
        <v>3</v>
      </c>
      <c r="K863" s="33">
        <v>0</v>
      </c>
      <c r="L863" s="33">
        <v>0</v>
      </c>
      <c r="M863">
        <v>6</v>
      </c>
      <c r="N863">
        <v>0</v>
      </c>
      <c r="O863">
        <v>0</v>
      </c>
      <c r="P863">
        <v>120</v>
      </c>
      <c r="Q863">
        <v>62</v>
      </c>
      <c r="R863">
        <v>37</v>
      </c>
      <c r="S863">
        <v>52</v>
      </c>
      <c r="T863">
        <v>0</v>
      </c>
      <c r="U863">
        <v>0</v>
      </c>
      <c r="V863">
        <v>0</v>
      </c>
      <c r="W863">
        <v>2</v>
      </c>
      <c r="X863" s="22">
        <v>0</v>
      </c>
      <c r="Y863" s="22">
        <v>0</v>
      </c>
      <c r="Z863" s="22">
        <v>0</v>
      </c>
      <c r="AA863" s="22">
        <v>0.0384615384615385</v>
      </c>
      <c r="AB863">
        <v>0</v>
      </c>
      <c r="AC863">
        <v>0</v>
      </c>
      <c r="AD863">
        <v>0</v>
      </c>
      <c r="AE863">
        <v>0.36</v>
      </c>
      <c r="AF863" s="22" t="s">
        <v>53</v>
      </c>
      <c r="AG863" s="22" t="s">
        <v>53</v>
      </c>
      <c r="AH863" s="22" t="s">
        <v>53</v>
      </c>
      <c r="AI863" s="22" t="s">
        <v>1915</v>
      </c>
      <c r="AJ863">
        <v>5</v>
      </c>
      <c r="AK863">
        <v>0</v>
      </c>
      <c r="AL863">
        <v>4</v>
      </c>
      <c r="AM863">
        <v>4</v>
      </c>
      <c r="AN863" s="22">
        <v>0.2</v>
      </c>
      <c r="AO863" s="22" t="s">
        <v>53</v>
      </c>
      <c r="AP863" s="22">
        <v>0</v>
      </c>
      <c r="AQ863" s="22">
        <v>0</v>
      </c>
      <c r="AR863" s="35">
        <v>0.142857142857143</v>
      </c>
      <c r="AS863" s="35">
        <v>8.57142857142857</v>
      </c>
      <c r="AT863" s="35">
        <v>-2.57142857142857</v>
      </c>
      <c r="AU863" s="31">
        <f t="shared" si="17"/>
        <v>42</v>
      </c>
      <c r="AV863" s="36">
        <f>IFERROR(时间!$B$4+AU863,"上周无销量")</f>
        <v>43374</v>
      </c>
    </row>
    <row r="864" spans="1:48">
      <c r="A864" s="20" t="s">
        <v>1951</v>
      </c>
      <c r="B864" t="s">
        <v>1952</v>
      </c>
      <c r="C864" t="s">
        <v>1944</v>
      </c>
      <c r="D864" s="31">
        <v>0</v>
      </c>
      <c r="E864" s="31">
        <v>0</v>
      </c>
      <c r="F864" s="31">
        <v>1</v>
      </c>
      <c r="G864" s="31">
        <v>0</v>
      </c>
      <c r="H864" s="32">
        <v>8</v>
      </c>
      <c r="I864">
        <v>4</v>
      </c>
      <c r="J864" s="33">
        <v>3</v>
      </c>
      <c r="K864" s="33">
        <v>0</v>
      </c>
      <c r="L864" s="33">
        <v>0</v>
      </c>
      <c r="M864">
        <v>7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6</v>
      </c>
      <c r="AK864">
        <v>12</v>
      </c>
      <c r="AL864">
        <v>6</v>
      </c>
      <c r="AM864">
        <v>2</v>
      </c>
      <c r="AN864" s="22">
        <v>0</v>
      </c>
      <c r="AO864" s="22">
        <v>0</v>
      </c>
      <c r="AP864" s="22">
        <v>0.166666666666667</v>
      </c>
      <c r="AQ864" s="22">
        <v>0</v>
      </c>
      <c r="AR864" s="35">
        <v>0</v>
      </c>
      <c r="AS864" s="35">
        <v>0</v>
      </c>
      <c r="AT864" s="35">
        <v>7</v>
      </c>
      <c r="AU864" s="31" t="str">
        <f t="shared" si="17"/>
        <v>库存为7</v>
      </c>
      <c r="AV864" s="36" t="str">
        <f>IFERROR(时间!$B$4+AU864,"上周无销量")</f>
        <v>上周无销量</v>
      </c>
    </row>
    <row r="865" spans="1:48">
      <c r="A865" s="20" t="s">
        <v>1953</v>
      </c>
      <c r="B865" t="s">
        <v>1954</v>
      </c>
      <c r="C865" t="s">
        <v>1944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3</v>
      </c>
      <c r="J865" s="33">
        <v>0</v>
      </c>
      <c r="K865" s="33">
        <v>0</v>
      </c>
      <c r="L865" s="33">
        <v>0</v>
      </c>
      <c r="M865">
        <v>3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13</v>
      </c>
      <c r="AK865">
        <v>10</v>
      </c>
      <c r="AL865">
        <v>7</v>
      </c>
      <c r="AM865">
        <v>2</v>
      </c>
      <c r="AN865" s="22">
        <v>0</v>
      </c>
      <c r="AO865" s="22">
        <v>0</v>
      </c>
      <c r="AP865" s="22">
        <v>0</v>
      </c>
      <c r="AQ865" s="22">
        <v>0</v>
      </c>
      <c r="AR865" s="35">
        <v>0</v>
      </c>
      <c r="AS865" s="35">
        <v>0</v>
      </c>
      <c r="AT865" s="35">
        <v>3</v>
      </c>
      <c r="AU865" s="31" t="str">
        <f t="shared" si="17"/>
        <v>库存为3</v>
      </c>
      <c r="AV865" s="36" t="str">
        <f>IFERROR(时间!$B$4+AU865,"上周无销量")</f>
        <v>上周无销量</v>
      </c>
    </row>
    <row r="866" spans="1:48">
      <c r="A866" s="20" t="s">
        <v>1955</v>
      </c>
      <c r="B866" t="s">
        <v>1956</v>
      </c>
      <c r="C866" t="s">
        <v>1944</v>
      </c>
      <c r="D866" s="31">
        <v>1</v>
      </c>
      <c r="E866" s="31">
        <v>0</v>
      </c>
      <c r="F866" s="31">
        <v>2</v>
      </c>
      <c r="G866" s="31">
        <v>1</v>
      </c>
      <c r="H866" s="32">
        <v>8.75</v>
      </c>
      <c r="I866">
        <v>11</v>
      </c>
      <c r="J866" s="33">
        <v>3</v>
      </c>
      <c r="K866" s="33">
        <v>0</v>
      </c>
      <c r="L866" s="33">
        <v>0</v>
      </c>
      <c r="M866">
        <v>14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12</v>
      </c>
      <c r="T866">
        <v>0</v>
      </c>
      <c r="U866">
        <v>0</v>
      </c>
      <c r="V866">
        <v>0</v>
      </c>
      <c r="W866">
        <v>0</v>
      </c>
      <c r="X866" s="22" t="s">
        <v>53</v>
      </c>
      <c r="Y866" s="22" t="s">
        <v>53</v>
      </c>
      <c r="Z866" s="22" t="s">
        <v>53</v>
      </c>
      <c r="AA866" s="22">
        <v>0</v>
      </c>
      <c r="AB866">
        <v>0</v>
      </c>
      <c r="AC866">
        <v>0</v>
      </c>
      <c r="AD866">
        <v>0</v>
      </c>
      <c r="AE866">
        <v>0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10</v>
      </c>
      <c r="AK866">
        <v>4</v>
      </c>
      <c r="AL866">
        <v>7</v>
      </c>
      <c r="AM866">
        <v>0</v>
      </c>
      <c r="AN866" s="22">
        <v>0.1</v>
      </c>
      <c r="AO866" s="22">
        <v>0</v>
      </c>
      <c r="AP866" s="22">
        <v>0.285714285714286</v>
      </c>
      <c r="AQ866" s="22" t="s">
        <v>53</v>
      </c>
      <c r="AR866" s="35">
        <v>0.142857142857143</v>
      </c>
      <c r="AS866" s="35">
        <v>8.57142857142857</v>
      </c>
      <c r="AT866" s="35">
        <v>5.42857142857143</v>
      </c>
      <c r="AU866" s="31">
        <f t="shared" si="17"/>
        <v>98</v>
      </c>
      <c r="AV866" s="36">
        <f>IFERROR(时间!$B$4+AU866,"上周无销量")</f>
        <v>43430</v>
      </c>
    </row>
    <row r="867" spans="1:48">
      <c r="A867" s="20" t="s">
        <v>1957</v>
      </c>
      <c r="B867" t="s">
        <v>1958</v>
      </c>
      <c r="C867" t="s">
        <v>1944</v>
      </c>
      <c r="D867" s="31">
        <v>1</v>
      </c>
      <c r="E867" s="31">
        <v>0</v>
      </c>
      <c r="F867" s="31">
        <v>0</v>
      </c>
      <c r="G867" s="31">
        <v>3</v>
      </c>
      <c r="H867" s="32">
        <v>8.25</v>
      </c>
      <c r="I867">
        <v>6</v>
      </c>
      <c r="J867" s="33">
        <v>5</v>
      </c>
      <c r="K867" s="33">
        <v>0</v>
      </c>
      <c r="L867" s="33">
        <v>0</v>
      </c>
      <c r="M867">
        <v>11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9</v>
      </c>
      <c r="AK867">
        <v>8</v>
      </c>
      <c r="AL867">
        <v>6</v>
      </c>
      <c r="AM867">
        <v>2</v>
      </c>
      <c r="AN867" s="22">
        <v>0.111111111111111</v>
      </c>
      <c r="AO867" s="22">
        <v>0</v>
      </c>
      <c r="AP867" s="22">
        <v>0</v>
      </c>
      <c r="AQ867" s="22">
        <v>1.5</v>
      </c>
      <c r="AR867" s="35">
        <v>0.142857142857143</v>
      </c>
      <c r="AS867" s="35">
        <v>8.57142857142857</v>
      </c>
      <c r="AT867" s="35">
        <v>2.42857142857143</v>
      </c>
      <c r="AU867" s="31">
        <f t="shared" si="17"/>
        <v>77</v>
      </c>
      <c r="AV867" s="36">
        <f>IFERROR(时间!$B$4+AU867,"上周无销量")</f>
        <v>43409</v>
      </c>
    </row>
    <row r="868" spans="1:48">
      <c r="A868" s="20" t="s">
        <v>1959</v>
      </c>
      <c r="B868" t="s">
        <v>1960</v>
      </c>
      <c r="C868" t="s">
        <v>1944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7</v>
      </c>
      <c r="J868" s="33">
        <v>3</v>
      </c>
      <c r="K868" s="33">
        <v>0</v>
      </c>
      <c r="L868" s="33">
        <v>0</v>
      </c>
      <c r="M868">
        <v>10</v>
      </c>
      <c r="N868">
        <v>0</v>
      </c>
      <c r="O868">
        <v>0</v>
      </c>
      <c r="P868">
        <v>41</v>
      </c>
      <c r="Q868">
        <v>32</v>
      </c>
      <c r="R868">
        <v>54</v>
      </c>
      <c r="S868">
        <v>52</v>
      </c>
      <c r="T868">
        <v>0</v>
      </c>
      <c r="U868">
        <v>1</v>
      </c>
      <c r="V868">
        <v>0</v>
      </c>
      <c r="W868">
        <v>1</v>
      </c>
      <c r="X868" s="22">
        <v>0</v>
      </c>
      <c r="Y868" s="22">
        <v>0.03125</v>
      </c>
      <c r="Z868" s="22">
        <v>0</v>
      </c>
      <c r="AA868" s="22">
        <v>0.0192307692307692</v>
      </c>
      <c r="AB868">
        <v>0</v>
      </c>
      <c r="AC868">
        <v>0.02</v>
      </c>
      <c r="AD868">
        <v>0</v>
      </c>
      <c r="AE868">
        <v>0.15</v>
      </c>
      <c r="AF868" s="22" t="s">
        <v>53</v>
      </c>
      <c r="AG868" s="22" t="s">
        <v>1710</v>
      </c>
      <c r="AH868" s="22" t="s">
        <v>53</v>
      </c>
      <c r="AI868" s="22" t="s">
        <v>1342</v>
      </c>
      <c r="AJ868">
        <v>6</v>
      </c>
      <c r="AK868">
        <v>15</v>
      </c>
      <c r="AL868">
        <v>4</v>
      </c>
      <c r="AM868">
        <v>7</v>
      </c>
      <c r="AN868" s="22">
        <v>0</v>
      </c>
      <c r="AO868" s="22">
        <v>0</v>
      </c>
      <c r="AP868" s="22">
        <v>0</v>
      </c>
      <c r="AQ868" s="22">
        <v>0</v>
      </c>
      <c r="AR868" s="35">
        <v>0</v>
      </c>
      <c r="AS868" s="35">
        <v>0</v>
      </c>
      <c r="AT868" s="35">
        <v>10</v>
      </c>
      <c r="AU868" s="31" t="str">
        <f t="shared" si="17"/>
        <v>库存为10</v>
      </c>
      <c r="AV868" s="36" t="str">
        <f>IFERROR(时间!$B$4+AU868,"上周无销量")</f>
        <v>上周无销量</v>
      </c>
    </row>
    <row r="869" spans="1:48">
      <c r="A869" s="20" t="s">
        <v>1961</v>
      </c>
      <c r="B869" t="s">
        <v>1962</v>
      </c>
      <c r="C869" t="s">
        <v>1944</v>
      </c>
      <c r="D869" s="31">
        <v>1</v>
      </c>
      <c r="E869" s="31">
        <v>0</v>
      </c>
      <c r="F869" s="31">
        <v>0</v>
      </c>
      <c r="G869" s="31">
        <v>1</v>
      </c>
      <c r="H869" s="32">
        <v>8.5</v>
      </c>
      <c r="I869">
        <v>2</v>
      </c>
      <c r="J869" s="33">
        <v>0</v>
      </c>
      <c r="K869" s="33">
        <v>0</v>
      </c>
      <c r="L869" s="33">
        <v>0</v>
      </c>
      <c r="M869">
        <v>2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10</v>
      </c>
      <c r="AK869">
        <v>4</v>
      </c>
      <c r="AL869">
        <v>5</v>
      </c>
      <c r="AM869">
        <v>0</v>
      </c>
      <c r="AN869" s="22">
        <v>0.1</v>
      </c>
      <c r="AO869" s="22">
        <v>0</v>
      </c>
      <c r="AP869" s="22">
        <v>0</v>
      </c>
      <c r="AQ869" s="22" t="s">
        <v>53</v>
      </c>
      <c r="AR869" s="35">
        <v>0.142857142857143</v>
      </c>
      <c r="AS869" s="35">
        <v>8.57142857142857</v>
      </c>
      <c r="AT869" s="35">
        <v>-6.57142857142857</v>
      </c>
      <c r="AU869" s="31">
        <f t="shared" si="17"/>
        <v>14</v>
      </c>
      <c r="AV869" s="36">
        <f>IFERROR(时间!$B$4+AU869,"上周无销量")</f>
        <v>43346</v>
      </c>
    </row>
    <row r="870" spans="1:48">
      <c r="A870" s="20" t="s">
        <v>1963</v>
      </c>
      <c r="B870" t="s">
        <v>1964</v>
      </c>
      <c r="C870" t="s">
        <v>1944</v>
      </c>
      <c r="D870" s="31">
        <v>2</v>
      </c>
      <c r="E870" s="31">
        <v>1</v>
      </c>
      <c r="F870" s="31">
        <v>0</v>
      </c>
      <c r="G870" s="31">
        <v>0</v>
      </c>
      <c r="H870" s="32">
        <v>9</v>
      </c>
      <c r="I870">
        <v>6</v>
      </c>
      <c r="J870" s="33">
        <v>0</v>
      </c>
      <c r="K870" s="33">
        <v>0</v>
      </c>
      <c r="L870" s="33">
        <v>0</v>
      </c>
      <c r="M870">
        <v>6</v>
      </c>
      <c r="N870">
        <v>0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25</v>
      </c>
      <c r="AK870">
        <v>7</v>
      </c>
      <c r="AL870">
        <v>6</v>
      </c>
      <c r="AM870">
        <v>3</v>
      </c>
      <c r="AN870" s="22">
        <v>0.08</v>
      </c>
      <c r="AO870" s="22">
        <v>0.142857142857143</v>
      </c>
      <c r="AP870" s="22">
        <v>0</v>
      </c>
      <c r="AQ870" s="22">
        <v>0</v>
      </c>
      <c r="AR870" s="35">
        <v>0.285714285714286</v>
      </c>
      <c r="AS870" s="35">
        <v>17.1428571428571</v>
      </c>
      <c r="AT870" s="35">
        <v>-11.1428571428571</v>
      </c>
      <c r="AU870" s="31">
        <f t="shared" si="17"/>
        <v>21</v>
      </c>
      <c r="AV870" s="36">
        <f>IFERROR(时间!$B$4+AU870,"上周无销量")</f>
        <v>43353</v>
      </c>
    </row>
    <row r="871" spans="1:48">
      <c r="A871" s="20" t="s">
        <v>1965</v>
      </c>
      <c r="B871" t="s">
        <v>1966</v>
      </c>
      <c r="C871" t="s">
        <v>1944</v>
      </c>
      <c r="D871" s="31">
        <v>1</v>
      </c>
      <c r="E871" s="31">
        <v>3</v>
      </c>
      <c r="F871" s="31">
        <v>1</v>
      </c>
      <c r="G871" s="31">
        <v>1</v>
      </c>
      <c r="H871" s="32">
        <v>8.83333333333333</v>
      </c>
      <c r="I871">
        <v>2</v>
      </c>
      <c r="J871" s="33">
        <v>0</v>
      </c>
      <c r="K871" s="33">
        <v>0</v>
      </c>
      <c r="L871" s="33">
        <v>0</v>
      </c>
      <c r="M871">
        <v>2</v>
      </c>
      <c r="N871">
        <v>0</v>
      </c>
      <c r="O871">
        <v>0</v>
      </c>
      <c r="P871">
        <v>3129</v>
      </c>
      <c r="Q871">
        <v>1059</v>
      </c>
      <c r="R871">
        <v>370</v>
      </c>
      <c r="S871">
        <v>629</v>
      </c>
      <c r="T871">
        <v>25</v>
      </c>
      <c r="U871">
        <v>12</v>
      </c>
      <c r="V871">
        <v>5</v>
      </c>
      <c r="W871">
        <v>12</v>
      </c>
      <c r="X871" s="22">
        <v>0.00798977309044423</v>
      </c>
      <c r="Y871" s="22">
        <v>0.0113314447592068</v>
      </c>
      <c r="Z871" s="22">
        <v>0.0135135135135135</v>
      </c>
      <c r="AA871" s="22">
        <v>0.0190779014308426</v>
      </c>
      <c r="AB871">
        <v>4.06</v>
      </c>
      <c r="AC871">
        <v>1.97</v>
      </c>
      <c r="AD871">
        <v>0.87</v>
      </c>
      <c r="AE871">
        <v>3.03</v>
      </c>
      <c r="AF871" s="22">
        <v>0.459622641509434</v>
      </c>
      <c r="AG871" s="22">
        <v>0.0743396226415095</v>
      </c>
      <c r="AH871" s="22">
        <v>0.0984905660377359</v>
      </c>
      <c r="AI871" s="22">
        <v>0.343018867924528</v>
      </c>
      <c r="AJ871">
        <v>33</v>
      </c>
      <c r="AK871">
        <v>20</v>
      </c>
      <c r="AL871">
        <v>12</v>
      </c>
      <c r="AM871">
        <v>15</v>
      </c>
      <c r="AN871" s="22">
        <v>0.0303030303030303</v>
      </c>
      <c r="AO871" s="22">
        <v>0.15</v>
      </c>
      <c r="AP871" s="22">
        <v>0.0833333333333333</v>
      </c>
      <c r="AQ871" s="22">
        <v>0.0666666666666667</v>
      </c>
      <c r="AR871" s="35">
        <v>0.142857142857143</v>
      </c>
      <c r="AS871" s="35">
        <v>8.57142857142857</v>
      </c>
      <c r="AT871" s="35">
        <v>-6.57142857142857</v>
      </c>
      <c r="AU871" s="31">
        <f t="shared" si="17"/>
        <v>14</v>
      </c>
      <c r="AV871" s="36">
        <f>IFERROR(时间!$B$4+AU871,"上周无销量")</f>
        <v>43346</v>
      </c>
    </row>
    <row r="872" spans="1:48">
      <c r="A872" s="20" t="s">
        <v>1967</v>
      </c>
      <c r="B872" t="s">
        <v>1968</v>
      </c>
      <c r="C872" t="s">
        <v>1944</v>
      </c>
      <c r="D872" s="31">
        <v>3</v>
      </c>
      <c r="E872" s="31">
        <v>2</v>
      </c>
      <c r="F872" s="31">
        <v>1</v>
      </c>
      <c r="G872" s="31">
        <v>1</v>
      </c>
      <c r="H872" s="32">
        <v>8.85714285714286</v>
      </c>
      <c r="I872">
        <v>2</v>
      </c>
      <c r="J872" s="33">
        <v>0</v>
      </c>
      <c r="K872" s="33">
        <v>0</v>
      </c>
      <c r="L872" s="33">
        <v>0</v>
      </c>
      <c r="M872">
        <v>2</v>
      </c>
      <c r="N872">
        <v>0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26</v>
      </c>
      <c r="AK872">
        <v>7</v>
      </c>
      <c r="AL872">
        <v>6</v>
      </c>
      <c r="AM872">
        <v>2</v>
      </c>
      <c r="AN872" s="22">
        <v>0.115384615384615</v>
      </c>
      <c r="AO872" s="22">
        <v>0.285714285714286</v>
      </c>
      <c r="AP872" s="22">
        <v>0.166666666666667</v>
      </c>
      <c r="AQ872" s="22">
        <v>0.5</v>
      </c>
      <c r="AR872" s="35">
        <v>0.428571428571429</v>
      </c>
      <c r="AS872" s="35">
        <v>25.7142857142857</v>
      </c>
      <c r="AT872" s="35">
        <v>-23.7142857142857</v>
      </c>
      <c r="AU872" s="31">
        <f t="shared" si="17"/>
        <v>4</v>
      </c>
      <c r="AV872" s="36">
        <f>IFERROR(时间!$B$4+AU872,"上周无销量")</f>
        <v>43336</v>
      </c>
    </row>
    <row r="873" spans="1:48">
      <c r="A873" s="20" t="s">
        <v>1969</v>
      </c>
      <c r="B873" t="s">
        <v>1970</v>
      </c>
      <c r="C873" t="s">
        <v>1944</v>
      </c>
      <c r="D873" s="31">
        <v>2</v>
      </c>
      <c r="E873" s="31">
        <v>0</v>
      </c>
      <c r="F873" s="31">
        <v>1</v>
      </c>
      <c r="G873" s="31">
        <v>6</v>
      </c>
      <c r="H873" s="32">
        <v>8.33333333333333</v>
      </c>
      <c r="I873">
        <v>15</v>
      </c>
      <c r="J873" s="33">
        <v>0</v>
      </c>
      <c r="K873" s="33">
        <v>0</v>
      </c>
      <c r="L873" s="33">
        <v>0</v>
      </c>
      <c r="M873">
        <v>15</v>
      </c>
      <c r="N873">
        <v>0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19</v>
      </c>
      <c r="AK873">
        <v>3</v>
      </c>
      <c r="AL873">
        <v>5</v>
      </c>
      <c r="AM873">
        <v>10</v>
      </c>
      <c r="AN873" s="22">
        <v>0.105263157894737</v>
      </c>
      <c r="AO873" s="22">
        <v>0</v>
      </c>
      <c r="AP873" s="22">
        <v>0.2</v>
      </c>
      <c r="AQ873" s="22">
        <v>0.6</v>
      </c>
      <c r="AR873" s="35">
        <v>0.285714285714286</v>
      </c>
      <c r="AS873" s="35">
        <v>17.1428571428571</v>
      </c>
      <c r="AT873" s="35">
        <v>-2.14285714285714</v>
      </c>
      <c r="AU873" s="31">
        <f t="shared" si="17"/>
        <v>52</v>
      </c>
      <c r="AV873" s="36">
        <f>IFERROR(时间!$B$4+AU873,"上周无销量")</f>
        <v>43384</v>
      </c>
    </row>
    <row r="874" spans="1:48">
      <c r="A874" s="20" t="s">
        <v>1971</v>
      </c>
      <c r="B874" t="s">
        <v>1972</v>
      </c>
      <c r="C874" t="s">
        <v>1944</v>
      </c>
      <c r="D874" s="31">
        <v>1</v>
      </c>
      <c r="E874" s="31">
        <v>3</v>
      </c>
      <c r="F874" s="31">
        <v>2</v>
      </c>
      <c r="G874" s="31">
        <v>5</v>
      </c>
      <c r="H874" s="32">
        <v>8.45454545454546</v>
      </c>
      <c r="I874">
        <v>26</v>
      </c>
      <c r="J874" s="33">
        <v>0</v>
      </c>
      <c r="K874" s="33">
        <v>0</v>
      </c>
      <c r="L874" s="33">
        <v>0</v>
      </c>
      <c r="M874">
        <v>26</v>
      </c>
      <c r="N874">
        <v>0</v>
      </c>
      <c r="O874">
        <v>0</v>
      </c>
      <c r="P874">
        <v>263</v>
      </c>
      <c r="Q874">
        <v>315</v>
      </c>
      <c r="R874">
        <v>244</v>
      </c>
      <c r="S874">
        <v>85</v>
      </c>
      <c r="T874">
        <v>5</v>
      </c>
      <c r="U874">
        <v>4</v>
      </c>
      <c r="V874">
        <v>4</v>
      </c>
      <c r="W874">
        <v>3</v>
      </c>
      <c r="X874" s="22">
        <v>0.0190114068441065</v>
      </c>
      <c r="Y874" s="22">
        <v>0.0126984126984127</v>
      </c>
      <c r="Z874" s="22">
        <v>0.0163934426229508</v>
      </c>
      <c r="AA874" s="22">
        <v>0.0352941176470588</v>
      </c>
      <c r="AB874">
        <v>0.37</v>
      </c>
      <c r="AC874">
        <v>0.74</v>
      </c>
      <c r="AD874">
        <v>0.99</v>
      </c>
      <c r="AE874">
        <v>0.95</v>
      </c>
      <c r="AF874" s="22">
        <v>0.043763440860215</v>
      </c>
      <c r="AG874" s="22">
        <v>0.0291756272401433</v>
      </c>
      <c r="AH874" s="22">
        <v>0.0585483870967742</v>
      </c>
      <c r="AI874" s="22">
        <v>0.0224731182795699</v>
      </c>
      <c r="AJ874">
        <v>13</v>
      </c>
      <c r="AK874">
        <v>29</v>
      </c>
      <c r="AL874">
        <v>10</v>
      </c>
      <c r="AM874">
        <v>21</v>
      </c>
      <c r="AN874" s="22">
        <v>0.0769230769230769</v>
      </c>
      <c r="AO874" s="22">
        <v>0.103448275862069</v>
      </c>
      <c r="AP874" s="22">
        <v>0.2</v>
      </c>
      <c r="AQ874" s="22">
        <v>0.238095238095238</v>
      </c>
      <c r="AR874" s="35">
        <v>0.142857142857143</v>
      </c>
      <c r="AS874" s="35">
        <v>8.57142857142857</v>
      </c>
      <c r="AT874" s="35">
        <v>17.4285714285714</v>
      </c>
      <c r="AU874" s="31">
        <f t="shared" si="17"/>
        <v>182</v>
      </c>
      <c r="AV874" s="36">
        <f>IFERROR(时间!$B$4+AU874,"上周无销量")</f>
        <v>43514</v>
      </c>
    </row>
    <row r="875" spans="1:48">
      <c r="A875" s="20" t="s">
        <v>1973</v>
      </c>
      <c r="B875" t="s">
        <v>1974</v>
      </c>
      <c r="C875" t="s">
        <v>1944</v>
      </c>
      <c r="D875" s="31">
        <v>2</v>
      </c>
      <c r="E875" s="31">
        <v>1</v>
      </c>
      <c r="F875" s="31">
        <v>1</v>
      </c>
      <c r="G875" s="31">
        <v>0</v>
      </c>
      <c r="H875" s="32">
        <v>9</v>
      </c>
      <c r="I875">
        <v>3</v>
      </c>
      <c r="J875" s="33">
        <v>0</v>
      </c>
      <c r="K875" s="33">
        <v>0</v>
      </c>
      <c r="L875" s="33">
        <v>0</v>
      </c>
      <c r="M875">
        <v>3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127</v>
      </c>
      <c r="T875">
        <v>0</v>
      </c>
      <c r="U875">
        <v>0</v>
      </c>
      <c r="V875">
        <v>0</v>
      </c>
      <c r="W875">
        <v>5</v>
      </c>
      <c r="X875" s="22" t="s">
        <v>53</v>
      </c>
      <c r="Y875" s="22" t="s">
        <v>53</v>
      </c>
      <c r="Z875" s="22" t="s">
        <v>53</v>
      </c>
      <c r="AA875" s="22">
        <v>0.0393700787401575</v>
      </c>
      <c r="AB875">
        <v>0</v>
      </c>
      <c r="AC875">
        <v>0</v>
      </c>
      <c r="AD875">
        <v>0</v>
      </c>
      <c r="AE875">
        <v>1.24</v>
      </c>
      <c r="AF875" s="22" t="s">
        <v>53</v>
      </c>
      <c r="AG875" s="22" t="s">
        <v>53</v>
      </c>
      <c r="AH875" s="22" t="s">
        <v>53</v>
      </c>
      <c r="AI875" s="22" t="s">
        <v>486</v>
      </c>
      <c r="AJ875">
        <v>17</v>
      </c>
      <c r="AK875">
        <v>7</v>
      </c>
      <c r="AL875">
        <v>8</v>
      </c>
      <c r="AM875">
        <v>8</v>
      </c>
      <c r="AN875" s="22">
        <v>0.117647058823529</v>
      </c>
      <c r="AO875" s="22">
        <v>0.142857142857143</v>
      </c>
      <c r="AP875" s="22">
        <v>0.125</v>
      </c>
      <c r="AQ875" s="22">
        <v>0</v>
      </c>
      <c r="AR875" s="35">
        <v>0.285714285714286</v>
      </c>
      <c r="AS875" s="35">
        <v>17.1428571428571</v>
      </c>
      <c r="AT875" s="35">
        <v>-14.1428571428571</v>
      </c>
      <c r="AU875" s="31">
        <f t="shared" si="17"/>
        <v>10</v>
      </c>
      <c r="AV875" s="36">
        <f>IFERROR(时间!$B$4+AU875,"上周无销量")</f>
        <v>43342</v>
      </c>
    </row>
    <row r="876" spans="1:48">
      <c r="A876" s="20" t="s">
        <v>1975</v>
      </c>
      <c r="B876" t="s">
        <v>1976</v>
      </c>
      <c r="C876" t="s">
        <v>1977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73</v>
      </c>
      <c r="AK876">
        <v>122</v>
      </c>
      <c r="AL876">
        <v>57</v>
      </c>
      <c r="AM876">
        <v>0</v>
      </c>
      <c r="AN876" s="22">
        <v>0</v>
      </c>
      <c r="AO876" s="22">
        <v>0</v>
      </c>
      <c r="AP876" s="22">
        <v>0</v>
      </c>
      <c r="AQ876" s="22" t="s">
        <v>53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1978</v>
      </c>
      <c r="B877" t="s">
        <v>1979</v>
      </c>
      <c r="C877" t="s">
        <v>1977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68</v>
      </c>
      <c r="AK877">
        <v>91</v>
      </c>
      <c r="AL877">
        <v>38</v>
      </c>
      <c r="AM877">
        <v>20</v>
      </c>
      <c r="AN877" s="22">
        <v>0</v>
      </c>
      <c r="AO877" s="22">
        <v>0</v>
      </c>
      <c r="AP877" s="22">
        <v>0</v>
      </c>
      <c r="AQ877" s="22">
        <v>0</v>
      </c>
      <c r="AR877" s="35">
        <v>0</v>
      </c>
      <c r="AS877" s="35">
        <v>0</v>
      </c>
      <c r="AT877" s="35">
        <v>0</v>
      </c>
      <c r="AU877" s="31" t="str">
        <f t="shared" si="17"/>
        <v>库存为0</v>
      </c>
      <c r="AV877" s="36" t="str">
        <f>IFERROR(时间!$B$4+AU877,"上周无销量")</f>
        <v>上周无销量</v>
      </c>
    </row>
    <row r="878" spans="1:48">
      <c r="A878" s="20" t="s">
        <v>1980</v>
      </c>
      <c r="B878" t="s">
        <v>1981</v>
      </c>
      <c r="C878" t="s">
        <v>1977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505</v>
      </c>
      <c r="AK878">
        <v>409</v>
      </c>
      <c r="AL878">
        <v>237</v>
      </c>
      <c r="AM878">
        <v>14</v>
      </c>
      <c r="AN878" s="22">
        <v>0</v>
      </c>
      <c r="AO878" s="22">
        <v>0</v>
      </c>
      <c r="AP878" s="22">
        <v>0</v>
      </c>
      <c r="AQ878" s="22">
        <v>0</v>
      </c>
      <c r="AR878" s="35">
        <v>0</v>
      </c>
      <c r="AS878" s="35">
        <v>0</v>
      </c>
      <c r="AT878" s="35">
        <v>0</v>
      </c>
      <c r="AU878" s="31" t="str">
        <f t="shared" si="17"/>
        <v>库存为0</v>
      </c>
      <c r="AV878" s="36" t="str">
        <f>IFERROR(时间!$B$4+AU878,"上周无销量")</f>
        <v>上周无销量</v>
      </c>
    </row>
    <row r="879" spans="1:48">
      <c r="A879" s="20" t="s">
        <v>1982</v>
      </c>
      <c r="B879" t="s">
        <v>1983</v>
      </c>
      <c r="C879" t="s">
        <v>1977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60</v>
      </c>
      <c r="AK879">
        <v>127</v>
      </c>
      <c r="AL879">
        <v>52</v>
      </c>
      <c r="AM879">
        <v>43</v>
      </c>
      <c r="AN879" s="22">
        <v>0</v>
      </c>
      <c r="AO879" s="22">
        <v>0</v>
      </c>
      <c r="AP879" s="22">
        <v>0</v>
      </c>
      <c r="AQ879" s="22">
        <v>0</v>
      </c>
      <c r="AR879" s="35">
        <v>0</v>
      </c>
      <c r="AS879" s="35">
        <v>0</v>
      </c>
      <c r="AT879" s="35">
        <v>0</v>
      </c>
      <c r="AU879" s="31" t="str">
        <f t="shared" si="17"/>
        <v>库存为0</v>
      </c>
      <c r="AV879" s="36" t="str">
        <f>IFERROR(时间!$B$4+AU879,"上周无销量")</f>
        <v>上周无销量</v>
      </c>
    </row>
    <row r="880" spans="1:48">
      <c r="A880" s="20" t="s">
        <v>1984</v>
      </c>
      <c r="B880" t="s">
        <v>1985</v>
      </c>
      <c r="C880" t="s">
        <v>1977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96</v>
      </c>
      <c r="AK880">
        <v>104</v>
      </c>
      <c r="AL880">
        <v>46</v>
      </c>
      <c r="AM880">
        <v>18</v>
      </c>
      <c r="AN880" s="22">
        <v>0</v>
      </c>
      <c r="AO880" s="22">
        <v>0</v>
      </c>
      <c r="AP880" s="22">
        <v>0</v>
      </c>
      <c r="AQ880" s="22">
        <v>0</v>
      </c>
      <c r="AR880" s="35">
        <v>0</v>
      </c>
      <c r="AS880" s="35">
        <v>0</v>
      </c>
      <c r="AT880" s="35">
        <v>0</v>
      </c>
      <c r="AU880" s="31" t="str">
        <f t="shared" si="17"/>
        <v>库存为0</v>
      </c>
      <c r="AV880" s="36" t="str">
        <f>IFERROR(时间!$B$4+AU880,"上周无销量")</f>
        <v>上周无销量</v>
      </c>
    </row>
    <row r="881" spans="1:48">
      <c r="A881" s="20" t="s">
        <v>1986</v>
      </c>
      <c r="B881" t="s">
        <v>1987</v>
      </c>
      <c r="C881" t="s">
        <v>1977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132</v>
      </c>
      <c r="AK881">
        <v>101</v>
      </c>
      <c r="AL881">
        <v>35</v>
      </c>
      <c r="AM881">
        <v>23</v>
      </c>
      <c r="AN881" s="22">
        <v>0</v>
      </c>
      <c r="AO881" s="22">
        <v>0</v>
      </c>
      <c r="AP881" s="22">
        <v>0</v>
      </c>
      <c r="AQ881" s="22">
        <v>0</v>
      </c>
      <c r="AR881" s="35">
        <v>0</v>
      </c>
      <c r="AS881" s="35">
        <v>0</v>
      </c>
      <c r="AT881" s="35">
        <v>0</v>
      </c>
      <c r="AU881" s="31" t="str">
        <f t="shared" si="17"/>
        <v>库存为0</v>
      </c>
      <c r="AV881" s="36" t="str">
        <f>IFERROR(时间!$B$4+AU881,"上周无销量")</f>
        <v>上周无销量</v>
      </c>
    </row>
    <row r="882" spans="1:48">
      <c r="A882" s="20" t="s">
        <v>1988</v>
      </c>
      <c r="B882" t="s">
        <v>1989</v>
      </c>
      <c r="C882" t="s">
        <v>1990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877</v>
      </c>
      <c r="AK882">
        <v>648</v>
      </c>
      <c r="AL882">
        <v>485</v>
      </c>
      <c r="AM882">
        <v>291</v>
      </c>
      <c r="AN882" s="22">
        <v>0</v>
      </c>
      <c r="AO882" s="22">
        <v>0</v>
      </c>
      <c r="AP882" s="22">
        <v>0</v>
      </c>
      <c r="AQ882" s="22">
        <v>0</v>
      </c>
      <c r="AR882" s="35">
        <v>0</v>
      </c>
      <c r="AS882" s="35">
        <v>0</v>
      </c>
      <c r="AT882" s="35">
        <v>0</v>
      </c>
      <c r="AU882" s="31" t="str">
        <f t="shared" si="17"/>
        <v>库存为0</v>
      </c>
      <c r="AV882" s="36" t="str">
        <f>IFERROR(时间!$B$4+AU882,"上周无销量")</f>
        <v>上周无销量</v>
      </c>
    </row>
    <row r="883" spans="1:48">
      <c r="A883" s="20" t="s">
        <v>1991</v>
      </c>
      <c r="B883" t="s">
        <v>1992</v>
      </c>
      <c r="C883" t="s">
        <v>1990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62</v>
      </c>
      <c r="AK883">
        <v>993</v>
      </c>
      <c r="AL883">
        <v>786</v>
      </c>
      <c r="AM883">
        <v>510</v>
      </c>
      <c r="AN883" s="22">
        <v>0</v>
      </c>
      <c r="AO883" s="22">
        <v>0</v>
      </c>
      <c r="AP883" s="22">
        <v>0</v>
      </c>
      <c r="AQ883" s="22">
        <v>0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1993</v>
      </c>
      <c r="B884" t="s">
        <v>1994</v>
      </c>
      <c r="C884" t="s">
        <v>1990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507</v>
      </c>
      <c r="AK884">
        <v>441</v>
      </c>
      <c r="AL884">
        <v>381</v>
      </c>
      <c r="AM884">
        <v>193</v>
      </c>
      <c r="AN884" s="22">
        <v>0</v>
      </c>
      <c r="AO884" s="22">
        <v>0</v>
      </c>
      <c r="AP884" s="22">
        <v>0</v>
      </c>
      <c r="AQ884" s="22">
        <v>0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20" t="s">
        <v>1995</v>
      </c>
      <c r="B885" t="s">
        <v>1669</v>
      </c>
      <c r="C885" t="s">
        <v>1996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557</v>
      </c>
      <c r="AK885">
        <v>583</v>
      </c>
      <c r="AL885">
        <v>461</v>
      </c>
      <c r="AM885">
        <v>24</v>
      </c>
      <c r="AN885" s="22">
        <v>0</v>
      </c>
      <c r="AO885" s="22">
        <v>0</v>
      </c>
      <c r="AP885" s="22">
        <v>0</v>
      </c>
      <c r="AQ885" s="22">
        <v>0</v>
      </c>
      <c r="AR885" s="35">
        <v>0</v>
      </c>
      <c r="AS885" s="35">
        <v>0</v>
      </c>
      <c r="AT885" s="35">
        <v>0</v>
      </c>
      <c r="AU885" s="31" t="str">
        <f t="shared" si="17"/>
        <v>库存为0</v>
      </c>
      <c r="AV885" s="36" t="str">
        <f>IFERROR(时间!$B$4+AU885,"上周无销量")</f>
        <v>上周无销量</v>
      </c>
    </row>
    <row r="886" spans="1:48">
      <c r="A886" s="20" t="s">
        <v>1997</v>
      </c>
      <c r="B886" t="s">
        <v>1361</v>
      </c>
      <c r="C886" t="s">
        <v>1996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1094</v>
      </c>
      <c r="AK886">
        <v>857</v>
      </c>
      <c r="AL886">
        <v>657</v>
      </c>
      <c r="AM886">
        <v>379</v>
      </c>
      <c r="AN886" s="22">
        <v>0</v>
      </c>
      <c r="AO886" s="22">
        <v>0</v>
      </c>
      <c r="AP886" s="22">
        <v>0</v>
      </c>
      <c r="AQ886" s="22">
        <v>0</v>
      </c>
      <c r="AR886" s="35">
        <v>0</v>
      </c>
      <c r="AS886" s="35">
        <v>0</v>
      </c>
      <c r="AT886" s="35">
        <v>0</v>
      </c>
      <c r="AU886" s="31" t="str">
        <f t="shared" si="17"/>
        <v>库存为0</v>
      </c>
      <c r="AV886" s="36" t="str">
        <f>IFERROR(时间!$B$4+AU886,"上周无销量")</f>
        <v>上周无销量</v>
      </c>
    </row>
    <row r="887" spans="1:48">
      <c r="A887" s="20" t="s">
        <v>1998</v>
      </c>
      <c r="B887" t="s">
        <v>1365</v>
      </c>
      <c r="C887" t="s">
        <v>1996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735</v>
      </c>
      <c r="AK887">
        <v>631</v>
      </c>
      <c r="AL887">
        <v>468</v>
      </c>
      <c r="AM887">
        <v>627</v>
      </c>
      <c r="AN887" s="22">
        <v>0</v>
      </c>
      <c r="AO887" s="22">
        <v>0</v>
      </c>
      <c r="AP887" s="22">
        <v>0</v>
      </c>
      <c r="AQ887" s="22">
        <v>0</v>
      </c>
      <c r="AR887" s="35">
        <v>0</v>
      </c>
      <c r="AS887" s="35">
        <v>0</v>
      </c>
      <c r="AT887" s="35">
        <v>0</v>
      </c>
      <c r="AU887" s="31" t="str">
        <f t="shared" si="17"/>
        <v>库存为0</v>
      </c>
      <c r="AV887" s="36" t="str">
        <f>IFERROR(时间!$B$4+AU887,"上周无销量")</f>
        <v>上周无销量</v>
      </c>
    </row>
    <row r="888" spans="1:48">
      <c r="A888" s="20" t="s">
        <v>1999</v>
      </c>
      <c r="B888" t="s">
        <v>1363</v>
      </c>
      <c r="C888" t="s">
        <v>1996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6051</v>
      </c>
      <c r="AK888">
        <v>3988</v>
      </c>
      <c r="AL888">
        <v>3111</v>
      </c>
      <c r="AM888">
        <v>3061</v>
      </c>
      <c r="AN888" s="22">
        <v>0</v>
      </c>
      <c r="AO888" s="22">
        <v>0</v>
      </c>
      <c r="AP888" s="22">
        <v>0</v>
      </c>
      <c r="AQ888" s="22">
        <v>0</v>
      </c>
      <c r="AR888" s="35">
        <v>0</v>
      </c>
      <c r="AS888" s="35">
        <v>0</v>
      </c>
      <c r="AT888" s="35">
        <v>0</v>
      </c>
      <c r="AU888" s="31" t="str">
        <f t="shared" si="17"/>
        <v>库存为0</v>
      </c>
      <c r="AV888" s="36" t="str">
        <f>IFERROR(时间!$B$4+AU888,"上周无销量")</f>
        <v>上周无销量</v>
      </c>
    </row>
    <row r="889" spans="1:48">
      <c r="A889" s="20" t="s">
        <v>2000</v>
      </c>
      <c r="B889" t="s">
        <v>1369</v>
      </c>
      <c r="C889" t="s">
        <v>1996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0</v>
      </c>
      <c r="AK889">
        <v>161</v>
      </c>
      <c r="AL889">
        <v>431</v>
      </c>
      <c r="AM889">
        <v>642</v>
      </c>
      <c r="AN889" s="22" t="s">
        <v>53</v>
      </c>
      <c r="AO889" s="22">
        <v>0</v>
      </c>
      <c r="AP889" s="22">
        <v>0</v>
      </c>
      <c r="AQ889" s="22">
        <v>0</v>
      </c>
      <c r="AR889" s="35">
        <v>0</v>
      </c>
      <c r="AS889" s="35">
        <v>0</v>
      </c>
      <c r="AT889" s="35">
        <v>0</v>
      </c>
      <c r="AU889" s="31" t="str">
        <f t="shared" si="17"/>
        <v>库存为0</v>
      </c>
      <c r="AV889" s="36" t="str">
        <f>IFERROR(时间!$B$4+AU889,"上周无销量")</f>
        <v>上周无销量</v>
      </c>
    </row>
    <row r="890" spans="1:48">
      <c r="A890" s="20" t="s">
        <v>2001</v>
      </c>
      <c r="B890" t="s">
        <v>1359</v>
      </c>
      <c r="C890" t="s">
        <v>1996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744</v>
      </c>
      <c r="AK890">
        <v>584</v>
      </c>
      <c r="AL890">
        <v>557</v>
      </c>
      <c r="AM890">
        <v>855</v>
      </c>
      <c r="AN890" s="22">
        <v>0</v>
      </c>
      <c r="AO890" s="22">
        <v>0</v>
      </c>
      <c r="AP890" s="22">
        <v>0</v>
      </c>
      <c r="AQ890" s="22">
        <v>0</v>
      </c>
      <c r="AR890" s="35">
        <v>0</v>
      </c>
      <c r="AS890" s="35">
        <v>0</v>
      </c>
      <c r="AT890" s="35">
        <v>0</v>
      </c>
      <c r="AU890" s="31" t="str">
        <f t="shared" si="17"/>
        <v>库存为0</v>
      </c>
      <c r="AV890" s="36" t="str">
        <f>IFERROR(时间!$B$4+AU890,"上周无销量")</f>
        <v>上周无销量</v>
      </c>
    </row>
    <row r="891" spans="1:48">
      <c r="A891" s="20" t="s">
        <v>2002</v>
      </c>
      <c r="B891" t="s">
        <v>1354</v>
      </c>
      <c r="C891" t="s">
        <v>1996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968</v>
      </c>
      <c r="AK891">
        <v>952</v>
      </c>
      <c r="AL891">
        <v>799</v>
      </c>
      <c r="AM891">
        <v>636</v>
      </c>
      <c r="AN891" s="22">
        <v>0</v>
      </c>
      <c r="AO891" s="22">
        <v>0</v>
      </c>
      <c r="AP891" s="22">
        <v>0</v>
      </c>
      <c r="AQ891" s="22">
        <v>0</v>
      </c>
      <c r="AR891" s="35">
        <v>0</v>
      </c>
      <c r="AS891" s="35">
        <v>0</v>
      </c>
      <c r="AT891" s="35">
        <v>0</v>
      </c>
      <c r="AU891" s="31" t="str">
        <f t="shared" si="17"/>
        <v>库存为0</v>
      </c>
      <c r="AV891" s="36" t="str">
        <f>IFERROR(时间!$B$4+AU891,"上周无销量")</f>
        <v>上周无销量</v>
      </c>
    </row>
    <row r="892" spans="1:48">
      <c r="A892" s="20" t="s">
        <v>2003</v>
      </c>
      <c r="B892" t="s">
        <v>1357</v>
      </c>
      <c r="C892" t="s">
        <v>1996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3445</v>
      </c>
      <c r="AK892">
        <v>3358</v>
      </c>
      <c r="AL892">
        <v>2544</v>
      </c>
      <c r="AM892">
        <v>2494</v>
      </c>
      <c r="AN892" s="22">
        <v>0</v>
      </c>
      <c r="AO892" s="22">
        <v>0</v>
      </c>
      <c r="AP892" s="22">
        <v>0</v>
      </c>
      <c r="AQ892" s="22">
        <v>0</v>
      </c>
      <c r="AR892" s="35">
        <v>0</v>
      </c>
      <c r="AS892" s="35">
        <v>0</v>
      </c>
      <c r="AT892" s="35">
        <v>0</v>
      </c>
      <c r="AU892" s="31" t="str">
        <f t="shared" si="17"/>
        <v>库存为0</v>
      </c>
      <c r="AV892" s="36" t="str">
        <f>IFERROR(时间!$B$4+AU892,"上周无销量")</f>
        <v>上周无销量</v>
      </c>
    </row>
    <row r="893" spans="1:48">
      <c r="A893" s="20" t="s">
        <v>2004</v>
      </c>
      <c r="B893" t="s">
        <v>1671</v>
      </c>
      <c r="C893" t="s">
        <v>1996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676</v>
      </c>
      <c r="AK893">
        <v>688</v>
      </c>
      <c r="AL893">
        <v>517</v>
      </c>
      <c r="AM893">
        <v>660</v>
      </c>
      <c r="AN893" s="22">
        <v>0</v>
      </c>
      <c r="AO893" s="22">
        <v>0</v>
      </c>
      <c r="AP893" s="22">
        <v>0</v>
      </c>
      <c r="AQ893" s="22">
        <v>0</v>
      </c>
      <c r="AR893" s="35">
        <v>0</v>
      </c>
      <c r="AS893" s="35">
        <v>0</v>
      </c>
      <c r="AT893" s="35">
        <v>0</v>
      </c>
      <c r="AU893" s="31" t="str">
        <f t="shared" si="17"/>
        <v>库存为0</v>
      </c>
      <c r="AV893" s="36" t="str">
        <f>IFERROR(时间!$B$4+AU893,"上周无销量")</f>
        <v>上周无销量</v>
      </c>
    </row>
    <row r="894" spans="1:48">
      <c r="A894" s="20" t="s">
        <v>2005</v>
      </c>
      <c r="B894" t="s">
        <v>1377</v>
      </c>
      <c r="C894" t="s">
        <v>1996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807</v>
      </c>
      <c r="AK894">
        <v>863</v>
      </c>
      <c r="AL894">
        <v>747</v>
      </c>
      <c r="AM894">
        <v>976</v>
      </c>
      <c r="AN894" s="22">
        <v>0</v>
      </c>
      <c r="AO894" s="22">
        <v>0</v>
      </c>
      <c r="AP894" s="22">
        <v>0</v>
      </c>
      <c r="AQ894" s="22">
        <v>0</v>
      </c>
      <c r="AR894" s="35">
        <v>0</v>
      </c>
      <c r="AS894" s="35">
        <v>0</v>
      </c>
      <c r="AT894" s="35">
        <v>0</v>
      </c>
      <c r="AU894" s="31" t="str">
        <f t="shared" si="17"/>
        <v>库存为0</v>
      </c>
      <c r="AV894" s="36" t="str">
        <f>IFERROR(时间!$B$4+AU894,"上周无销量")</f>
        <v>上周无销量</v>
      </c>
    </row>
    <row r="895" spans="1:48">
      <c r="A895" s="20" t="s">
        <v>2006</v>
      </c>
      <c r="B895" t="s">
        <v>1371</v>
      </c>
      <c r="C895" t="s">
        <v>1996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718</v>
      </c>
      <c r="AK895">
        <v>592</v>
      </c>
      <c r="AL895">
        <v>461</v>
      </c>
      <c r="AM895">
        <v>540</v>
      </c>
      <c r="AN895" s="22">
        <v>0</v>
      </c>
      <c r="AO895" s="22">
        <v>0</v>
      </c>
      <c r="AP895" s="22">
        <v>0</v>
      </c>
      <c r="AQ895" s="22">
        <v>0</v>
      </c>
      <c r="AR895" s="35">
        <v>0</v>
      </c>
      <c r="AS895" s="35">
        <v>0</v>
      </c>
      <c r="AT895" s="35">
        <v>0</v>
      </c>
      <c r="AU895" s="31" t="str">
        <f t="shared" si="17"/>
        <v>库存为0</v>
      </c>
      <c r="AV895" s="36" t="str">
        <f>IFERROR(时间!$B$4+AU895,"上周无销量")</f>
        <v>上周无销量</v>
      </c>
    </row>
    <row r="896" spans="1:48">
      <c r="A896" s="20" t="s">
        <v>2007</v>
      </c>
      <c r="B896" t="s">
        <v>1373</v>
      </c>
      <c r="C896" t="s">
        <v>1996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485</v>
      </c>
      <c r="AK896">
        <v>480</v>
      </c>
      <c r="AL896">
        <v>409</v>
      </c>
      <c r="AM896">
        <v>554</v>
      </c>
      <c r="AN896" s="22">
        <v>0</v>
      </c>
      <c r="AO896" s="22">
        <v>0</v>
      </c>
      <c r="AP896" s="22">
        <v>0</v>
      </c>
      <c r="AQ896" s="22">
        <v>0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20" t="s">
        <v>2008</v>
      </c>
      <c r="B897" t="s">
        <v>1367</v>
      </c>
      <c r="C897" t="s">
        <v>1996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562</v>
      </c>
      <c r="AK897">
        <v>666</v>
      </c>
      <c r="AL897">
        <v>506</v>
      </c>
      <c r="AM897">
        <v>619</v>
      </c>
      <c r="AN897" s="22">
        <v>0</v>
      </c>
      <c r="AO897" s="22">
        <v>0</v>
      </c>
      <c r="AP897" s="22">
        <v>0</v>
      </c>
      <c r="AQ897" s="22">
        <v>0</v>
      </c>
      <c r="AR897" s="35">
        <v>0</v>
      </c>
      <c r="AS897" s="35">
        <v>0</v>
      </c>
      <c r="AT897" s="35">
        <v>0</v>
      </c>
      <c r="AU897" s="31" t="str">
        <f t="shared" si="17"/>
        <v>库存为0</v>
      </c>
      <c r="AV897" s="36" t="str">
        <f>IFERROR(时间!$B$4+AU897,"上周无销量")</f>
        <v>上周无销量</v>
      </c>
    </row>
    <row r="898" spans="1:48">
      <c r="A898" s="20" t="s">
        <v>2009</v>
      </c>
      <c r="B898" t="s">
        <v>1375</v>
      </c>
      <c r="C898" t="s">
        <v>1996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758</v>
      </c>
      <c r="AK898">
        <v>756</v>
      </c>
      <c r="AL898">
        <v>564</v>
      </c>
      <c r="AM898">
        <v>655</v>
      </c>
      <c r="AN898" s="22">
        <v>0</v>
      </c>
      <c r="AO898" s="22">
        <v>0</v>
      </c>
      <c r="AP898" s="22">
        <v>0</v>
      </c>
      <c r="AQ898" s="22">
        <v>0</v>
      </c>
      <c r="AR898" s="35">
        <v>0</v>
      </c>
      <c r="AS898" s="35">
        <v>0</v>
      </c>
      <c r="AT898" s="35">
        <v>0</v>
      </c>
      <c r="AU898" s="31" t="str">
        <f t="shared" si="17"/>
        <v>库存为0</v>
      </c>
      <c r="AV898" s="36" t="str">
        <f>IFERROR(时间!$B$4+AU898,"上周无销量")</f>
        <v>上周无销量</v>
      </c>
    </row>
    <row r="899" spans="1:48">
      <c r="A899" s="20" t="s">
        <v>2010</v>
      </c>
      <c r="B899" t="s">
        <v>2011</v>
      </c>
      <c r="C899" t="s">
        <v>2012</v>
      </c>
      <c r="D899" s="31">
        <v>3</v>
      </c>
      <c r="E899" s="31">
        <v>2</v>
      </c>
      <c r="F899" s="31">
        <v>1</v>
      </c>
      <c r="G899" s="31">
        <v>0</v>
      </c>
      <c r="H899" s="32">
        <v>15.99</v>
      </c>
      <c r="I899">
        <v>3</v>
      </c>
      <c r="J899" s="33">
        <v>15</v>
      </c>
      <c r="K899" s="33">
        <v>0</v>
      </c>
      <c r="L899" s="33">
        <v>0</v>
      </c>
      <c r="M899">
        <v>18</v>
      </c>
      <c r="N899">
        <v>0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43</v>
      </c>
      <c r="AK899">
        <v>36</v>
      </c>
      <c r="AL899">
        <v>31</v>
      </c>
      <c r="AM899">
        <v>38</v>
      </c>
      <c r="AN899" s="22">
        <v>0.0697674418604651</v>
      </c>
      <c r="AO899" s="22">
        <v>0.0555555555555556</v>
      </c>
      <c r="AP899" s="22">
        <v>0.032258064516129</v>
      </c>
      <c r="AQ899" s="22">
        <v>0</v>
      </c>
      <c r="AR899" s="35">
        <v>0.428571428571429</v>
      </c>
      <c r="AS899" s="35">
        <v>25.7142857142857</v>
      </c>
      <c r="AT899" s="35">
        <v>-7.71428571428571</v>
      </c>
      <c r="AU899" s="31">
        <f t="shared" si="17"/>
        <v>42</v>
      </c>
      <c r="AV899" s="36">
        <f>IFERROR(时间!$B$4+AU899,"上周无销量")</f>
        <v>43374</v>
      </c>
    </row>
    <row r="900" spans="1:48">
      <c r="A900" s="20" t="s">
        <v>2013</v>
      </c>
      <c r="B900" t="s">
        <v>2014</v>
      </c>
      <c r="C900" t="s">
        <v>2012</v>
      </c>
      <c r="D900" s="31">
        <v>1</v>
      </c>
      <c r="E900" s="31">
        <v>2</v>
      </c>
      <c r="F900" s="31">
        <v>0</v>
      </c>
      <c r="G900" s="31">
        <v>0</v>
      </c>
      <c r="H900" s="32">
        <v>15.19</v>
      </c>
      <c r="I900">
        <v>7</v>
      </c>
      <c r="J900" s="33">
        <v>0</v>
      </c>
      <c r="K900" s="33">
        <v>0</v>
      </c>
      <c r="L900" s="33">
        <v>2</v>
      </c>
      <c r="M900">
        <v>9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18</v>
      </c>
      <c r="AK900">
        <v>8</v>
      </c>
      <c r="AL900">
        <v>11</v>
      </c>
      <c r="AM900">
        <v>20</v>
      </c>
      <c r="AN900" s="22">
        <v>0.0555555555555556</v>
      </c>
      <c r="AO900" s="22">
        <v>0.25</v>
      </c>
      <c r="AP900" s="22">
        <v>0</v>
      </c>
      <c r="AQ900" s="22">
        <v>0</v>
      </c>
      <c r="AR900" s="35">
        <v>0.142857142857143</v>
      </c>
      <c r="AS900" s="35">
        <v>8.57142857142857</v>
      </c>
      <c r="AT900" s="35">
        <v>0.428571428571429</v>
      </c>
      <c r="AU900" s="31">
        <f t="shared" si="17"/>
        <v>63</v>
      </c>
      <c r="AV900" s="36">
        <f>IFERROR(时间!$B$4+AU900,"上周无销量")</f>
        <v>43395</v>
      </c>
    </row>
    <row r="901" spans="1:48">
      <c r="A901" s="20" t="s">
        <v>2015</v>
      </c>
      <c r="B901" t="s">
        <v>2016</v>
      </c>
      <c r="C901" t="s">
        <v>2012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8</v>
      </c>
      <c r="J901" s="33">
        <v>6</v>
      </c>
      <c r="K901" s="33">
        <v>0</v>
      </c>
      <c r="L901" s="33">
        <v>0</v>
      </c>
      <c r="M901">
        <v>14</v>
      </c>
      <c r="N901">
        <v>0</v>
      </c>
      <c r="O901">
        <v>2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6</v>
      </c>
      <c r="AK901">
        <v>4</v>
      </c>
      <c r="AL901">
        <v>7</v>
      </c>
      <c r="AM901">
        <v>7</v>
      </c>
      <c r="AN901" s="22">
        <v>0</v>
      </c>
      <c r="AO901" s="22">
        <v>0</v>
      </c>
      <c r="AP901" s="22">
        <v>0</v>
      </c>
      <c r="AQ901" s="22">
        <v>0</v>
      </c>
      <c r="AR901" s="35">
        <v>0</v>
      </c>
      <c r="AS901" s="35">
        <v>0</v>
      </c>
      <c r="AT901" s="35">
        <v>14</v>
      </c>
      <c r="AU901" s="31" t="str">
        <f t="shared" ref="AU901:AU964" si="18">IF(AR901="","库存为"&amp;M901,IF(AS901=0,"库存为"&amp;M901,INT(M901/AR901)))</f>
        <v>库存为14</v>
      </c>
      <c r="AV901" s="36" t="str">
        <f>IFERROR(时间!$B$4+AU901,"上周无销量")</f>
        <v>上周无销量</v>
      </c>
    </row>
    <row r="902" spans="1:48">
      <c r="A902" s="20" t="s">
        <v>2017</v>
      </c>
      <c r="B902" t="s">
        <v>2018</v>
      </c>
      <c r="C902" t="s">
        <v>2012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13</v>
      </c>
      <c r="J902" s="33">
        <v>15</v>
      </c>
      <c r="K902" s="33">
        <v>0</v>
      </c>
      <c r="L902" s="33">
        <v>0</v>
      </c>
      <c r="M902">
        <v>28</v>
      </c>
      <c r="N902">
        <v>0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12</v>
      </c>
      <c r="AK902">
        <v>8</v>
      </c>
      <c r="AL902">
        <v>10</v>
      </c>
      <c r="AM902">
        <v>11</v>
      </c>
      <c r="AN902" s="22">
        <v>0</v>
      </c>
      <c r="AO902" s="22">
        <v>0</v>
      </c>
      <c r="AP902" s="22">
        <v>0</v>
      </c>
      <c r="AQ902" s="22">
        <v>0</v>
      </c>
      <c r="AR902" s="35">
        <v>0</v>
      </c>
      <c r="AS902" s="35">
        <v>0</v>
      </c>
      <c r="AT902" s="35">
        <v>28</v>
      </c>
      <c r="AU902" s="31" t="str">
        <f t="shared" si="18"/>
        <v>库存为28</v>
      </c>
      <c r="AV902" s="36" t="str">
        <f>IFERROR(时间!$B$4+AU902,"上周无销量")</f>
        <v>上周无销量</v>
      </c>
    </row>
    <row r="903" spans="1:48">
      <c r="A903" s="20" t="s">
        <v>2019</v>
      </c>
      <c r="B903" t="s">
        <v>2020</v>
      </c>
      <c r="C903" t="s">
        <v>2012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10</v>
      </c>
      <c r="J903" s="33">
        <v>8</v>
      </c>
      <c r="K903" s="33">
        <v>0</v>
      </c>
      <c r="L903" s="33">
        <v>0</v>
      </c>
      <c r="M903">
        <v>18</v>
      </c>
      <c r="N903">
        <v>0</v>
      </c>
      <c r="O903">
        <v>2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9</v>
      </c>
      <c r="AK903">
        <v>5</v>
      </c>
      <c r="AL903">
        <v>9</v>
      </c>
      <c r="AM903">
        <v>6</v>
      </c>
      <c r="AN903" s="22">
        <v>0</v>
      </c>
      <c r="AO903" s="22">
        <v>0</v>
      </c>
      <c r="AP903" s="22">
        <v>0</v>
      </c>
      <c r="AQ903" s="22">
        <v>0</v>
      </c>
      <c r="AR903" s="35">
        <v>0</v>
      </c>
      <c r="AS903" s="35">
        <v>0</v>
      </c>
      <c r="AT903" s="35">
        <v>18</v>
      </c>
      <c r="AU903" s="31" t="str">
        <f t="shared" si="18"/>
        <v>库存为18</v>
      </c>
      <c r="AV903" s="36" t="str">
        <f>IFERROR(时间!$B$4+AU903,"上周无销量")</f>
        <v>上周无销量</v>
      </c>
    </row>
    <row r="904" spans="1:48">
      <c r="A904" s="20" t="s">
        <v>2021</v>
      </c>
      <c r="B904" t="s">
        <v>2022</v>
      </c>
      <c r="C904" t="s">
        <v>2023</v>
      </c>
      <c r="D904" s="31">
        <v>0</v>
      </c>
      <c r="E904" s="31">
        <v>0</v>
      </c>
      <c r="F904" s="31">
        <v>0</v>
      </c>
      <c r="G904" s="31">
        <v>1</v>
      </c>
      <c r="H904" s="32">
        <v>12.99</v>
      </c>
      <c r="I904">
        <v>8</v>
      </c>
      <c r="J904" s="33">
        <v>0</v>
      </c>
      <c r="K904" s="33">
        <v>0</v>
      </c>
      <c r="L904" s="33">
        <v>0</v>
      </c>
      <c r="M904">
        <v>8</v>
      </c>
      <c r="N904">
        <v>0</v>
      </c>
      <c r="O904">
        <v>0</v>
      </c>
      <c r="P904" t="s">
        <v>53</v>
      </c>
      <c r="Q904" t="s">
        <v>53</v>
      </c>
      <c r="R904" t="s">
        <v>53</v>
      </c>
      <c r="S904" t="s">
        <v>53</v>
      </c>
      <c r="T904" t="s">
        <v>53</v>
      </c>
      <c r="U904" t="s">
        <v>53</v>
      </c>
      <c r="V904" t="s">
        <v>53</v>
      </c>
      <c r="W904" t="s">
        <v>53</v>
      </c>
      <c r="X904" s="22" t="s">
        <v>53</v>
      </c>
      <c r="Y904" s="22" t="s">
        <v>53</v>
      </c>
      <c r="Z904" s="22" t="s">
        <v>53</v>
      </c>
      <c r="AA904" s="22" t="s">
        <v>53</v>
      </c>
      <c r="AB904" t="s">
        <v>53</v>
      </c>
      <c r="AC904" t="s">
        <v>53</v>
      </c>
      <c r="AD904" t="s">
        <v>53</v>
      </c>
      <c r="AE904" t="s">
        <v>53</v>
      </c>
      <c r="AF904" s="22" t="s">
        <v>53</v>
      </c>
      <c r="AG904" s="22" t="s">
        <v>53</v>
      </c>
      <c r="AH904" s="22" t="s">
        <v>53</v>
      </c>
      <c r="AI904" s="22" t="s">
        <v>53</v>
      </c>
      <c r="AJ904">
        <v>12</v>
      </c>
      <c r="AK904">
        <v>7</v>
      </c>
      <c r="AL904">
        <v>2</v>
      </c>
      <c r="AM904">
        <v>9</v>
      </c>
      <c r="AN904" s="22">
        <v>0</v>
      </c>
      <c r="AO904" s="22">
        <v>0</v>
      </c>
      <c r="AP904" s="22">
        <v>0</v>
      </c>
      <c r="AQ904" s="22">
        <v>0.111111111111111</v>
      </c>
      <c r="AR904" s="35">
        <v>0</v>
      </c>
      <c r="AS904" s="35">
        <v>0</v>
      </c>
      <c r="AT904" s="35">
        <v>8</v>
      </c>
      <c r="AU904" s="31" t="str">
        <f t="shared" si="18"/>
        <v>库存为8</v>
      </c>
      <c r="AV904" s="36" t="str">
        <f>IFERROR(时间!$B$4+AU904,"上周无销量")</f>
        <v>上周无销量</v>
      </c>
    </row>
    <row r="905" spans="1:48">
      <c r="A905" s="20" t="s">
        <v>2024</v>
      </c>
      <c r="B905" t="s">
        <v>2025</v>
      </c>
      <c r="C905" t="s">
        <v>2023</v>
      </c>
      <c r="D905" s="31">
        <v>3</v>
      </c>
      <c r="E905" s="31">
        <v>0</v>
      </c>
      <c r="F905" s="31">
        <v>0</v>
      </c>
      <c r="G905" s="31">
        <v>1</v>
      </c>
      <c r="H905" s="32">
        <v>12.99</v>
      </c>
      <c r="I905">
        <v>2</v>
      </c>
      <c r="J905" s="33">
        <v>0</v>
      </c>
      <c r="K905" s="33">
        <v>0</v>
      </c>
      <c r="L905" s="33">
        <v>0</v>
      </c>
      <c r="M905">
        <v>2</v>
      </c>
      <c r="N905">
        <v>0</v>
      </c>
      <c r="O905">
        <v>0</v>
      </c>
      <c r="P905" t="s">
        <v>53</v>
      </c>
      <c r="Q905" t="s">
        <v>53</v>
      </c>
      <c r="R905" t="s">
        <v>53</v>
      </c>
      <c r="S905" t="s">
        <v>53</v>
      </c>
      <c r="T905" t="s">
        <v>53</v>
      </c>
      <c r="U905" t="s">
        <v>53</v>
      </c>
      <c r="V905" t="s">
        <v>53</v>
      </c>
      <c r="W905" t="s">
        <v>53</v>
      </c>
      <c r="X905" s="22" t="s">
        <v>53</v>
      </c>
      <c r="Y905" s="22" t="s">
        <v>53</v>
      </c>
      <c r="Z905" s="22" t="s">
        <v>53</v>
      </c>
      <c r="AA905" s="22" t="s">
        <v>53</v>
      </c>
      <c r="AB905" t="s">
        <v>53</v>
      </c>
      <c r="AC905" t="s">
        <v>53</v>
      </c>
      <c r="AD905" t="s">
        <v>53</v>
      </c>
      <c r="AE905" t="s">
        <v>53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22</v>
      </c>
      <c r="AK905">
        <v>17</v>
      </c>
      <c r="AL905">
        <v>21</v>
      </c>
      <c r="AM905">
        <v>29</v>
      </c>
      <c r="AN905" s="22">
        <v>0.136363636363636</v>
      </c>
      <c r="AO905" s="22">
        <v>0</v>
      </c>
      <c r="AP905" s="22">
        <v>0</v>
      </c>
      <c r="AQ905" s="22">
        <v>0.0344827586206897</v>
      </c>
      <c r="AR905" s="35">
        <v>0.428571428571429</v>
      </c>
      <c r="AS905" s="35">
        <v>25.7142857142857</v>
      </c>
      <c r="AT905" s="35">
        <v>-23.7142857142857</v>
      </c>
      <c r="AU905" s="31">
        <f t="shared" si="18"/>
        <v>4</v>
      </c>
      <c r="AV905" s="36">
        <f>IFERROR(时间!$B$4+AU905,"上周无销量")</f>
        <v>43336</v>
      </c>
    </row>
    <row r="906" spans="1:48">
      <c r="A906" s="20" t="s">
        <v>2026</v>
      </c>
      <c r="B906" t="s">
        <v>2027</v>
      </c>
      <c r="C906" t="s">
        <v>2023</v>
      </c>
      <c r="D906" s="31">
        <v>0</v>
      </c>
      <c r="E906" s="31">
        <v>1</v>
      </c>
      <c r="F906" s="31">
        <v>3</v>
      </c>
      <c r="G906" s="31">
        <v>2</v>
      </c>
      <c r="H906" s="32">
        <v>12.99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>
        <v>350</v>
      </c>
      <c r="Q906">
        <v>109</v>
      </c>
      <c r="R906">
        <v>123</v>
      </c>
      <c r="S906">
        <v>429</v>
      </c>
      <c r="T906">
        <v>5</v>
      </c>
      <c r="U906">
        <v>1</v>
      </c>
      <c r="V906">
        <v>1</v>
      </c>
      <c r="W906">
        <v>5</v>
      </c>
      <c r="X906" s="22">
        <v>0.0142857142857143</v>
      </c>
      <c r="Y906" s="22">
        <v>0.00917431192660551</v>
      </c>
      <c r="Z906" s="22">
        <v>0.00813008130081301</v>
      </c>
      <c r="AA906" s="22">
        <v>0.0116550116550117</v>
      </c>
      <c r="AB906">
        <v>1.4</v>
      </c>
      <c r="AC906">
        <v>0.53</v>
      </c>
      <c r="AD906">
        <v>0.02</v>
      </c>
      <c r="AE906">
        <v>1.57</v>
      </c>
      <c r="AF906" s="22" t="s">
        <v>2028</v>
      </c>
      <c r="AG906" s="22">
        <v>0.0408006158583526</v>
      </c>
      <c r="AH906" s="22">
        <v>0.000513215293815756</v>
      </c>
      <c r="AI906" s="22">
        <v>0.0604311008468052</v>
      </c>
      <c r="AJ906">
        <v>46</v>
      </c>
      <c r="AK906">
        <v>20</v>
      </c>
      <c r="AL906">
        <v>7</v>
      </c>
      <c r="AM906">
        <v>16</v>
      </c>
      <c r="AN906" s="22">
        <v>0</v>
      </c>
      <c r="AO906" s="22">
        <v>0.05</v>
      </c>
      <c r="AP906" s="22">
        <v>0.428571428571429</v>
      </c>
      <c r="AQ906" s="22">
        <v>0.125</v>
      </c>
      <c r="AR906" s="35">
        <v>0</v>
      </c>
      <c r="AS906" s="35">
        <v>0</v>
      </c>
      <c r="AT906" s="35">
        <v>0</v>
      </c>
      <c r="AU906" s="31" t="str">
        <f t="shared" si="18"/>
        <v>库存为0</v>
      </c>
      <c r="AV906" s="36" t="str">
        <f>IFERROR(时间!$B$4+AU906,"上周无销量")</f>
        <v>上周无销量</v>
      </c>
    </row>
    <row r="907" spans="1:48">
      <c r="A907" s="20" t="s">
        <v>2029</v>
      </c>
      <c r="B907" t="s">
        <v>2030</v>
      </c>
      <c r="C907" t="s">
        <v>2031</v>
      </c>
      <c r="D907" s="31">
        <v>1</v>
      </c>
      <c r="E907" s="31">
        <v>0</v>
      </c>
      <c r="F907" s="31">
        <v>0</v>
      </c>
      <c r="G907" s="31">
        <v>1</v>
      </c>
      <c r="H907" s="32">
        <v>15.99</v>
      </c>
      <c r="I907">
        <v>9</v>
      </c>
      <c r="J907" s="33">
        <v>0</v>
      </c>
      <c r="K907" s="33">
        <v>0</v>
      </c>
      <c r="L907" s="33">
        <v>0</v>
      </c>
      <c r="M907">
        <v>9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8</v>
      </c>
      <c r="AK907">
        <v>12</v>
      </c>
      <c r="AL907">
        <v>4</v>
      </c>
      <c r="AM907">
        <v>10</v>
      </c>
      <c r="AN907" s="22">
        <v>0.125</v>
      </c>
      <c r="AO907" s="22">
        <v>0</v>
      </c>
      <c r="AP907" s="22">
        <v>0</v>
      </c>
      <c r="AQ907" s="22">
        <v>0.1</v>
      </c>
      <c r="AR907" s="35">
        <v>0.142857142857143</v>
      </c>
      <c r="AS907" s="35">
        <v>8.57142857142857</v>
      </c>
      <c r="AT907" s="35">
        <v>0.428571428571429</v>
      </c>
      <c r="AU907" s="31">
        <f t="shared" si="18"/>
        <v>63</v>
      </c>
      <c r="AV907" s="36">
        <f>IFERROR(时间!$B$4+AU907,"上周无销量")</f>
        <v>43395</v>
      </c>
    </row>
    <row r="908" spans="1:48">
      <c r="A908" s="20" t="s">
        <v>2032</v>
      </c>
      <c r="B908" t="s">
        <v>2033</v>
      </c>
      <c r="C908" t="s">
        <v>2031</v>
      </c>
      <c r="D908" s="31">
        <v>3</v>
      </c>
      <c r="E908" s="31">
        <v>1</v>
      </c>
      <c r="F908" s="31">
        <v>0</v>
      </c>
      <c r="G908" s="31">
        <v>0</v>
      </c>
      <c r="H908" s="32">
        <v>15.99</v>
      </c>
      <c r="I908">
        <v>6</v>
      </c>
      <c r="J908" s="33">
        <v>0</v>
      </c>
      <c r="K908" s="33">
        <v>0</v>
      </c>
      <c r="L908" s="33">
        <v>0</v>
      </c>
      <c r="M908">
        <v>6</v>
      </c>
      <c r="N908">
        <v>0</v>
      </c>
      <c r="O908">
        <v>0</v>
      </c>
      <c r="P908">
        <v>736</v>
      </c>
      <c r="Q908">
        <v>116</v>
      </c>
      <c r="R908">
        <v>77</v>
      </c>
      <c r="S908">
        <v>54</v>
      </c>
      <c r="T908">
        <v>9</v>
      </c>
      <c r="U908">
        <v>1</v>
      </c>
      <c r="V908">
        <v>7</v>
      </c>
      <c r="W908">
        <v>4</v>
      </c>
      <c r="X908" s="22">
        <v>0.0122282608695652</v>
      </c>
      <c r="Y908" s="22">
        <v>0.00862068965517241</v>
      </c>
      <c r="Z908" s="22">
        <v>0.0909090909090909</v>
      </c>
      <c r="AA908" s="22">
        <v>0.0740740740740741</v>
      </c>
      <c r="AB908">
        <v>1.68</v>
      </c>
      <c r="AC908">
        <v>0.05</v>
      </c>
      <c r="AD908">
        <v>1.2</v>
      </c>
      <c r="AE908">
        <v>1.14</v>
      </c>
      <c r="AF908" s="22">
        <v>0.0350218886804253</v>
      </c>
      <c r="AG908" s="22">
        <v>0.00312695434646654</v>
      </c>
      <c r="AH908" s="22" t="s">
        <v>2034</v>
      </c>
      <c r="AI908" s="22" t="s">
        <v>2035</v>
      </c>
      <c r="AJ908">
        <v>40</v>
      </c>
      <c r="AK908">
        <v>19</v>
      </c>
      <c r="AL908">
        <v>11</v>
      </c>
      <c r="AM908">
        <v>18</v>
      </c>
      <c r="AN908" s="22">
        <v>0.075</v>
      </c>
      <c r="AO908" s="22">
        <v>0.0526315789473684</v>
      </c>
      <c r="AP908" s="22">
        <v>0</v>
      </c>
      <c r="AQ908" s="22">
        <v>0</v>
      </c>
      <c r="AR908" s="35">
        <v>0.428571428571429</v>
      </c>
      <c r="AS908" s="35">
        <v>25.7142857142857</v>
      </c>
      <c r="AT908" s="35">
        <v>-19.7142857142857</v>
      </c>
      <c r="AU908" s="31">
        <f t="shared" si="18"/>
        <v>14</v>
      </c>
      <c r="AV908" s="36">
        <f>IFERROR(时间!$B$4+AU908,"上周无销量")</f>
        <v>43346</v>
      </c>
    </row>
    <row r="909" spans="1:48">
      <c r="A909" s="20" t="s">
        <v>2036</v>
      </c>
      <c r="B909" t="s">
        <v>2037</v>
      </c>
      <c r="C909" t="s">
        <v>2031</v>
      </c>
      <c r="D909" s="31">
        <v>2</v>
      </c>
      <c r="E909" s="31">
        <v>0</v>
      </c>
      <c r="F909" s="31">
        <v>0</v>
      </c>
      <c r="G909" s="31">
        <v>0</v>
      </c>
      <c r="H909" s="32">
        <v>15.99</v>
      </c>
      <c r="I909">
        <v>14</v>
      </c>
      <c r="J909" s="33">
        <v>0</v>
      </c>
      <c r="K909" s="33">
        <v>0</v>
      </c>
      <c r="L909" s="33">
        <v>0</v>
      </c>
      <c r="M909">
        <v>14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278</v>
      </c>
      <c r="T909">
        <v>0</v>
      </c>
      <c r="U909">
        <v>0</v>
      </c>
      <c r="V909">
        <v>0</v>
      </c>
      <c r="W909">
        <v>0</v>
      </c>
      <c r="X909" s="22" t="s">
        <v>53</v>
      </c>
      <c r="Y909" s="22" t="s">
        <v>53</v>
      </c>
      <c r="Z909" s="22" t="s">
        <v>53</v>
      </c>
      <c r="AA909" s="22">
        <v>0</v>
      </c>
      <c r="AB909">
        <v>0</v>
      </c>
      <c r="AC909">
        <v>0</v>
      </c>
      <c r="AD909">
        <v>0</v>
      </c>
      <c r="AE909">
        <v>0</v>
      </c>
      <c r="AF909" s="22" t="s">
        <v>53</v>
      </c>
      <c r="AG909" s="22" t="s">
        <v>53</v>
      </c>
      <c r="AH909" s="22" t="s">
        <v>53</v>
      </c>
      <c r="AI909" s="22" t="s">
        <v>53</v>
      </c>
      <c r="AJ909">
        <v>30</v>
      </c>
      <c r="AK909">
        <v>12</v>
      </c>
      <c r="AL909">
        <v>4</v>
      </c>
      <c r="AM909">
        <v>8</v>
      </c>
      <c r="AN909" s="22">
        <v>0.0666666666666667</v>
      </c>
      <c r="AO909" s="22">
        <v>0</v>
      </c>
      <c r="AP909" s="22">
        <v>0</v>
      </c>
      <c r="AQ909" s="22">
        <v>0</v>
      </c>
      <c r="AR909" s="35">
        <v>0.285714285714286</v>
      </c>
      <c r="AS909" s="35">
        <v>17.1428571428571</v>
      </c>
      <c r="AT909" s="35">
        <v>-3.14285714285714</v>
      </c>
      <c r="AU909" s="31">
        <f t="shared" si="18"/>
        <v>49</v>
      </c>
      <c r="AV909" s="36">
        <f>IFERROR(时间!$B$4+AU909,"上周无销量")</f>
        <v>43381</v>
      </c>
    </row>
    <row r="910" spans="1:48">
      <c r="A910" s="20" t="s">
        <v>2038</v>
      </c>
      <c r="B910" t="s">
        <v>2039</v>
      </c>
      <c r="C910" t="s">
        <v>2040</v>
      </c>
      <c r="D910" s="31">
        <v>0</v>
      </c>
      <c r="E910" s="31">
        <v>3</v>
      </c>
      <c r="F910" s="31">
        <v>1</v>
      </c>
      <c r="G910" s="31">
        <v>0</v>
      </c>
      <c r="H910" s="32">
        <v>10</v>
      </c>
      <c r="I910">
        <v>1</v>
      </c>
      <c r="J910" s="33">
        <v>0</v>
      </c>
      <c r="K910" s="33">
        <v>0</v>
      </c>
      <c r="L910" s="33">
        <v>0</v>
      </c>
      <c r="M910">
        <v>1</v>
      </c>
      <c r="N910">
        <v>1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4</v>
      </c>
      <c r="AK910">
        <v>19</v>
      </c>
      <c r="AL910">
        <v>5</v>
      </c>
      <c r="AM910">
        <v>6</v>
      </c>
      <c r="AN910" s="22">
        <v>0</v>
      </c>
      <c r="AO910" s="22">
        <v>0.157894736842105</v>
      </c>
      <c r="AP910" s="22">
        <v>0.2</v>
      </c>
      <c r="AQ910" s="22">
        <v>0</v>
      </c>
      <c r="AR910" s="35">
        <v>0</v>
      </c>
      <c r="AS910" s="35">
        <v>0</v>
      </c>
      <c r="AT910" s="35">
        <v>1</v>
      </c>
      <c r="AU910" s="31" t="str">
        <f t="shared" si="18"/>
        <v>库存为1</v>
      </c>
      <c r="AV910" s="36" t="str">
        <f>IFERROR(时间!$B$4+AU910,"上周无销量")</f>
        <v>上周无销量</v>
      </c>
    </row>
    <row r="911" spans="1:48">
      <c r="A911" s="20" t="s">
        <v>2041</v>
      </c>
      <c r="B911" t="s">
        <v>2042</v>
      </c>
      <c r="C911" t="s">
        <v>2040</v>
      </c>
      <c r="D911" s="31">
        <v>0</v>
      </c>
      <c r="E911" s="31">
        <v>1</v>
      </c>
      <c r="F911" s="31">
        <v>0</v>
      </c>
      <c r="G911" s="31">
        <v>0</v>
      </c>
      <c r="H911" s="32">
        <v>10</v>
      </c>
      <c r="I911">
        <v>5</v>
      </c>
      <c r="J911" s="33">
        <v>0</v>
      </c>
      <c r="K911" s="33">
        <v>0</v>
      </c>
      <c r="L911" s="33">
        <v>0</v>
      </c>
      <c r="M911">
        <v>5</v>
      </c>
      <c r="N911">
        <v>0</v>
      </c>
      <c r="O911">
        <v>0</v>
      </c>
      <c r="P911" t="s">
        <v>53</v>
      </c>
      <c r="Q911" t="s">
        <v>53</v>
      </c>
      <c r="R911" t="s">
        <v>53</v>
      </c>
      <c r="S911" t="s">
        <v>53</v>
      </c>
      <c r="T911" t="s">
        <v>53</v>
      </c>
      <c r="U911" t="s">
        <v>53</v>
      </c>
      <c r="V911" t="s">
        <v>53</v>
      </c>
      <c r="W911" t="s">
        <v>53</v>
      </c>
      <c r="X911" s="22" t="s">
        <v>53</v>
      </c>
      <c r="Y911" s="22" t="s">
        <v>53</v>
      </c>
      <c r="Z911" s="22" t="s">
        <v>53</v>
      </c>
      <c r="AA911" s="22" t="s">
        <v>53</v>
      </c>
      <c r="AB911" t="s">
        <v>53</v>
      </c>
      <c r="AC911" t="s">
        <v>53</v>
      </c>
      <c r="AD911" t="s">
        <v>53</v>
      </c>
      <c r="AE911" t="s">
        <v>53</v>
      </c>
      <c r="AF911" s="22" t="s">
        <v>53</v>
      </c>
      <c r="AG911" s="22" t="s">
        <v>53</v>
      </c>
      <c r="AH911" s="22" t="s">
        <v>53</v>
      </c>
      <c r="AI911" s="22" t="s">
        <v>53</v>
      </c>
      <c r="AJ911">
        <v>16</v>
      </c>
      <c r="AK911">
        <v>20</v>
      </c>
      <c r="AL911">
        <v>6</v>
      </c>
      <c r="AM911">
        <v>10</v>
      </c>
      <c r="AN911" s="22">
        <v>0</v>
      </c>
      <c r="AO911" s="22">
        <v>0.05</v>
      </c>
      <c r="AP911" s="22">
        <v>0</v>
      </c>
      <c r="AQ911" s="22">
        <v>0</v>
      </c>
      <c r="AR911" s="35">
        <v>0</v>
      </c>
      <c r="AS911" s="35">
        <v>0</v>
      </c>
      <c r="AT911" s="35">
        <v>5</v>
      </c>
      <c r="AU911" s="31" t="str">
        <f t="shared" si="18"/>
        <v>库存为5</v>
      </c>
      <c r="AV911" s="36" t="str">
        <f>IFERROR(时间!$B$4+AU911,"上周无销量")</f>
        <v>上周无销量</v>
      </c>
    </row>
    <row r="912" spans="1:48">
      <c r="A912" s="20" t="s">
        <v>2043</v>
      </c>
      <c r="B912" t="s">
        <v>2044</v>
      </c>
      <c r="C912" t="s">
        <v>2040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6</v>
      </c>
      <c r="J912" s="33">
        <v>0</v>
      </c>
      <c r="K912" s="33">
        <v>0</v>
      </c>
      <c r="L912" s="33">
        <v>0</v>
      </c>
      <c r="M912">
        <v>6</v>
      </c>
      <c r="N912">
        <v>0</v>
      </c>
      <c r="O912">
        <v>1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4</v>
      </c>
      <c r="AK912">
        <v>6</v>
      </c>
      <c r="AL912">
        <v>4</v>
      </c>
      <c r="AM912">
        <v>1</v>
      </c>
      <c r="AN912" s="22">
        <v>0</v>
      </c>
      <c r="AO912" s="22">
        <v>0</v>
      </c>
      <c r="AP912" s="22">
        <v>0</v>
      </c>
      <c r="AQ912" s="22">
        <v>0</v>
      </c>
      <c r="AR912" s="35">
        <v>0</v>
      </c>
      <c r="AS912" s="35">
        <v>0</v>
      </c>
      <c r="AT912" s="35">
        <v>6</v>
      </c>
      <c r="AU912" s="31" t="str">
        <f t="shared" si="18"/>
        <v>库存为6</v>
      </c>
      <c r="AV912" s="36" t="str">
        <f>IFERROR(时间!$B$4+AU912,"上周无销量")</f>
        <v>上周无销量</v>
      </c>
    </row>
    <row r="913" spans="1:48">
      <c r="A913" s="20" t="s">
        <v>2045</v>
      </c>
      <c r="B913" t="s">
        <v>2046</v>
      </c>
      <c r="C913" t="s">
        <v>2040</v>
      </c>
      <c r="D913" s="31">
        <v>1</v>
      </c>
      <c r="E913" s="31">
        <v>2</v>
      </c>
      <c r="F913" s="31">
        <v>1</v>
      </c>
      <c r="G913" s="31">
        <v>0</v>
      </c>
      <c r="H913" s="32">
        <v>10</v>
      </c>
      <c r="I913">
        <v>3</v>
      </c>
      <c r="J913" s="33">
        <v>0</v>
      </c>
      <c r="K913" s="33">
        <v>0</v>
      </c>
      <c r="L913" s="33">
        <v>0</v>
      </c>
      <c r="M913">
        <v>3</v>
      </c>
      <c r="N913">
        <v>0</v>
      </c>
      <c r="O913">
        <v>0</v>
      </c>
      <c r="P913" t="s">
        <v>53</v>
      </c>
      <c r="Q913" t="s">
        <v>53</v>
      </c>
      <c r="R913" t="s">
        <v>53</v>
      </c>
      <c r="S913" t="s">
        <v>53</v>
      </c>
      <c r="T913" t="s">
        <v>53</v>
      </c>
      <c r="U913" t="s">
        <v>53</v>
      </c>
      <c r="V913" t="s">
        <v>53</v>
      </c>
      <c r="W913" t="s">
        <v>53</v>
      </c>
      <c r="X913" s="22" t="s">
        <v>53</v>
      </c>
      <c r="Y913" s="22" t="s">
        <v>53</v>
      </c>
      <c r="Z913" s="22" t="s">
        <v>53</v>
      </c>
      <c r="AA913" s="22" t="s">
        <v>53</v>
      </c>
      <c r="AB913" t="s">
        <v>53</v>
      </c>
      <c r="AC913" t="s">
        <v>53</v>
      </c>
      <c r="AD913" t="s">
        <v>53</v>
      </c>
      <c r="AE913" t="s">
        <v>53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5</v>
      </c>
      <c r="AK913">
        <v>16</v>
      </c>
      <c r="AL913">
        <v>7</v>
      </c>
      <c r="AM913">
        <v>11</v>
      </c>
      <c r="AN913" s="22">
        <v>0.2</v>
      </c>
      <c r="AO913" s="22">
        <v>0.125</v>
      </c>
      <c r="AP913" s="22">
        <v>0.142857142857143</v>
      </c>
      <c r="AQ913" s="22">
        <v>0</v>
      </c>
      <c r="AR913" s="35">
        <v>0.142857142857143</v>
      </c>
      <c r="AS913" s="35">
        <v>8.57142857142857</v>
      </c>
      <c r="AT913" s="35">
        <v>-5.57142857142857</v>
      </c>
      <c r="AU913" s="31">
        <f t="shared" si="18"/>
        <v>21</v>
      </c>
      <c r="AV913" s="36">
        <f>IFERROR(时间!$B$4+AU913,"上周无销量")</f>
        <v>43353</v>
      </c>
    </row>
    <row r="914" spans="1:48">
      <c r="A914" s="20" t="s">
        <v>2047</v>
      </c>
      <c r="B914" t="s">
        <v>2048</v>
      </c>
      <c r="C914" t="s">
        <v>2040</v>
      </c>
      <c r="D914" s="31">
        <v>0</v>
      </c>
      <c r="E914" s="31">
        <v>0</v>
      </c>
      <c r="F914" s="31">
        <v>0</v>
      </c>
      <c r="G914" s="31">
        <v>1</v>
      </c>
      <c r="H914" s="32">
        <v>10</v>
      </c>
      <c r="I914">
        <v>5</v>
      </c>
      <c r="J914" s="33">
        <v>0</v>
      </c>
      <c r="K914" s="33">
        <v>0</v>
      </c>
      <c r="L914" s="33">
        <v>0</v>
      </c>
      <c r="M914">
        <v>5</v>
      </c>
      <c r="N914">
        <v>0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6</v>
      </c>
      <c r="AK914">
        <v>5</v>
      </c>
      <c r="AL914">
        <v>7</v>
      </c>
      <c r="AM914">
        <v>5</v>
      </c>
      <c r="AN914" s="22">
        <v>0</v>
      </c>
      <c r="AO914" s="22">
        <v>0</v>
      </c>
      <c r="AP914" s="22">
        <v>0</v>
      </c>
      <c r="AQ914" s="22">
        <v>0.2</v>
      </c>
      <c r="AR914" s="35">
        <v>0</v>
      </c>
      <c r="AS914" s="35">
        <v>0</v>
      </c>
      <c r="AT914" s="35">
        <v>5</v>
      </c>
      <c r="AU914" s="31" t="str">
        <f t="shared" si="18"/>
        <v>库存为5</v>
      </c>
      <c r="AV914" s="36" t="str">
        <f>IFERROR(时间!$B$4+AU914,"上周无销量")</f>
        <v>上周无销量</v>
      </c>
    </row>
    <row r="915" spans="1:48">
      <c r="A915" s="20" t="s">
        <v>2049</v>
      </c>
      <c r="B915" t="s">
        <v>2050</v>
      </c>
      <c r="C915" t="s">
        <v>2040</v>
      </c>
      <c r="D915" s="31">
        <v>0</v>
      </c>
      <c r="E915" s="31">
        <v>1</v>
      </c>
      <c r="F915" s="31">
        <v>0</v>
      </c>
      <c r="G915" s="31">
        <v>0</v>
      </c>
      <c r="H915" s="32">
        <v>10</v>
      </c>
      <c r="I915">
        <v>20</v>
      </c>
      <c r="J915" s="33">
        <v>0</v>
      </c>
      <c r="K915" s="33">
        <v>0</v>
      </c>
      <c r="L915" s="33">
        <v>0</v>
      </c>
      <c r="M915">
        <v>20</v>
      </c>
      <c r="N915">
        <v>0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12</v>
      </c>
      <c r="AK915">
        <v>13</v>
      </c>
      <c r="AL915">
        <v>11</v>
      </c>
      <c r="AM915">
        <v>7</v>
      </c>
      <c r="AN915" s="22">
        <v>0</v>
      </c>
      <c r="AO915" s="22">
        <v>0.0769230769230769</v>
      </c>
      <c r="AP915" s="22">
        <v>0</v>
      </c>
      <c r="AQ915" s="22">
        <v>0</v>
      </c>
      <c r="AR915" s="35">
        <v>0</v>
      </c>
      <c r="AS915" s="35">
        <v>0</v>
      </c>
      <c r="AT915" s="35">
        <v>20</v>
      </c>
      <c r="AU915" s="31" t="str">
        <f t="shared" si="18"/>
        <v>库存为20</v>
      </c>
      <c r="AV915" s="36" t="str">
        <f>IFERROR(时间!$B$4+AU915,"上周无销量")</f>
        <v>上周无销量</v>
      </c>
    </row>
    <row r="916" spans="1:48">
      <c r="A916" s="20" t="s">
        <v>2051</v>
      </c>
      <c r="B916" t="s">
        <v>2052</v>
      </c>
      <c r="C916" t="s">
        <v>2040</v>
      </c>
      <c r="D916" s="31">
        <v>0</v>
      </c>
      <c r="E916" s="31">
        <v>1</v>
      </c>
      <c r="F916" s="31">
        <v>1</v>
      </c>
      <c r="G916" s="31">
        <v>0</v>
      </c>
      <c r="H916" s="32">
        <v>10</v>
      </c>
      <c r="I916">
        <v>5</v>
      </c>
      <c r="J916" s="33">
        <v>0</v>
      </c>
      <c r="K916" s="33">
        <v>0</v>
      </c>
      <c r="L916" s="33">
        <v>0</v>
      </c>
      <c r="M916">
        <v>5</v>
      </c>
      <c r="N916">
        <v>0</v>
      </c>
      <c r="O916">
        <v>1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5</v>
      </c>
      <c r="AK916">
        <v>5</v>
      </c>
      <c r="AL916">
        <v>6</v>
      </c>
      <c r="AM916">
        <v>6</v>
      </c>
      <c r="AN916" s="22">
        <v>0</v>
      </c>
      <c r="AO916" s="22">
        <v>0.2</v>
      </c>
      <c r="AP916" s="22">
        <v>0.166666666666667</v>
      </c>
      <c r="AQ916" s="22">
        <v>0</v>
      </c>
      <c r="AR916" s="35">
        <v>0</v>
      </c>
      <c r="AS916" s="35">
        <v>0</v>
      </c>
      <c r="AT916" s="35">
        <v>5</v>
      </c>
      <c r="AU916" s="31" t="str">
        <f t="shared" si="18"/>
        <v>库存为5</v>
      </c>
      <c r="AV916" s="36" t="str">
        <f>IFERROR(时间!$B$4+AU916,"上周无销量")</f>
        <v>上周无销量</v>
      </c>
    </row>
    <row r="917" spans="1:48">
      <c r="A917" s="20" t="s">
        <v>2053</v>
      </c>
      <c r="B917" t="s">
        <v>2054</v>
      </c>
      <c r="C917" t="s">
        <v>2040</v>
      </c>
      <c r="D917" s="31">
        <v>0</v>
      </c>
      <c r="E917" s="31">
        <v>0</v>
      </c>
      <c r="F917" s="31">
        <v>0</v>
      </c>
      <c r="G917" s="31">
        <v>1</v>
      </c>
      <c r="H917" s="32">
        <v>10</v>
      </c>
      <c r="I917">
        <v>6</v>
      </c>
      <c r="J917" s="33">
        <v>0</v>
      </c>
      <c r="K917" s="33">
        <v>0</v>
      </c>
      <c r="L917" s="33">
        <v>0</v>
      </c>
      <c r="M917">
        <v>6</v>
      </c>
      <c r="N917">
        <v>0</v>
      </c>
      <c r="O917">
        <v>1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5</v>
      </c>
      <c r="AK917">
        <v>15</v>
      </c>
      <c r="AL917">
        <v>5</v>
      </c>
      <c r="AM917">
        <v>8</v>
      </c>
      <c r="AN917" s="22">
        <v>0</v>
      </c>
      <c r="AO917" s="22">
        <v>0</v>
      </c>
      <c r="AP917" s="22">
        <v>0</v>
      </c>
      <c r="AQ917" s="22">
        <v>0.125</v>
      </c>
      <c r="AR917" s="35">
        <v>0</v>
      </c>
      <c r="AS917" s="35">
        <v>0</v>
      </c>
      <c r="AT917" s="35">
        <v>6</v>
      </c>
      <c r="AU917" s="31" t="str">
        <f t="shared" si="18"/>
        <v>库存为6</v>
      </c>
      <c r="AV917" s="36" t="str">
        <f>IFERROR(时间!$B$4+AU917,"上周无销量")</f>
        <v>上周无销量</v>
      </c>
    </row>
    <row r="918" spans="1:48">
      <c r="A918" s="20" t="s">
        <v>2055</v>
      </c>
      <c r="B918" t="s">
        <v>2056</v>
      </c>
      <c r="C918" t="s">
        <v>2057</v>
      </c>
      <c r="D918" s="31">
        <v>0</v>
      </c>
      <c r="E918" s="31">
        <v>0</v>
      </c>
      <c r="F918" s="31">
        <v>1</v>
      </c>
      <c r="G918" s="31">
        <v>1</v>
      </c>
      <c r="H918" s="32">
        <v>14.99</v>
      </c>
      <c r="I918">
        <v>9</v>
      </c>
      <c r="J918" s="33">
        <v>0</v>
      </c>
      <c r="K918" s="33">
        <v>0</v>
      </c>
      <c r="L918" s="33">
        <v>0</v>
      </c>
      <c r="M918">
        <v>9</v>
      </c>
      <c r="N918">
        <v>0</v>
      </c>
      <c r="O918">
        <v>0</v>
      </c>
      <c r="P918" t="s">
        <v>53</v>
      </c>
      <c r="Q918" t="s">
        <v>53</v>
      </c>
      <c r="R918" t="s">
        <v>53</v>
      </c>
      <c r="S918" t="s">
        <v>53</v>
      </c>
      <c r="T918" t="s">
        <v>53</v>
      </c>
      <c r="U918" t="s">
        <v>53</v>
      </c>
      <c r="V918" t="s">
        <v>53</v>
      </c>
      <c r="W918" t="s">
        <v>53</v>
      </c>
      <c r="X918" s="22" t="s">
        <v>53</v>
      </c>
      <c r="Y918" s="22" t="s">
        <v>53</v>
      </c>
      <c r="Z918" s="22" t="s">
        <v>53</v>
      </c>
      <c r="AA918" s="22" t="s">
        <v>53</v>
      </c>
      <c r="AB918" t="s">
        <v>53</v>
      </c>
      <c r="AC918" t="s">
        <v>53</v>
      </c>
      <c r="AD918" t="s">
        <v>53</v>
      </c>
      <c r="AE918" t="s">
        <v>53</v>
      </c>
      <c r="AF918" s="22" t="s">
        <v>53</v>
      </c>
      <c r="AG918" s="22" t="s">
        <v>53</v>
      </c>
      <c r="AH918" s="22" t="s">
        <v>53</v>
      </c>
      <c r="AI918" s="22" t="s">
        <v>53</v>
      </c>
      <c r="AJ918">
        <v>14</v>
      </c>
      <c r="AK918">
        <v>17</v>
      </c>
      <c r="AL918">
        <v>9</v>
      </c>
      <c r="AM918">
        <v>4</v>
      </c>
      <c r="AN918" s="22">
        <v>0</v>
      </c>
      <c r="AO918" s="22">
        <v>0</v>
      </c>
      <c r="AP918" s="22">
        <v>0.111111111111111</v>
      </c>
      <c r="AQ918" s="22">
        <v>0.25</v>
      </c>
      <c r="AR918" s="35">
        <v>0</v>
      </c>
      <c r="AS918" s="35">
        <v>0</v>
      </c>
      <c r="AT918" s="35">
        <v>9</v>
      </c>
      <c r="AU918" s="31" t="str">
        <f t="shared" si="18"/>
        <v>库存为9</v>
      </c>
      <c r="AV918" s="36" t="str">
        <f>IFERROR(时间!$B$4+AU918,"上周无销量")</f>
        <v>上周无销量</v>
      </c>
    </row>
    <row r="919" spans="1:48">
      <c r="A919" s="20" t="s">
        <v>2058</v>
      </c>
      <c r="B919" t="s">
        <v>2059</v>
      </c>
      <c r="C919" t="s">
        <v>2057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1</v>
      </c>
      <c r="J919" s="33">
        <v>0</v>
      </c>
      <c r="K919" s="33">
        <v>0</v>
      </c>
      <c r="L919" s="33">
        <v>0</v>
      </c>
      <c r="M919">
        <v>1</v>
      </c>
      <c r="N919">
        <v>0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12</v>
      </c>
      <c r="AK919">
        <v>10</v>
      </c>
      <c r="AL919">
        <v>9</v>
      </c>
      <c r="AM919">
        <v>21</v>
      </c>
      <c r="AN919" s="22">
        <v>0</v>
      </c>
      <c r="AO919" s="22">
        <v>0</v>
      </c>
      <c r="AP919" s="22">
        <v>0</v>
      </c>
      <c r="AQ919" s="22">
        <v>0</v>
      </c>
      <c r="AR919" s="35">
        <v>0</v>
      </c>
      <c r="AS919" s="35">
        <v>0</v>
      </c>
      <c r="AT919" s="35">
        <v>1</v>
      </c>
      <c r="AU919" s="31" t="str">
        <f t="shared" si="18"/>
        <v>库存为1</v>
      </c>
      <c r="AV919" s="36" t="str">
        <f>IFERROR(时间!$B$4+AU919,"上周无销量")</f>
        <v>上周无销量</v>
      </c>
    </row>
    <row r="920" spans="1:48">
      <c r="A920" s="20" t="s">
        <v>2060</v>
      </c>
      <c r="B920" t="s">
        <v>2061</v>
      </c>
      <c r="C920" t="s">
        <v>2057</v>
      </c>
      <c r="D920" s="31">
        <v>0</v>
      </c>
      <c r="E920" s="31">
        <v>0</v>
      </c>
      <c r="F920" s="31">
        <v>1</v>
      </c>
      <c r="G920" s="31">
        <v>0</v>
      </c>
      <c r="H920" s="32">
        <v>14.99</v>
      </c>
      <c r="I920">
        <v>15</v>
      </c>
      <c r="J920" s="33">
        <v>0</v>
      </c>
      <c r="K920" s="33">
        <v>0</v>
      </c>
      <c r="L920" s="33">
        <v>0</v>
      </c>
      <c r="M920">
        <v>15</v>
      </c>
      <c r="N920">
        <v>0</v>
      </c>
      <c r="O920">
        <v>0</v>
      </c>
      <c r="P920" t="s">
        <v>53</v>
      </c>
      <c r="Q920" t="s">
        <v>53</v>
      </c>
      <c r="R920" t="s">
        <v>53</v>
      </c>
      <c r="S920" t="s">
        <v>53</v>
      </c>
      <c r="T920" t="s">
        <v>53</v>
      </c>
      <c r="U920" t="s">
        <v>53</v>
      </c>
      <c r="V920" t="s">
        <v>53</v>
      </c>
      <c r="W920" t="s">
        <v>53</v>
      </c>
      <c r="X920" s="22" t="s">
        <v>53</v>
      </c>
      <c r="Y920" s="22" t="s">
        <v>53</v>
      </c>
      <c r="Z920" s="22" t="s">
        <v>53</v>
      </c>
      <c r="AA920" s="22" t="s">
        <v>53</v>
      </c>
      <c r="AB920" t="s">
        <v>53</v>
      </c>
      <c r="AC920" t="s">
        <v>53</v>
      </c>
      <c r="AD920" t="s">
        <v>53</v>
      </c>
      <c r="AE920" t="s">
        <v>53</v>
      </c>
      <c r="AF920" s="22" t="s">
        <v>53</v>
      </c>
      <c r="AG920" s="22" t="s">
        <v>53</v>
      </c>
      <c r="AH920" s="22" t="s">
        <v>53</v>
      </c>
      <c r="AI920" s="22" t="s">
        <v>53</v>
      </c>
      <c r="AJ920">
        <v>11</v>
      </c>
      <c r="AK920">
        <v>2</v>
      </c>
      <c r="AL920">
        <v>8</v>
      </c>
      <c r="AM920">
        <v>5</v>
      </c>
      <c r="AN920" s="22">
        <v>0</v>
      </c>
      <c r="AO920" s="22">
        <v>0</v>
      </c>
      <c r="AP920" s="22">
        <v>0.125</v>
      </c>
      <c r="AQ920" s="22">
        <v>0</v>
      </c>
      <c r="AR920" s="35">
        <v>0</v>
      </c>
      <c r="AS920" s="35">
        <v>0</v>
      </c>
      <c r="AT920" s="35">
        <v>15</v>
      </c>
      <c r="AU920" s="31" t="str">
        <f t="shared" si="18"/>
        <v>库存为15</v>
      </c>
      <c r="AV920" s="36" t="str">
        <f>IFERROR(时间!$B$4+AU920,"上周无销量")</f>
        <v>上周无销量</v>
      </c>
    </row>
    <row r="921" spans="1:48">
      <c r="A921" s="20" t="s">
        <v>2062</v>
      </c>
      <c r="B921" t="s">
        <v>2063</v>
      </c>
      <c r="C921" t="s">
        <v>2057</v>
      </c>
      <c r="D921" s="31">
        <v>0</v>
      </c>
      <c r="E921" s="31">
        <v>1</v>
      </c>
      <c r="F921" s="31">
        <v>1</v>
      </c>
      <c r="G921" s="31">
        <v>0</v>
      </c>
      <c r="H921" s="32">
        <v>14.99</v>
      </c>
      <c r="I921">
        <v>8</v>
      </c>
      <c r="J921" s="33">
        <v>0</v>
      </c>
      <c r="K921" s="33">
        <v>0</v>
      </c>
      <c r="L921" s="33">
        <v>0</v>
      </c>
      <c r="M921">
        <v>8</v>
      </c>
      <c r="N921">
        <v>0</v>
      </c>
      <c r="O921">
        <v>0</v>
      </c>
      <c r="P921" t="s">
        <v>53</v>
      </c>
      <c r="Q921" t="s">
        <v>53</v>
      </c>
      <c r="R921" t="s">
        <v>53</v>
      </c>
      <c r="S921" t="s">
        <v>53</v>
      </c>
      <c r="T921" t="s">
        <v>53</v>
      </c>
      <c r="U921" t="s">
        <v>53</v>
      </c>
      <c r="V921" t="s">
        <v>53</v>
      </c>
      <c r="W921" t="s">
        <v>53</v>
      </c>
      <c r="X921" s="22" t="s">
        <v>53</v>
      </c>
      <c r="Y921" s="22" t="s">
        <v>53</v>
      </c>
      <c r="Z921" s="22" t="s">
        <v>53</v>
      </c>
      <c r="AA921" s="22" t="s">
        <v>53</v>
      </c>
      <c r="AB921" t="s">
        <v>53</v>
      </c>
      <c r="AC921" t="s">
        <v>53</v>
      </c>
      <c r="AD921" t="s">
        <v>53</v>
      </c>
      <c r="AE921" t="s">
        <v>53</v>
      </c>
      <c r="AF921" s="22" t="s">
        <v>53</v>
      </c>
      <c r="AG921" s="22" t="s">
        <v>53</v>
      </c>
      <c r="AH921" s="22" t="s">
        <v>53</v>
      </c>
      <c r="AI921" s="22" t="s">
        <v>53</v>
      </c>
      <c r="AJ921">
        <v>15</v>
      </c>
      <c r="AK921">
        <v>19</v>
      </c>
      <c r="AL921">
        <v>5</v>
      </c>
      <c r="AM921">
        <v>15</v>
      </c>
      <c r="AN921" s="22">
        <v>0</v>
      </c>
      <c r="AO921" s="22">
        <v>0.0526315789473684</v>
      </c>
      <c r="AP921" s="22">
        <v>0.2</v>
      </c>
      <c r="AQ921" s="22">
        <v>0</v>
      </c>
      <c r="AR921" s="35">
        <v>0</v>
      </c>
      <c r="AS921" s="35">
        <v>0</v>
      </c>
      <c r="AT921" s="35">
        <v>8</v>
      </c>
      <c r="AU921" s="31" t="str">
        <f t="shared" si="18"/>
        <v>库存为8</v>
      </c>
      <c r="AV921" s="36" t="str">
        <f>IFERROR(时间!$B$4+AU921,"上周无销量")</f>
        <v>上周无销量</v>
      </c>
    </row>
    <row r="922" spans="1:48">
      <c r="A922" s="20" t="s">
        <v>2064</v>
      </c>
      <c r="B922" t="s">
        <v>2065</v>
      </c>
      <c r="C922" t="s">
        <v>2066</v>
      </c>
      <c r="D922" s="31">
        <v>4</v>
      </c>
      <c r="E922" s="31">
        <v>3</v>
      </c>
      <c r="F922" s="31">
        <v>0</v>
      </c>
      <c r="G922" s="31">
        <v>1</v>
      </c>
      <c r="H922" s="32">
        <v>13.99</v>
      </c>
      <c r="I922">
        <v>27</v>
      </c>
      <c r="J922" s="33">
        <v>0</v>
      </c>
      <c r="K922" s="33">
        <v>0</v>
      </c>
      <c r="L922" s="33">
        <v>0</v>
      </c>
      <c r="M922">
        <v>27</v>
      </c>
      <c r="N922">
        <v>0</v>
      </c>
      <c r="O922">
        <v>0</v>
      </c>
      <c r="P922" t="s">
        <v>53</v>
      </c>
      <c r="Q922" t="s">
        <v>53</v>
      </c>
      <c r="R922" t="s">
        <v>53</v>
      </c>
      <c r="S922" t="s">
        <v>53</v>
      </c>
      <c r="T922" t="s">
        <v>53</v>
      </c>
      <c r="U922" t="s">
        <v>53</v>
      </c>
      <c r="V922" t="s">
        <v>53</v>
      </c>
      <c r="W922" t="s">
        <v>53</v>
      </c>
      <c r="X922" s="22" t="s">
        <v>53</v>
      </c>
      <c r="Y922" s="22" t="s">
        <v>53</v>
      </c>
      <c r="Z922" s="22" t="s">
        <v>53</v>
      </c>
      <c r="AA922" s="22" t="s">
        <v>53</v>
      </c>
      <c r="AB922" t="s">
        <v>53</v>
      </c>
      <c r="AC922" t="s">
        <v>53</v>
      </c>
      <c r="AD922" t="s">
        <v>53</v>
      </c>
      <c r="AE922" t="s">
        <v>53</v>
      </c>
      <c r="AF922" s="22" t="s">
        <v>53</v>
      </c>
      <c r="AG922" s="22" t="s">
        <v>53</v>
      </c>
      <c r="AH922" s="22" t="s">
        <v>53</v>
      </c>
      <c r="AI922" s="22" t="s">
        <v>53</v>
      </c>
      <c r="AJ922">
        <v>29</v>
      </c>
      <c r="AK922">
        <v>12</v>
      </c>
      <c r="AL922">
        <v>7</v>
      </c>
      <c r="AM922">
        <v>13</v>
      </c>
      <c r="AN922" s="22">
        <v>0.137931034482759</v>
      </c>
      <c r="AO922" s="22">
        <v>0.25</v>
      </c>
      <c r="AP922" s="22">
        <v>0</v>
      </c>
      <c r="AQ922" s="22">
        <v>0.0769230769230769</v>
      </c>
      <c r="AR922" s="35">
        <v>0.571428571428571</v>
      </c>
      <c r="AS922" s="35">
        <v>34.2857142857143</v>
      </c>
      <c r="AT922" s="35">
        <v>-7.28571428571428</v>
      </c>
      <c r="AU922" s="31">
        <f t="shared" si="18"/>
        <v>47</v>
      </c>
      <c r="AV922" s="36">
        <f>IFERROR(时间!$B$4+AU922,"上周无销量")</f>
        <v>43379</v>
      </c>
    </row>
    <row r="923" spans="1:48">
      <c r="A923" s="20" t="s">
        <v>2067</v>
      </c>
      <c r="B923" t="s">
        <v>2068</v>
      </c>
      <c r="C923" t="s">
        <v>2066</v>
      </c>
      <c r="D923" s="31">
        <v>2</v>
      </c>
      <c r="E923" s="31">
        <v>4</v>
      </c>
      <c r="F923" s="31">
        <v>2</v>
      </c>
      <c r="G923" s="31">
        <v>0</v>
      </c>
      <c r="H923" s="32">
        <v>13.99</v>
      </c>
      <c r="I923">
        <v>29</v>
      </c>
      <c r="J923" s="33">
        <v>0</v>
      </c>
      <c r="K923" s="33">
        <v>0</v>
      </c>
      <c r="L923" s="33">
        <v>0</v>
      </c>
      <c r="M923">
        <v>29</v>
      </c>
      <c r="N923">
        <v>0</v>
      </c>
      <c r="O923">
        <v>0</v>
      </c>
      <c r="P923" t="s">
        <v>53</v>
      </c>
      <c r="Q923" t="s">
        <v>53</v>
      </c>
      <c r="R923" t="s">
        <v>53</v>
      </c>
      <c r="S923" t="s">
        <v>53</v>
      </c>
      <c r="T923" t="s">
        <v>53</v>
      </c>
      <c r="U923" t="s">
        <v>53</v>
      </c>
      <c r="V923" t="s">
        <v>53</v>
      </c>
      <c r="W923" t="s">
        <v>53</v>
      </c>
      <c r="X923" s="22" t="s">
        <v>53</v>
      </c>
      <c r="Y923" s="22" t="s">
        <v>53</v>
      </c>
      <c r="Z923" s="22" t="s">
        <v>53</v>
      </c>
      <c r="AA923" s="22" t="s">
        <v>53</v>
      </c>
      <c r="AB923" t="s">
        <v>53</v>
      </c>
      <c r="AC923" t="s">
        <v>53</v>
      </c>
      <c r="AD923" t="s">
        <v>53</v>
      </c>
      <c r="AE923" t="s">
        <v>53</v>
      </c>
      <c r="AF923" s="22" t="s">
        <v>53</v>
      </c>
      <c r="AG923" s="22" t="s">
        <v>53</v>
      </c>
      <c r="AH923" s="22" t="s">
        <v>53</v>
      </c>
      <c r="AI923" s="22" t="s">
        <v>53</v>
      </c>
      <c r="AJ923">
        <v>79</v>
      </c>
      <c r="AK923">
        <v>62</v>
      </c>
      <c r="AL923">
        <v>38</v>
      </c>
      <c r="AM923">
        <v>33</v>
      </c>
      <c r="AN923" s="22">
        <v>0.0253164556962025</v>
      </c>
      <c r="AO923" s="22">
        <v>0.0645161290322581</v>
      </c>
      <c r="AP923" s="22">
        <v>0.0526315789473684</v>
      </c>
      <c r="AQ923" s="22">
        <v>0</v>
      </c>
      <c r="AR923" s="35">
        <v>0.285714285714286</v>
      </c>
      <c r="AS923" s="35">
        <v>17.1428571428571</v>
      </c>
      <c r="AT923" s="35">
        <v>11.8571428571429</v>
      </c>
      <c r="AU923" s="31">
        <f t="shared" si="18"/>
        <v>101</v>
      </c>
      <c r="AV923" s="36">
        <f>IFERROR(时间!$B$4+AU923,"上周无销量")</f>
        <v>43433</v>
      </c>
    </row>
    <row r="924" spans="1:48">
      <c r="A924" s="20" t="s">
        <v>2069</v>
      </c>
      <c r="B924" t="s">
        <v>2070</v>
      </c>
      <c r="C924" t="s">
        <v>2066</v>
      </c>
      <c r="D924" s="31">
        <v>1</v>
      </c>
      <c r="E924" s="31">
        <v>1</v>
      </c>
      <c r="F924" s="31">
        <v>1</v>
      </c>
      <c r="G924" s="31">
        <v>2</v>
      </c>
      <c r="H924" s="32">
        <v>13.99</v>
      </c>
      <c r="I924">
        <v>9</v>
      </c>
      <c r="J924" s="33">
        <v>0</v>
      </c>
      <c r="K924" s="33">
        <v>0</v>
      </c>
      <c r="L924" s="33">
        <v>0</v>
      </c>
      <c r="M924">
        <v>9</v>
      </c>
      <c r="N924">
        <v>1</v>
      </c>
      <c r="O924">
        <v>0</v>
      </c>
      <c r="P924" t="s">
        <v>53</v>
      </c>
      <c r="Q924" t="s">
        <v>53</v>
      </c>
      <c r="R924" t="s">
        <v>53</v>
      </c>
      <c r="S924" t="s">
        <v>53</v>
      </c>
      <c r="T924" t="s">
        <v>53</v>
      </c>
      <c r="U924" t="s">
        <v>53</v>
      </c>
      <c r="V924" t="s">
        <v>53</v>
      </c>
      <c r="W924" t="s">
        <v>53</v>
      </c>
      <c r="X924" s="22" t="s">
        <v>53</v>
      </c>
      <c r="Y924" s="22" t="s">
        <v>53</v>
      </c>
      <c r="Z924" s="22" t="s">
        <v>53</v>
      </c>
      <c r="AA924" s="22" t="s">
        <v>53</v>
      </c>
      <c r="AB924" t="s">
        <v>53</v>
      </c>
      <c r="AC924" t="s">
        <v>53</v>
      </c>
      <c r="AD924" t="s">
        <v>53</v>
      </c>
      <c r="AE924" t="s">
        <v>53</v>
      </c>
      <c r="AF924" s="22" t="s">
        <v>53</v>
      </c>
      <c r="AG924" s="22" t="s">
        <v>53</v>
      </c>
      <c r="AH924" s="22" t="s">
        <v>53</v>
      </c>
      <c r="AI924" s="22" t="s">
        <v>53</v>
      </c>
      <c r="AJ924">
        <v>31</v>
      </c>
      <c r="AK924">
        <v>30</v>
      </c>
      <c r="AL924">
        <v>19</v>
      </c>
      <c r="AM924">
        <v>36</v>
      </c>
      <c r="AN924" s="22">
        <v>0.032258064516129</v>
      </c>
      <c r="AO924" s="22">
        <v>0.0333333333333333</v>
      </c>
      <c r="AP924" s="22">
        <v>0.0526315789473684</v>
      </c>
      <c r="AQ924" s="22">
        <v>0.0555555555555556</v>
      </c>
      <c r="AR924" s="35">
        <v>0.142857142857143</v>
      </c>
      <c r="AS924" s="35">
        <v>8.57142857142857</v>
      </c>
      <c r="AT924" s="35">
        <v>0.428571428571429</v>
      </c>
      <c r="AU924" s="31">
        <f t="shared" si="18"/>
        <v>63</v>
      </c>
      <c r="AV924" s="36">
        <f>IFERROR(时间!$B$4+AU924,"上周无销量")</f>
        <v>43395</v>
      </c>
    </row>
    <row r="925" spans="1:48">
      <c r="A925" s="20" t="s">
        <v>2071</v>
      </c>
      <c r="B925" t="s">
        <v>2072</v>
      </c>
      <c r="C925" t="s">
        <v>2066</v>
      </c>
      <c r="D925" s="31">
        <v>3</v>
      </c>
      <c r="E925" s="31">
        <v>7</v>
      </c>
      <c r="F925" s="31">
        <v>1</v>
      </c>
      <c r="G925" s="31">
        <v>4</v>
      </c>
      <c r="H925" s="32">
        <v>13.99</v>
      </c>
      <c r="I925">
        <v>11</v>
      </c>
      <c r="J925" s="33">
        <v>20</v>
      </c>
      <c r="K925" s="33">
        <v>0</v>
      </c>
      <c r="L925" s="33">
        <v>0</v>
      </c>
      <c r="M925">
        <v>31</v>
      </c>
      <c r="N925">
        <v>0</v>
      </c>
      <c r="O925">
        <v>0</v>
      </c>
      <c r="P925" t="s">
        <v>53</v>
      </c>
      <c r="Q925" t="s">
        <v>53</v>
      </c>
      <c r="R925" t="s">
        <v>53</v>
      </c>
      <c r="S925" t="s">
        <v>53</v>
      </c>
      <c r="T925" t="s">
        <v>53</v>
      </c>
      <c r="U925" t="s">
        <v>53</v>
      </c>
      <c r="V925" t="s">
        <v>53</v>
      </c>
      <c r="W925" t="s">
        <v>53</v>
      </c>
      <c r="X925" s="22" t="s">
        <v>53</v>
      </c>
      <c r="Y925" s="22" t="s">
        <v>53</v>
      </c>
      <c r="Z925" s="22" t="s">
        <v>53</v>
      </c>
      <c r="AA925" s="22" t="s">
        <v>53</v>
      </c>
      <c r="AB925" t="s">
        <v>53</v>
      </c>
      <c r="AC925" t="s">
        <v>53</v>
      </c>
      <c r="AD925" t="s">
        <v>53</v>
      </c>
      <c r="AE925" t="s">
        <v>53</v>
      </c>
      <c r="AF925" s="22" t="s">
        <v>53</v>
      </c>
      <c r="AG925" s="22" t="s">
        <v>53</v>
      </c>
      <c r="AH925" s="22" t="s">
        <v>53</v>
      </c>
      <c r="AI925" s="22" t="s">
        <v>53</v>
      </c>
      <c r="AJ925">
        <v>13</v>
      </c>
      <c r="AK925">
        <v>13</v>
      </c>
      <c r="AL925">
        <v>4</v>
      </c>
      <c r="AM925">
        <v>11</v>
      </c>
      <c r="AN925" s="22">
        <v>0.230769230769231</v>
      </c>
      <c r="AO925" s="22">
        <v>0.538461538461538</v>
      </c>
      <c r="AP925" s="22">
        <v>0.25</v>
      </c>
      <c r="AQ925" s="22">
        <v>0.363636363636364</v>
      </c>
      <c r="AR925" s="35">
        <v>0.428571428571429</v>
      </c>
      <c r="AS925" s="35">
        <v>25.7142857142857</v>
      </c>
      <c r="AT925" s="35">
        <v>5.28571428571429</v>
      </c>
      <c r="AU925" s="31">
        <f t="shared" si="18"/>
        <v>72</v>
      </c>
      <c r="AV925" s="36">
        <f>IFERROR(时间!$B$4+AU925,"上周无销量")</f>
        <v>43404</v>
      </c>
    </row>
    <row r="926" spans="1:48">
      <c r="A926" s="20" t="s">
        <v>2073</v>
      </c>
      <c r="B926" t="s">
        <v>2074</v>
      </c>
      <c r="C926" t="s">
        <v>2066</v>
      </c>
      <c r="D926" s="31">
        <v>1</v>
      </c>
      <c r="E926" s="31">
        <v>2</v>
      </c>
      <c r="F926" s="31">
        <v>0</v>
      </c>
      <c r="G926" s="31">
        <v>1</v>
      </c>
      <c r="H926" s="32">
        <v>13.99</v>
      </c>
      <c r="I926">
        <v>18</v>
      </c>
      <c r="J926" s="33">
        <v>0</v>
      </c>
      <c r="K926" s="33">
        <v>0</v>
      </c>
      <c r="L926" s="33">
        <v>0</v>
      </c>
      <c r="M926">
        <v>18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30</v>
      </c>
      <c r="AK926">
        <v>26</v>
      </c>
      <c r="AL926">
        <v>14</v>
      </c>
      <c r="AM926">
        <v>15</v>
      </c>
      <c r="AN926" s="22">
        <v>0.0333333333333333</v>
      </c>
      <c r="AO926" s="22">
        <v>0.0769230769230769</v>
      </c>
      <c r="AP926" s="22">
        <v>0</v>
      </c>
      <c r="AQ926" s="22">
        <v>0.0666666666666667</v>
      </c>
      <c r="AR926" s="35">
        <v>0.142857142857143</v>
      </c>
      <c r="AS926" s="35">
        <v>8.57142857142857</v>
      </c>
      <c r="AT926" s="35">
        <v>9.42857142857143</v>
      </c>
      <c r="AU926" s="31">
        <f t="shared" si="18"/>
        <v>126</v>
      </c>
      <c r="AV926" s="36">
        <f>IFERROR(时间!$B$4+AU926,"上周无销量")</f>
        <v>43458</v>
      </c>
    </row>
    <row r="927" spans="1:48">
      <c r="A927" s="20" t="s">
        <v>2075</v>
      </c>
      <c r="B927" t="s">
        <v>2076</v>
      </c>
      <c r="C927" t="s">
        <v>2066</v>
      </c>
      <c r="D927" s="31">
        <v>3</v>
      </c>
      <c r="E927" s="31">
        <v>4</v>
      </c>
      <c r="F927" s="31">
        <v>1</v>
      </c>
      <c r="G927" s="31">
        <v>0</v>
      </c>
      <c r="H927" s="32">
        <v>13.99</v>
      </c>
      <c r="I927">
        <v>20</v>
      </c>
      <c r="J927" s="33">
        <v>0</v>
      </c>
      <c r="K927" s="33">
        <v>0</v>
      </c>
      <c r="L927" s="33">
        <v>0</v>
      </c>
      <c r="M927">
        <v>20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39</v>
      </c>
      <c r="AK927">
        <v>23</v>
      </c>
      <c r="AL927">
        <v>13</v>
      </c>
      <c r="AM927">
        <v>19</v>
      </c>
      <c r="AN927" s="22">
        <v>0.0769230769230769</v>
      </c>
      <c r="AO927" s="22">
        <v>0.173913043478261</v>
      </c>
      <c r="AP927" s="22">
        <v>0.0769230769230769</v>
      </c>
      <c r="AQ927" s="22">
        <v>0</v>
      </c>
      <c r="AR927" s="35">
        <v>0.428571428571429</v>
      </c>
      <c r="AS927" s="35">
        <v>25.7142857142857</v>
      </c>
      <c r="AT927" s="35">
        <v>-5.71428571428571</v>
      </c>
      <c r="AU927" s="31">
        <f t="shared" si="18"/>
        <v>46</v>
      </c>
      <c r="AV927" s="36">
        <f>IFERROR(时间!$B$4+AU927,"上周无销量")</f>
        <v>43378</v>
      </c>
    </row>
    <row r="928" spans="1:48">
      <c r="A928" s="20" t="s">
        <v>2077</v>
      </c>
      <c r="B928" t="s">
        <v>2078</v>
      </c>
      <c r="C928" t="s">
        <v>2066</v>
      </c>
      <c r="D928" s="31">
        <v>5</v>
      </c>
      <c r="E928" s="31">
        <v>4</v>
      </c>
      <c r="F928" s="31">
        <v>1</v>
      </c>
      <c r="G928" s="31">
        <v>6</v>
      </c>
      <c r="H928" s="32">
        <v>13.99</v>
      </c>
      <c r="I928">
        <v>16</v>
      </c>
      <c r="J928" s="33">
        <v>0</v>
      </c>
      <c r="K928" s="33">
        <v>0</v>
      </c>
      <c r="L928" s="33">
        <v>6</v>
      </c>
      <c r="M928">
        <v>22</v>
      </c>
      <c r="N928">
        <v>0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45</v>
      </c>
      <c r="AK928">
        <v>18</v>
      </c>
      <c r="AL928">
        <v>15</v>
      </c>
      <c r="AM928">
        <v>15</v>
      </c>
      <c r="AN928" s="22">
        <v>0.111111111111111</v>
      </c>
      <c r="AO928" s="22">
        <v>0.222222222222222</v>
      </c>
      <c r="AP928" s="22">
        <v>0.0666666666666667</v>
      </c>
      <c r="AQ928" s="22">
        <v>0.4</v>
      </c>
      <c r="AR928" s="35">
        <v>0.714285714285714</v>
      </c>
      <c r="AS928" s="35">
        <v>42.8571428571429</v>
      </c>
      <c r="AT928" s="35">
        <v>-20.8571428571429</v>
      </c>
      <c r="AU928" s="31">
        <f t="shared" si="18"/>
        <v>30</v>
      </c>
      <c r="AV928" s="36">
        <f>IFERROR(时间!$B$4+AU928,"上周无销量")</f>
        <v>43362</v>
      </c>
    </row>
    <row r="929" spans="1:48">
      <c r="A929" s="20" t="s">
        <v>2079</v>
      </c>
      <c r="B929" t="s">
        <v>2080</v>
      </c>
      <c r="C929" t="s">
        <v>2066</v>
      </c>
      <c r="D929" s="31">
        <v>4</v>
      </c>
      <c r="E929" s="31">
        <v>7</v>
      </c>
      <c r="F929" s="31">
        <v>0</v>
      </c>
      <c r="G929" s="31">
        <v>6</v>
      </c>
      <c r="H929" s="32">
        <v>13.99</v>
      </c>
      <c r="I929">
        <v>18</v>
      </c>
      <c r="J929" s="33">
        <v>0</v>
      </c>
      <c r="K929" s="33">
        <v>0</v>
      </c>
      <c r="L929" s="33">
        <v>5</v>
      </c>
      <c r="M929">
        <v>23</v>
      </c>
      <c r="N929">
        <v>0</v>
      </c>
      <c r="O929">
        <v>0</v>
      </c>
      <c r="P929" t="s">
        <v>53</v>
      </c>
      <c r="Q929" t="s">
        <v>53</v>
      </c>
      <c r="R929" t="s">
        <v>53</v>
      </c>
      <c r="S929" t="s">
        <v>53</v>
      </c>
      <c r="T929" t="s">
        <v>53</v>
      </c>
      <c r="U929" t="s">
        <v>53</v>
      </c>
      <c r="V929" t="s">
        <v>53</v>
      </c>
      <c r="W929" t="s">
        <v>53</v>
      </c>
      <c r="X929" s="22" t="s">
        <v>53</v>
      </c>
      <c r="Y929" s="22" t="s">
        <v>53</v>
      </c>
      <c r="Z929" s="22" t="s">
        <v>53</v>
      </c>
      <c r="AA929" s="22" t="s">
        <v>53</v>
      </c>
      <c r="AB929" t="s">
        <v>53</v>
      </c>
      <c r="AC929" t="s">
        <v>53</v>
      </c>
      <c r="AD929" t="s">
        <v>53</v>
      </c>
      <c r="AE929" t="s">
        <v>53</v>
      </c>
      <c r="AF929" s="22" t="s">
        <v>53</v>
      </c>
      <c r="AG929" s="22" t="s">
        <v>53</v>
      </c>
      <c r="AH929" s="22" t="s">
        <v>53</v>
      </c>
      <c r="AI929" s="22" t="s">
        <v>53</v>
      </c>
      <c r="AJ929">
        <v>54</v>
      </c>
      <c r="AK929">
        <v>35</v>
      </c>
      <c r="AL929">
        <v>15</v>
      </c>
      <c r="AM929">
        <v>16</v>
      </c>
      <c r="AN929" s="22">
        <v>0.0740740740740741</v>
      </c>
      <c r="AO929" s="22">
        <v>0.2</v>
      </c>
      <c r="AP929" s="22">
        <v>0</v>
      </c>
      <c r="AQ929" s="22">
        <v>0.375</v>
      </c>
      <c r="AR929" s="35">
        <v>0.571428571428571</v>
      </c>
      <c r="AS929" s="35">
        <v>34.2857142857143</v>
      </c>
      <c r="AT929" s="35">
        <v>-11.2857142857143</v>
      </c>
      <c r="AU929" s="31">
        <f t="shared" si="18"/>
        <v>40</v>
      </c>
      <c r="AV929" s="36">
        <f>IFERROR(时间!$B$4+AU929,"上周无销量")</f>
        <v>43372</v>
      </c>
    </row>
    <row r="930" spans="1:48">
      <c r="A930" s="20" t="s">
        <v>2081</v>
      </c>
      <c r="B930" t="s">
        <v>2082</v>
      </c>
      <c r="C930" t="s">
        <v>2066</v>
      </c>
      <c r="D930" s="31">
        <v>3</v>
      </c>
      <c r="E930" s="31">
        <v>3</v>
      </c>
      <c r="F930" s="31">
        <v>1</v>
      </c>
      <c r="G930" s="31">
        <v>2</v>
      </c>
      <c r="H930" s="32">
        <v>13.99</v>
      </c>
      <c r="I930">
        <v>24</v>
      </c>
      <c r="J930" s="33">
        <v>0</v>
      </c>
      <c r="K930" s="33">
        <v>0</v>
      </c>
      <c r="L930" s="33">
        <v>0</v>
      </c>
      <c r="M930">
        <v>24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37</v>
      </c>
      <c r="AK930">
        <v>19</v>
      </c>
      <c r="AL930">
        <v>16</v>
      </c>
      <c r="AM930">
        <v>23</v>
      </c>
      <c r="AN930" s="22">
        <v>0.0810810810810811</v>
      </c>
      <c r="AO930" s="22">
        <v>0.157894736842105</v>
      </c>
      <c r="AP930" s="22">
        <v>0.0625</v>
      </c>
      <c r="AQ930" s="22">
        <v>0.0869565217391304</v>
      </c>
      <c r="AR930" s="35">
        <v>0.428571428571429</v>
      </c>
      <c r="AS930" s="35">
        <v>25.7142857142857</v>
      </c>
      <c r="AT930" s="35">
        <v>-1.71428571428571</v>
      </c>
      <c r="AU930" s="31">
        <f t="shared" si="18"/>
        <v>56</v>
      </c>
      <c r="AV930" s="36">
        <f>IFERROR(时间!$B$4+AU930,"上周无销量")</f>
        <v>43388</v>
      </c>
    </row>
    <row r="931" spans="1:48">
      <c r="A931" s="20" t="s">
        <v>2083</v>
      </c>
      <c r="B931" t="s">
        <v>2084</v>
      </c>
      <c r="C931" t="s">
        <v>2066</v>
      </c>
      <c r="D931" s="31">
        <v>1</v>
      </c>
      <c r="E931" s="31">
        <v>0</v>
      </c>
      <c r="F931" s="31">
        <v>4</v>
      </c>
      <c r="G931" s="31">
        <v>0</v>
      </c>
      <c r="H931" s="32">
        <v>13.99</v>
      </c>
      <c r="I931">
        <v>35</v>
      </c>
      <c r="J931" s="33">
        <v>0</v>
      </c>
      <c r="K931" s="33">
        <v>0</v>
      </c>
      <c r="L931" s="33">
        <v>0</v>
      </c>
      <c r="M931">
        <v>35</v>
      </c>
      <c r="N931">
        <v>0</v>
      </c>
      <c r="O931">
        <v>0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12</v>
      </c>
      <c r="AK931">
        <v>11</v>
      </c>
      <c r="AL931">
        <v>19</v>
      </c>
      <c r="AM931">
        <v>9</v>
      </c>
      <c r="AN931" s="22">
        <v>0.0833333333333333</v>
      </c>
      <c r="AO931" s="22">
        <v>0</v>
      </c>
      <c r="AP931" s="22">
        <v>0.210526315789474</v>
      </c>
      <c r="AQ931" s="22">
        <v>0</v>
      </c>
      <c r="AR931" s="35">
        <v>0.142857142857143</v>
      </c>
      <c r="AS931" s="35">
        <v>8.57142857142857</v>
      </c>
      <c r="AT931" s="35">
        <v>26.4285714285714</v>
      </c>
      <c r="AU931" s="31">
        <f t="shared" si="18"/>
        <v>245</v>
      </c>
      <c r="AV931" s="36">
        <f>IFERROR(时间!$B$4+AU931,"上周无销量")</f>
        <v>43577</v>
      </c>
    </row>
    <row r="932" spans="1:48">
      <c r="A932" s="20" t="s">
        <v>2085</v>
      </c>
      <c r="B932" t="s">
        <v>2086</v>
      </c>
      <c r="C932" t="s">
        <v>2066</v>
      </c>
      <c r="D932" s="31">
        <v>0</v>
      </c>
      <c r="E932" s="31">
        <v>2</v>
      </c>
      <c r="F932" s="31">
        <v>3</v>
      </c>
      <c r="G932" s="31">
        <v>3</v>
      </c>
      <c r="H932" s="32">
        <v>12.99</v>
      </c>
      <c r="I932">
        <v>20</v>
      </c>
      <c r="J932" s="33">
        <v>0</v>
      </c>
      <c r="K932" s="33">
        <v>0</v>
      </c>
      <c r="L932" s="33">
        <v>0</v>
      </c>
      <c r="M932">
        <v>20</v>
      </c>
      <c r="N932">
        <v>0</v>
      </c>
      <c r="O932">
        <v>0</v>
      </c>
      <c r="P932">
        <v>2491</v>
      </c>
      <c r="Q932">
        <v>1746</v>
      </c>
      <c r="R932">
        <v>1741</v>
      </c>
      <c r="S932">
        <v>1583</v>
      </c>
      <c r="T932">
        <v>1</v>
      </c>
      <c r="U932">
        <v>1</v>
      </c>
      <c r="V932">
        <v>2</v>
      </c>
      <c r="W932">
        <v>1</v>
      </c>
      <c r="X932" s="22">
        <v>0.000401445202729827</v>
      </c>
      <c r="Y932" s="22">
        <v>0.000572737686139748</v>
      </c>
      <c r="Z932" s="22">
        <v>0.00114876507754164</v>
      </c>
      <c r="AA932" s="22">
        <v>0.000631711939355654</v>
      </c>
      <c r="AB932">
        <v>0.15</v>
      </c>
      <c r="AC932">
        <v>0.27</v>
      </c>
      <c r="AD932">
        <v>0.53</v>
      </c>
      <c r="AE932">
        <v>0.19</v>
      </c>
      <c r="AF932" s="22" t="s">
        <v>1342</v>
      </c>
      <c r="AG932" s="22">
        <v>0.0103926096997691</v>
      </c>
      <c r="AH932" s="22">
        <v>0.0136002052861175</v>
      </c>
      <c r="AI932" s="22">
        <v>0.00487554529124968</v>
      </c>
      <c r="AJ932">
        <v>20</v>
      </c>
      <c r="AK932">
        <v>16</v>
      </c>
      <c r="AL932">
        <v>12</v>
      </c>
      <c r="AM932">
        <v>13</v>
      </c>
      <c r="AN932" s="22">
        <v>0</v>
      </c>
      <c r="AO932" s="22">
        <v>0.125</v>
      </c>
      <c r="AP932" s="22">
        <v>0.25</v>
      </c>
      <c r="AQ932" s="22">
        <v>0.230769230769231</v>
      </c>
      <c r="AR932" s="35">
        <v>0</v>
      </c>
      <c r="AS932" s="35">
        <v>0</v>
      </c>
      <c r="AT932" s="35">
        <v>20</v>
      </c>
      <c r="AU932" s="31" t="str">
        <f t="shared" si="18"/>
        <v>库存为20</v>
      </c>
      <c r="AV932" s="36" t="str">
        <f>IFERROR(时间!$B$4+AU932,"上周无销量")</f>
        <v>上周无销量</v>
      </c>
    </row>
    <row r="933" spans="1:48">
      <c r="A933" s="20" t="s">
        <v>2087</v>
      </c>
      <c r="B933" t="s">
        <v>2088</v>
      </c>
      <c r="C933" t="s">
        <v>2066</v>
      </c>
      <c r="D933" s="31">
        <v>3</v>
      </c>
      <c r="E933" s="31">
        <v>2</v>
      </c>
      <c r="F933" s="31">
        <v>2</v>
      </c>
      <c r="G933" s="31">
        <v>1</v>
      </c>
      <c r="H933" s="32">
        <v>13.24</v>
      </c>
      <c r="I933">
        <v>36</v>
      </c>
      <c r="J933" s="33">
        <v>0</v>
      </c>
      <c r="K933" s="33">
        <v>0</v>
      </c>
      <c r="L933" s="33">
        <v>0</v>
      </c>
      <c r="M933">
        <v>36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39</v>
      </c>
      <c r="AK933">
        <v>23</v>
      </c>
      <c r="AL933">
        <v>23</v>
      </c>
      <c r="AM933">
        <v>21</v>
      </c>
      <c r="AN933" s="22">
        <v>0.0769230769230769</v>
      </c>
      <c r="AO933" s="22">
        <v>0.0869565217391304</v>
      </c>
      <c r="AP933" s="22">
        <v>0.0869565217391304</v>
      </c>
      <c r="AQ933" s="22">
        <v>0.0476190476190476</v>
      </c>
      <c r="AR933" s="35">
        <v>0.428571428571429</v>
      </c>
      <c r="AS933" s="35">
        <v>25.7142857142857</v>
      </c>
      <c r="AT933" s="35">
        <v>10.2857142857143</v>
      </c>
      <c r="AU933" s="31">
        <f t="shared" si="18"/>
        <v>84</v>
      </c>
      <c r="AV933" s="36">
        <f>IFERROR(时间!$B$4+AU933,"上周无销量")</f>
        <v>43416</v>
      </c>
    </row>
    <row r="934" spans="1:48">
      <c r="A934" s="20" t="s">
        <v>2089</v>
      </c>
      <c r="B934" t="s">
        <v>2090</v>
      </c>
      <c r="C934" t="s">
        <v>2066</v>
      </c>
      <c r="D934" s="31">
        <v>4</v>
      </c>
      <c r="E934" s="31">
        <v>2</v>
      </c>
      <c r="F934" s="31">
        <v>3</v>
      </c>
      <c r="G934" s="31">
        <v>5</v>
      </c>
      <c r="H934" s="32">
        <v>13.99</v>
      </c>
      <c r="I934">
        <v>0</v>
      </c>
      <c r="J934" s="33">
        <v>0</v>
      </c>
      <c r="K934" s="33">
        <v>25</v>
      </c>
      <c r="L934" s="33">
        <v>0</v>
      </c>
      <c r="M934">
        <v>25</v>
      </c>
      <c r="N934">
        <v>0</v>
      </c>
      <c r="O934">
        <v>0</v>
      </c>
      <c r="P934">
        <v>96</v>
      </c>
      <c r="Q934">
        <v>76</v>
      </c>
      <c r="R934">
        <v>48</v>
      </c>
      <c r="S934">
        <v>28</v>
      </c>
      <c r="T934">
        <v>1</v>
      </c>
      <c r="U934">
        <v>1</v>
      </c>
      <c r="V934">
        <v>0</v>
      </c>
      <c r="W934">
        <v>0</v>
      </c>
      <c r="X934" s="22">
        <v>0.0104166666666667</v>
      </c>
      <c r="Y934" s="22">
        <v>0.0131578947368421</v>
      </c>
      <c r="Z934" s="22">
        <v>0</v>
      </c>
      <c r="AA934" s="22">
        <v>0</v>
      </c>
      <c r="AB934">
        <v>0.2</v>
      </c>
      <c r="AC934">
        <v>0.28</v>
      </c>
      <c r="AD934">
        <v>0</v>
      </c>
      <c r="AE934">
        <v>0</v>
      </c>
      <c r="AF934" s="22">
        <v>0.00357398141529664</v>
      </c>
      <c r="AG934" s="22">
        <v>0.0100071479628306</v>
      </c>
      <c r="AH934" s="22" t="s">
        <v>53</v>
      </c>
      <c r="AI934" s="22" t="s">
        <v>53</v>
      </c>
      <c r="AJ934">
        <v>34</v>
      </c>
      <c r="AK934">
        <v>12</v>
      </c>
      <c r="AL934">
        <v>14</v>
      </c>
      <c r="AM934">
        <v>27</v>
      </c>
      <c r="AN934" s="22">
        <v>0.117647058823529</v>
      </c>
      <c r="AO934" s="22">
        <v>0.166666666666667</v>
      </c>
      <c r="AP934" s="22">
        <v>0.214285714285714</v>
      </c>
      <c r="AQ934" s="22">
        <v>0.185185185185185</v>
      </c>
      <c r="AR934" s="35">
        <v>0.571428571428571</v>
      </c>
      <c r="AS934" s="35">
        <v>34.2857142857143</v>
      </c>
      <c r="AT934" s="35">
        <v>-9.28571428571428</v>
      </c>
      <c r="AU934" s="31">
        <f t="shared" si="18"/>
        <v>43</v>
      </c>
      <c r="AV934" s="36">
        <f>IFERROR(时间!$B$4+AU934,"上周无销量")</f>
        <v>43375</v>
      </c>
    </row>
    <row r="935" spans="1:48">
      <c r="A935" s="20" t="s">
        <v>2091</v>
      </c>
      <c r="B935" t="s">
        <v>2092</v>
      </c>
      <c r="C935" t="s">
        <v>2066</v>
      </c>
      <c r="D935" s="31">
        <v>5</v>
      </c>
      <c r="E935" s="31">
        <v>8</v>
      </c>
      <c r="F935" s="31">
        <v>6</v>
      </c>
      <c r="G935" s="31">
        <v>1</v>
      </c>
      <c r="H935" s="32">
        <v>13.99</v>
      </c>
      <c r="I935">
        <v>22</v>
      </c>
      <c r="J935" s="33">
        <v>0</v>
      </c>
      <c r="K935" s="33">
        <v>0</v>
      </c>
      <c r="L935" s="33">
        <v>5</v>
      </c>
      <c r="M935">
        <v>27</v>
      </c>
      <c r="N935">
        <v>0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65</v>
      </c>
      <c r="AK935">
        <v>62</v>
      </c>
      <c r="AL935">
        <v>30</v>
      </c>
      <c r="AM935">
        <v>66</v>
      </c>
      <c r="AN935" s="22">
        <v>0.0769230769230769</v>
      </c>
      <c r="AO935" s="22">
        <v>0.129032258064516</v>
      </c>
      <c r="AP935" s="22">
        <v>0.2</v>
      </c>
      <c r="AQ935" s="22">
        <v>0.0151515151515152</v>
      </c>
      <c r="AR935" s="35">
        <v>0.714285714285714</v>
      </c>
      <c r="AS935" s="35">
        <v>42.8571428571429</v>
      </c>
      <c r="AT935" s="35">
        <v>-15.8571428571429</v>
      </c>
      <c r="AU935" s="31">
        <f t="shared" si="18"/>
        <v>37</v>
      </c>
      <c r="AV935" s="36">
        <f>IFERROR(时间!$B$4+AU935,"上周无销量")</f>
        <v>43369</v>
      </c>
    </row>
    <row r="936" spans="1:48">
      <c r="A936" s="20" t="s">
        <v>2093</v>
      </c>
      <c r="B936" t="s">
        <v>2094</v>
      </c>
      <c r="C936" t="s">
        <v>2066</v>
      </c>
      <c r="D936" s="31">
        <v>3</v>
      </c>
      <c r="E936" s="31">
        <v>2</v>
      </c>
      <c r="F936" s="31">
        <v>3</v>
      </c>
      <c r="G936" s="31">
        <v>5</v>
      </c>
      <c r="H936" s="32">
        <v>13.99</v>
      </c>
      <c r="I936">
        <v>33</v>
      </c>
      <c r="J936" s="33">
        <v>0</v>
      </c>
      <c r="K936" s="33">
        <v>0</v>
      </c>
      <c r="L936" s="33">
        <v>0</v>
      </c>
      <c r="M936">
        <v>33</v>
      </c>
      <c r="N936">
        <v>1</v>
      </c>
      <c r="O936">
        <v>0</v>
      </c>
      <c r="P936">
        <v>55694</v>
      </c>
      <c r="Q936">
        <v>44960</v>
      </c>
      <c r="R936">
        <v>54951</v>
      </c>
      <c r="S936">
        <v>108644</v>
      </c>
      <c r="T936">
        <v>175</v>
      </c>
      <c r="U936">
        <v>149</v>
      </c>
      <c r="V936">
        <v>135</v>
      </c>
      <c r="W936">
        <v>270</v>
      </c>
      <c r="X936" s="22">
        <v>0.00314216971307502</v>
      </c>
      <c r="Y936" s="22">
        <v>0.00331405693950178</v>
      </c>
      <c r="Z936" s="22">
        <v>0.00245673418136158</v>
      </c>
      <c r="AA936" s="22">
        <v>0.00248518095799124</v>
      </c>
      <c r="AB936">
        <v>50.32</v>
      </c>
      <c r="AC936">
        <v>45.89</v>
      </c>
      <c r="AD936">
        <v>44.82</v>
      </c>
      <c r="AE936">
        <v>91.36</v>
      </c>
      <c r="AF936" s="22">
        <v>1.19895163211818</v>
      </c>
      <c r="AG936" s="22">
        <v>1.64010007147963</v>
      </c>
      <c r="AH936" s="22">
        <v>1.06790564689064</v>
      </c>
      <c r="AI936" s="22">
        <v>1.306075768406</v>
      </c>
      <c r="AJ936">
        <v>143</v>
      </c>
      <c r="AK936">
        <v>126</v>
      </c>
      <c r="AL936">
        <v>86</v>
      </c>
      <c r="AM936">
        <v>143</v>
      </c>
      <c r="AN936" s="22">
        <v>0.020979020979021</v>
      </c>
      <c r="AO936" s="22">
        <v>0.0158730158730159</v>
      </c>
      <c r="AP936" s="22">
        <v>0.0348837209302326</v>
      </c>
      <c r="AQ936" s="22">
        <v>0.034965034965035</v>
      </c>
      <c r="AR936" s="35">
        <v>0.428571428571429</v>
      </c>
      <c r="AS936" s="35">
        <v>25.7142857142857</v>
      </c>
      <c r="AT936" s="35">
        <v>7.28571428571429</v>
      </c>
      <c r="AU936" s="31">
        <f t="shared" si="18"/>
        <v>77</v>
      </c>
      <c r="AV936" s="36">
        <f>IFERROR(时间!$B$4+AU936,"上周无销量")</f>
        <v>43409</v>
      </c>
    </row>
    <row r="937" spans="1:48">
      <c r="A937" s="20" t="s">
        <v>2095</v>
      </c>
      <c r="B937" t="s">
        <v>2096</v>
      </c>
      <c r="C937" t="s">
        <v>2097</v>
      </c>
      <c r="D937" s="31">
        <v>0</v>
      </c>
      <c r="E937" s="31">
        <v>0</v>
      </c>
      <c r="F937" s="31">
        <v>1</v>
      </c>
      <c r="G937" s="31">
        <v>3</v>
      </c>
      <c r="H937" s="32">
        <v>13.99</v>
      </c>
      <c r="I937">
        <v>14</v>
      </c>
      <c r="J937" s="33">
        <v>0</v>
      </c>
      <c r="K937" s="33">
        <v>10</v>
      </c>
      <c r="L937" s="33">
        <v>0</v>
      </c>
      <c r="M937">
        <v>24</v>
      </c>
      <c r="N937">
        <v>0</v>
      </c>
      <c r="O937">
        <v>0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10</v>
      </c>
      <c r="AK937">
        <v>12</v>
      </c>
      <c r="AL937">
        <v>14</v>
      </c>
      <c r="AM937">
        <v>7</v>
      </c>
      <c r="AN937" s="22">
        <v>0</v>
      </c>
      <c r="AO937" s="22">
        <v>0</v>
      </c>
      <c r="AP937" s="22">
        <v>0.0714285714285714</v>
      </c>
      <c r="AQ937" s="22">
        <v>0.428571428571429</v>
      </c>
      <c r="AR937" s="35">
        <v>0</v>
      </c>
      <c r="AS937" s="35">
        <v>0</v>
      </c>
      <c r="AT937" s="35">
        <v>24</v>
      </c>
      <c r="AU937" s="31" t="str">
        <f t="shared" si="18"/>
        <v>库存为24</v>
      </c>
      <c r="AV937" s="36" t="str">
        <f>IFERROR(时间!$B$4+AU937,"上周无销量")</f>
        <v>上周无销量</v>
      </c>
    </row>
    <row r="938" spans="1:48">
      <c r="A938" s="20" t="s">
        <v>2098</v>
      </c>
      <c r="B938" t="s">
        <v>2099</v>
      </c>
      <c r="C938" t="s">
        <v>2097</v>
      </c>
      <c r="D938" s="31">
        <v>1</v>
      </c>
      <c r="E938" s="31">
        <v>0</v>
      </c>
      <c r="F938" s="31">
        <v>1</v>
      </c>
      <c r="G938" s="31">
        <v>1</v>
      </c>
      <c r="H938" s="32">
        <v>13.99</v>
      </c>
      <c r="I938">
        <v>24</v>
      </c>
      <c r="J938" s="33">
        <v>0</v>
      </c>
      <c r="K938" s="33">
        <v>0</v>
      </c>
      <c r="L938" s="33">
        <v>0</v>
      </c>
      <c r="M938">
        <v>24</v>
      </c>
      <c r="N938">
        <v>0</v>
      </c>
      <c r="O938">
        <v>0</v>
      </c>
      <c r="P938" t="s">
        <v>53</v>
      </c>
      <c r="Q938" t="s">
        <v>53</v>
      </c>
      <c r="R938" t="s">
        <v>53</v>
      </c>
      <c r="S938" t="s">
        <v>53</v>
      </c>
      <c r="T938" t="s">
        <v>53</v>
      </c>
      <c r="U938" t="s">
        <v>53</v>
      </c>
      <c r="V938" t="s">
        <v>53</v>
      </c>
      <c r="W938" t="s">
        <v>53</v>
      </c>
      <c r="X938" s="22" t="s">
        <v>53</v>
      </c>
      <c r="Y938" s="22" t="s">
        <v>53</v>
      </c>
      <c r="Z938" s="22" t="s">
        <v>53</v>
      </c>
      <c r="AA938" s="22" t="s">
        <v>53</v>
      </c>
      <c r="AB938" t="s">
        <v>53</v>
      </c>
      <c r="AC938" t="s">
        <v>53</v>
      </c>
      <c r="AD938" t="s">
        <v>53</v>
      </c>
      <c r="AE938" t="s">
        <v>53</v>
      </c>
      <c r="AF938" s="22" t="s">
        <v>53</v>
      </c>
      <c r="AG938" s="22" t="s">
        <v>53</v>
      </c>
      <c r="AH938" s="22" t="s">
        <v>53</v>
      </c>
      <c r="AI938" s="22" t="s">
        <v>53</v>
      </c>
      <c r="AJ938">
        <v>32</v>
      </c>
      <c r="AK938">
        <v>38</v>
      </c>
      <c r="AL938">
        <v>16</v>
      </c>
      <c r="AM938">
        <v>8</v>
      </c>
      <c r="AN938" s="22">
        <v>0.03125</v>
      </c>
      <c r="AO938" s="22">
        <v>0</v>
      </c>
      <c r="AP938" s="22">
        <v>0.0625</v>
      </c>
      <c r="AQ938" s="22">
        <v>0.125</v>
      </c>
      <c r="AR938" s="35">
        <v>0.142857142857143</v>
      </c>
      <c r="AS938" s="35">
        <v>8.57142857142857</v>
      </c>
      <c r="AT938" s="35">
        <v>15.4285714285714</v>
      </c>
      <c r="AU938" s="31">
        <f t="shared" si="18"/>
        <v>168</v>
      </c>
      <c r="AV938" s="36">
        <f>IFERROR(时间!$B$4+AU938,"上周无销量")</f>
        <v>43500</v>
      </c>
    </row>
    <row r="939" spans="1:48">
      <c r="A939" s="20" t="s">
        <v>2100</v>
      </c>
      <c r="B939" t="s">
        <v>2101</v>
      </c>
      <c r="C939" t="s">
        <v>2097</v>
      </c>
      <c r="D939" s="31">
        <v>0</v>
      </c>
      <c r="E939" s="31">
        <v>1</v>
      </c>
      <c r="F939" s="31">
        <v>0</v>
      </c>
      <c r="G939" s="31">
        <v>0</v>
      </c>
      <c r="H939" s="32">
        <v>13.99</v>
      </c>
      <c r="I939">
        <v>13</v>
      </c>
      <c r="J939" s="33">
        <v>0</v>
      </c>
      <c r="K939" s="33">
        <v>0</v>
      </c>
      <c r="L939" s="33">
        <v>0</v>
      </c>
      <c r="M939">
        <v>13</v>
      </c>
      <c r="N939">
        <v>0</v>
      </c>
      <c r="O939">
        <v>0</v>
      </c>
      <c r="P939">
        <v>1155</v>
      </c>
      <c r="Q939">
        <v>283</v>
      </c>
      <c r="R939">
        <v>1794</v>
      </c>
      <c r="S939">
        <v>2653</v>
      </c>
      <c r="T939">
        <v>4</v>
      </c>
      <c r="U939">
        <v>1</v>
      </c>
      <c r="V939">
        <v>3</v>
      </c>
      <c r="W939">
        <v>5</v>
      </c>
      <c r="X939" s="22">
        <v>0.00346320346320346</v>
      </c>
      <c r="Y939" s="22">
        <v>0.00353356890459364</v>
      </c>
      <c r="Z939" s="22">
        <v>0.00167224080267559</v>
      </c>
      <c r="AA939" s="22">
        <v>0.00188465887674331</v>
      </c>
      <c r="AB939">
        <v>0.63</v>
      </c>
      <c r="AC939">
        <v>0.15</v>
      </c>
      <c r="AD939">
        <v>1.39</v>
      </c>
      <c r="AE939">
        <v>1.36</v>
      </c>
      <c r="AF939" s="22" t="s">
        <v>2102</v>
      </c>
      <c r="AG939" s="22">
        <v>0.0107219442458899</v>
      </c>
      <c r="AH939" s="22" t="s">
        <v>2103</v>
      </c>
      <c r="AI939" s="22" t="s">
        <v>2104</v>
      </c>
      <c r="AJ939">
        <v>20</v>
      </c>
      <c r="AK939">
        <v>19</v>
      </c>
      <c r="AL939">
        <v>25</v>
      </c>
      <c r="AM939">
        <v>20</v>
      </c>
      <c r="AN939" s="22">
        <v>0</v>
      </c>
      <c r="AO939" s="22">
        <v>0.0526315789473684</v>
      </c>
      <c r="AP939" s="22">
        <v>0</v>
      </c>
      <c r="AQ939" s="22">
        <v>0</v>
      </c>
      <c r="AR939" s="35">
        <v>0</v>
      </c>
      <c r="AS939" s="35">
        <v>0</v>
      </c>
      <c r="AT939" s="35">
        <v>13</v>
      </c>
      <c r="AU939" s="31" t="str">
        <f t="shared" si="18"/>
        <v>库存为13</v>
      </c>
      <c r="AV939" s="36" t="str">
        <f>IFERROR(时间!$B$4+AU939,"上周无销量")</f>
        <v>上周无销量</v>
      </c>
    </row>
    <row r="940" spans="1:48">
      <c r="A940" s="20" t="s">
        <v>2105</v>
      </c>
      <c r="B940" t="s">
        <v>2106</v>
      </c>
      <c r="C940" t="s">
        <v>2097</v>
      </c>
      <c r="D940" s="31">
        <v>1</v>
      </c>
      <c r="E940" s="31">
        <v>0</v>
      </c>
      <c r="F940" s="31">
        <v>0</v>
      </c>
      <c r="G940" s="31">
        <v>0</v>
      </c>
      <c r="H940" s="32">
        <v>13.99</v>
      </c>
      <c r="I940">
        <v>16</v>
      </c>
      <c r="J940" s="33">
        <v>0</v>
      </c>
      <c r="K940" s="33">
        <v>0</v>
      </c>
      <c r="L940" s="33">
        <v>0</v>
      </c>
      <c r="M940">
        <v>16</v>
      </c>
      <c r="N940">
        <v>0</v>
      </c>
      <c r="O940">
        <v>0</v>
      </c>
      <c r="P940">
        <v>193</v>
      </c>
      <c r="Q940">
        <v>196</v>
      </c>
      <c r="R940">
        <v>127</v>
      </c>
      <c r="S940">
        <v>168</v>
      </c>
      <c r="T940">
        <v>4</v>
      </c>
      <c r="U940">
        <v>4</v>
      </c>
      <c r="V940">
        <v>1</v>
      </c>
      <c r="W940">
        <v>2</v>
      </c>
      <c r="X940" s="22">
        <v>0.0207253886010363</v>
      </c>
      <c r="Y940" s="22">
        <v>0.0204081632653061</v>
      </c>
      <c r="Z940" s="22">
        <v>0.0078740157480315</v>
      </c>
      <c r="AA940" s="22">
        <v>0.0119047619047619</v>
      </c>
      <c r="AB940">
        <v>0.99</v>
      </c>
      <c r="AC940">
        <v>1.07</v>
      </c>
      <c r="AD940">
        <v>0.37</v>
      </c>
      <c r="AE940">
        <v>0.17</v>
      </c>
      <c r="AF940" s="22">
        <v>0.0707648320228735</v>
      </c>
      <c r="AG940" s="22" t="s">
        <v>2107</v>
      </c>
      <c r="AH940" s="22" t="s">
        <v>2108</v>
      </c>
      <c r="AI940" s="22" t="s">
        <v>2109</v>
      </c>
      <c r="AJ940">
        <v>14</v>
      </c>
      <c r="AK940">
        <v>11</v>
      </c>
      <c r="AL940">
        <v>3</v>
      </c>
      <c r="AM940">
        <v>3</v>
      </c>
      <c r="AN940" s="22">
        <v>0.0714285714285714</v>
      </c>
      <c r="AO940" s="22">
        <v>0</v>
      </c>
      <c r="AP940" s="22">
        <v>0</v>
      </c>
      <c r="AQ940" s="22">
        <v>0</v>
      </c>
      <c r="AR940" s="35">
        <v>0.142857142857143</v>
      </c>
      <c r="AS940" s="35">
        <v>8.57142857142857</v>
      </c>
      <c r="AT940" s="35">
        <v>7.42857142857143</v>
      </c>
      <c r="AU940" s="31">
        <f t="shared" si="18"/>
        <v>112</v>
      </c>
      <c r="AV940" s="36">
        <f>IFERROR(时间!$B$4+AU940,"上周无销量")</f>
        <v>43444</v>
      </c>
    </row>
    <row r="941" spans="1:48">
      <c r="A941" s="20" t="s">
        <v>2110</v>
      </c>
      <c r="B941" t="s">
        <v>2111</v>
      </c>
      <c r="C941" t="s">
        <v>2097</v>
      </c>
      <c r="D941" s="31">
        <v>0</v>
      </c>
      <c r="E941" s="31">
        <v>1</v>
      </c>
      <c r="F941" s="31">
        <v>0</v>
      </c>
      <c r="G941" s="31">
        <v>1</v>
      </c>
      <c r="H941" s="32">
        <v>13.99</v>
      </c>
      <c r="I941">
        <v>10</v>
      </c>
      <c r="J941" s="33">
        <v>0</v>
      </c>
      <c r="K941" s="33">
        <v>20</v>
      </c>
      <c r="L941" s="33">
        <v>0</v>
      </c>
      <c r="M941">
        <v>30</v>
      </c>
      <c r="N941">
        <v>0</v>
      </c>
      <c r="O941">
        <v>0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16</v>
      </c>
      <c r="AK941">
        <v>15</v>
      </c>
      <c r="AL941">
        <v>17</v>
      </c>
      <c r="AM941">
        <v>7</v>
      </c>
      <c r="AN941" s="22">
        <v>0</v>
      </c>
      <c r="AO941" s="22">
        <v>0.0666666666666667</v>
      </c>
      <c r="AP941" s="22">
        <v>0</v>
      </c>
      <c r="AQ941" s="22">
        <v>0.142857142857143</v>
      </c>
      <c r="AR941" s="35">
        <v>0</v>
      </c>
      <c r="AS941" s="35">
        <v>0</v>
      </c>
      <c r="AT941" s="35">
        <v>30</v>
      </c>
      <c r="AU941" s="31" t="str">
        <f t="shared" si="18"/>
        <v>库存为30</v>
      </c>
      <c r="AV941" s="36" t="str">
        <f>IFERROR(时间!$B$4+AU941,"上周无销量")</f>
        <v>上周无销量</v>
      </c>
    </row>
    <row r="942" spans="1:48">
      <c r="A942" s="20" t="s">
        <v>2112</v>
      </c>
      <c r="B942" t="s">
        <v>2113</v>
      </c>
      <c r="C942" t="s">
        <v>2097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46</v>
      </c>
      <c r="J942" s="33">
        <v>0</v>
      </c>
      <c r="K942" s="33">
        <v>0</v>
      </c>
      <c r="L942" s="33">
        <v>0</v>
      </c>
      <c r="M942">
        <v>46</v>
      </c>
      <c r="N942">
        <v>0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15</v>
      </c>
      <c r="AK942">
        <v>8</v>
      </c>
      <c r="AL942">
        <v>15</v>
      </c>
      <c r="AM942">
        <v>13</v>
      </c>
      <c r="AN942" s="22">
        <v>0</v>
      </c>
      <c r="AO942" s="22">
        <v>0</v>
      </c>
      <c r="AP942" s="22">
        <v>0</v>
      </c>
      <c r="AQ942" s="22">
        <v>0</v>
      </c>
      <c r="AR942" s="35">
        <v>0</v>
      </c>
      <c r="AS942" s="35">
        <v>0</v>
      </c>
      <c r="AT942" s="35">
        <v>46</v>
      </c>
      <c r="AU942" s="31" t="str">
        <f t="shared" si="18"/>
        <v>库存为46</v>
      </c>
      <c r="AV942" s="36" t="str">
        <f>IFERROR(时间!$B$4+AU942,"上周无销量")</f>
        <v>上周无销量</v>
      </c>
    </row>
    <row r="943" spans="1:48">
      <c r="A943" s="20" t="s">
        <v>2114</v>
      </c>
      <c r="B943" t="s">
        <v>2115</v>
      </c>
      <c r="C943" t="s">
        <v>2097</v>
      </c>
      <c r="D943" s="31">
        <v>0</v>
      </c>
      <c r="E943" s="31">
        <v>0</v>
      </c>
      <c r="F943" s="31">
        <v>0</v>
      </c>
      <c r="G943" s="31">
        <v>1</v>
      </c>
      <c r="H943" s="32">
        <v>13.99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53</v>
      </c>
      <c r="Q943" t="s">
        <v>53</v>
      </c>
      <c r="R943" t="s">
        <v>53</v>
      </c>
      <c r="S943" t="s">
        <v>53</v>
      </c>
      <c r="T943" t="s">
        <v>53</v>
      </c>
      <c r="U943" t="s">
        <v>53</v>
      </c>
      <c r="V943" t="s">
        <v>53</v>
      </c>
      <c r="W943" t="s">
        <v>53</v>
      </c>
      <c r="X943" s="22" t="s">
        <v>53</v>
      </c>
      <c r="Y943" s="22" t="s">
        <v>53</v>
      </c>
      <c r="Z943" s="22" t="s">
        <v>53</v>
      </c>
      <c r="AA943" s="22" t="s">
        <v>53</v>
      </c>
      <c r="AB943" t="s">
        <v>53</v>
      </c>
      <c r="AC943" t="s">
        <v>53</v>
      </c>
      <c r="AD943" t="s">
        <v>53</v>
      </c>
      <c r="AE943" t="s">
        <v>53</v>
      </c>
      <c r="AF943" s="22" t="s">
        <v>53</v>
      </c>
      <c r="AG943" s="22" t="s">
        <v>53</v>
      </c>
      <c r="AH943" s="22" t="s">
        <v>53</v>
      </c>
      <c r="AI943" s="22" t="s">
        <v>53</v>
      </c>
      <c r="AJ943">
        <v>0</v>
      </c>
      <c r="AK943">
        <v>0</v>
      </c>
      <c r="AL943">
        <v>0</v>
      </c>
      <c r="AM943">
        <v>1</v>
      </c>
      <c r="AN943" s="22" t="s">
        <v>53</v>
      </c>
      <c r="AO943" s="22" t="s">
        <v>53</v>
      </c>
      <c r="AP943" s="22" t="s">
        <v>53</v>
      </c>
      <c r="AQ943" s="22">
        <v>1</v>
      </c>
      <c r="AR943" s="35">
        <v>0</v>
      </c>
      <c r="AS943" s="35">
        <v>0</v>
      </c>
      <c r="AT943" s="35">
        <v>0</v>
      </c>
      <c r="AU943" s="31" t="str">
        <f t="shared" si="18"/>
        <v>库存为0</v>
      </c>
      <c r="AV943" s="36" t="str">
        <f>IFERROR(时间!$B$4+AU943,"上周无销量")</f>
        <v>上周无销量</v>
      </c>
    </row>
    <row r="944" spans="1:48">
      <c r="A944" s="20" t="s">
        <v>2116</v>
      </c>
      <c r="B944" t="s">
        <v>2117</v>
      </c>
      <c r="C944" t="s">
        <v>2097</v>
      </c>
      <c r="D944" s="31">
        <v>2</v>
      </c>
      <c r="E944" s="31">
        <v>0</v>
      </c>
      <c r="F944" s="31">
        <v>3</v>
      </c>
      <c r="G944" s="31">
        <v>3</v>
      </c>
      <c r="H944" s="32">
        <v>13.99</v>
      </c>
      <c r="I944">
        <v>18</v>
      </c>
      <c r="J944" s="33">
        <v>0</v>
      </c>
      <c r="K944" s="33">
        <v>0</v>
      </c>
      <c r="L944" s="33">
        <v>0</v>
      </c>
      <c r="M944">
        <v>18</v>
      </c>
      <c r="N944">
        <v>0</v>
      </c>
      <c r="O944">
        <v>0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15</v>
      </c>
      <c r="AK944">
        <v>29</v>
      </c>
      <c r="AL944">
        <v>15</v>
      </c>
      <c r="AM944">
        <v>12</v>
      </c>
      <c r="AN944" s="22">
        <v>0.133333333333333</v>
      </c>
      <c r="AO944" s="22">
        <v>0</v>
      </c>
      <c r="AP944" s="22">
        <v>0.2</v>
      </c>
      <c r="AQ944" s="22">
        <v>0.25</v>
      </c>
      <c r="AR944" s="35">
        <v>0.285714285714286</v>
      </c>
      <c r="AS944" s="35">
        <v>17.1428571428571</v>
      </c>
      <c r="AT944" s="35">
        <v>0.857142857142858</v>
      </c>
      <c r="AU944" s="31">
        <f t="shared" si="18"/>
        <v>63</v>
      </c>
      <c r="AV944" s="36">
        <f>IFERROR(时间!$B$4+AU944,"上周无销量")</f>
        <v>43395</v>
      </c>
    </row>
    <row r="945" spans="1:48">
      <c r="A945" s="20" t="s">
        <v>2118</v>
      </c>
      <c r="B945" t="s">
        <v>2119</v>
      </c>
      <c r="C945" t="s">
        <v>2097</v>
      </c>
      <c r="D945" s="31">
        <v>0</v>
      </c>
      <c r="E945" s="31">
        <v>0</v>
      </c>
      <c r="F945" s="31">
        <v>2</v>
      </c>
      <c r="G945" s="31">
        <v>0</v>
      </c>
      <c r="H945" s="32">
        <v>13.99</v>
      </c>
      <c r="I945">
        <v>26</v>
      </c>
      <c r="J945" s="33">
        <v>0</v>
      </c>
      <c r="K945" s="33">
        <v>0</v>
      </c>
      <c r="L945" s="33">
        <v>0</v>
      </c>
      <c r="M945">
        <v>26</v>
      </c>
      <c r="N945">
        <v>0</v>
      </c>
      <c r="O945">
        <v>0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14</v>
      </c>
      <c r="AK945">
        <v>9</v>
      </c>
      <c r="AL945">
        <v>18</v>
      </c>
      <c r="AM945">
        <v>8</v>
      </c>
      <c r="AN945" s="22">
        <v>0</v>
      </c>
      <c r="AO945" s="22">
        <v>0</v>
      </c>
      <c r="AP945" s="22">
        <v>0.111111111111111</v>
      </c>
      <c r="AQ945" s="22">
        <v>0</v>
      </c>
      <c r="AR945" s="35">
        <v>0</v>
      </c>
      <c r="AS945" s="35">
        <v>0</v>
      </c>
      <c r="AT945" s="35">
        <v>26</v>
      </c>
      <c r="AU945" s="31" t="str">
        <f t="shared" si="18"/>
        <v>库存为26</v>
      </c>
      <c r="AV945" s="36" t="str">
        <f>IFERROR(时间!$B$4+AU945,"上周无销量")</f>
        <v>上周无销量</v>
      </c>
    </row>
    <row r="946" spans="1:48">
      <c r="A946" s="20" t="s">
        <v>2120</v>
      </c>
      <c r="B946" t="s">
        <v>2121</v>
      </c>
      <c r="C946" t="s">
        <v>2097</v>
      </c>
      <c r="D946" s="31">
        <v>1</v>
      </c>
      <c r="E946" s="31">
        <v>1</v>
      </c>
      <c r="F946" s="31">
        <v>2</v>
      </c>
      <c r="G946" s="31">
        <v>2</v>
      </c>
      <c r="H946" s="32">
        <v>13.99</v>
      </c>
      <c r="I946">
        <v>30</v>
      </c>
      <c r="J946" s="33">
        <v>0</v>
      </c>
      <c r="K946" s="33">
        <v>3</v>
      </c>
      <c r="L946" s="33">
        <v>0</v>
      </c>
      <c r="M946">
        <v>33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15</v>
      </c>
      <c r="AK946">
        <v>17</v>
      </c>
      <c r="AL946">
        <v>16</v>
      </c>
      <c r="AM946">
        <v>9</v>
      </c>
      <c r="AN946" s="22">
        <v>0.0666666666666667</v>
      </c>
      <c r="AO946" s="22">
        <v>0.0588235294117647</v>
      </c>
      <c r="AP946" s="22">
        <v>0.125</v>
      </c>
      <c r="AQ946" s="22">
        <v>0.222222222222222</v>
      </c>
      <c r="AR946" s="35">
        <v>0.142857142857143</v>
      </c>
      <c r="AS946" s="35">
        <v>8.57142857142857</v>
      </c>
      <c r="AT946" s="35">
        <v>24.4285714285714</v>
      </c>
      <c r="AU946" s="31">
        <f t="shared" si="18"/>
        <v>231</v>
      </c>
      <c r="AV946" s="36">
        <f>IFERROR(时间!$B$4+AU946,"上周无销量")</f>
        <v>43563</v>
      </c>
    </row>
    <row r="947" spans="1:48">
      <c r="A947" s="20" t="s">
        <v>2122</v>
      </c>
      <c r="B947" t="s">
        <v>2123</v>
      </c>
      <c r="C947" t="s">
        <v>2097</v>
      </c>
      <c r="D947" s="31">
        <v>1</v>
      </c>
      <c r="E947" s="31">
        <v>0</v>
      </c>
      <c r="F947" s="31">
        <v>2</v>
      </c>
      <c r="G947" s="31">
        <v>2</v>
      </c>
      <c r="H947" s="32">
        <v>13.99</v>
      </c>
      <c r="I947">
        <v>16</v>
      </c>
      <c r="J947" s="33">
        <v>0</v>
      </c>
      <c r="K947" s="33">
        <v>0</v>
      </c>
      <c r="L947" s="33">
        <v>0</v>
      </c>
      <c r="M947">
        <v>16</v>
      </c>
      <c r="N947">
        <v>0</v>
      </c>
      <c r="O947">
        <v>0</v>
      </c>
      <c r="P947">
        <v>530</v>
      </c>
      <c r="Q947">
        <v>326</v>
      </c>
      <c r="R947">
        <v>394</v>
      </c>
      <c r="S947">
        <v>343</v>
      </c>
      <c r="T947">
        <v>6</v>
      </c>
      <c r="U947">
        <v>2</v>
      </c>
      <c r="V947">
        <v>2</v>
      </c>
      <c r="W947">
        <v>3</v>
      </c>
      <c r="X947" s="22">
        <v>0.0113207547169811</v>
      </c>
      <c r="Y947" s="22">
        <v>0.00613496932515337</v>
      </c>
      <c r="Z947" s="22">
        <v>0.0050761421319797</v>
      </c>
      <c r="AA947" s="22">
        <v>0.0087463556851312</v>
      </c>
      <c r="AB947">
        <v>2.51</v>
      </c>
      <c r="AC947">
        <v>0.41</v>
      </c>
      <c r="AD947">
        <v>0.55</v>
      </c>
      <c r="AE947">
        <v>1.17</v>
      </c>
      <c r="AF947" s="22">
        <v>0.179413867047891</v>
      </c>
      <c r="AG947" s="22" t="s">
        <v>497</v>
      </c>
      <c r="AH947" s="22">
        <v>0.0196568977841315</v>
      </c>
      <c r="AI947" s="22">
        <v>0.0418155825589707</v>
      </c>
      <c r="AJ947">
        <v>31</v>
      </c>
      <c r="AK947">
        <v>9</v>
      </c>
      <c r="AL947">
        <v>11</v>
      </c>
      <c r="AM947">
        <v>11</v>
      </c>
      <c r="AN947" s="22">
        <v>0.032258064516129</v>
      </c>
      <c r="AO947" s="22">
        <v>0</v>
      </c>
      <c r="AP947" s="22">
        <v>0.181818181818182</v>
      </c>
      <c r="AQ947" s="22">
        <v>0.181818181818182</v>
      </c>
      <c r="AR947" s="35">
        <v>0.142857142857143</v>
      </c>
      <c r="AS947" s="35">
        <v>8.57142857142857</v>
      </c>
      <c r="AT947" s="35">
        <v>7.42857142857143</v>
      </c>
      <c r="AU947" s="31">
        <f t="shared" si="18"/>
        <v>112</v>
      </c>
      <c r="AV947" s="36">
        <f>IFERROR(时间!$B$4+AU947,"上周无销量")</f>
        <v>43444</v>
      </c>
    </row>
    <row r="948" spans="1:48">
      <c r="A948" s="20" t="s">
        <v>2124</v>
      </c>
      <c r="B948" t="s">
        <v>2125</v>
      </c>
      <c r="C948" t="s">
        <v>2097</v>
      </c>
      <c r="D948" s="31">
        <v>4</v>
      </c>
      <c r="E948" s="31">
        <v>1</v>
      </c>
      <c r="F948" s="31">
        <v>5</v>
      </c>
      <c r="G948" s="31">
        <v>0</v>
      </c>
      <c r="H948" s="32">
        <v>13.99</v>
      </c>
      <c r="I948">
        <v>9</v>
      </c>
      <c r="J948" s="33">
        <v>15</v>
      </c>
      <c r="K948" s="33">
        <v>0</v>
      </c>
      <c r="L948" s="33">
        <v>0</v>
      </c>
      <c r="M948">
        <v>24</v>
      </c>
      <c r="N948">
        <v>0</v>
      </c>
      <c r="O948">
        <v>0</v>
      </c>
      <c r="P948" t="s">
        <v>53</v>
      </c>
      <c r="Q948" t="s">
        <v>53</v>
      </c>
      <c r="R948" t="s">
        <v>53</v>
      </c>
      <c r="S948" t="s">
        <v>53</v>
      </c>
      <c r="T948" t="s">
        <v>53</v>
      </c>
      <c r="U948" t="s">
        <v>53</v>
      </c>
      <c r="V948" t="s">
        <v>53</v>
      </c>
      <c r="W948" t="s">
        <v>53</v>
      </c>
      <c r="X948" s="22" t="s">
        <v>53</v>
      </c>
      <c r="Y948" s="22" t="s">
        <v>53</v>
      </c>
      <c r="Z948" s="22" t="s">
        <v>53</v>
      </c>
      <c r="AA948" s="22" t="s">
        <v>53</v>
      </c>
      <c r="AB948" t="s">
        <v>53</v>
      </c>
      <c r="AC948" t="s">
        <v>53</v>
      </c>
      <c r="AD948" t="s">
        <v>53</v>
      </c>
      <c r="AE948" t="s">
        <v>53</v>
      </c>
      <c r="AF948" s="22" t="s">
        <v>53</v>
      </c>
      <c r="AG948" s="22" t="s">
        <v>53</v>
      </c>
      <c r="AH948" s="22" t="s">
        <v>53</v>
      </c>
      <c r="AI948" s="22" t="s">
        <v>53</v>
      </c>
      <c r="AJ948">
        <v>29</v>
      </c>
      <c r="AK948">
        <v>19</v>
      </c>
      <c r="AL948">
        <v>18</v>
      </c>
      <c r="AM948">
        <v>14</v>
      </c>
      <c r="AN948" s="22">
        <v>0.137931034482759</v>
      </c>
      <c r="AO948" s="22">
        <v>0.0526315789473684</v>
      </c>
      <c r="AP948" s="22">
        <v>0.277777777777778</v>
      </c>
      <c r="AQ948" s="22">
        <v>0</v>
      </c>
      <c r="AR948" s="35">
        <v>0.571428571428571</v>
      </c>
      <c r="AS948" s="35">
        <v>34.2857142857143</v>
      </c>
      <c r="AT948" s="35">
        <v>-10.2857142857143</v>
      </c>
      <c r="AU948" s="31">
        <f t="shared" si="18"/>
        <v>42</v>
      </c>
      <c r="AV948" s="36">
        <f>IFERROR(时间!$B$4+AU948,"上周无销量")</f>
        <v>43374</v>
      </c>
    </row>
    <row r="949" spans="1:48">
      <c r="A949" s="20" t="s">
        <v>2126</v>
      </c>
      <c r="B949" t="s">
        <v>2127</v>
      </c>
      <c r="C949" t="s">
        <v>2097</v>
      </c>
      <c r="D949" s="31">
        <v>1</v>
      </c>
      <c r="E949" s="31">
        <v>0</v>
      </c>
      <c r="F949" s="31">
        <v>0</v>
      </c>
      <c r="G949" s="31">
        <v>0</v>
      </c>
      <c r="H949" s="32">
        <v>13.99</v>
      </c>
      <c r="I949">
        <v>19</v>
      </c>
      <c r="J949" s="33">
        <v>0</v>
      </c>
      <c r="K949" s="33">
        <v>0</v>
      </c>
      <c r="L949" s="33">
        <v>0</v>
      </c>
      <c r="M949">
        <v>19</v>
      </c>
      <c r="N949">
        <v>0</v>
      </c>
      <c r="O949">
        <v>0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7</v>
      </c>
      <c r="AK949">
        <v>8</v>
      </c>
      <c r="AL949">
        <v>6</v>
      </c>
      <c r="AM949">
        <v>2</v>
      </c>
      <c r="AN949" s="22">
        <v>0.142857142857143</v>
      </c>
      <c r="AO949" s="22">
        <v>0</v>
      </c>
      <c r="AP949" s="22">
        <v>0</v>
      </c>
      <c r="AQ949" s="22">
        <v>0</v>
      </c>
      <c r="AR949" s="35">
        <v>0.142857142857143</v>
      </c>
      <c r="AS949" s="35">
        <v>8.57142857142857</v>
      </c>
      <c r="AT949" s="35">
        <v>10.4285714285714</v>
      </c>
      <c r="AU949" s="31">
        <f t="shared" si="18"/>
        <v>133</v>
      </c>
      <c r="AV949" s="36">
        <f>IFERROR(时间!$B$4+AU949,"上周无销量")</f>
        <v>43465</v>
      </c>
    </row>
    <row r="950" spans="1:48">
      <c r="A950" s="20" t="s">
        <v>2128</v>
      </c>
      <c r="B950" t="s">
        <v>2129</v>
      </c>
      <c r="C950" t="s">
        <v>2097</v>
      </c>
      <c r="D950" s="31">
        <v>1</v>
      </c>
      <c r="E950" s="31">
        <v>1</v>
      </c>
      <c r="F950" s="31">
        <v>0</v>
      </c>
      <c r="G950" s="31">
        <v>2</v>
      </c>
      <c r="H950" s="32">
        <v>13.99</v>
      </c>
      <c r="I950">
        <v>26</v>
      </c>
      <c r="J950" s="33">
        <v>0</v>
      </c>
      <c r="K950" s="33">
        <v>0</v>
      </c>
      <c r="L950" s="33">
        <v>0</v>
      </c>
      <c r="M950">
        <v>26</v>
      </c>
      <c r="N950">
        <v>0</v>
      </c>
      <c r="O950">
        <v>0</v>
      </c>
      <c r="P950" t="s">
        <v>53</v>
      </c>
      <c r="Q950" t="s">
        <v>53</v>
      </c>
      <c r="R950" t="s">
        <v>53</v>
      </c>
      <c r="S950" t="s">
        <v>53</v>
      </c>
      <c r="T950" t="s">
        <v>53</v>
      </c>
      <c r="U950" t="s">
        <v>53</v>
      </c>
      <c r="V950" t="s">
        <v>53</v>
      </c>
      <c r="W950" t="s">
        <v>53</v>
      </c>
      <c r="X950" s="22" t="s">
        <v>53</v>
      </c>
      <c r="Y950" s="22" t="s">
        <v>53</v>
      </c>
      <c r="Z950" s="22" t="s">
        <v>53</v>
      </c>
      <c r="AA950" s="22" t="s">
        <v>53</v>
      </c>
      <c r="AB950" t="s">
        <v>53</v>
      </c>
      <c r="AC950" t="s">
        <v>53</v>
      </c>
      <c r="AD950" t="s">
        <v>53</v>
      </c>
      <c r="AE950" t="s">
        <v>53</v>
      </c>
      <c r="AF950" s="22" t="s">
        <v>53</v>
      </c>
      <c r="AG950" s="22" t="s">
        <v>53</v>
      </c>
      <c r="AH950" s="22" t="s">
        <v>53</v>
      </c>
      <c r="AI950" s="22" t="s">
        <v>53</v>
      </c>
      <c r="AJ950">
        <v>14</v>
      </c>
      <c r="AK950">
        <v>14</v>
      </c>
      <c r="AL950">
        <v>12</v>
      </c>
      <c r="AM950">
        <v>7</v>
      </c>
      <c r="AN950" s="22">
        <v>0.0714285714285714</v>
      </c>
      <c r="AO950" s="22">
        <v>0.0714285714285714</v>
      </c>
      <c r="AP950" s="22">
        <v>0</v>
      </c>
      <c r="AQ950" s="22">
        <v>0.285714285714286</v>
      </c>
      <c r="AR950" s="35">
        <v>0.142857142857143</v>
      </c>
      <c r="AS950" s="35">
        <v>8.57142857142857</v>
      </c>
      <c r="AT950" s="35">
        <v>17.4285714285714</v>
      </c>
      <c r="AU950" s="31">
        <f t="shared" si="18"/>
        <v>182</v>
      </c>
      <c r="AV950" s="36">
        <f>IFERROR(时间!$B$4+AU950,"上周无销量")</f>
        <v>43514</v>
      </c>
    </row>
    <row r="951" spans="1:48">
      <c r="A951" s="20" t="s">
        <v>2130</v>
      </c>
      <c r="B951" t="s">
        <v>2131</v>
      </c>
      <c r="C951" t="s">
        <v>2097</v>
      </c>
      <c r="D951" s="31">
        <v>1</v>
      </c>
      <c r="E951" s="31">
        <v>2</v>
      </c>
      <c r="F951" s="31">
        <v>0</v>
      </c>
      <c r="G951" s="31">
        <v>0</v>
      </c>
      <c r="H951" s="32">
        <v>13.99</v>
      </c>
      <c r="I951">
        <v>9</v>
      </c>
      <c r="J951" s="33">
        <v>0</v>
      </c>
      <c r="K951" s="33">
        <v>0</v>
      </c>
      <c r="L951" s="33">
        <v>0</v>
      </c>
      <c r="M951">
        <v>9</v>
      </c>
      <c r="N951">
        <v>0</v>
      </c>
      <c r="O951">
        <v>0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11</v>
      </c>
      <c r="AK951">
        <v>11</v>
      </c>
      <c r="AL951">
        <v>9</v>
      </c>
      <c r="AM951">
        <v>6</v>
      </c>
      <c r="AN951" s="22">
        <v>0.0909090909090909</v>
      </c>
      <c r="AO951" s="22">
        <v>0.181818181818182</v>
      </c>
      <c r="AP951" s="22">
        <v>0</v>
      </c>
      <c r="AQ951" s="22">
        <v>0</v>
      </c>
      <c r="AR951" s="35">
        <v>0.142857142857143</v>
      </c>
      <c r="AS951" s="35">
        <v>8.57142857142857</v>
      </c>
      <c r="AT951" s="35">
        <v>0.428571428571429</v>
      </c>
      <c r="AU951" s="31">
        <f t="shared" si="18"/>
        <v>63</v>
      </c>
      <c r="AV951" s="36">
        <f>IFERROR(时间!$B$4+AU951,"上周无销量")</f>
        <v>43395</v>
      </c>
    </row>
    <row r="952" spans="1:48">
      <c r="A952" s="20" t="s">
        <v>2132</v>
      </c>
      <c r="B952" t="s">
        <v>2133</v>
      </c>
      <c r="C952" t="s">
        <v>2097</v>
      </c>
      <c r="D952" s="31">
        <v>5</v>
      </c>
      <c r="E952" s="31">
        <v>1</v>
      </c>
      <c r="F952" s="31">
        <v>3</v>
      </c>
      <c r="G952" s="31">
        <v>2</v>
      </c>
      <c r="H952" s="32">
        <v>13.99</v>
      </c>
      <c r="I952">
        <v>12</v>
      </c>
      <c r="J952" s="33">
        <v>0</v>
      </c>
      <c r="K952" s="33">
        <v>0</v>
      </c>
      <c r="L952" s="33">
        <v>0</v>
      </c>
      <c r="M952">
        <v>12</v>
      </c>
      <c r="N952">
        <v>0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14</v>
      </c>
      <c r="AK952">
        <v>8</v>
      </c>
      <c r="AL952">
        <v>16</v>
      </c>
      <c r="AM952">
        <v>9</v>
      </c>
      <c r="AN952" s="22">
        <v>0.357142857142857</v>
      </c>
      <c r="AO952" s="22">
        <v>0.125</v>
      </c>
      <c r="AP952" s="22">
        <v>0.1875</v>
      </c>
      <c r="AQ952" s="22">
        <v>0.222222222222222</v>
      </c>
      <c r="AR952" s="35">
        <v>0.714285714285714</v>
      </c>
      <c r="AS952" s="35">
        <v>42.8571428571429</v>
      </c>
      <c r="AT952" s="35">
        <v>-30.8571428571429</v>
      </c>
      <c r="AU952" s="31">
        <f t="shared" si="18"/>
        <v>16</v>
      </c>
      <c r="AV952" s="36">
        <f>IFERROR(时间!$B$4+AU952,"上周无销量")</f>
        <v>43348</v>
      </c>
    </row>
    <row r="953" spans="1:48">
      <c r="A953" s="20" t="s">
        <v>2134</v>
      </c>
      <c r="B953" t="s">
        <v>2135</v>
      </c>
      <c r="C953" t="s">
        <v>2097</v>
      </c>
      <c r="D953" s="31">
        <v>1</v>
      </c>
      <c r="E953" s="31">
        <v>1</v>
      </c>
      <c r="F953" s="31">
        <v>3</v>
      </c>
      <c r="G953" s="31">
        <v>3</v>
      </c>
      <c r="H953" s="32">
        <v>13.99</v>
      </c>
      <c r="I953">
        <v>14</v>
      </c>
      <c r="J953" s="33">
        <v>0</v>
      </c>
      <c r="K953" s="33">
        <v>0</v>
      </c>
      <c r="L953" s="33">
        <v>0</v>
      </c>
      <c r="M953">
        <v>14</v>
      </c>
      <c r="N953">
        <v>1</v>
      </c>
      <c r="O953">
        <v>0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20</v>
      </c>
      <c r="AK953">
        <v>14</v>
      </c>
      <c r="AL953">
        <v>24</v>
      </c>
      <c r="AM953">
        <v>23</v>
      </c>
      <c r="AN953" s="22">
        <v>0.05</v>
      </c>
      <c r="AO953" s="22">
        <v>0.0714285714285714</v>
      </c>
      <c r="AP953" s="22">
        <v>0.125</v>
      </c>
      <c r="AQ953" s="22">
        <v>0.130434782608696</v>
      </c>
      <c r="AR953" s="35">
        <v>0.142857142857143</v>
      </c>
      <c r="AS953" s="35">
        <v>8.57142857142857</v>
      </c>
      <c r="AT953" s="35">
        <v>5.42857142857143</v>
      </c>
      <c r="AU953" s="31">
        <f t="shared" si="18"/>
        <v>98</v>
      </c>
      <c r="AV953" s="36">
        <f>IFERROR(时间!$B$4+AU953,"上周无销量")</f>
        <v>43430</v>
      </c>
    </row>
    <row r="954" spans="1:48">
      <c r="A954" s="20" t="s">
        <v>2136</v>
      </c>
      <c r="B954" t="s">
        <v>2137</v>
      </c>
      <c r="C954" t="s">
        <v>2097</v>
      </c>
      <c r="D954" s="31">
        <v>1</v>
      </c>
      <c r="E954" s="31">
        <v>0</v>
      </c>
      <c r="F954" s="31">
        <v>1</v>
      </c>
      <c r="G954" s="31">
        <v>4</v>
      </c>
      <c r="H954" s="32">
        <v>13.99</v>
      </c>
      <c r="I954">
        <v>26</v>
      </c>
      <c r="J954" s="33">
        <v>0</v>
      </c>
      <c r="K954" s="33">
        <v>0</v>
      </c>
      <c r="L954" s="33">
        <v>0</v>
      </c>
      <c r="M954">
        <v>26</v>
      </c>
      <c r="N954">
        <v>0</v>
      </c>
      <c r="O954">
        <v>0</v>
      </c>
      <c r="P954">
        <v>13484</v>
      </c>
      <c r="Q954">
        <v>22973</v>
      </c>
      <c r="R954">
        <v>52123</v>
      </c>
      <c r="S954">
        <v>18605</v>
      </c>
      <c r="T954">
        <v>65</v>
      </c>
      <c r="U954">
        <v>104</v>
      </c>
      <c r="V954">
        <v>227</v>
      </c>
      <c r="W954">
        <v>94</v>
      </c>
      <c r="X954" s="22">
        <v>0.00482052803322456</v>
      </c>
      <c r="Y954" s="22">
        <v>0.00452705349758412</v>
      </c>
      <c r="Z954" s="22">
        <v>0.00435508316865875</v>
      </c>
      <c r="AA954" s="22">
        <v>0.00505240526740124</v>
      </c>
      <c r="AB954">
        <v>22.94</v>
      </c>
      <c r="AC954">
        <v>35.81</v>
      </c>
      <c r="AD954">
        <v>61.46</v>
      </c>
      <c r="AE954">
        <v>26.68</v>
      </c>
      <c r="AF954" s="22">
        <v>1.6397426733381</v>
      </c>
      <c r="AG954" s="22" t="s">
        <v>2138</v>
      </c>
      <c r="AH954" s="22">
        <v>4.39313795568263</v>
      </c>
      <c r="AI954" s="22">
        <v>0.476769120800572</v>
      </c>
      <c r="AJ954">
        <v>85</v>
      </c>
      <c r="AK954">
        <v>97</v>
      </c>
      <c r="AL954">
        <v>121</v>
      </c>
      <c r="AM954">
        <v>64</v>
      </c>
      <c r="AN954" s="22">
        <v>0.0117647058823529</v>
      </c>
      <c r="AO954" s="22">
        <v>0</v>
      </c>
      <c r="AP954" s="22">
        <v>0.00826446280991736</v>
      </c>
      <c r="AQ954" s="22">
        <v>0.0625</v>
      </c>
      <c r="AR954" s="35">
        <v>0.142857142857143</v>
      </c>
      <c r="AS954" s="35">
        <v>8.57142857142857</v>
      </c>
      <c r="AT954" s="35">
        <v>17.4285714285714</v>
      </c>
      <c r="AU954" s="31">
        <f t="shared" si="18"/>
        <v>182</v>
      </c>
      <c r="AV954" s="36">
        <f>IFERROR(时间!$B$4+AU954,"上周无销量")</f>
        <v>43514</v>
      </c>
    </row>
    <row r="955" spans="1:48">
      <c r="A955" s="20" t="s">
        <v>2139</v>
      </c>
      <c r="B955" t="s">
        <v>2140</v>
      </c>
      <c r="C955" t="s">
        <v>2141</v>
      </c>
      <c r="D955" s="31">
        <v>0</v>
      </c>
      <c r="E955" s="31">
        <v>1</v>
      </c>
      <c r="F955" s="31">
        <v>0</v>
      </c>
      <c r="G955" s="31">
        <v>0</v>
      </c>
      <c r="H955" s="32">
        <v>10</v>
      </c>
      <c r="I955">
        <v>4</v>
      </c>
      <c r="J955" s="33">
        <v>0</v>
      </c>
      <c r="K955" s="33">
        <v>0</v>
      </c>
      <c r="L955" s="33">
        <v>0</v>
      </c>
      <c r="M955">
        <v>4</v>
      </c>
      <c r="N955">
        <v>0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6</v>
      </c>
      <c r="AK955">
        <v>4</v>
      </c>
      <c r="AL955">
        <v>4</v>
      </c>
      <c r="AM955">
        <v>6</v>
      </c>
      <c r="AN955" s="22">
        <v>0</v>
      </c>
      <c r="AO955" s="22">
        <v>0.25</v>
      </c>
      <c r="AP955" s="22">
        <v>0</v>
      </c>
      <c r="AQ955" s="22">
        <v>0</v>
      </c>
      <c r="AR955" s="35">
        <v>0</v>
      </c>
      <c r="AS955" s="35">
        <v>0</v>
      </c>
      <c r="AT955" s="35">
        <v>4</v>
      </c>
      <c r="AU955" s="31" t="str">
        <f t="shared" si="18"/>
        <v>库存为4</v>
      </c>
      <c r="AV955" s="36" t="str">
        <f>IFERROR(时间!$B$4+AU955,"上周无销量")</f>
        <v>上周无销量</v>
      </c>
    </row>
    <row r="956" spans="1:48">
      <c r="A956" s="20" t="s">
        <v>2142</v>
      </c>
      <c r="B956" t="s">
        <v>2143</v>
      </c>
      <c r="C956" t="s">
        <v>2141</v>
      </c>
      <c r="D956" s="31">
        <v>1</v>
      </c>
      <c r="E956" s="31">
        <v>0</v>
      </c>
      <c r="F956" s="31">
        <v>0</v>
      </c>
      <c r="G956" s="31">
        <v>0</v>
      </c>
      <c r="H956" s="32">
        <v>10.99</v>
      </c>
      <c r="I956">
        <v>12</v>
      </c>
      <c r="J956" s="33">
        <v>0</v>
      </c>
      <c r="K956" s="33">
        <v>0</v>
      </c>
      <c r="L956" s="33">
        <v>0</v>
      </c>
      <c r="M956">
        <v>12</v>
      </c>
      <c r="N956">
        <v>0</v>
      </c>
      <c r="O956">
        <v>1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13</v>
      </c>
      <c r="AK956">
        <v>4</v>
      </c>
      <c r="AL956">
        <v>10</v>
      </c>
      <c r="AM956">
        <v>11</v>
      </c>
      <c r="AN956" s="22">
        <v>0.0769230769230769</v>
      </c>
      <c r="AO956" s="22">
        <v>0</v>
      </c>
      <c r="AP956" s="22">
        <v>0</v>
      </c>
      <c r="AQ956" s="22">
        <v>0</v>
      </c>
      <c r="AR956" s="35">
        <v>0.142857142857143</v>
      </c>
      <c r="AS956" s="35">
        <v>8.57142857142857</v>
      </c>
      <c r="AT956" s="35">
        <v>3.42857142857143</v>
      </c>
      <c r="AU956" s="31">
        <f t="shared" si="18"/>
        <v>84</v>
      </c>
      <c r="AV956" s="36">
        <f>IFERROR(时间!$B$4+AU956,"上周无销量")</f>
        <v>43416</v>
      </c>
    </row>
    <row r="957" spans="1:48">
      <c r="A957" s="20" t="s">
        <v>2144</v>
      </c>
      <c r="B957" t="s">
        <v>2145</v>
      </c>
      <c r="C957" t="s">
        <v>2141</v>
      </c>
      <c r="D957" s="31">
        <v>0</v>
      </c>
      <c r="E957" s="31">
        <v>0</v>
      </c>
      <c r="F957" s="31">
        <v>0</v>
      </c>
      <c r="G957" s="31">
        <v>6</v>
      </c>
      <c r="H957" s="32">
        <v>10.99</v>
      </c>
      <c r="I957">
        <v>2</v>
      </c>
      <c r="J957" s="33">
        <v>0</v>
      </c>
      <c r="K957" s="33">
        <v>0</v>
      </c>
      <c r="L957" s="33">
        <v>0</v>
      </c>
      <c r="M957">
        <v>2</v>
      </c>
      <c r="N957">
        <v>0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10</v>
      </c>
      <c r="AK957">
        <v>11</v>
      </c>
      <c r="AL957">
        <v>5</v>
      </c>
      <c r="AM957">
        <v>5</v>
      </c>
      <c r="AN957" s="22">
        <v>0</v>
      </c>
      <c r="AO957" s="22">
        <v>0</v>
      </c>
      <c r="AP957" s="22">
        <v>0</v>
      </c>
      <c r="AQ957" s="22">
        <v>1.2</v>
      </c>
      <c r="AR957" s="35">
        <v>0</v>
      </c>
      <c r="AS957" s="35">
        <v>0</v>
      </c>
      <c r="AT957" s="35">
        <v>2</v>
      </c>
      <c r="AU957" s="31" t="str">
        <f t="shared" si="18"/>
        <v>库存为2</v>
      </c>
      <c r="AV957" s="36" t="str">
        <f>IFERROR(时间!$B$4+AU957,"上周无销量")</f>
        <v>上周无销量</v>
      </c>
    </row>
    <row r="958" spans="1:48">
      <c r="A958" s="20" t="s">
        <v>2146</v>
      </c>
      <c r="B958" t="s">
        <v>2147</v>
      </c>
      <c r="C958" t="s">
        <v>2141</v>
      </c>
      <c r="D958" s="31">
        <v>2</v>
      </c>
      <c r="E958" s="31">
        <v>0</v>
      </c>
      <c r="F958" s="31">
        <v>1</v>
      </c>
      <c r="G958" s="31">
        <v>3</v>
      </c>
      <c r="H958" s="32">
        <v>10.99</v>
      </c>
      <c r="I958">
        <v>1</v>
      </c>
      <c r="J958" s="33">
        <v>0</v>
      </c>
      <c r="K958" s="33">
        <v>0</v>
      </c>
      <c r="L958" s="33">
        <v>0</v>
      </c>
      <c r="M958">
        <v>1</v>
      </c>
      <c r="N958">
        <v>1</v>
      </c>
      <c r="O958">
        <v>0</v>
      </c>
      <c r="P958">
        <v>24604</v>
      </c>
      <c r="Q958">
        <v>150</v>
      </c>
      <c r="R958">
        <v>3006</v>
      </c>
      <c r="S958">
        <v>1354</v>
      </c>
      <c r="T958">
        <v>109</v>
      </c>
      <c r="U958">
        <v>2</v>
      </c>
      <c r="V958">
        <v>27</v>
      </c>
      <c r="W958">
        <v>13</v>
      </c>
      <c r="X958" s="22">
        <v>0.0044301739554544</v>
      </c>
      <c r="Y958" s="22">
        <v>0.0133333333333333</v>
      </c>
      <c r="Z958" s="22">
        <v>0.00898203592814371</v>
      </c>
      <c r="AA958" s="22">
        <v>0.00960118168389956</v>
      </c>
      <c r="AB958">
        <v>40.07</v>
      </c>
      <c r="AC958">
        <v>0.48</v>
      </c>
      <c r="AD958">
        <v>13.28</v>
      </c>
      <c r="AE958">
        <v>4.13</v>
      </c>
      <c r="AF958" s="22">
        <v>1.82302092811647</v>
      </c>
      <c r="AG958" s="22" t="s">
        <v>2148</v>
      </c>
      <c r="AH958" s="22">
        <v>1.20837124658781</v>
      </c>
      <c r="AI958" s="22">
        <v>0.125265392781316</v>
      </c>
      <c r="AJ958">
        <v>76</v>
      </c>
      <c r="AK958">
        <v>9</v>
      </c>
      <c r="AL958">
        <v>24</v>
      </c>
      <c r="AM958">
        <v>10</v>
      </c>
      <c r="AN958" s="22">
        <v>0.0263157894736842</v>
      </c>
      <c r="AO958" s="22">
        <v>0</v>
      </c>
      <c r="AP958" s="22">
        <v>0.0416666666666667</v>
      </c>
      <c r="AQ958" s="22">
        <v>0.3</v>
      </c>
      <c r="AR958" s="35">
        <v>0.285714285714286</v>
      </c>
      <c r="AS958" s="35">
        <v>17.1428571428571</v>
      </c>
      <c r="AT958" s="35">
        <v>-16.1428571428571</v>
      </c>
      <c r="AU958" s="31">
        <f t="shared" si="18"/>
        <v>3</v>
      </c>
      <c r="AV958" s="36">
        <f>IFERROR(时间!$B$4+AU958,"上周无销量")</f>
        <v>43335</v>
      </c>
    </row>
    <row r="959" spans="1:48">
      <c r="A959" s="20" t="s">
        <v>2149</v>
      </c>
      <c r="B959" t="s">
        <v>2150</v>
      </c>
      <c r="C959" t="s">
        <v>2141</v>
      </c>
      <c r="D959" s="31">
        <v>0</v>
      </c>
      <c r="E959" s="31">
        <v>1</v>
      </c>
      <c r="F959" s="31">
        <v>1</v>
      </c>
      <c r="G959" s="31">
        <v>1</v>
      </c>
      <c r="H959" s="32">
        <v>10.99</v>
      </c>
      <c r="I959">
        <v>5</v>
      </c>
      <c r="J959" s="33">
        <v>0</v>
      </c>
      <c r="K959" s="33">
        <v>0</v>
      </c>
      <c r="L959" s="33">
        <v>0</v>
      </c>
      <c r="M959">
        <v>5</v>
      </c>
      <c r="N959">
        <v>0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11</v>
      </c>
      <c r="AK959">
        <v>11</v>
      </c>
      <c r="AL959">
        <v>4</v>
      </c>
      <c r="AM959">
        <v>6</v>
      </c>
      <c r="AN959" s="22">
        <v>0</v>
      </c>
      <c r="AO959" s="22">
        <v>0.0909090909090909</v>
      </c>
      <c r="AP959" s="22">
        <v>0.25</v>
      </c>
      <c r="AQ959" s="22">
        <v>0.166666666666667</v>
      </c>
      <c r="AR959" s="35">
        <v>0</v>
      </c>
      <c r="AS959" s="35">
        <v>0</v>
      </c>
      <c r="AT959" s="35">
        <v>5</v>
      </c>
      <c r="AU959" s="31" t="str">
        <f t="shared" si="18"/>
        <v>库存为5</v>
      </c>
      <c r="AV959" s="36" t="str">
        <f>IFERROR(时间!$B$4+AU959,"上周无销量")</f>
        <v>上周无销量</v>
      </c>
    </row>
    <row r="960" spans="1:48">
      <c r="A960" s="20" t="s">
        <v>2151</v>
      </c>
      <c r="B960" t="s">
        <v>2152</v>
      </c>
      <c r="C960" t="s">
        <v>2141</v>
      </c>
      <c r="D960" s="31">
        <v>0</v>
      </c>
      <c r="E960" s="31">
        <v>0</v>
      </c>
      <c r="F960" s="31">
        <v>2</v>
      </c>
      <c r="G960" s="31">
        <v>0</v>
      </c>
      <c r="H960" s="32">
        <v>10.99</v>
      </c>
      <c r="I960">
        <v>7</v>
      </c>
      <c r="J960" s="33">
        <v>0</v>
      </c>
      <c r="K960" s="33">
        <v>0</v>
      </c>
      <c r="L960" s="33">
        <v>0</v>
      </c>
      <c r="M960">
        <v>7</v>
      </c>
      <c r="N960">
        <v>0</v>
      </c>
      <c r="O960">
        <v>0</v>
      </c>
      <c r="P960">
        <v>0</v>
      </c>
      <c r="Q960">
        <v>0</v>
      </c>
      <c r="R960">
        <v>7679</v>
      </c>
      <c r="S960">
        <v>52855</v>
      </c>
      <c r="T960">
        <v>0</v>
      </c>
      <c r="U960">
        <v>0</v>
      </c>
      <c r="V960">
        <v>28</v>
      </c>
      <c r="W960">
        <v>165</v>
      </c>
      <c r="X960" s="22" t="s">
        <v>53</v>
      </c>
      <c r="Y960" s="22" t="s">
        <v>53</v>
      </c>
      <c r="Z960" s="22">
        <v>0.00364630811303555</v>
      </c>
      <c r="AA960" s="22">
        <v>0.00312174817898023</v>
      </c>
      <c r="AB960">
        <v>0</v>
      </c>
      <c r="AC960">
        <v>0</v>
      </c>
      <c r="AD960">
        <v>16.12</v>
      </c>
      <c r="AE960">
        <v>89.62</v>
      </c>
      <c r="AF960" s="22" t="s">
        <v>53</v>
      </c>
      <c r="AG960" s="22" t="s">
        <v>53</v>
      </c>
      <c r="AH960" s="22">
        <v>0.733393994540491</v>
      </c>
      <c r="AI960" s="22" t="s">
        <v>2153</v>
      </c>
      <c r="AJ960">
        <v>18</v>
      </c>
      <c r="AK960">
        <v>7</v>
      </c>
      <c r="AL960">
        <v>12</v>
      </c>
      <c r="AM960">
        <v>66</v>
      </c>
      <c r="AN960" s="22">
        <v>0</v>
      </c>
      <c r="AO960" s="22">
        <v>0</v>
      </c>
      <c r="AP960" s="22">
        <v>0.166666666666667</v>
      </c>
      <c r="AQ960" s="22">
        <v>0</v>
      </c>
      <c r="AR960" s="35">
        <v>0</v>
      </c>
      <c r="AS960" s="35">
        <v>0</v>
      </c>
      <c r="AT960" s="35">
        <v>7</v>
      </c>
      <c r="AU960" s="31" t="str">
        <f t="shared" si="18"/>
        <v>库存为7</v>
      </c>
      <c r="AV960" s="36" t="str">
        <f>IFERROR(时间!$B$4+AU960,"上周无销量")</f>
        <v>上周无销量</v>
      </c>
    </row>
    <row r="961" spans="1:48">
      <c r="A961" s="20" t="s">
        <v>2154</v>
      </c>
      <c r="B961" t="s">
        <v>2155</v>
      </c>
      <c r="C961" t="s">
        <v>2141</v>
      </c>
      <c r="D961" s="31">
        <v>0</v>
      </c>
      <c r="E961" s="31">
        <v>0</v>
      </c>
      <c r="F961" s="31">
        <v>0</v>
      </c>
      <c r="G961" s="31">
        <v>1</v>
      </c>
      <c r="H961" s="32">
        <v>10.99</v>
      </c>
      <c r="I961">
        <v>8</v>
      </c>
      <c r="J961" s="33">
        <v>0</v>
      </c>
      <c r="K961" s="33">
        <v>0</v>
      </c>
      <c r="L961" s="33">
        <v>0</v>
      </c>
      <c r="M961">
        <v>8</v>
      </c>
      <c r="N961">
        <v>0</v>
      </c>
      <c r="O961">
        <v>2</v>
      </c>
      <c r="P961">
        <v>38</v>
      </c>
      <c r="Q961">
        <v>27</v>
      </c>
      <c r="R961">
        <v>28</v>
      </c>
      <c r="S961">
        <v>26</v>
      </c>
      <c r="T961">
        <v>0</v>
      </c>
      <c r="U961">
        <v>0</v>
      </c>
      <c r="V961">
        <v>1</v>
      </c>
      <c r="W961">
        <v>0</v>
      </c>
      <c r="X961" s="22">
        <v>0</v>
      </c>
      <c r="Y961" s="22">
        <v>0</v>
      </c>
      <c r="Z961" s="22">
        <v>0.0357142857142857</v>
      </c>
      <c r="AA961" s="22">
        <v>0</v>
      </c>
      <c r="AB961">
        <v>0</v>
      </c>
      <c r="AC961">
        <v>0</v>
      </c>
      <c r="AD961">
        <v>0.52</v>
      </c>
      <c r="AE961">
        <v>0</v>
      </c>
      <c r="AF961" s="22" t="s">
        <v>53</v>
      </c>
      <c r="AG961" s="22" t="s">
        <v>53</v>
      </c>
      <c r="AH961" s="22" t="s">
        <v>2156</v>
      </c>
      <c r="AI961" s="22" t="s">
        <v>53</v>
      </c>
      <c r="AJ961">
        <v>10</v>
      </c>
      <c r="AK961">
        <v>9</v>
      </c>
      <c r="AL961">
        <v>8</v>
      </c>
      <c r="AM961">
        <v>6</v>
      </c>
      <c r="AN961" s="22">
        <v>0</v>
      </c>
      <c r="AO961" s="22">
        <v>0</v>
      </c>
      <c r="AP961" s="22">
        <v>0</v>
      </c>
      <c r="AQ961" s="22">
        <v>0.166666666666667</v>
      </c>
      <c r="AR961" s="35">
        <v>0</v>
      </c>
      <c r="AS961" s="35">
        <v>0</v>
      </c>
      <c r="AT961" s="35">
        <v>8</v>
      </c>
      <c r="AU961" s="31" t="str">
        <f t="shared" si="18"/>
        <v>库存为8</v>
      </c>
      <c r="AV961" s="36" t="str">
        <f>IFERROR(时间!$B$4+AU961,"上周无销量")</f>
        <v>上周无销量</v>
      </c>
    </row>
    <row r="962" spans="1:48">
      <c r="A962" s="20" t="s">
        <v>2157</v>
      </c>
      <c r="B962" t="s">
        <v>2158</v>
      </c>
      <c r="C962" t="s">
        <v>2141</v>
      </c>
      <c r="D962" s="31">
        <v>1</v>
      </c>
      <c r="E962" s="31">
        <v>0</v>
      </c>
      <c r="F962" s="31">
        <v>0</v>
      </c>
      <c r="G962" s="31">
        <v>0</v>
      </c>
      <c r="H962" s="32">
        <v>10.99</v>
      </c>
      <c r="I962">
        <v>7</v>
      </c>
      <c r="J962" s="33">
        <v>0</v>
      </c>
      <c r="K962" s="33">
        <v>0</v>
      </c>
      <c r="L962" s="33">
        <v>0</v>
      </c>
      <c r="M962">
        <v>7</v>
      </c>
      <c r="N962">
        <v>0</v>
      </c>
      <c r="O962">
        <v>0</v>
      </c>
      <c r="P962" t="s">
        <v>53</v>
      </c>
      <c r="Q962" t="s">
        <v>53</v>
      </c>
      <c r="R962" t="s">
        <v>53</v>
      </c>
      <c r="S962" t="s">
        <v>53</v>
      </c>
      <c r="T962" t="s">
        <v>53</v>
      </c>
      <c r="U962" t="s">
        <v>53</v>
      </c>
      <c r="V962" t="s">
        <v>53</v>
      </c>
      <c r="W962" t="s">
        <v>53</v>
      </c>
      <c r="X962" s="22" t="s">
        <v>53</v>
      </c>
      <c r="Y962" s="22" t="s">
        <v>53</v>
      </c>
      <c r="Z962" s="22" t="s">
        <v>53</v>
      </c>
      <c r="AA962" s="22" t="s">
        <v>53</v>
      </c>
      <c r="AB962" t="s">
        <v>53</v>
      </c>
      <c r="AC962" t="s">
        <v>53</v>
      </c>
      <c r="AD962" t="s">
        <v>53</v>
      </c>
      <c r="AE962" t="s">
        <v>53</v>
      </c>
      <c r="AF962" s="22" t="s">
        <v>53</v>
      </c>
      <c r="AG962" s="22" t="s">
        <v>53</v>
      </c>
      <c r="AH962" s="22" t="s">
        <v>53</v>
      </c>
      <c r="AI962" s="22" t="s">
        <v>53</v>
      </c>
      <c r="AJ962">
        <v>14</v>
      </c>
      <c r="AK962">
        <v>7</v>
      </c>
      <c r="AL962">
        <v>5</v>
      </c>
      <c r="AM962">
        <v>6</v>
      </c>
      <c r="AN962" s="22">
        <v>0.0714285714285714</v>
      </c>
      <c r="AO962" s="22">
        <v>0</v>
      </c>
      <c r="AP962" s="22">
        <v>0</v>
      </c>
      <c r="AQ962" s="22">
        <v>0</v>
      </c>
      <c r="AR962" s="35">
        <v>0.142857142857143</v>
      </c>
      <c r="AS962" s="35">
        <v>8.57142857142857</v>
      </c>
      <c r="AT962" s="35">
        <v>-1.57142857142857</v>
      </c>
      <c r="AU962" s="31">
        <f t="shared" si="18"/>
        <v>49</v>
      </c>
      <c r="AV962" s="36">
        <f>IFERROR(时间!$B$4+AU962,"上周无销量")</f>
        <v>43381</v>
      </c>
    </row>
    <row r="963" spans="1:48">
      <c r="A963" s="20" t="s">
        <v>2159</v>
      </c>
      <c r="B963" t="s">
        <v>2160</v>
      </c>
      <c r="C963" t="s">
        <v>2161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0</v>
      </c>
      <c r="AK963">
        <v>0</v>
      </c>
      <c r="AL963">
        <v>0</v>
      </c>
      <c r="AM963">
        <v>0</v>
      </c>
      <c r="AN963" s="22" t="s">
        <v>53</v>
      </c>
      <c r="AO963" s="22" t="s">
        <v>53</v>
      </c>
      <c r="AP963" s="22" t="s">
        <v>53</v>
      </c>
      <c r="AQ963" s="22" t="s">
        <v>53</v>
      </c>
      <c r="AR963" s="35">
        <v>0</v>
      </c>
      <c r="AS963" s="35">
        <v>0</v>
      </c>
      <c r="AT963" s="35">
        <v>0</v>
      </c>
      <c r="AU963" s="31" t="str">
        <f t="shared" si="18"/>
        <v>库存为0</v>
      </c>
      <c r="AV963" s="36" t="str">
        <f>IFERROR(时间!$B$4+AU963,"上周无销量")</f>
        <v>上周无销量</v>
      </c>
    </row>
    <row r="964" spans="1:48">
      <c r="A964" s="20" t="s">
        <v>2162</v>
      </c>
      <c r="B964" t="s">
        <v>2163</v>
      </c>
      <c r="C964" t="s">
        <v>2161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0</v>
      </c>
      <c r="AK964">
        <v>0</v>
      </c>
      <c r="AL964">
        <v>0</v>
      </c>
      <c r="AM964">
        <v>0</v>
      </c>
      <c r="AN964" s="22" t="s">
        <v>53</v>
      </c>
      <c r="AO964" s="22" t="s">
        <v>53</v>
      </c>
      <c r="AP964" s="22" t="s">
        <v>53</v>
      </c>
      <c r="AQ964" s="22" t="s">
        <v>53</v>
      </c>
      <c r="AR964" s="35">
        <v>0</v>
      </c>
      <c r="AS964" s="35">
        <v>0</v>
      </c>
      <c r="AT964" s="35">
        <v>0</v>
      </c>
      <c r="AU964" s="31" t="str">
        <f t="shared" si="18"/>
        <v>库存为0</v>
      </c>
      <c r="AV964" s="36" t="str">
        <f>IFERROR(时间!$B$4+AU964,"上周无销量")</f>
        <v>上周无销量</v>
      </c>
    </row>
    <row r="965" spans="1:48">
      <c r="A965" s="20" t="s">
        <v>2164</v>
      </c>
      <c r="B965" t="s">
        <v>2165</v>
      </c>
      <c r="C965" t="s">
        <v>2161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53</v>
      </c>
      <c r="Q965" t="s">
        <v>53</v>
      </c>
      <c r="R965" t="s">
        <v>53</v>
      </c>
      <c r="S965" t="s">
        <v>53</v>
      </c>
      <c r="T965" t="s">
        <v>53</v>
      </c>
      <c r="U965" t="s">
        <v>53</v>
      </c>
      <c r="V965" t="s">
        <v>53</v>
      </c>
      <c r="W965" t="s">
        <v>53</v>
      </c>
      <c r="X965" s="22" t="s">
        <v>53</v>
      </c>
      <c r="Y965" s="22" t="s">
        <v>53</v>
      </c>
      <c r="Z965" s="22" t="s">
        <v>53</v>
      </c>
      <c r="AA965" s="22" t="s">
        <v>53</v>
      </c>
      <c r="AB965" t="s">
        <v>53</v>
      </c>
      <c r="AC965" t="s">
        <v>53</v>
      </c>
      <c r="AD965" t="s">
        <v>53</v>
      </c>
      <c r="AE965" t="s">
        <v>53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0</v>
      </c>
      <c r="AK965">
        <v>0</v>
      </c>
      <c r="AL965">
        <v>0</v>
      </c>
      <c r="AM965">
        <v>0</v>
      </c>
      <c r="AN965" s="22" t="s">
        <v>53</v>
      </c>
      <c r="AO965" s="22" t="s">
        <v>53</v>
      </c>
      <c r="AP965" s="22" t="s">
        <v>53</v>
      </c>
      <c r="AQ965" s="22" t="s">
        <v>53</v>
      </c>
      <c r="AR965" s="35">
        <v>0</v>
      </c>
      <c r="AS965" s="35">
        <v>0</v>
      </c>
      <c r="AT965" s="35">
        <v>0</v>
      </c>
      <c r="AU965" s="31" t="str">
        <f t="shared" ref="AU965:AU1028" si="19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0" t="s">
        <v>2166</v>
      </c>
      <c r="B966" t="s">
        <v>2167</v>
      </c>
      <c r="C966" t="s">
        <v>2161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53</v>
      </c>
      <c r="Q966" t="s">
        <v>53</v>
      </c>
      <c r="R966" t="s">
        <v>53</v>
      </c>
      <c r="S966" t="s">
        <v>53</v>
      </c>
      <c r="T966" t="s">
        <v>53</v>
      </c>
      <c r="U966" t="s">
        <v>53</v>
      </c>
      <c r="V966" t="s">
        <v>53</v>
      </c>
      <c r="W966" t="s">
        <v>53</v>
      </c>
      <c r="X966" s="22" t="s">
        <v>53</v>
      </c>
      <c r="Y966" s="22" t="s">
        <v>53</v>
      </c>
      <c r="Z966" s="22" t="s">
        <v>53</v>
      </c>
      <c r="AA966" s="22" t="s">
        <v>53</v>
      </c>
      <c r="AB966" t="s">
        <v>53</v>
      </c>
      <c r="AC966" t="s">
        <v>53</v>
      </c>
      <c r="AD966" t="s">
        <v>53</v>
      </c>
      <c r="AE966" t="s">
        <v>53</v>
      </c>
      <c r="AF966" s="22" t="s">
        <v>53</v>
      </c>
      <c r="AG966" s="22" t="s">
        <v>53</v>
      </c>
      <c r="AH966" s="22" t="s">
        <v>53</v>
      </c>
      <c r="AI966" s="22" t="s">
        <v>53</v>
      </c>
      <c r="AJ966">
        <v>0</v>
      </c>
      <c r="AK966">
        <v>0</v>
      </c>
      <c r="AL966">
        <v>0</v>
      </c>
      <c r="AM966">
        <v>0</v>
      </c>
      <c r="AN966" s="22" t="s">
        <v>53</v>
      </c>
      <c r="AO966" s="22" t="s">
        <v>53</v>
      </c>
      <c r="AP966" s="22" t="s">
        <v>53</v>
      </c>
      <c r="AQ966" s="22" t="s">
        <v>53</v>
      </c>
      <c r="AR966" s="35">
        <v>0</v>
      </c>
      <c r="AS966" s="35">
        <v>0</v>
      </c>
      <c r="AT966" s="35">
        <v>0</v>
      </c>
      <c r="AU966" s="31" t="str">
        <f t="shared" si="19"/>
        <v>库存为0</v>
      </c>
      <c r="AV966" s="36" t="str">
        <f>IFERROR(时间!$B$4+AU966,"上周无销量")</f>
        <v>上周无销量</v>
      </c>
    </row>
    <row r="967" spans="1:48">
      <c r="A967" s="20" t="s">
        <v>2168</v>
      </c>
      <c r="B967" t="s">
        <v>2169</v>
      </c>
      <c r="C967" t="s">
        <v>2161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0</v>
      </c>
      <c r="AK967">
        <v>0</v>
      </c>
      <c r="AL967">
        <v>0</v>
      </c>
      <c r="AM967">
        <v>0</v>
      </c>
      <c r="AN967" s="22" t="s">
        <v>53</v>
      </c>
      <c r="AO967" s="22" t="s">
        <v>53</v>
      </c>
      <c r="AP967" s="22" t="s">
        <v>53</v>
      </c>
      <c r="AQ967" s="22" t="s">
        <v>53</v>
      </c>
      <c r="AR967" s="35">
        <v>0</v>
      </c>
      <c r="AS967" s="35">
        <v>0</v>
      </c>
      <c r="AT967" s="35">
        <v>0</v>
      </c>
      <c r="AU967" s="31" t="str">
        <f t="shared" si="19"/>
        <v>库存为0</v>
      </c>
      <c r="AV967" s="36" t="str">
        <f>IFERROR(时间!$B$4+AU967,"上周无销量")</f>
        <v>上周无销量</v>
      </c>
    </row>
    <row r="968" spans="1:48">
      <c r="A968" s="20" t="s">
        <v>2170</v>
      </c>
      <c r="B968" t="s">
        <v>2171</v>
      </c>
      <c r="C968" t="s">
        <v>2172</v>
      </c>
      <c r="D968" s="31">
        <v>12</v>
      </c>
      <c r="E968" s="31">
        <v>0</v>
      </c>
      <c r="F968" s="31">
        <v>0</v>
      </c>
      <c r="G968" s="31">
        <v>0</v>
      </c>
      <c r="H968" s="32">
        <v>27.99</v>
      </c>
      <c r="I968">
        <v>14</v>
      </c>
      <c r="J968" s="33">
        <v>70</v>
      </c>
      <c r="K968" s="33">
        <v>0</v>
      </c>
      <c r="L968" s="33">
        <v>0</v>
      </c>
      <c r="M968">
        <v>84</v>
      </c>
      <c r="N968">
        <v>0</v>
      </c>
      <c r="O968">
        <v>0</v>
      </c>
      <c r="P968">
        <v>213</v>
      </c>
      <c r="Q968">
        <v>0</v>
      </c>
      <c r="R968">
        <v>0</v>
      </c>
      <c r="S968">
        <v>0</v>
      </c>
      <c r="T968">
        <v>2</v>
      </c>
      <c r="U968">
        <v>0</v>
      </c>
      <c r="V968">
        <v>0</v>
      </c>
      <c r="W968">
        <v>0</v>
      </c>
      <c r="X968" s="22">
        <v>0.00938967136150235</v>
      </c>
      <c r="Y968" s="22" t="s">
        <v>53</v>
      </c>
      <c r="Z968" s="22" t="s">
        <v>53</v>
      </c>
      <c r="AA968" s="22" t="s">
        <v>53</v>
      </c>
      <c r="AB968">
        <v>0.32</v>
      </c>
      <c r="AC968">
        <v>0</v>
      </c>
      <c r="AD968">
        <v>0</v>
      </c>
      <c r="AE968">
        <v>0</v>
      </c>
      <c r="AF968" s="22">
        <v>0.000952721209955937</v>
      </c>
      <c r="AG968" s="22" t="s">
        <v>53</v>
      </c>
      <c r="AH968" s="22" t="s">
        <v>53</v>
      </c>
      <c r="AI968" s="22" t="s">
        <v>53</v>
      </c>
      <c r="AJ968">
        <v>855</v>
      </c>
      <c r="AK968">
        <v>218</v>
      </c>
      <c r="AL968">
        <v>0</v>
      </c>
      <c r="AM968">
        <v>0</v>
      </c>
      <c r="AN968" s="22">
        <v>0.0140350877192982</v>
      </c>
      <c r="AO968" s="22">
        <v>0</v>
      </c>
      <c r="AP968" s="22" t="s">
        <v>53</v>
      </c>
      <c r="AQ968" s="22" t="s">
        <v>53</v>
      </c>
      <c r="AR968" s="35">
        <v>1.71428571428571</v>
      </c>
      <c r="AS968" s="35">
        <v>102.857142857143</v>
      </c>
      <c r="AT968" s="35">
        <v>-18.8571428571428</v>
      </c>
      <c r="AU968" s="31">
        <f t="shared" si="19"/>
        <v>49</v>
      </c>
      <c r="AV968" s="36">
        <f>IFERROR(时间!$B$4+AU968,"上周无销量")</f>
        <v>43381</v>
      </c>
    </row>
    <row r="969" spans="1:48">
      <c r="A969" s="20" t="s">
        <v>2173</v>
      </c>
      <c r="B969" t="s">
        <v>2174</v>
      </c>
      <c r="C969" t="s">
        <v>2172</v>
      </c>
      <c r="D969" s="31">
        <v>22</v>
      </c>
      <c r="E969" s="31">
        <v>5</v>
      </c>
      <c r="F969" s="31">
        <v>0</v>
      </c>
      <c r="G969" s="31">
        <v>0</v>
      </c>
      <c r="H969" s="32">
        <v>27.99</v>
      </c>
      <c r="I969">
        <v>0</v>
      </c>
      <c r="J969" s="33">
        <v>70</v>
      </c>
      <c r="K969" s="33">
        <v>0</v>
      </c>
      <c r="L969" s="33">
        <v>0</v>
      </c>
      <c r="M969">
        <v>70</v>
      </c>
      <c r="N969">
        <v>0</v>
      </c>
      <c r="O969">
        <v>0</v>
      </c>
      <c r="P969">
        <v>539</v>
      </c>
      <c r="Q969">
        <v>0</v>
      </c>
      <c r="R969">
        <v>0</v>
      </c>
      <c r="S969">
        <v>0</v>
      </c>
      <c r="T969">
        <v>1</v>
      </c>
      <c r="U969">
        <v>0</v>
      </c>
      <c r="V969">
        <v>0</v>
      </c>
      <c r="W969">
        <v>0</v>
      </c>
      <c r="X969" s="22">
        <v>0.00185528756957328</v>
      </c>
      <c r="Y969" s="22" t="s">
        <v>53</v>
      </c>
      <c r="Z969" s="22" t="s">
        <v>53</v>
      </c>
      <c r="AA969" s="22" t="s">
        <v>53</v>
      </c>
      <c r="AB969">
        <v>0.1</v>
      </c>
      <c r="AC969">
        <v>0</v>
      </c>
      <c r="AD969">
        <v>0</v>
      </c>
      <c r="AE969">
        <v>0</v>
      </c>
      <c r="AF969" s="22">
        <v>0.000162395660787944</v>
      </c>
      <c r="AG969" s="22" t="s">
        <v>53</v>
      </c>
      <c r="AH969" s="22" t="s">
        <v>53</v>
      </c>
      <c r="AI969" s="22" t="s">
        <v>53</v>
      </c>
      <c r="AJ969">
        <v>665</v>
      </c>
      <c r="AK969">
        <v>213</v>
      </c>
      <c r="AL969">
        <v>0</v>
      </c>
      <c r="AM969">
        <v>0</v>
      </c>
      <c r="AN969" s="22">
        <v>0.0330827067669173</v>
      </c>
      <c r="AO969" s="22">
        <v>0.0234741784037559</v>
      </c>
      <c r="AP969" s="22" t="s">
        <v>53</v>
      </c>
      <c r="AQ969" s="22" t="s">
        <v>53</v>
      </c>
      <c r="AR969" s="35">
        <v>3.14285714285714</v>
      </c>
      <c r="AS969" s="35">
        <v>188.571428571429</v>
      </c>
      <c r="AT969" s="35">
        <v>-118.571428571429</v>
      </c>
      <c r="AU969" s="31">
        <f t="shared" si="19"/>
        <v>22</v>
      </c>
      <c r="AV969" s="36">
        <f>IFERROR(时间!$B$4+AU969,"上周无销量")</f>
        <v>43354</v>
      </c>
    </row>
    <row r="970" spans="1:48">
      <c r="A970" s="20" t="s">
        <v>2175</v>
      </c>
      <c r="B970" t="s">
        <v>2176</v>
      </c>
      <c r="C970" t="s">
        <v>2172</v>
      </c>
      <c r="D970" s="31">
        <v>8</v>
      </c>
      <c r="E970" s="31">
        <v>1</v>
      </c>
      <c r="F970" s="31">
        <v>0</v>
      </c>
      <c r="G970" s="31">
        <v>0</v>
      </c>
      <c r="H970" s="32">
        <v>27.99</v>
      </c>
      <c r="I970">
        <v>19</v>
      </c>
      <c r="J970" s="33">
        <v>68</v>
      </c>
      <c r="K970" s="33">
        <v>0</v>
      </c>
      <c r="L970" s="33">
        <v>1</v>
      </c>
      <c r="M970">
        <v>88</v>
      </c>
      <c r="N970">
        <v>0</v>
      </c>
      <c r="O970">
        <v>0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608</v>
      </c>
      <c r="AK970">
        <v>214</v>
      </c>
      <c r="AL970">
        <v>0</v>
      </c>
      <c r="AM970">
        <v>0</v>
      </c>
      <c r="AN970" s="22">
        <v>0.0131578947368421</v>
      </c>
      <c r="AO970" s="22">
        <v>0.00467289719626168</v>
      </c>
      <c r="AP970" s="22" t="s">
        <v>53</v>
      </c>
      <c r="AQ970" s="22" t="s">
        <v>53</v>
      </c>
      <c r="AR970" s="35">
        <v>1.14285714285714</v>
      </c>
      <c r="AS970" s="35">
        <v>68.5714285714286</v>
      </c>
      <c r="AT970" s="35">
        <v>19.4285714285714</v>
      </c>
      <c r="AU970" s="31">
        <f t="shared" si="19"/>
        <v>77</v>
      </c>
      <c r="AV970" s="36">
        <f>IFERROR(时间!$B$4+AU970,"上周无销量")</f>
        <v>43409</v>
      </c>
    </row>
    <row r="971" spans="1:48">
      <c r="A971" s="20" t="s">
        <v>2177</v>
      </c>
      <c r="B971" t="s">
        <v>1981</v>
      </c>
      <c r="C971" t="s">
        <v>2178</v>
      </c>
      <c r="D971" s="31">
        <v>10</v>
      </c>
      <c r="E971" s="31">
        <v>8</v>
      </c>
      <c r="F971" s="31">
        <v>6</v>
      </c>
      <c r="G971" s="31">
        <v>1</v>
      </c>
      <c r="H971" s="32">
        <v>22.99</v>
      </c>
      <c r="I971">
        <v>53</v>
      </c>
      <c r="J971" s="33">
        <v>50</v>
      </c>
      <c r="K971" s="33">
        <v>0</v>
      </c>
      <c r="L971" s="33">
        <v>0</v>
      </c>
      <c r="M971">
        <v>103</v>
      </c>
      <c r="N971">
        <v>0</v>
      </c>
      <c r="O971">
        <v>0</v>
      </c>
      <c r="P971">
        <v>0</v>
      </c>
      <c r="Q971">
        <v>18</v>
      </c>
      <c r="R971">
        <v>0</v>
      </c>
      <c r="S971">
        <v>1</v>
      </c>
      <c r="T971">
        <v>0</v>
      </c>
      <c r="U971">
        <v>0</v>
      </c>
      <c r="V971">
        <v>0</v>
      </c>
      <c r="W971">
        <v>0</v>
      </c>
      <c r="X971" s="22" t="s">
        <v>53</v>
      </c>
      <c r="Y971" s="22">
        <v>0</v>
      </c>
      <c r="Z971" s="22" t="s">
        <v>53</v>
      </c>
      <c r="AA971" s="22">
        <v>0</v>
      </c>
      <c r="AB971">
        <v>0</v>
      </c>
      <c r="AC971">
        <v>0</v>
      </c>
      <c r="AD971">
        <v>0</v>
      </c>
      <c r="AE971">
        <v>0</v>
      </c>
      <c r="AF971" s="22" t="s">
        <v>53</v>
      </c>
      <c r="AG971" s="22" t="s">
        <v>53</v>
      </c>
      <c r="AH971" s="22" t="s">
        <v>53</v>
      </c>
      <c r="AI971" s="22" t="s">
        <v>53</v>
      </c>
      <c r="AJ971">
        <v>505</v>
      </c>
      <c r="AK971">
        <v>409</v>
      </c>
      <c r="AL971">
        <v>237</v>
      </c>
      <c r="AM971">
        <v>14</v>
      </c>
      <c r="AN971" s="22">
        <v>0.0198019801980198</v>
      </c>
      <c r="AO971" s="22">
        <v>0.019559902200489</v>
      </c>
      <c r="AP971" s="22">
        <v>0.0253164556962025</v>
      </c>
      <c r="AQ971" s="22">
        <v>0.0714285714285714</v>
      </c>
      <c r="AR971" s="35">
        <v>1.42857142857143</v>
      </c>
      <c r="AS971" s="35">
        <v>85.7142857142857</v>
      </c>
      <c r="AT971" s="35">
        <v>17.2857142857143</v>
      </c>
      <c r="AU971" s="31">
        <f t="shared" si="19"/>
        <v>72</v>
      </c>
      <c r="AV971" s="36">
        <f>IFERROR(时间!$B$4+AU971,"上周无销量")</f>
        <v>43404</v>
      </c>
    </row>
    <row r="972" spans="1:48">
      <c r="A972" s="20" t="s">
        <v>2179</v>
      </c>
      <c r="B972" t="s">
        <v>1987</v>
      </c>
      <c r="C972" t="s">
        <v>2178</v>
      </c>
      <c r="D972" s="31">
        <v>9</v>
      </c>
      <c r="E972" s="31">
        <v>6</v>
      </c>
      <c r="F972" s="31">
        <v>2</v>
      </c>
      <c r="G972" s="31">
        <v>1</v>
      </c>
      <c r="H972" s="32">
        <v>22.99</v>
      </c>
      <c r="I972">
        <v>62</v>
      </c>
      <c r="J972" s="33">
        <v>50</v>
      </c>
      <c r="K972" s="33">
        <v>0</v>
      </c>
      <c r="L972" s="33">
        <v>0</v>
      </c>
      <c r="M972">
        <v>112</v>
      </c>
      <c r="N972">
        <v>0</v>
      </c>
      <c r="O972">
        <v>0</v>
      </c>
      <c r="P972">
        <v>0</v>
      </c>
      <c r="Q972">
        <v>7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 s="22" t="s">
        <v>53</v>
      </c>
      <c r="Y972" s="22">
        <v>0</v>
      </c>
      <c r="Z972" s="22" t="s">
        <v>53</v>
      </c>
      <c r="AA972" s="22" t="s">
        <v>53</v>
      </c>
      <c r="AB972">
        <v>0</v>
      </c>
      <c r="AC972">
        <v>0</v>
      </c>
      <c r="AD972">
        <v>0</v>
      </c>
      <c r="AE972">
        <v>0</v>
      </c>
      <c r="AF972" s="22" t="s">
        <v>53</v>
      </c>
      <c r="AG972" s="22" t="s">
        <v>53</v>
      </c>
      <c r="AH972" s="22" t="s">
        <v>53</v>
      </c>
      <c r="AI972" s="22" t="s">
        <v>53</v>
      </c>
      <c r="AJ972">
        <v>132</v>
      </c>
      <c r="AK972">
        <v>101</v>
      </c>
      <c r="AL972">
        <v>35</v>
      </c>
      <c r="AM972">
        <v>23</v>
      </c>
      <c r="AN972" s="22">
        <v>0.0681818181818182</v>
      </c>
      <c r="AO972" s="22">
        <v>0.0594059405940594</v>
      </c>
      <c r="AP972" s="22">
        <v>0.0571428571428571</v>
      </c>
      <c r="AQ972" s="22">
        <v>0.0434782608695652</v>
      </c>
      <c r="AR972" s="35">
        <v>1.28571428571429</v>
      </c>
      <c r="AS972" s="35">
        <v>77.1428571428572</v>
      </c>
      <c r="AT972" s="35">
        <v>34.8571428571428</v>
      </c>
      <c r="AU972" s="31">
        <f t="shared" si="19"/>
        <v>87</v>
      </c>
      <c r="AV972" s="36">
        <f>IFERROR(时间!$B$4+AU972,"上周无销量")</f>
        <v>43419</v>
      </c>
    </row>
    <row r="973" spans="1:48">
      <c r="A973" s="20" t="s">
        <v>2180</v>
      </c>
      <c r="B973" t="s">
        <v>1976</v>
      </c>
      <c r="C973" t="s">
        <v>2178</v>
      </c>
      <c r="D973" s="31">
        <v>1</v>
      </c>
      <c r="E973" s="31">
        <v>0</v>
      </c>
      <c r="F973" s="31">
        <v>1</v>
      </c>
      <c r="G973" s="31">
        <v>0</v>
      </c>
      <c r="H973" s="32">
        <v>22.99</v>
      </c>
      <c r="I973">
        <v>17</v>
      </c>
      <c r="J973" s="33">
        <v>50</v>
      </c>
      <c r="K973" s="33">
        <v>0</v>
      </c>
      <c r="L973" s="33">
        <v>0</v>
      </c>
      <c r="M973">
        <v>67</v>
      </c>
      <c r="N973">
        <v>0</v>
      </c>
      <c r="O973">
        <v>0</v>
      </c>
      <c r="P973">
        <v>0</v>
      </c>
      <c r="Q973">
        <v>15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 s="22" t="s">
        <v>53</v>
      </c>
      <c r="Y973" s="22">
        <v>0</v>
      </c>
      <c r="Z973" s="22" t="s">
        <v>53</v>
      </c>
      <c r="AA973" s="22" t="s">
        <v>53</v>
      </c>
      <c r="AB973">
        <v>0</v>
      </c>
      <c r="AC973">
        <v>0</v>
      </c>
      <c r="AD973">
        <v>0</v>
      </c>
      <c r="AE973">
        <v>0</v>
      </c>
      <c r="AF973" s="22" t="s">
        <v>53</v>
      </c>
      <c r="AG973" s="22" t="s">
        <v>53</v>
      </c>
      <c r="AH973" s="22" t="s">
        <v>53</v>
      </c>
      <c r="AI973" s="22" t="s">
        <v>53</v>
      </c>
      <c r="AJ973">
        <v>73</v>
      </c>
      <c r="AK973">
        <v>122</v>
      </c>
      <c r="AL973">
        <v>57</v>
      </c>
      <c r="AM973">
        <v>0</v>
      </c>
      <c r="AN973" s="22">
        <v>0.0136986301369863</v>
      </c>
      <c r="AO973" s="22">
        <v>0</v>
      </c>
      <c r="AP973" s="22">
        <v>0.0175438596491228</v>
      </c>
      <c r="AQ973" s="22" t="s">
        <v>53</v>
      </c>
      <c r="AR973" s="35">
        <v>0.142857142857143</v>
      </c>
      <c r="AS973" s="35">
        <v>8.57142857142857</v>
      </c>
      <c r="AT973" s="35">
        <v>58.4285714285714</v>
      </c>
      <c r="AU973" s="31">
        <f t="shared" si="19"/>
        <v>469</v>
      </c>
      <c r="AV973" s="36">
        <f>IFERROR(时间!$B$4+AU973,"上周无销量")</f>
        <v>43801</v>
      </c>
    </row>
    <row r="974" spans="1:48">
      <c r="A974" s="20" t="s">
        <v>2181</v>
      </c>
      <c r="B974" t="s">
        <v>1979</v>
      </c>
      <c r="C974" t="s">
        <v>2178</v>
      </c>
      <c r="D974" s="31">
        <v>3</v>
      </c>
      <c r="E974" s="31">
        <v>1</v>
      </c>
      <c r="F974" s="31">
        <v>3</v>
      </c>
      <c r="G974" s="31">
        <v>6</v>
      </c>
      <c r="H974" s="32">
        <v>22.99</v>
      </c>
      <c r="I974">
        <v>19</v>
      </c>
      <c r="J974" s="33">
        <v>0</v>
      </c>
      <c r="K974" s="33">
        <v>0</v>
      </c>
      <c r="L974" s="33">
        <v>0</v>
      </c>
      <c r="M974">
        <v>19</v>
      </c>
      <c r="N974">
        <v>0</v>
      </c>
      <c r="O974">
        <v>0</v>
      </c>
      <c r="P974" t="s">
        <v>53</v>
      </c>
      <c r="Q974" t="s">
        <v>53</v>
      </c>
      <c r="R974" t="s">
        <v>53</v>
      </c>
      <c r="S974" t="s">
        <v>53</v>
      </c>
      <c r="T974" t="s">
        <v>53</v>
      </c>
      <c r="U974" t="s">
        <v>53</v>
      </c>
      <c r="V974" t="s">
        <v>53</v>
      </c>
      <c r="W974" t="s">
        <v>53</v>
      </c>
      <c r="X974" s="22" t="s">
        <v>53</v>
      </c>
      <c r="Y974" s="22" t="s">
        <v>53</v>
      </c>
      <c r="Z974" s="22" t="s">
        <v>53</v>
      </c>
      <c r="AA974" s="22" t="s">
        <v>53</v>
      </c>
      <c r="AB974" t="s">
        <v>53</v>
      </c>
      <c r="AC974" t="s">
        <v>53</v>
      </c>
      <c r="AD974" t="s">
        <v>53</v>
      </c>
      <c r="AE974" t="s">
        <v>53</v>
      </c>
      <c r="AF974" s="22" t="s">
        <v>53</v>
      </c>
      <c r="AG974" s="22" t="s">
        <v>53</v>
      </c>
      <c r="AH974" s="22" t="s">
        <v>53</v>
      </c>
      <c r="AI974" s="22" t="s">
        <v>53</v>
      </c>
      <c r="AJ974">
        <v>68</v>
      </c>
      <c r="AK974">
        <v>91</v>
      </c>
      <c r="AL974">
        <v>38</v>
      </c>
      <c r="AM974">
        <v>20</v>
      </c>
      <c r="AN974" s="22">
        <v>0.0441176470588235</v>
      </c>
      <c r="AO974" s="22">
        <v>0.010989010989011</v>
      </c>
      <c r="AP974" s="22">
        <v>0.0789473684210526</v>
      </c>
      <c r="AQ974" s="22">
        <v>0.3</v>
      </c>
      <c r="AR974" s="35">
        <v>0.428571428571429</v>
      </c>
      <c r="AS974" s="35">
        <v>25.7142857142857</v>
      </c>
      <c r="AT974" s="35">
        <v>-6.71428571428571</v>
      </c>
      <c r="AU974" s="31">
        <f t="shared" si="19"/>
        <v>44</v>
      </c>
      <c r="AV974" s="36">
        <f>IFERROR(时间!$B$4+AU974,"上周无销量")</f>
        <v>43376</v>
      </c>
    </row>
    <row r="975" spans="1:48">
      <c r="A975" s="20" t="s">
        <v>2182</v>
      </c>
      <c r="B975" t="s">
        <v>1983</v>
      </c>
      <c r="C975" t="s">
        <v>2178</v>
      </c>
      <c r="D975" s="31">
        <v>3</v>
      </c>
      <c r="E975" s="31">
        <v>3</v>
      </c>
      <c r="F975" s="31">
        <v>1</v>
      </c>
      <c r="G975" s="31">
        <v>7</v>
      </c>
      <c r="H975" s="32">
        <v>22.99</v>
      </c>
      <c r="I975">
        <v>19</v>
      </c>
      <c r="J975" s="33">
        <v>0</v>
      </c>
      <c r="K975" s="33">
        <v>0</v>
      </c>
      <c r="L975" s="33">
        <v>0</v>
      </c>
      <c r="M975">
        <v>19</v>
      </c>
      <c r="N975">
        <v>0</v>
      </c>
      <c r="O975">
        <v>0</v>
      </c>
      <c r="P975" t="s">
        <v>53</v>
      </c>
      <c r="Q975" t="s">
        <v>53</v>
      </c>
      <c r="R975" t="s">
        <v>53</v>
      </c>
      <c r="S975" t="s">
        <v>53</v>
      </c>
      <c r="T975" t="s">
        <v>53</v>
      </c>
      <c r="U975" t="s">
        <v>53</v>
      </c>
      <c r="V975" t="s">
        <v>53</v>
      </c>
      <c r="W975" t="s">
        <v>53</v>
      </c>
      <c r="X975" s="22" t="s">
        <v>53</v>
      </c>
      <c r="Y975" s="22" t="s">
        <v>53</v>
      </c>
      <c r="Z975" s="22" t="s">
        <v>53</v>
      </c>
      <c r="AA975" s="22" t="s">
        <v>53</v>
      </c>
      <c r="AB975" t="s">
        <v>53</v>
      </c>
      <c r="AC975" t="s">
        <v>53</v>
      </c>
      <c r="AD975" t="s">
        <v>53</v>
      </c>
      <c r="AE975" t="s">
        <v>53</v>
      </c>
      <c r="AF975" s="22" t="s">
        <v>53</v>
      </c>
      <c r="AG975" s="22" t="s">
        <v>53</v>
      </c>
      <c r="AH975" s="22" t="s">
        <v>53</v>
      </c>
      <c r="AI975" s="22" t="s">
        <v>53</v>
      </c>
      <c r="AJ975">
        <v>60</v>
      </c>
      <c r="AK975">
        <v>127</v>
      </c>
      <c r="AL975">
        <v>52</v>
      </c>
      <c r="AM975">
        <v>43</v>
      </c>
      <c r="AN975" s="22">
        <v>0.05</v>
      </c>
      <c r="AO975" s="22">
        <v>0.0236220472440945</v>
      </c>
      <c r="AP975" s="22">
        <v>0.0192307692307692</v>
      </c>
      <c r="AQ975" s="22">
        <v>0.162790697674419</v>
      </c>
      <c r="AR975" s="35">
        <v>0.428571428571429</v>
      </c>
      <c r="AS975" s="35">
        <v>25.7142857142857</v>
      </c>
      <c r="AT975" s="35">
        <v>-6.71428571428571</v>
      </c>
      <c r="AU975" s="31">
        <f t="shared" si="19"/>
        <v>44</v>
      </c>
      <c r="AV975" s="36">
        <f>IFERROR(时间!$B$4+AU975,"上周无销量")</f>
        <v>43376</v>
      </c>
    </row>
    <row r="976" spans="1:48">
      <c r="A976" s="20" t="s">
        <v>2183</v>
      </c>
      <c r="B976" t="s">
        <v>1985</v>
      </c>
      <c r="C976" t="s">
        <v>2178</v>
      </c>
      <c r="D976" s="31">
        <v>1</v>
      </c>
      <c r="E976" s="31">
        <v>1</v>
      </c>
      <c r="F976" s="31">
        <v>1</v>
      </c>
      <c r="G976" s="31">
        <v>2</v>
      </c>
      <c r="H976" s="32">
        <v>22.99</v>
      </c>
      <c r="I976">
        <v>18</v>
      </c>
      <c r="J976" s="33">
        <v>50</v>
      </c>
      <c r="K976" s="33">
        <v>0</v>
      </c>
      <c r="L976" s="33">
        <v>0</v>
      </c>
      <c r="M976">
        <v>68</v>
      </c>
      <c r="N976">
        <v>0</v>
      </c>
      <c r="O976">
        <v>0</v>
      </c>
      <c r="P976">
        <v>0</v>
      </c>
      <c r="Q976">
        <v>26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 s="22" t="s">
        <v>53</v>
      </c>
      <c r="Y976" s="22">
        <v>0</v>
      </c>
      <c r="Z976" s="22" t="s">
        <v>53</v>
      </c>
      <c r="AA976" s="22" t="s">
        <v>53</v>
      </c>
      <c r="AB976">
        <v>0</v>
      </c>
      <c r="AC976">
        <v>0</v>
      </c>
      <c r="AD976">
        <v>0</v>
      </c>
      <c r="AE976">
        <v>0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96</v>
      </c>
      <c r="AK976">
        <v>104</v>
      </c>
      <c r="AL976">
        <v>46</v>
      </c>
      <c r="AM976">
        <v>18</v>
      </c>
      <c r="AN976" s="22">
        <v>0.0104166666666667</v>
      </c>
      <c r="AO976" s="22">
        <v>0.00961538461538462</v>
      </c>
      <c r="AP976" s="22">
        <v>0.0217391304347826</v>
      </c>
      <c r="AQ976" s="22">
        <v>0.111111111111111</v>
      </c>
      <c r="AR976" s="35">
        <v>0.142857142857143</v>
      </c>
      <c r="AS976" s="35">
        <v>8.57142857142857</v>
      </c>
      <c r="AT976" s="35">
        <v>59.4285714285714</v>
      </c>
      <c r="AU976" s="31">
        <f t="shared" si="19"/>
        <v>476</v>
      </c>
      <c r="AV976" s="36">
        <f>IFERROR(时间!$B$4+AU976,"上周无销量")</f>
        <v>43808</v>
      </c>
    </row>
    <row r="977" spans="1:48">
      <c r="A977" s="20" t="s">
        <v>2184</v>
      </c>
      <c r="B977" t="s">
        <v>1992</v>
      </c>
      <c r="C977" t="s">
        <v>2185</v>
      </c>
      <c r="D977" s="31">
        <v>2</v>
      </c>
      <c r="E977" s="31">
        <v>45</v>
      </c>
      <c r="F977" s="31">
        <v>32</v>
      </c>
      <c r="G977" s="31">
        <v>29</v>
      </c>
      <c r="H977" s="32">
        <v>22.99</v>
      </c>
      <c r="I977">
        <v>0</v>
      </c>
      <c r="J977" s="33">
        <v>100</v>
      </c>
      <c r="K977" s="33">
        <v>0</v>
      </c>
      <c r="L977" s="33">
        <v>0</v>
      </c>
      <c r="M977">
        <v>100</v>
      </c>
      <c r="N977">
        <v>0</v>
      </c>
      <c r="O977">
        <v>0</v>
      </c>
      <c r="P977" t="s">
        <v>53</v>
      </c>
      <c r="Q977" t="s">
        <v>53</v>
      </c>
      <c r="R977" t="s">
        <v>53</v>
      </c>
      <c r="S977" t="s">
        <v>53</v>
      </c>
      <c r="T977" t="s">
        <v>53</v>
      </c>
      <c r="U977" t="s">
        <v>53</v>
      </c>
      <c r="V977" t="s">
        <v>53</v>
      </c>
      <c r="W977" t="s">
        <v>53</v>
      </c>
      <c r="X977" s="22" t="s">
        <v>53</v>
      </c>
      <c r="Y977" s="22" t="s">
        <v>53</v>
      </c>
      <c r="Z977" s="22" t="s">
        <v>53</v>
      </c>
      <c r="AA977" s="22" t="s">
        <v>53</v>
      </c>
      <c r="AB977" t="s">
        <v>53</v>
      </c>
      <c r="AC977" t="s">
        <v>53</v>
      </c>
      <c r="AD977" t="s">
        <v>53</v>
      </c>
      <c r="AE977" t="s">
        <v>53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62</v>
      </c>
      <c r="AK977">
        <v>993</v>
      </c>
      <c r="AL977">
        <v>786</v>
      </c>
      <c r="AM977">
        <v>510</v>
      </c>
      <c r="AN977" s="22">
        <v>0.032258064516129</v>
      </c>
      <c r="AO977" s="22">
        <v>0.0453172205438066</v>
      </c>
      <c r="AP977" s="22">
        <v>0.0407124681933842</v>
      </c>
      <c r="AQ977" s="22">
        <v>0.0568627450980392</v>
      </c>
      <c r="AR977" s="35">
        <v>0.285714285714286</v>
      </c>
      <c r="AS977" s="35">
        <v>17.1428571428571</v>
      </c>
      <c r="AT977" s="35">
        <v>82.8571428571429</v>
      </c>
      <c r="AU977" s="31">
        <f t="shared" si="19"/>
        <v>350</v>
      </c>
      <c r="AV977" s="36">
        <f>IFERROR(时间!$B$4+AU977,"上周无销量")</f>
        <v>43682</v>
      </c>
    </row>
    <row r="978" spans="1:48">
      <c r="A978" s="20" t="s">
        <v>2186</v>
      </c>
      <c r="B978" t="s">
        <v>1989</v>
      </c>
      <c r="C978" t="s">
        <v>2185</v>
      </c>
      <c r="D978" s="31">
        <v>26</v>
      </c>
      <c r="E978" s="31">
        <v>30</v>
      </c>
      <c r="F978" s="31">
        <v>17</v>
      </c>
      <c r="G978" s="31">
        <v>15</v>
      </c>
      <c r="H978" s="32">
        <v>22.99</v>
      </c>
      <c r="I978">
        <v>53</v>
      </c>
      <c r="J978" s="33">
        <v>50</v>
      </c>
      <c r="K978" s="33">
        <v>0</v>
      </c>
      <c r="L978" s="33">
        <v>2</v>
      </c>
      <c r="M978">
        <v>105</v>
      </c>
      <c r="N978">
        <v>0</v>
      </c>
      <c r="O978">
        <v>0</v>
      </c>
      <c r="P978" t="s">
        <v>53</v>
      </c>
      <c r="Q978" t="s">
        <v>53</v>
      </c>
      <c r="R978" t="s">
        <v>53</v>
      </c>
      <c r="S978" t="s">
        <v>53</v>
      </c>
      <c r="T978" t="s">
        <v>53</v>
      </c>
      <c r="U978" t="s">
        <v>53</v>
      </c>
      <c r="V978" t="s">
        <v>53</v>
      </c>
      <c r="W978" t="s">
        <v>53</v>
      </c>
      <c r="X978" s="22" t="s">
        <v>53</v>
      </c>
      <c r="Y978" s="22" t="s">
        <v>53</v>
      </c>
      <c r="Z978" s="22" t="s">
        <v>53</v>
      </c>
      <c r="AA978" s="22" t="s">
        <v>53</v>
      </c>
      <c r="AB978" t="s">
        <v>53</v>
      </c>
      <c r="AC978" t="s">
        <v>53</v>
      </c>
      <c r="AD978" t="s">
        <v>53</v>
      </c>
      <c r="AE978" t="s">
        <v>53</v>
      </c>
      <c r="AF978" s="22" t="s">
        <v>53</v>
      </c>
      <c r="AG978" s="22" t="s">
        <v>53</v>
      </c>
      <c r="AH978" s="22" t="s">
        <v>53</v>
      </c>
      <c r="AI978" s="22" t="s">
        <v>53</v>
      </c>
      <c r="AJ978">
        <v>877</v>
      </c>
      <c r="AK978">
        <v>648</v>
      </c>
      <c r="AL978">
        <v>485</v>
      </c>
      <c r="AM978">
        <v>291</v>
      </c>
      <c r="AN978" s="22">
        <v>0.0296465222348917</v>
      </c>
      <c r="AO978" s="22">
        <v>0.0462962962962963</v>
      </c>
      <c r="AP978" s="22">
        <v>0.0350515463917526</v>
      </c>
      <c r="AQ978" s="22">
        <v>0.0515463917525773</v>
      </c>
      <c r="AR978" s="35">
        <v>3.71428571428571</v>
      </c>
      <c r="AS978" s="35">
        <v>222.857142857143</v>
      </c>
      <c r="AT978" s="35">
        <v>-117.857142857143</v>
      </c>
      <c r="AU978" s="31">
        <f t="shared" si="19"/>
        <v>28</v>
      </c>
      <c r="AV978" s="36">
        <f>IFERROR(时间!$B$4+AU978,"上周无销量")</f>
        <v>43360</v>
      </c>
    </row>
    <row r="979" spans="1:48">
      <c r="A979" s="20" t="s">
        <v>2187</v>
      </c>
      <c r="B979" t="s">
        <v>1994</v>
      </c>
      <c r="C979" t="s">
        <v>2185</v>
      </c>
      <c r="D979" s="31">
        <v>30</v>
      </c>
      <c r="E979" s="31">
        <v>17</v>
      </c>
      <c r="F979" s="31">
        <v>28</v>
      </c>
      <c r="G979" s="31">
        <v>15</v>
      </c>
      <c r="H979" s="32">
        <v>22.99</v>
      </c>
      <c r="I979">
        <v>83</v>
      </c>
      <c r="J979" s="33">
        <v>100</v>
      </c>
      <c r="K979" s="33">
        <v>0</v>
      </c>
      <c r="L979" s="33">
        <v>1</v>
      </c>
      <c r="M979">
        <v>184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507</v>
      </c>
      <c r="AK979">
        <v>441</v>
      </c>
      <c r="AL979">
        <v>381</v>
      </c>
      <c r="AM979">
        <v>193</v>
      </c>
      <c r="AN979" s="22">
        <v>0.0591715976331361</v>
      </c>
      <c r="AO979" s="22">
        <v>0.0385487528344671</v>
      </c>
      <c r="AP979" s="22">
        <v>0.073490813648294</v>
      </c>
      <c r="AQ979" s="22">
        <v>0.077720207253886</v>
      </c>
      <c r="AR979" s="35">
        <v>4.28571428571429</v>
      </c>
      <c r="AS979" s="35">
        <v>257.142857142857</v>
      </c>
      <c r="AT979" s="35">
        <v>-73.1428571428571</v>
      </c>
      <c r="AU979" s="31">
        <f t="shared" si="19"/>
        <v>42</v>
      </c>
      <c r="AV979" s="36">
        <f>IFERROR(时间!$B$4+AU979,"上周无销量")</f>
        <v>43374</v>
      </c>
    </row>
    <row r="980" spans="1:48">
      <c r="A980" s="20" t="s">
        <v>2188</v>
      </c>
      <c r="B980" t="s">
        <v>2189</v>
      </c>
      <c r="C980" t="s">
        <v>2190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15</v>
      </c>
      <c r="K980" s="33">
        <v>0</v>
      </c>
      <c r="L980" s="33">
        <v>0</v>
      </c>
      <c r="M980">
        <v>15</v>
      </c>
      <c r="N980">
        <v>0</v>
      </c>
      <c r="O980">
        <v>0</v>
      </c>
      <c r="P980" t="s">
        <v>53</v>
      </c>
      <c r="Q980" t="s">
        <v>53</v>
      </c>
      <c r="R980" t="s">
        <v>53</v>
      </c>
      <c r="S980" t="s">
        <v>53</v>
      </c>
      <c r="T980" t="s">
        <v>53</v>
      </c>
      <c r="U980" t="s">
        <v>53</v>
      </c>
      <c r="V980" t="s">
        <v>53</v>
      </c>
      <c r="W980" t="s">
        <v>53</v>
      </c>
      <c r="X980" s="22" t="s">
        <v>53</v>
      </c>
      <c r="Y980" s="22" t="s">
        <v>53</v>
      </c>
      <c r="Z980" s="22" t="s">
        <v>53</v>
      </c>
      <c r="AA980" s="22" t="s">
        <v>53</v>
      </c>
      <c r="AB980" t="s">
        <v>53</v>
      </c>
      <c r="AC980" t="s">
        <v>53</v>
      </c>
      <c r="AD980" t="s">
        <v>53</v>
      </c>
      <c r="AE980" t="s">
        <v>53</v>
      </c>
      <c r="AF980" s="22" t="s">
        <v>53</v>
      </c>
      <c r="AG980" s="22" t="s">
        <v>53</v>
      </c>
      <c r="AH980" s="22" t="s">
        <v>53</v>
      </c>
      <c r="AI980" s="22" t="s">
        <v>53</v>
      </c>
      <c r="AJ980">
        <v>0</v>
      </c>
      <c r="AK980">
        <v>0</v>
      </c>
      <c r="AL980">
        <v>0</v>
      </c>
      <c r="AM980">
        <v>0</v>
      </c>
      <c r="AN980" s="22" t="s">
        <v>53</v>
      </c>
      <c r="AO980" s="22" t="s">
        <v>53</v>
      </c>
      <c r="AP980" s="22" t="s">
        <v>53</v>
      </c>
      <c r="AQ980" s="22" t="s">
        <v>53</v>
      </c>
      <c r="AR980" s="35">
        <v>0</v>
      </c>
      <c r="AS980" s="35">
        <v>0</v>
      </c>
      <c r="AT980" s="35">
        <v>15</v>
      </c>
      <c r="AU980" s="31" t="str">
        <f t="shared" si="19"/>
        <v>库存为15</v>
      </c>
      <c r="AV980" s="36" t="str">
        <f>IFERROR(时间!$B$4+AU980,"上周无销量")</f>
        <v>上周无销量</v>
      </c>
    </row>
    <row r="981" spans="1:48">
      <c r="A981" s="20" t="s">
        <v>2191</v>
      </c>
      <c r="B981" t="s">
        <v>2192</v>
      </c>
      <c r="C981" t="s">
        <v>2190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0</v>
      </c>
      <c r="J981" s="33">
        <v>15</v>
      </c>
      <c r="K981" s="33">
        <v>0</v>
      </c>
      <c r="L981" s="33">
        <v>0</v>
      </c>
      <c r="M981">
        <v>15</v>
      </c>
      <c r="N981">
        <v>0</v>
      </c>
      <c r="O981">
        <v>0</v>
      </c>
      <c r="P981" t="s">
        <v>53</v>
      </c>
      <c r="Q981" t="s">
        <v>53</v>
      </c>
      <c r="R981" t="s">
        <v>53</v>
      </c>
      <c r="S981" t="s">
        <v>53</v>
      </c>
      <c r="T981" t="s">
        <v>53</v>
      </c>
      <c r="U981" t="s">
        <v>53</v>
      </c>
      <c r="V981" t="s">
        <v>53</v>
      </c>
      <c r="W981" t="s">
        <v>53</v>
      </c>
      <c r="X981" s="22" t="s">
        <v>53</v>
      </c>
      <c r="Y981" s="22" t="s">
        <v>53</v>
      </c>
      <c r="Z981" s="22" t="s">
        <v>53</v>
      </c>
      <c r="AA981" s="22" t="s">
        <v>53</v>
      </c>
      <c r="AB981" t="s">
        <v>53</v>
      </c>
      <c r="AC981" t="s">
        <v>53</v>
      </c>
      <c r="AD981" t="s">
        <v>53</v>
      </c>
      <c r="AE981" t="s">
        <v>53</v>
      </c>
      <c r="AF981" s="22" t="s">
        <v>53</v>
      </c>
      <c r="AG981" s="22" t="s">
        <v>53</v>
      </c>
      <c r="AH981" s="22" t="s">
        <v>53</v>
      </c>
      <c r="AI981" s="22" t="s">
        <v>53</v>
      </c>
      <c r="AJ981">
        <v>0</v>
      </c>
      <c r="AK981">
        <v>0</v>
      </c>
      <c r="AL981">
        <v>0</v>
      </c>
      <c r="AM981">
        <v>0</v>
      </c>
      <c r="AN981" s="22" t="s">
        <v>53</v>
      </c>
      <c r="AO981" s="22" t="s">
        <v>53</v>
      </c>
      <c r="AP981" s="22" t="s">
        <v>53</v>
      </c>
      <c r="AQ981" s="22" t="s">
        <v>53</v>
      </c>
      <c r="AR981" s="35">
        <v>0</v>
      </c>
      <c r="AS981" s="35">
        <v>0</v>
      </c>
      <c r="AT981" s="35">
        <v>15</v>
      </c>
      <c r="AU981" s="31" t="str">
        <f t="shared" si="19"/>
        <v>库存为15</v>
      </c>
      <c r="AV981" s="36" t="str">
        <f>IFERROR(时间!$B$4+AU981,"上周无销量")</f>
        <v>上周无销量</v>
      </c>
    </row>
    <row r="982" spans="1:48">
      <c r="A982" s="20" t="s">
        <v>2193</v>
      </c>
      <c r="B982" t="s">
        <v>2194</v>
      </c>
      <c r="C982" t="s">
        <v>2190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0</v>
      </c>
      <c r="J982" s="33">
        <v>15</v>
      </c>
      <c r="K982" s="33">
        <v>0</v>
      </c>
      <c r="L982" s="33">
        <v>0</v>
      </c>
      <c r="M982">
        <v>15</v>
      </c>
      <c r="N982">
        <v>0</v>
      </c>
      <c r="O982">
        <v>0</v>
      </c>
      <c r="P982" t="s">
        <v>53</v>
      </c>
      <c r="Q982" t="s">
        <v>53</v>
      </c>
      <c r="R982" t="s">
        <v>53</v>
      </c>
      <c r="S982" t="s">
        <v>53</v>
      </c>
      <c r="T982" t="s">
        <v>53</v>
      </c>
      <c r="U982" t="s">
        <v>53</v>
      </c>
      <c r="V982" t="s">
        <v>53</v>
      </c>
      <c r="W982" t="s">
        <v>53</v>
      </c>
      <c r="X982" s="22" t="s">
        <v>53</v>
      </c>
      <c r="Y982" s="22" t="s">
        <v>53</v>
      </c>
      <c r="Z982" s="22" t="s">
        <v>53</v>
      </c>
      <c r="AA982" s="22" t="s">
        <v>53</v>
      </c>
      <c r="AB982" t="s">
        <v>53</v>
      </c>
      <c r="AC982" t="s">
        <v>53</v>
      </c>
      <c r="AD982" t="s">
        <v>53</v>
      </c>
      <c r="AE982" t="s">
        <v>53</v>
      </c>
      <c r="AF982" s="22" t="s">
        <v>53</v>
      </c>
      <c r="AG982" s="22" t="s">
        <v>53</v>
      </c>
      <c r="AH982" s="22" t="s">
        <v>53</v>
      </c>
      <c r="AI982" s="22" t="s">
        <v>53</v>
      </c>
      <c r="AJ982">
        <v>0</v>
      </c>
      <c r="AK982">
        <v>0</v>
      </c>
      <c r="AL982">
        <v>0</v>
      </c>
      <c r="AM982">
        <v>0</v>
      </c>
      <c r="AN982" s="22" t="s">
        <v>53</v>
      </c>
      <c r="AO982" s="22" t="s">
        <v>53</v>
      </c>
      <c r="AP982" s="22" t="s">
        <v>53</v>
      </c>
      <c r="AQ982" s="22" t="s">
        <v>53</v>
      </c>
      <c r="AR982" s="35">
        <v>0</v>
      </c>
      <c r="AS982" s="35">
        <v>0</v>
      </c>
      <c r="AT982" s="35">
        <v>15</v>
      </c>
      <c r="AU982" s="31" t="str">
        <f t="shared" si="19"/>
        <v>库存为15</v>
      </c>
      <c r="AV982" s="36" t="str">
        <f>IFERROR(时间!$B$4+AU982,"上周无销量")</f>
        <v>上周无销量</v>
      </c>
    </row>
    <row r="983" spans="1:48">
      <c r="A983" s="20" t="s">
        <v>2195</v>
      </c>
      <c r="B983" t="s">
        <v>2196</v>
      </c>
      <c r="C983" t="s">
        <v>2190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0</v>
      </c>
      <c r="J983" s="33">
        <v>15</v>
      </c>
      <c r="K983" s="33">
        <v>0</v>
      </c>
      <c r="L983" s="33">
        <v>0</v>
      </c>
      <c r="M983">
        <v>15</v>
      </c>
      <c r="N983">
        <v>0</v>
      </c>
      <c r="O983">
        <v>0</v>
      </c>
      <c r="P983" t="s">
        <v>53</v>
      </c>
      <c r="Q983" t="s">
        <v>53</v>
      </c>
      <c r="R983" t="s">
        <v>53</v>
      </c>
      <c r="S983" t="s">
        <v>53</v>
      </c>
      <c r="T983" t="s">
        <v>53</v>
      </c>
      <c r="U983" t="s">
        <v>53</v>
      </c>
      <c r="V983" t="s">
        <v>53</v>
      </c>
      <c r="W983" t="s">
        <v>53</v>
      </c>
      <c r="X983" s="22" t="s">
        <v>53</v>
      </c>
      <c r="Y983" s="22" t="s">
        <v>53</v>
      </c>
      <c r="Z983" s="22" t="s">
        <v>53</v>
      </c>
      <c r="AA983" s="22" t="s">
        <v>53</v>
      </c>
      <c r="AB983" t="s">
        <v>53</v>
      </c>
      <c r="AC983" t="s">
        <v>53</v>
      </c>
      <c r="AD983" t="s">
        <v>53</v>
      </c>
      <c r="AE983" t="s">
        <v>53</v>
      </c>
      <c r="AF983" s="22" t="s">
        <v>53</v>
      </c>
      <c r="AG983" s="22" t="s">
        <v>53</v>
      </c>
      <c r="AH983" s="22" t="s">
        <v>53</v>
      </c>
      <c r="AI983" s="22" t="s">
        <v>53</v>
      </c>
      <c r="AJ983">
        <v>0</v>
      </c>
      <c r="AK983">
        <v>0</v>
      </c>
      <c r="AL983">
        <v>0</v>
      </c>
      <c r="AM983">
        <v>0</v>
      </c>
      <c r="AN983" s="22" t="s">
        <v>53</v>
      </c>
      <c r="AO983" s="22" t="s">
        <v>53</v>
      </c>
      <c r="AP983" s="22" t="s">
        <v>53</v>
      </c>
      <c r="AQ983" s="22" t="s">
        <v>53</v>
      </c>
      <c r="AR983" s="35">
        <v>0</v>
      </c>
      <c r="AS983" s="35">
        <v>0</v>
      </c>
      <c r="AT983" s="35">
        <v>15</v>
      </c>
      <c r="AU983" s="31" t="str">
        <f t="shared" si="19"/>
        <v>库存为15</v>
      </c>
      <c r="AV983" s="36" t="str">
        <f>IFERROR(时间!$B$4+AU983,"上周无销量")</f>
        <v>上周无销量</v>
      </c>
    </row>
    <row r="984" spans="1:48">
      <c r="A984" s="20" t="s">
        <v>2197</v>
      </c>
      <c r="B984" t="s">
        <v>2198</v>
      </c>
      <c r="C984" t="s">
        <v>2199</v>
      </c>
      <c r="D984" s="31">
        <v>0</v>
      </c>
      <c r="E984" s="31">
        <v>2</v>
      </c>
      <c r="F984" s="31">
        <v>0</v>
      </c>
      <c r="G984" s="31">
        <v>5</v>
      </c>
      <c r="H984" s="32">
        <v>12.99</v>
      </c>
      <c r="I984">
        <v>30</v>
      </c>
      <c r="J984" s="33">
        <v>0</v>
      </c>
      <c r="K984" s="33">
        <v>0</v>
      </c>
      <c r="L984" s="33">
        <v>2</v>
      </c>
      <c r="M984">
        <v>32</v>
      </c>
      <c r="N984">
        <v>1</v>
      </c>
      <c r="O984">
        <v>0</v>
      </c>
      <c r="P984" t="s">
        <v>53</v>
      </c>
      <c r="Q984" t="s">
        <v>53</v>
      </c>
      <c r="R984" t="s">
        <v>53</v>
      </c>
      <c r="S984" t="s">
        <v>53</v>
      </c>
      <c r="T984" t="s">
        <v>53</v>
      </c>
      <c r="U984" t="s">
        <v>53</v>
      </c>
      <c r="V984" t="s">
        <v>53</v>
      </c>
      <c r="W984" t="s">
        <v>53</v>
      </c>
      <c r="X984" s="22" t="s">
        <v>53</v>
      </c>
      <c r="Y984" s="22" t="s">
        <v>53</v>
      </c>
      <c r="Z984" s="22" t="s">
        <v>53</v>
      </c>
      <c r="AA984" s="22" t="s">
        <v>53</v>
      </c>
      <c r="AB984" t="s">
        <v>53</v>
      </c>
      <c r="AC984" t="s">
        <v>53</v>
      </c>
      <c r="AD984" t="s">
        <v>53</v>
      </c>
      <c r="AE984" t="s">
        <v>53</v>
      </c>
      <c r="AF984" s="22" t="s">
        <v>53</v>
      </c>
      <c r="AG984" s="22" t="s">
        <v>53</v>
      </c>
      <c r="AH984" s="22" t="s">
        <v>53</v>
      </c>
      <c r="AI984" s="22" t="s">
        <v>53</v>
      </c>
      <c r="AJ984">
        <v>21</v>
      </c>
      <c r="AK984">
        <v>24</v>
      </c>
      <c r="AL984">
        <v>6</v>
      </c>
      <c r="AM984">
        <v>13</v>
      </c>
      <c r="AN984" s="22">
        <v>0</v>
      </c>
      <c r="AO984" s="22">
        <v>0.0833333333333333</v>
      </c>
      <c r="AP984" s="22">
        <v>0</v>
      </c>
      <c r="AQ984" s="22">
        <v>0.384615384615385</v>
      </c>
      <c r="AR984" s="35">
        <v>0</v>
      </c>
      <c r="AS984" s="35">
        <v>0</v>
      </c>
      <c r="AT984" s="35">
        <v>32</v>
      </c>
      <c r="AU984" s="31" t="str">
        <f t="shared" si="19"/>
        <v>库存为32</v>
      </c>
      <c r="AV984" s="36" t="str">
        <f>IFERROR(时间!$B$4+AU984,"上周无销量")</f>
        <v>上周无销量</v>
      </c>
    </row>
    <row r="985" spans="1:48">
      <c r="A985" s="20" t="s">
        <v>2200</v>
      </c>
      <c r="B985" t="s">
        <v>2201</v>
      </c>
      <c r="C985" t="s">
        <v>2199</v>
      </c>
      <c r="D985" s="31">
        <v>4</v>
      </c>
      <c r="E985" s="31">
        <v>3</v>
      </c>
      <c r="F985" s="31">
        <v>3</v>
      </c>
      <c r="G985" s="31">
        <v>0</v>
      </c>
      <c r="H985" s="32">
        <v>12.99</v>
      </c>
      <c r="I985">
        <v>25</v>
      </c>
      <c r="J985" s="33">
        <v>0</v>
      </c>
      <c r="K985" s="33">
        <v>0</v>
      </c>
      <c r="L985" s="33">
        <v>0</v>
      </c>
      <c r="M985">
        <v>25</v>
      </c>
      <c r="N985">
        <v>1</v>
      </c>
      <c r="O985">
        <v>0</v>
      </c>
      <c r="P985" t="s">
        <v>53</v>
      </c>
      <c r="Q985" t="s">
        <v>53</v>
      </c>
      <c r="R985" t="s">
        <v>53</v>
      </c>
      <c r="S985" t="s">
        <v>53</v>
      </c>
      <c r="T985" t="s">
        <v>53</v>
      </c>
      <c r="U985" t="s">
        <v>53</v>
      </c>
      <c r="V985" t="s">
        <v>53</v>
      </c>
      <c r="W985" t="s">
        <v>53</v>
      </c>
      <c r="X985" s="22" t="s">
        <v>53</v>
      </c>
      <c r="Y985" s="22" t="s">
        <v>53</v>
      </c>
      <c r="Z985" s="22" t="s">
        <v>53</v>
      </c>
      <c r="AA985" s="22" t="s">
        <v>53</v>
      </c>
      <c r="AB985" t="s">
        <v>53</v>
      </c>
      <c r="AC985" t="s">
        <v>53</v>
      </c>
      <c r="AD985" t="s">
        <v>53</v>
      </c>
      <c r="AE985" t="s">
        <v>53</v>
      </c>
      <c r="AF985" s="22" t="s">
        <v>53</v>
      </c>
      <c r="AG985" s="22" t="s">
        <v>53</v>
      </c>
      <c r="AH985" s="22" t="s">
        <v>53</v>
      </c>
      <c r="AI985" s="22" t="s">
        <v>53</v>
      </c>
      <c r="AJ985">
        <v>33</v>
      </c>
      <c r="AK985">
        <v>23</v>
      </c>
      <c r="AL985">
        <v>16</v>
      </c>
      <c r="AM985">
        <v>13</v>
      </c>
      <c r="AN985" s="22">
        <v>0.121212121212121</v>
      </c>
      <c r="AO985" s="22">
        <v>0.130434782608696</v>
      </c>
      <c r="AP985" s="22">
        <v>0.1875</v>
      </c>
      <c r="AQ985" s="22">
        <v>0</v>
      </c>
      <c r="AR985" s="35">
        <v>0.571428571428571</v>
      </c>
      <c r="AS985" s="35">
        <v>34.2857142857143</v>
      </c>
      <c r="AT985" s="35">
        <v>-9.28571428571428</v>
      </c>
      <c r="AU985" s="31">
        <f t="shared" si="19"/>
        <v>43</v>
      </c>
      <c r="AV985" s="36">
        <f>IFERROR(时间!$B$4+AU985,"上周无销量")</f>
        <v>43375</v>
      </c>
    </row>
    <row r="986" spans="1:48">
      <c r="A986" s="20" t="s">
        <v>2202</v>
      </c>
      <c r="B986" t="s">
        <v>2203</v>
      </c>
      <c r="C986" t="s">
        <v>2199</v>
      </c>
      <c r="D986" s="31">
        <v>2</v>
      </c>
      <c r="E986" s="31">
        <v>1</v>
      </c>
      <c r="F986" s="31">
        <v>5</v>
      </c>
      <c r="G986" s="31">
        <v>1</v>
      </c>
      <c r="H986" s="32">
        <v>12.99</v>
      </c>
      <c r="I986">
        <v>29</v>
      </c>
      <c r="J986" s="33">
        <v>0</v>
      </c>
      <c r="K986" s="33">
        <v>0</v>
      </c>
      <c r="L986" s="33">
        <v>0</v>
      </c>
      <c r="M986">
        <v>29</v>
      </c>
      <c r="N986">
        <v>0</v>
      </c>
      <c r="O986">
        <v>0</v>
      </c>
      <c r="P986">
        <v>3495</v>
      </c>
      <c r="Q986">
        <v>0</v>
      </c>
      <c r="R986">
        <v>0</v>
      </c>
      <c r="S986">
        <v>0</v>
      </c>
      <c r="T986">
        <v>15</v>
      </c>
      <c r="U986">
        <v>0</v>
      </c>
      <c r="V986">
        <v>0</v>
      </c>
      <c r="W986">
        <v>0</v>
      </c>
      <c r="X986" s="22">
        <v>0.00429184549356223</v>
      </c>
      <c r="Y986" s="22" t="s">
        <v>53</v>
      </c>
      <c r="Z986" s="22" t="s">
        <v>53</v>
      </c>
      <c r="AA986" s="22" t="s">
        <v>53</v>
      </c>
      <c r="AB986">
        <v>5.09</v>
      </c>
      <c r="AC986">
        <v>0</v>
      </c>
      <c r="AD986">
        <v>0</v>
      </c>
      <c r="AE986">
        <v>0</v>
      </c>
      <c r="AF986" s="22">
        <v>0.195919938414165</v>
      </c>
      <c r="AG986" s="22" t="s">
        <v>53</v>
      </c>
      <c r="AH986" s="22" t="s">
        <v>53</v>
      </c>
      <c r="AI986" s="22" t="s">
        <v>53</v>
      </c>
      <c r="AJ986">
        <v>40</v>
      </c>
      <c r="AK986">
        <v>19</v>
      </c>
      <c r="AL986">
        <v>11</v>
      </c>
      <c r="AM986">
        <v>10</v>
      </c>
      <c r="AN986" s="22">
        <v>0.05</v>
      </c>
      <c r="AO986" s="22">
        <v>0.0526315789473684</v>
      </c>
      <c r="AP986" s="22">
        <v>0.454545454545455</v>
      </c>
      <c r="AQ986" s="22">
        <v>0.1</v>
      </c>
      <c r="AR986" s="35">
        <v>0.285714285714286</v>
      </c>
      <c r="AS986" s="35">
        <v>17.1428571428571</v>
      </c>
      <c r="AT986" s="35">
        <v>11.8571428571429</v>
      </c>
      <c r="AU986" s="31">
        <f t="shared" si="19"/>
        <v>101</v>
      </c>
      <c r="AV986" s="36">
        <f>IFERROR(时间!$B$4+AU986,"上周无销量")</f>
        <v>43433</v>
      </c>
    </row>
    <row r="987" spans="1:48">
      <c r="A987" s="20" t="s">
        <v>2204</v>
      </c>
      <c r="B987" t="s">
        <v>2205</v>
      </c>
      <c r="C987" t="s">
        <v>2199</v>
      </c>
      <c r="D987" s="31">
        <v>0</v>
      </c>
      <c r="E987" s="31">
        <v>1</v>
      </c>
      <c r="F987" s="31">
        <v>0</v>
      </c>
      <c r="G987" s="31">
        <v>1</v>
      </c>
      <c r="H987" s="32">
        <v>12.99</v>
      </c>
      <c r="I987">
        <v>66</v>
      </c>
      <c r="J987" s="33">
        <v>0</v>
      </c>
      <c r="K987" s="33">
        <v>0</v>
      </c>
      <c r="L987" s="33">
        <v>0</v>
      </c>
      <c r="M987">
        <v>66</v>
      </c>
      <c r="N987">
        <v>0</v>
      </c>
      <c r="O987">
        <v>0</v>
      </c>
      <c r="P987" t="s">
        <v>53</v>
      </c>
      <c r="Q987" t="s">
        <v>53</v>
      </c>
      <c r="R987" t="s">
        <v>53</v>
      </c>
      <c r="S987" t="s">
        <v>53</v>
      </c>
      <c r="T987" t="s">
        <v>53</v>
      </c>
      <c r="U987" t="s">
        <v>53</v>
      </c>
      <c r="V987" t="s">
        <v>53</v>
      </c>
      <c r="W987" t="s">
        <v>53</v>
      </c>
      <c r="X987" s="22" t="s">
        <v>53</v>
      </c>
      <c r="Y987" s="22" t="s">
        <v>53</v>
      </c>
      <c r="Z987" s="22" t="s">
        <v>53</v>
      </c>
      <c r="AA987" s="22" t="s">
        <v>53</v>
      </c>
      <c r="AB987" t="s">
        <v>53</v>
      </c>
      <c r="AC987" t="s">
        <v>53</v>
      </c>
      <c r="AD987" t="s">
        <v>53</v>
      </c>
      <c r="AE987" t="s">
        <v>53</v>
      </c>
      <c r="AF987" s="22" t="s">
        <v>53</v>
      </c>
      <c r="AG987" s="22" t="s">
        <v>53</v>
      </c>
      <c r="AH987" s="22" t="s">
        <v>53</v>
      </c>
      <c r="AI987" s="22" t="s">
        <v>53</v>
      </c>
      <c r="AJ987">
        <v>22</v>
      </c>
      <c r="AK987">
        <v>25</v>
      </c>
      <c r="AL987">
        <v>9</v>
      </c>
      <c r="AM987">
        <v>10</v>
      </c>
      <c r="AN987" s="22">
        <v>0</v>
      </c>
      <c r="AO987" s="22">
        <v>0.04</v>
      </c>
      <c r="AP987" s="22">
        <v>0</v>
      </c>
      <c r="AQ987" s="22">
        <v>0.1</v>
      </c>
      <c r="AR987" s="35">
        <v>0</v>
      </c>
      <c r="AS987" s="35">
        <v>0</v>
      </c>
      <c r="AT987" s="35">
        <v>66</v>
      </c>
      <c r="AU987" s="31" t="str">
        <f t="shared" si="19"/>
        <v>库存为66</v>
      </c>
      <c r="AV987" s="36" t="str">
        <f>IFERROR(时间!$B$4+AU987,"上周无销量")</f>
        <v>上周无销量</v>
      </c>
    </row>
    <row r="988" spans="1:48">
      <c r="A988" s="20" t="s">
        <v>2206</v>
      </c>
      <c r="B988" t="s">
        <v>2207</v>
      </c>
      <c r="C988" t="s">
        <v>2199</v>
      </c>
      <c r="D988" s="31">
        <v>1</v>
      </c>
      <c r="E988" s="31">
        <v>3</v>
      </c>
      <c r="F988" s="31">
        <v>1</v>
      </c>
      <c r="G988" s="31">
        <v>4</v>
      </c>
      <c r="H988" s="32">
        <v>12.99</v>
      </c>
      <c r="I988">
        <v>18</v>
      </c>
      <c r="J988" s="33">
        <v>0</v>
      </c>
      <c r="K988" s="33">
        <v>0</v>
      </c>
      <c r="L988" s="33">
        <v>0</v>
      </c>
      <c r="M988">
        <v>18</v>
      </c>
      <c r="N988">
        <v>0</v>
      </c>
      <c r="O988">
        <v>0</v>
      </c>
      <c r="P988" t="s">
        <v>53</v>
      </c>
      <c r="Q988" t="s">
        <v>53</v>
      </c>
      <c r="R988" t="s">
        <v>53</v>
      </c>
      <c r="S988" t="s">
        <v>53</v>
      </c>
      <c r="T988" t="s">
        <v>53</v>
      </c>
      <c r="U988" t="s">
        <v>53</v>
      </c>
      <c r="V988" t="s">
        <v>53</v>
      </c>
      <c r="W988" t="s">
        <v>53</v>
      </c>
      <c r="X988" s="22" t="s">
        <v>53</v>
      </c>
      <c r="Y988" s="22" t="s">
        <v>53</v>
      </c>
      <c r="Z988" s="22" t="s">
        <v>53</v>
      </c>
      <c r="AA988" s="22" t="s">
        <v>53</v>
      </c>
      <c r="AB988" t="s">
        <v>53</v>
      </c>
      <c r="AC988" t="s">
        <v>53</v>
      </c>
      <c r="AD988" t="s">
        <v>53</v>
      </c>
      <c r="AE988" t="s">
        <v>53</v>
      </c>
      <c r="AF988" s="22" t="s">
        <v>53</v>
      </c>
      <c r="AG988" s="22" t="s">
        <v>53</v>
      </c>
      <c r="AH988" s="22" t="s">
        <v>53</v>
      </c>
      <c r="AI988" s="22" t="s">
        <v>53</v>
      </c>
      <c r="AJ988">
        <v>36</v>
      </c>
      <c r="AK988">
        <v>16</v>
      </c>
      <c r="AL988">
        <v>17</v>
      </c>
      <c r="AM988">
        <v>11</v>
      </c>
      <c r="AN988" s="22">
        <v>0.0277777777777778</v>
      </c>
      <c r="AO988" s="22">
        <v>0.1875</v>
      </c>
      <c r="AP988" s="22">
        <v>0.0588235294117647</v>
      </c>
      <c r="AQ988" s="22">
        <v>0.363636363636364</v>
      </c>
      <c r="AR988" s="35">
        <v>0.142857142857143</v>
      </c>
      <c r="AS988" s="35">
        <v>8.57142857142857</v>
      </c>
      <c r="AT988" s="35">
        <v>9.42857142857143</v>
      </c>
      <c r="AU988" s="31">
        <f t="shared" si="19"/>
        <v>126</v>
      </c>
      <c r="AV988" s="36">
        <f>IFERROR(时间!$B$4+AU988,"上周无销量")</f>
        <v>43458</v>
      </c>
    </row>
    <row r="989" spans="1:48">
      <c r="A989" s="20" t="s">
        <v>2208</v>
      </c>
      <c r="B989" t="s">
        <v>2209</v>
      </c>
      <c r="C989" t="s">
        <v>2199</v>
      </c>
      <c r="D989" s="31">
        <v>2</v>
      </c>
      <c r="E989" s="31">
        <v>3</v>
      </c>
      <c r="F989" s="31">
        <v>2</v>
      </c>
      <c r="G989" s="31">
        <v>2</v>
      </c>
      <c r="H989" s="32">
        <v>12.99</v>
      </c>
      <c r="I989">
        <v>21</v>
      </c>
      <c r="J989" s="33">
        <v>0</v>
      </c>
      <c r="K989" s="33">
        <v>0</v>
      </c>
      <c r="L989" s="33">
        <v>0</v>
      </c>
      <c r="M989">
        <v>21</v>
      </c>
      <c r="N989">
        <v>1</v>
      </c>
      <c r="O989">
        <v>0</v>
      </c>
      <c r="P989">
        <v>15324</v>
      </c>
      <c r="Q989">
        <v>35200</v>
      </c>
      <c r="R989">
        <v>24104</v>
      </c>
      <c r="S989">
        <v>2203</v>
      </c>
      <c r="T989">
        <v>51</v>
      </c>
      <c r="U989">
        <v>128</v>
      </c>
      <c r="V989">
        <v>70</v>
      </c>
      <c r="W989">
        <v>8</v>
      </c>
      <c r="X989" s="22">
        <v>0.00332811276429131</v>
      </c>
      <c r="Y989" s="22">
        <v>0.00363636363636364</v>
      </c>
      <c r="Z989" s="22">
        <v>0.00290408230999004</v>
      </c>
      <c r="AA989" s="22">
        <v>0.00363141171130277</v>
      </c>
      <c r="AB989">
        <v>28.95</v>
      </c>
      <c r="AC989">
        <v>63.85</v>
      </c>
      <c r="AD989">
        <v>32.27</v>
      </c>
      <c r="AE989">
        <v>3.25</v>
      </c>
      <c r="AF989" s="22">
        <v>1.11431870669746</v>
      </c>
      <c r="AG989" s="22">
        <v>1.6384398255068</v>
      </c>
      <c r="AH989" s="22">
        <v>1.24210931485758</v>
      </c>
      <c r="AI989" s="22">
        <v>0.12509622786759</v>
      </c>
      <c r="AJ989">
        <v>71</v>
      </c>
      <c r="AK989">
        <v>84</v>
      </c>
      <c r="AL989">
        <v>26</v>
      </c>
      <c r="AM989">
        <v>14</v>
      </c>
      <c r="AN989" s="22">
        <v>0.028169014084507</v>
      </c>
      <c r="AO989" s="22">
        <v>0.0357142857142857</v>
      </c>
      <c r="AP989" s="22">
        <v>0.0769230769230769</v>
      </c>
      <c r="AQ989" s="22">
        <v>0.142857142857143</v>
      </c>
      <c r="AR989" s="35">
        <v>0.285714285714286</v>
      </c>
      <c r="AS989" s="35">
        <v>17.1428571428571</v>
      </c>
      <c r="AT989" s="35">
        <v>3.85714285714286</v>
      </c>
      <c r="AU989" s="31">
        <f t="shared" si="19"/>
        <v>73</v>
      </c>
      <c r="AV989" s="36">
        <f>IFERROR(时间!$B$4+AU989,"上周无销量")</f>
        <v>43405</v>
      </c>
    </row>
    <row r="990" spans="1:48">
      <c r="A990" s="20" t="s">
        <v>2210</v>
      </c>
      <c r="B990" t="s">
        <v>2211</v>
      </c>
      <c r="C990" t="s">
        <v>2212</v>
      </c>
      <c r="D990" s="31">
        <v>8</v>
      </c>
      <c r="E990" s="31">
        <v>8</v>
      </c>
      <c r="F990" s="31">
        <v>16</v>
      </c>
      <c r="G990" s="31">
        <v>11</v>
      </c>
      <c r="H990" s="32">
        <v>22.9</v>
      </c>
      <c r="I990">
        <v>47</v>
      </c>
      <c r="J990" s="33">
        <v>25</v>
      </c>
      <c r="K990" s="33">
        <v>0</v>
      </c>
      <c r="L990" s="33">
        <v>26</v>
      </c>
      <c r="M990">
        <v>98</v>
      </c>
      <c r="N990">
        <v>0</v>
      </c>
      <c r="O990">
        <v>0</v>
      </c>
      <c r="P990" t="s">
        <v>53</v>
      </c>
      <c r="Q990" t="s">
        <v>53</v>
      </c>
      <c r="R990" t="s">
        <v>53</v>
      </c>
      <c r="S990" t="s">
        <v>53</v>
      </c>
      <c r="T990" t="s">
        <v>53</v>
      </c>
      <c r="U990" t="s">
        <v>53</v>
      </c>
      <c r="V990" t="s">
        <v>53</v>
      </c>
      <c r="W990" t="s">
        <v>53</v>
      </c>
      <c r="X990" s="22" t="s">
        <v>53</v>
      </c>
      <c r="Y990" s="22" t="s">
        <v>53</v>
      </c>
      <c r="Z990" s="22" t="s">
        <v>53</v>
      </c>
      <c r="AA990" s="22" t="s">
        <v>53</v>
      </c>
      <c r="AB990" t="s">
        <v>53</v>
      </c>
      <c r="AC990" t="s">
        <v>53</v>
      </c>
      <c r="AD990" t="s">
        <v>53</v>
      </c>
      <c r="AE990" t="s">
        <v>53</v>
      </c>
      <c r="AF990" s="22" t="s">
        <v>53</v>
      </c>
      <c r="AG990" s="22" t="s">
        <v>53</v>
      </c>
      <c r="AH990" s="22" t="s">
        <v>53</v>
      </c>
      <c r="AI990" s="22" t="s">
        <v>53</v>
      </c>
      <c r="AJ990">
        <v>204</v>
      </c>
      <c r="AK990">
        <v>102</v>
      </c>
      <c r="AL990">
        <v>179</v>
      </c>
      <c r="AM990">
        <v>175</v>
      </c>
      <c r="AN990" s="22">
        <v>0.0392156862745098</v>
      </c>
      <c r="AO990" s="22">
        <v>0.0784313725490196</v>
      </c>
      <c r="AP990" s="22">
        <v>0.0893854748603352</v>
      </c>
      <c r="AQ990" s="22">
        <v>0.0628571428571429</v>
      </c>
      <c r="AR990" s="35">
        <v>1.14285714285714</v>
      </c>
      <c r="AS990" s="35">
        <v>68.5714285714286</v>
      </c>
      <c r="AT990" s="35">
        <v>29.4285714285714</v>
      </c>
      <c r="AU990" s="31">
        <f t="shared" si="19"/>
        <v>85</v>
      </c>
      <c r="AV990" s="36">
        <f>IFERROR(时间!$B$4+AU990,"上周无销量")</f>
        <v>43417</v>
      </c>
    </row>
    <row r="991" spans="1:48">
      <c r="A991" s="20" t="s">
        <v>2213</v>
      </c>
      <c r="B991" t="s">
        <v>2214</v>
      </c>
      <c r="C991" t="s">
        <v>2212</v>
      </c>
      <c r="D991" s="31">
        <v>20</v>
      </c>
      <c r="E991" s="31">
        <v>16</v>
      </c>
      <c r="F991" s="31">
        <v>9</v>
      </c>
      <c r="G991" s="31">
        <v>13</v>
      </c>
      <c r="H991" s="32">
        <v>22.9</v>
      </c>
      <c r="I991">
        <v>95</v>
      </c>
      <c r="J991" s="33">
        <v>0</v>
      </c>
      <c r="K991" s="33">
        <v>0</v>
      </c>
      <c r="L991" s="33">
        <v>2</v>
      </c>
      <c r="M991">
        <v>97</v>
      </c>
      <c r="N991">
        <v>1</v>
      </c>
      <c r="O991">
        <v>0</v>
      </c>
      <c r="P991">
        <v>3443</v>
      </c>
      <c r="Q991">
        <v>2160</v>
      </c>
      <c r="R991">
        <v>2388</v>
      </c>
      <c r="S991">
        <v>15360</v>
      </c>
      <c r="T991">
        <v>13</v>
      </c>
      <c r="U991">
        <v>14</v>
      </c>
      <c r="V991">
        <v>6</v>
      </c>
      <c r="W991">
        <v>19</v>
      </c>
      <c r="X991" s="22">
        <v>0.00377577693871624</v>
      </c>
      <c r="Y991" s="22">
        <v>0.00648148148148148</v>
      </c>
      <c r="Z991" s="22">
        <v>0.00251256281407035</v>
      </c>
      <c r="AA991" s="22">
        <v>0.00123697916666667</v>
      </c>
      <c r="AB991">
        <v>3.65</v>
      </c>
      <c r="AC991">
        <v>3.43</v>
      </c>
      <c r="AD991">
        <v>1.25</v>
      </c>
      <c r="AE991">
        <v>8.45</v>
      </c>
      <c r="AF991" s="22">
        <v>0.00796943231441048</v>
      </c>
      <c r="AG991" s="22">
        <v>0.00936135371179039</v>
      </c>
      <c r="AH991" s="22">
        <v>0.00606501698204755</v>
      </c>
      <c r="AI991" s="22">
        <v>0.0283842794759825</v>
      </c>
      <c r="AJ991">
        <v>479</v>
      </c>
      <c r="AK991">
        <v>376</v>
      </c>
      <c r="AL991">
        <v>221</v>
      </c>
      <c r="AM991">
        <v>215</v>
      </c>
      <c r="AN991" s="22">
        <v>0.0417536534446764</v>
      </c>
      <c r="AO991" s="22">
        <v>0.0425531914893617</v>
      </c>
      <c r="AP991" s="22">
        <v>0.0407239819004525</v>
      </c>
      <c r="AQ991" s="22">
        <v>0.0604651162790698</v>
      </c>
      <c r="AR991" s="35">
        <v>2.85714285714286</v>
      </c>
      <c r="AS991" s="35">
        <v>171.428571428571</v>
      </c>
      <c r="AT991" s="35">
        <v>-74.4285714285714</v>
      </c>
      <c r="AU991" s="31">
        <f t="shared" si="19"/>
        <v>33</v>
      </c>
      <c r="AV991" s="36">
        <f>IFERROR(时间!$B$4+AU991,"上周无销量")</f>
        <v>43365</v>
      </c>
    </row>
    <row r="992" spans="1:48">
      <c r="A992" s="20" t="s">
        <v>2215</v>
      </c>
      <c r="B992" t="s">
        <v>2216</v>
      </c>
      <c r="C992" t="s">
        <v>2212</v>
      </c>
      <c r="D992" s="31">
        <v>20</v>
      </c>
      <c r="E992" s="31">
        <v>8</v>
      </c>
      <c r="F992" s="31">
        <v>16</v>
      </c>
      <c r="G992" s="31">
        <v>18</v>
      </c>
      <c r="H992" s="32">
        <v>22.9</v>
      </c>
      <c r="I992">
        <v>31</v>
      </c>
      <c r="J992" s="33">
        <v>70</v>
      </c>
      <c r="K992" s="33">
        <v>0</v>
      </c>
      <c r="L992" s="33">
        <v>31</v>
      </c>
      <c r="M992">
        <v>132</v>
      </c>
      <c r="N992">
        <v>1</v>
      </c>
      <c r="O992">
        <v>0</v>
      </c>
      <c r="P992">
        <v>111978</v>
      </c>
      <c r="Q992">
        <v>77848</v>
      </c>
      <c r="R992">
        <v>65070</v>
      </c>
      <c r="S992">
        <v>37538</v>
      </c>
      <c r="T992">
        <v>216</v>
      </c>
      <c r="U992">
        <v>117</v>
      </c>
      <c r="V992">
        <v>140</v>
      </c>
      <c r="W992">
        <v>148</v>
      </c>
      <c r="X992" s="22">
        <v>0.00192895032952901</v>
      </c>
      <c r="Y992" s="22">
        <v>0.00150292878429761</v>
      </c>
      <c r="Z992" s="22">
        <v>0.00215152912248348</v>
      </c>
      <c r="AA992" s="22">
        <v>0.00394267142628803</v>
      </c>
      <c r="AB992">
        <v>104.77</v>
      </c>
      <c r="AC992">
        <v>57.87</v>
      </c>
      <c r="AD992">
        <v>72.51</v>
      </c>
      <c r="AE992">
        <v>78.32</v>
      </c>
      <c r="AF992" s="22">
        <v>0.228755458515284</v>
      </c>
      <c r="AG992" s="22">
        <v>0.315884279475983</v>
      </c>
      <c r="AH992" s="22">
        <v>0.197898471615721</v>
      </c>
      <c r="AI992" s="22">
        <v>0.190004852013586</v>
      </c>
      <c r="AJ992">
        <v>608</v>
      </c>
      <c r="AK992">
        <v>304</v>
      </c>
      <c r="AL992">
        <v>265</v>
      </c>
      <c r="AM992">
        <v>300</v>
      </c>
      <c r="AN992" s="22">
        <v>0.0328947368421053</v>
      </c>
      <c r="AO992" s="22">
        <v>0.0263157894736842</v>
      </c>
      <c r="AP992" s="22">
        <v>0.060377358490566</v>
      </c>
      <c r="AQ992" s="22">
        <v>0.06</v>
      </c>
      <c r="AR992" s="35">
        <v>2.85714285714286</v>
      </c>
      <c r="AS992" s="35">
        <v>171.428571428571</v>
      </c>
      <c r="AT992" s="35">
        <v>-39.4285714285714</v>
      </c>
      <c r="AU992" s="31">
        <f t="shared" si="19"/>
        <v>46</v>
      </c>
      <c r="AV992" s="36">
        <f>IFERROR(时间!$B$4+AU992,"上周无销量")</f>
        <v>43378</v>
      </c>
    </row>
    <row r="993" spans="1:48">
      <c r="A993" s="20" t="s">
        <v>2217</v>
      </c>
      <c r="B993" t="s">
        <v>2218</v>
      </c>
      <c r="C993" t="s">
        <v>2212</v>
      </c>
      <c r="D993" s="31">
        <v>43</v>
      </c>
      <c r="E993" s="31">
        <v>32</v>
      </c>
      <c r="F993" s="31">
        <v>51</v>
      </c>
      <c r="G993" s="31">
        <v>24</v>
      </c>
      <c r="H993" s="32">
        <v>22.9000000000001</v>
      </c>
      <c r="I993">
        <v>40</v>
      </c>
      <c r="J993" s="33">
        <v>43</v>
      </c>
      <c r="K993" s="33">
        <v>0</v>
      </c>
      <c r="L993" s="33">
        <v>4</v>
      </c>
      <c r="M993">
        <v>87</v>
      </c>
      <c r="N993">
        <v>1</v>
      </c>
      <c r="O993">
        <v>0</v>
      </c>
      <c r="P993">
        <v>0</v>
      </c>
      <c r="Q993">
        <v>0</v>
      </c>
      <c r="R993">
        <v>0</v>
      </c>
      <c r="S993">
        <v>23</v>
      </c>
      <c r="T993">
        <v>0</v>
      </c>
      <c r="U993">
        <v>0</v>
      </c>
      <c r="V993">
        <v>0</v>
      </c>
      <c r="W993">
        <v>0</v>
      </c>
      <c r="X993" s="22" t="s">
        <v>53</v>
      </c>
      <c r="Y993" s="22" t="s">
        <v>53</v>
      </c>
      <c r="Z993" s="22" t="s">
        <v>53</v>
      </c>
      <c r="AA993" s="22">
        <v>0</v>
      </c>
      <c r="AB993">
        <v>0</v>
      </c>
      <c r="AC993">
        <v>0</v>
      </c>
      <c r="AD993">
        <v>0</v>
      </c>
      <c r="AE993">
        <v>0</v>
      </c>
      <c r="AF993" s="22" t="s">
        <v>53</v>
      </c>
      <c r="AG993" s="22" t="s">
        <v>53</v>
      </c>
      <c r="AH993" s="22" t="s">
        <v>53</v>
      </c>
      <c r="AI993" s="22" t="s">
        <v>53</v>
      </c>
      <c r="AJ993">
        <v>879</v>
      </c>
      <c r="AK993">
        <v>688</v>
      </c>
      <c r="AL993">
        <v>522</v>
      </c>
      <c r="AM993">
        <v>384</v>
      </c>
      <c r="AN993" s="22">
        <v>0.0489192263936291</v>
      </c>
      <c r="AO993" s="22">
        <v>0.0465116279069767</v>
      </c>
      <c r="AP993" s="22">
        <v>0.0977011494252874</v>
      </c>
      <c r="AQ993" s="22">
        <v>0.0625</v>
      </c>
      <c r="AR993" s="35">
        <v>6.14285714285714</v>
      </c>
      <c r="AS993" s="35">
        <v>368.571428571429</v>
      </c>
      <c r="AT993" s="35">
        <v>-281.571428571429</v>
      </c>
      <c r="AU993" s="31">
        <f t="shared" si="19"/>
        <v>14</v>
      </c>
      <c r="AV993" s="36">
        <f>IFERROR(时间!$B$4+AU993,"上周无销量")</f>
        <v>43346</v>
      </c>
    </row>
    <row r="994" spans="1:48">
      <c r="A994" s="20" t="s">
        <v>2219</v>
      </c>
      <c r="B994" t="s">
        <v>2220</v>
      </c>
      <c r="C994" t="s">
        <v>2212</v>
      </c>
      <c r="D994" s="31">
        <v>6</v>
      </c>
      <c r="E994" s="31">
        <v>5</v>
      </c>
      <c r="F994" s="31">
        <v>10</v>
      </c>
      <c r="G994" s="31">
        <v>15</v>
      </c>
      <c r="H994" s="32">
        <v>22.9</v>
      </c>
      <c r="I994">
        <v>141</v>
      </c>
      <c r="J994" s="33">
        <v>0</v>
      </c>
      <c r="K994" s="33">
        <v>0</v>
      </c>
      <c r="L994" s="33">
        <v>1</v>
      </c>
      <c r="M994">
        <v>142</v>
      </c>
      <c r="N994">
        <v>1</v>
      </c>
      <c r="O994">
        <v>0</v>
      </c>
      <c r="P994" t="s">
        <v>53</v>
      </c>
      <c r="Q994" t="s">
        <v>53</v>
      </c>
      <c r="R994" t="s">
        <v>53</v>
      </c>
      <c r="S994" t="s">
        <v>53</v>
      </c>
      <c r="T994" t="s">
        <v>53</v>
      </c>
      <c r="U994" t="s">
        <v>53</v>
      </c>
      <c r="V994" t="s">
        <v>53</v>
      </c>
      <c r="W994" t="s">
        <v>53</v>
      </c>
      <c r="X994" s="22" t="s">
        <v>53</v>
      </c>
      <c r="Y994" s="22" t="s">
        <v>53</v>
      </c>
      <c r="Z994" s="22" t="s">
        <v>53</v>
      </c>
      <c r="AA994" s="22" t="s">
        <v>53</v>
      </c>
      <c r="AB994" t="s">
        <v>53</v>
      </c>
      <c r="AC994" t="s">
        <v>53</v>
      </c>
      <c r="AD994" t="s">
        <v>53</v>
      </c>
      <c r="AE994" t="s">
        <v>53</v>
      </c>
      <c r="AF994" s="22" t="s">
        <v>53</v>
      </c>
      <c r="AG994" s="22" t="s">
        <v>53</v>
      </c>
      <c r="AH994" s="22" t="s">
        <v>53</v>
      </c>
      <c r="AI994" s="22" t="s">
        <v>53</v>
      </c>
      <c r="AJ994">
        <v>230</v>
      </c>
      <c r="AK994">
        <v>213</v>
      </c>
      <c r="AL994">
        <v>158</v>
      </c>
      <c r="AM994">
        <v>156</v>
      </c>
      <c r="AN994" s="22">
        <v>0.0260869565217391</v>
      </c>
      <c r="AO994" s="22">
        <v>0.0234741784037559</v>
      </c>
      <c r="AP994" s="22">
        <v>0.0632911392405063</v>
      </c>
      <c r="AQ994" s="22">
        <v>0.0961538461538462</v>
      </c>
      <c r="AR994" s="35">
        <v>0.857142857142857</v>
      </c>
      <c r="AS994" s="35">
        <v>51.4285714285714</v>
      </c>
      <c r="AT994" s="35">
        <v>90.5714285714286</v>
      </c>
      <c r="AU994" s="31">
        <f t="shared" si="19"/>
        <v>165</v>
      </c>
      <c r="AV994" s="36">
        <f>IFERROR(时间!$B$4+AU994,"上周无销量")</f>
        <v>43497</v>
      </c>
    </row>
    <row r="995" spans="1:48">
      <c r="A995" s="20" t="s">
        <v>2221</v>
      </c>
      <c r="B995" t="s">
        <v>2222</v>
      </c>
      <c r="C995" t="s">
        <v>2223</v>
      </c>
      <c r="D995" s="31">
        <v>77</v>
      </c>
      <c r="E995" s="31">
        <v>3</v>
      </c>
      <c r="F995" s="31">
        <v>2</v>
      </c>
      <c r="G995" s="31">
        <v>3</v>
      </c>
      <c r="H995" s="32">
        <v>3.52764705882353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>
        <v>51271</v>
      </c>
      <c r="Q995">
        <v>45110</v>
      </c>
      <c r="R995">
        <v>31627</v>
      </c>
      <c r="S995">
        <v>5454</v>
      </c>
      <c r="T995">
        <v>80</v>
      </c>
      <c r="U995">
        <v>78</v>
      </c>
      <c r="V995">
        <v>56</v>
      </c>
      <c r="W995">
        <v>26</v>
      </c>
      <c r="X995" s="22">
        <v>0.00156033625246241</v>
      </c>
      <c r="Y995" s="22">
        <v>0.00172910662824207</v>
      </c>
      <c r="Z995" s="22">
        <v>0.00177063901097164</v>
      </c>
      <c r="AA995" s="22">
        <v>0.00476714338100477</v>
      </c>
      <c r="AB995">
        <v>27.15</v>
      </c>
      <c r="AC995">
        <v>21.61</v>
      </c>
      <c r="AD995">
        <v>14.11</v>
      </c>
      <c r="AE995">
        <v>10.12</v>
      </c>
      <c r="AF995" s="22">
        <v>0.0999525736894421</v>
      </c>
      <c r="AG995" s="22">
        <v>2.04196542715802</v>
      </c>
      <c r="AH995" s="22">
        <v>1.99991662497916</v>
      </c>
      <c r="AI995" s="22">
        <v>0.956255905730643</v>
      </c>
      <c r="AJ995">
        <v>266</v>
      </c>
      <c r="AK995">
        <v>206</v>
      </c>
      <c r="AL995">
        <v>104</v>
      </c>
      <c r="AM995">
        <v>83</v>
      </c>
      <c r="AN995" s="22">
        <v>0.289473684210526</v>
      </c>
      <c r="AO995" s="22">
        <v>0.0145631067961165</v>
      </c>
      <c r="AP995" s="22">
        <v>0.0192307692307692</v>
      </c>
      <c r="AQ995" s="22">
        <v>0.036144578313253</v>
      </c>
      <c r="AR995" s="35">
        <v>11</v>
      </c>
      <c r="AS995" s="35">
        <v>660</v>
      </c>
      <c r="AT995" s="35">
        <v>-660</v>
      </c>
      <c r="AU995" s="31">
        <f t="shared" si="19"/>
        <v>0</v>
      </c>
      <c r="AV995" s="36">
        <f>IFERROR(时间!$B$4+AU995,"上周无销量")</f>
        <v>43332</v>
      </c>
    </row>
    <row r="996" spans="1:48">
      <c r="A996" s="20" t="s">
        <v>2224</v>
      </c>
      <c r="B996" t="s">
        <v>2225</v>
      </c>
      <c r="C996" t="s">
        <v>2223</v>
      </c>
      <c r="D996" s="31">
        <v>0</v>
      </c>
      <c r="E996" s="31">
        <v>1</v>
      </c>
      <c r="F996" s="31">
        <v>0</v>
      </c>
      <c r="G996" s="31">
        <v>0</v>
      </c>
      <c r="H996" s="32">
        <v>19.99</v>
      </c>
      <c r="I996">
        <v>7</v>
      </c>
      <c r="J996" s="33">
        <v>0</v>
      </c>
      <c r="K996" s="33">
        <v>0</v>
      </c>
      <c r="L996" s="33">
        <v>0</v>
      </c>
      <c r="M996">
        <v>7</v>
      </c>
      <c r="N996">
        <v>0</v>
      </c>
      <c r="O996">
        <v>3</v>
      </c>
      <c r="P996" t="s">
        <v>53</v>
      </c>
      <c r="Q996" t="s">
        <v>53</v>
      </c>
      <c r="R996" t="s">
        <v>53</v>
      </c>
      <c r="S996" t="s">
        <v>53</v>
      </c>
      <c r="T996" t="s">
        <v>53</v>
      </c>
      <c r="U996" t="s">
        <v>53</v>
      </c>
      <c r="V996" t="s">
        <v>53</v>
      </c>
      <c r="W996" t="s">
        <v>53</v>
      </c>
      <c r="X996" s="22" t="s">
        <v>53</v>
      </c>
      <c r="Y996" s="22" t="s">
        <v>53</v>
      </c>
      <c r="Z996" s="22" t="s">
        <v>53</v>
      </c>
      <c r="AA996" s="22" t="s">
        <v>53</v>
      </c>
      <c r="AB996" t="s">
        <v>53</v>
      </c>
      <c r="AC996" t="s">
        <v>53</v>
      </c>
      <c r="AD996" t="s">
        <v>53</v>
      </c>
      <c r="AE996" t="s">
        <v>53</v>
      </c>
      <c r="AF996" s="22" t="s">
        <v>53</v>
      </c>
      <c r="AG996" s="22" t="s">
        <v>53</v>
      </c>
      <c r="AH996" s="22" t="s">
        <v>53</v>
      </c>
      <c r="AI996" s="22" t="s">
        <v>53</v>
      </c>
      <c r="AJ996">
        <v>17</v>
      </c>
      <c r="AK996">
        <v>13</v>
      </c>
      <c r="AL996">
        <v>16</v>
      </c>
      <c r="AM996">
        <v>6</v>
      </c>
      <c r="AN996" s="22">
        <v>0</v>
      </c>
      <c r="AO996" s="22">
        <v>0.0769230769230769</v>
      </c>
      <c r="AP996" s="22">
        <v>0</v>
      </c>
      <c r="AQ996" s="22">
        <v>0</v>
      </c>
      <c r="AR996" s="35">
        <v>0</v>
      </c>
      <c r="AS996" s="35">
        <v>0</v>
      </c>
      <c r="AT996" s="35">
        <v>7</v>
      </c>
      <c r="AU996" s="31" t="str">
        <f t="shared" si="19"/>
        <v>库存为7</v>
      </c>
      <c r="AV996" s="36" t="str">
        <f>IFERROR(时间!$B$4+AU996,"上周无销量")</f>
        <v>上周无销量</v>
      </c>
    </row>
    <row r="997" spans="1:48">
      <c r="A997" s="20" t="s">
        <v>2226</v>
      </c>
      <c r="B997" t="s">
        <v>2227</v>
      </c>
      <c r="C997" t="s">
        <v>2223</v>
      </c>
      <c r="D997" s="31">
        <v>0</v>
      </c>
      <c r="E997" s="31">
        <v>0</v>
      </c>
      <c r="F997" s="31">
        <v>1</v>
      </c>
      <c r="G997" s="31">
        <v>2</v>
      </c>
      <c r="H997" s="32">
        <v>19.99</v>
      </c>
      <c r="I997">
        <v>7</v>
      </c>
      <c r="J997" s="33">
        <v>0</v>
      </c>
      <c r="K997" s="33">
        <v>0</v>
      </c>
      <c r="L997" s="33">
        <v>0</v>
      </c>
      <c r="M997">
        <v>7</v>
      </c>
      <c r="N997">
        <v>0</v>
      </c>
      <c r="O997">
        <v>3</v>
      </c>
      <c r="P997" t="s">
        <v>53</v>
      </c>
      <c r="Q997" t="s">
        <v>53</v>
      </c>
      <c r="R997" t="s">
        <v>53</v>
      </c>
      <c r="S997" t="s">
        <v>53</v>
      </c>
      <c r="T997" t="s">
        <v>53</v>
      </c>
      <c r="U997" t="s">
        <v>53</v>
      </c>
      <c r="V997" t="s">
        <v>53</v>
      </c>
      <c r="W997" t="s">
        <v>53</v>
      </c>
      <c r="X997" s="22" t="s">
        <v>53</v>
      </c>
      <c r="Y997" s="22" t="s">
        <v>53</v>
      </c>
      <c r="Z997" s="22" t="s">
        <v>53</v>
      </c>
      <c r="AA997" s="22" t="s">
        <v>53</v>
      </c>
      <c r="AB997" t="s">
        <v>53</v>
      </c>
      <c r="AC997" t="s">
        <v>53</v>
      </c>
      <c r="AD997" t="s">
        <v>53</v>
      </c>
      <c r="AE997" t="s">
        <v>53</v>
      </c>
      <c r="AF997" s="22" t="s">
        <v>53</v>
      </c>
      <c r="AG997" s="22" t="s">
        <v>53</v>
      </c>
      <c r="AH997" s="22" t="s">
        <v>53</v>
      </c>
      <c r="AI997" s="22" t="s">
        <v>53</v>
      </c>
      <c r="AJ997">
        <v>22</v>
      </c>
      <c r="AK997">
        <v>23</v>
      </c>
      <c r="AL997">
        <v>20</v>
      </c>
      <c r="AM997">
        <v>16</v>
      </c>
      <c r="AN997" s="22">
        <v>0</v>
      </c>
      <c r="AO997" s="22">
        <v>0</v>
      </c>
      <c r="AP997" s="22">
        <v>0.05</v>
      </c>
      <c r="AQ997" s="22">
        <v>0.125</v>
      </c>
      <c r="AR997" s="35">
        <v>0</v>
      </c>
      <c r="AS997" s="35">
        <v>0</v>
      </c>
      <c r="AT997" s="35">
        <v>7</v>
      </c>
      <c r="AU997" s="31" t="str">
        <f t="shared" si="19"/>
        <v>库存为7</v>
      </c>
      <c r="AV997" s="36" t="str">
        <f>IFERROR(时间!$B$4+AU997,"上周无销量")</f>
        <v>上周无销量</v>
      </c>
    </row>
    <row r="998" spans="1:48">
      <c r="A998" s="20" t="s">
        <v>2228</v>
      </c>
      <c r="B998" t="s">
        <v>2229</v>
      </c>
      <c r="C998" t="s">
        <v>2223</v>
      </c>
      <c r="D998" s="31">
        <v>1</v>
      </c>
      <c r="E998" s="31">
        <v>2</v>
      </c>
      <c r="F998" s="31">
        <v>0</v>
      </c>
      <c r="G998" s="31">
        <v>2</v>
      </c>
      <c r="H998" s="32">
        <v>19.99</v>
      </c>
      <c r="I998">
        <v>10</v>
      </c>
      <c r="J998" s="33">
        <v>0</v>
      </c>
      <c r="K998" s="33">
        <v>0</v>
      </c>
      <c r="L998" s="33">
        <v>0</v>
      </c>
      <c r="M998">
        <v>10</v>
      </c>
      <c r="N998">
        <v>0</v>
      </c>
      <c r="O998">
        <v>11</v>
      </c>
      <c r="P998" t="s">
        <v>53</v>
      </c>
      <c r="Q998" t="s">
        <v>53</v>
      </c>
      <c r="R998" t="s">
        <v>53</v>
      </c>
      <c r="S998" t="s">
        <v>53</v>
      </c>
      <c r="T998" t="s">
        <v>53</v>
      </c>
      <c r="U998" t="s">
        <v>53</v>
      </c>
      <c r="V998" t="s">
        <v>53</v>
      </c>
      <c r="W998" t="s">
        <v>53</v>
      </c>
      <c r="X998" s="22" t="s">
        <v>53</v>
      </c>
      <c r="Y998" s="22" t="s">
        <v>53</v>
      </c>
      <c r="Z998" s="22" t="s">
        <v>53</v>
      </c>
      <c r="AA998" s="22" t="s">
        <v>53</v>
      </c>
      <c r="AB998" t="s">
        <v>53</v>
      </c>
      <c r="AC998" t="s">
        <v>53</v>
      </c>
      <c r="AD998" t="s">
        <v>53</v>
      </c>
      <c r="AE998" t="s">
        <v>53</v>
      </c>
      <c r="AF998" s="22" t="s">
        <v>53</v>
      </c>
      <c r="AG998" s="22" t="s">
        <v>53</v>
      </c>
      <c r="AH998" s="22" t="s">
        <v>53</v>
      </c>
      <c r="AI998" s="22" t="s">
        <v>53</v>
      </c>
      <c r="AJ998">
        <v>14</v>
      </c>
      <c r="AK998">
        <v>16</v>
      </c>
      <c r="AL998">
        <v>5</v>
      </c>
      <c r="AM998">
        <v>6</v>
      </c>
      <c r="AN998" s="22">
        <v>0.0714285714285714</v>
      </c>
      <c r="AO998" s="22">
        <v>0.125</v>
      </c>
      <c r="AP998" s="22">
        <v>0</v>
      </c>
      <c r="AQ998" s="22">
        <v>0.333333333333333</v>
      </c>
      <c r="AR998" s="35">
        <v>0.142857142857143</v>
      </c>
      <c r="AS998" s="35">
        <v>8.57142857142857</v>
      </c>
      <c r="AT998" s="35">
        <v>1.42857142857143</v>
      </c>
      <c r="AU998" s="31">
        <f t="shared" si="19"/>
        <v>70</v>
      </c>
      <c r="AV998" s="36">
        <f>IFERROR(时间!$B$4+AU998,"上周无销量")</f>
        <v>43402</v>
      </c>
    </row>
    <row r="999" spans="1:48">
      <c r="A999" s="20" t="s">
        <v>2230</v>
      </c>
      <c r="B999" t="s">
        <v>2231</v>
      </c>
      <c r="C999" t="s">
        <v>2232</v>
      </c>
      <c r="D999" s="31">
        <v>0</v>
      </c>
      <c r="E999" s="31">
        <v>0</v>
      </c>
      <c r="F999" s="31">
        <v>3</v>
      </c>
      <c r="G999" s="31">
        <v>1</v>
      </c>
      <c r="H999" s="32">
        <v>12.9925</v>
      </c>
      <c r="I999">
        <v>6</v>
      </c>
      <c r="J999" s="33">
        <v>0</v>
      </c>
      <c r="K999" s="33">
        <v>0</v>
      </c>
      <c r="L999" s="33">
        <v>0</v>
      </c>
      <c r="M999">
        <v>6</v>
      </c>
      <c r="N999">
        <v>0</v>
      </c>
      <c r="O999">
        <v>6</v>
      </c>
      <c r="P999" t="s">
        <v>53</v>
      </c>
      <c r="Q999" t="s">
        <v>53</v>
      </c>
      <c r="R999" t="s">
        <v>53</v>
      </c>
      <c r="S999" t="s">
        <v>53</v>
      </c>
      <c r="T999" t="s">
        <v>53</v>
      </c>
      <c r="U999" t="s">
        <v>53</v>
      </c>
      <c r="V999" t="s">
        <v>53</v>
      </c>
      <c r="W999" t="s">
        <v>53</v>
      </c>
      <c r="X999" s="22" t="s">
        <v>53</v>
      </c>
      <c r="Y999" s="22" t="s">
        <v>53</v>
      </c>
      <c r="Z999" s="22" t="s">
        <v>53</v>
      </c>
      <c r="AA999" s="22" t="s">
        <v>53</v>
      </c>
      <c r="AB999" t="s">
        <v>53</v>
      </c>
      <c r="AC999" t="s">
        <v>53</v>
      </c>
      <c r="AD999" t="s">
        <v>53</v>
      </c>
      <c r="AE999" t="s">
        <v>53</v>
      </c>
      <c r="AF999" s="22" t="s">
        <v>53</v>
      </c>
      <c r="AG999" s="22" t="s">
        <v>53</v>
      </c>
      <c r="AH999" s="22" t="s">
        <v>53</v>
      </c>
      <c r="AI999" s="22" t="s">
        <v>53</v>
      </c>
      <c r="AJ999">
        <v>20</v>
      </c>
      <c r="AK999">
        <v>17</v>
      </c>
      <c r="AL999">
        <v>15</v>
      </c>
      <c r="AM999">
        <v>7</v>
      </c>
      <c r="AN999" s="22">
        <v>0</v>
      </c>
      <c r="AO999" s="22">
        <v>0</v>
      </c>
      <c r="AP999" s="22">
        <v>0.2</v>
      </c>
      <c r="AQ999" s="22">
        <v>0.142857142857143</v>
      </c>
      <c r="AR999" s="35">
        <v>0</v>
      </c>
      <c r="AS999" s="35">
        <v>0</v>
      </c>
      <c r="AT999" s="35">
        <v>6</v>
      </c>
      <c r="AU999" s="31" t="str">
        <f t="shared" si="19"/>
        <v>库存为6</v>
      </c>
      <c r="AV999" s="36" t="str">
        <f>IFERROR(时间!$B$4+AU999,"上周无销量")</f>
        <v>上周无销量</v>
      </c>
    </row>
    <row r="1000" spans="1:48">
      <c r="A1000" s="20" t="s">
        <v>2233</v>
      </c>
      <c r="B1000" t="s">
        <v>2234</v>
      </c>
      <c r="C1000" t="s">
        <v>2232</v>
      </c>
      <c r="D1000" s="31">
        <v>25</v>
      </c>
      <c r="E1000" s="31">
        <v>0</v>
      </c>
      <c r="F1000" s="31">
        <v>0</v>
      </c>
      <c r="G1000" s="31">
        <v>0</v>
      </c>
      <c r="H1000" s="32">
        <v>0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 t="s">
        <v>53</v>
      </c>
      <c r="Q1000" t="s">
        <v>53</v>
      </c>
      <c r="R1000" t="s">
        <v>53</v>
      </c>
      <c r="S1000" t="s">
        <v>53</v>
      </c>
      <c r="T1000" t="s">
        <v>53</v>
      </c>
      <c r="U1000" t="s">
        <v>53</v>
      </c>
      <c r="V1000" t="s">
        <v>53</v>
      </c>
      <c r="W1000" t="s">
        <v>53</v>
      </c>
      <c r="X1000" s="22" t="s">
        <v>53</v>
      </c>
      <c r="Y1000" s="22" t="s">
        <v>53</v>
      </c>
      <c r="Z1000" s="22" t="s">
        <v>53</v>
      </c>
      <c r="AA1000" s="22" t="s">
        <v>53</v>
      </c>
      <c r="AB1000" t="s">
        <v>53</v>
      </c>
      <c r="AC1000" t="s">
        <v>53</v>
      </c>
      <c r="AD1000" t="s">
        <v>53</v>
      </c>
      <c r="AE1000" t="s">
        <v>53</v>
      </c>
      <c r="AF1000" s="22" t="s">
        <v>53</v>
      </c>
      <c r="AG1000" s="22" t="s">
        <v>53</v>
      </c>
      <c r="AH1000" s="22" t="s">
        <v>53</v>
      </c>
      <c r="AI1000" s="22" t="s">
        <v>53</v>
      </c>
      <c r="AJ1000">
        <v>0</v>
      </c>
      <c r="AK1000">
        <v>0</v>
      </c>
      <c r="AL1000">
        <v>0</v>
      </c>
      <c r="AM1000">
        <v>0</v>
      </c>
      <c r="AN1000" s="22" t="s">
        <v>53</v>
      </c>
      <c r="AO1000" s="22" t="s">
        <v>53</v>
      </c>
      <c r="AP1000" s="22" t="s">
        <v>53</v>
      </c>
      <c r="AQ1000" s="22" t="s">
        <v>53</v>
      </c>
      <c r="AR1000" s="35">
        <v>3.57142857142857</v>
      </c>
      <c r="AS1000" s="35">
        <v>214.285714285714</v>
      </c>
      <c r="AT1000" s="35">
        <v>-214.285714285714</v>
      </c>
      <c r="AU1000" s="31">
        <f t="shared" si="19"/>
        <v>0</v>
      </c>
      <c r="AV1000" s="36">
        <f>IFERROR(时间!$B$4+AU1000,"上周无销量")</f>
        <v>43332</v>
      </c>
    </row>
    <row r="1001" spans="1:48">
      <c r="A1001" s="20" t="s">
        <v>2235</v>
      </c>
      <c r="B1001" t="s">
        <v>2236</v>
      </c>
      <c r="C1001" t="s">
        <v>2232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2</v>
      </c>
      <c r="J1001" s="33">
        <v>0</v>
      </c>
      <c r="K1001" s="33">
        <v>0</v>
      </c>
      <c r="L1001" s="33">
        <v>0</v>
      </c>
      <c r="M1001">
        <v>2</v>
      </c>
      <c r="N1001">
        <v>0</v>
      </c>
      <c r="O1001">
        <v>2</v>
      </c>
      <c r="P1001" t="s">
        <v>53</v>
      </c>
      <c r="Q1001" t="s">
        <v>53</v>
      </c>
      <c r="R1001" t="s">
        <v>53</v>
      </c>
      <c r="S1001" t="s">
        <v>53</v>
      </c>
      <c r="T1001" t="s">
        <v>53</v>
      </c>
      <c r="U1001" t="s">
        <v>53</v>
      </c>
      <c r="V1001" t="s">
        <v>53</v>
      </c>
      <c r="W1001" t="s">
        <v>53</v>
      </c>
      <c r="X1001" s="22" t="s">
        <v>53</v>
      </c>
      <c r="Y1001" s="22" t="s">
        <v>53</v>
      </c>
      <c r="Z1001" s="22" t="s">
        <v>53</v>
      </c>
      <c r="AA1001" s="22" t="s">
        <v>53</v>
      </c>
      <c r="AB1001" t="s">
        <v>53</v>
      </c>
      <c r="AC1001" t="s">
        <v>53</v>
      </c>
      <c r="AD1001" t="s">
        <v>53</v>
      </c>
      <c r="AE1001" t="s">
        <v>53</v>
      </c>
      <c r="AF1001" s="22" t="s">
        <v>53</v>
      </c>
      <c r="AG1001" s="22" t="s">
        <v>53</v>
      </c>
      <c r="AH1001" s="22" t="s">
        <v>53</v>
      </c>
      <c r="AI1001" s="22" t="s">
        <v>53</v>
      </c>
      <c r="AJ1001">
        <v>4</v>
      </c>
      <c r="AK1001">
        <v>9</v>
      </c>
      <c r="AL1001">
        <v>5</v>
      </c>
      <c r="AM1001">
        <v>6</v>
      </c>
      <c r="AN1001" s="22">
        <v>0</v>
      </c>
      <c r="AO1001" s="22">
        <v>0</v>
      </c>
      <c r="AP1001" s="22">
        <v>0</v>
      </c>
      <c r="AQ1001" s="22">
        <v>0</v>
      </c>
      <c r="AR1001" s="35">
        <v>0</v>
      </c>
      <c r="AS1001" s="35">
        <v>0</v>
      </c>
      <c r="AT1001" s="35">
        <v>2</v>
      </c>
      <c r="AU1001" s="31" t="str">
        <f t="shared" si="19"/>
        <v>库存为2</v>
      </c>
      <c r="AV1001" s="36" t="str">
        <f>IFERROR(时间!$B$4+AU1001,"上周无销量")</f>
        <v>上周无销量</v>
      </c>
    </row>
    <row r="1002" spans="1:48">
      <c r="A1002" s="20" t="s">
        <v>2237</v>
      </c>
      <c r="B1002" t="s">
        <v>2238</v>
      </c>
      <c r="C1002" t="s">
        <v>2232</v>
      </c>
      <c r="D1002" s="31">
        <v>0</v>
      </c>
      <c r="E1002" s="31">
        <v>1</v>
      </c>
      <c r="F1002" s="31">
        <v>0</v>
      </c>
      <c r="G1002" s="31">
        <v>0</v>
      </c>
      <c r="H1002" s="32">
        <v>13.99</v>
      </c>
      <c r="I1002">
        <v>5</v>
      </c>
      <c r="J1002" s="33">
        <v>0</v>
      </c>
      <c r="K1002" s="33">
        <v>0</v>
      </c>
      <c r="L1002" s="33">
        <v>0</v>
      </c>
      <c r="M1002">
        <v>5</v>
      </c>
      <c r="N1002">
        <v>0</v>
      </c>
      <c r="O1002">
        <v>5</v>
      </c>
      <c r="P1002">
        <v>375</v>
      </c>
      <c r="Q1002">
        <v>225</v>
      </c>
      <c r="R1002">
        <v>213</v>
      </c>
      <c r="S1002">
        <v>253</v>
      </c>
      <c r="T1002">
        <v>6</v>
      </c>
      <c r="U1002">
        <v>1</v>
      </c>
      <c r="V1002">
        <v>3</v>
      </c>
      <c r="W1002">
        <v>3</v>
      </c>
      <c r="X1002" s="22">
        <v>0.016</v>
      </c>
      <c r="Y1002" s="22">
        <v>0.00444444444444444</v>
      </c>
      <c r="Z1002" s="22">
        <v>0.0140845070422535</v>
      </c>
      <c r="AA1002" s="22">
        <v>0.0118577075098814</v>
      </c>
      <c r="AB1002">
        <v>0.82</v>
      </c>
      <c r="AC1002">
        <v>0.28</v>
      </c>
      <c r="AD1002">
        <v>1.07</v>
      </c>
      <c r="AE1002">
        <v>0.72</v>
      </c>
      <c r="AF1002" s="22" t="s">
        <v>2239</v>
      </c>
      <c r="AG1002" s="22">
        <v>0.0200142959256612</v>
      </c>
      <c r="AH1002" s="22" t="s">
        <v>2107</v>
      </c>
      <c r="AI1002" s="22" t="s">
        <v>307</v>
      </c>
      <c r="AJ1002">
        <v>10</v>
      </c>
      <c r="AK1002">
        <v>10</v>
      </c>
      <c r="AL1002">
        <v>3</v>
      </c>
      <c r="AM1002">
        <v>4</v>
      </c>
      <c r="AN1002" s="22">
        <v>0</v>
      </c>
      <c r="AO1002" s="22">
        <v>0.1</v>
      </c>
      <c r="AP1002" s="22">
        <v>0</v>
      </c>
      <c r="AQ1002" s="22">
        <v>0</v>
      </c>
      <c r="AR1002" s="35">
        <v>0</v>
      </c>
      <c r="AS1002" s="35">
        <v>0</v>
      </c>
      <c r="AT1002" s="35">
        <v>5</v>
      </c>
      <c r="AU1002" s="31" t="str">
        <f t="shared" si="19"/>
        <v>库存为5</v>
      </c>
      <c r="AV1002" s="36" t="str">
        <f>IFERROR(时间!$B$4+AU1002,"上周无销量")</f>
        <v>上周无销量</v>
      </c>
    </row>
    <row r="1003" spans="1:48">
      <c r="A1003" s="20" t="s">
        <v>2240</v>
      </c>
      <c r="B1003" t="s">
        <v>2241</v>
      </c>
      <c r="C1003" t="s">
        <v>2232</v>
      </c>
      <c r="D1003" s="31">
        <v>1</v>
      </c>
      <c r="E1003" s="31">
        <v>0</v>
      </c>
      <c r="F1003" s="31">
        <v>2</v>
      </c>
      <c r="G1003" s="31">
        <v>0</v>
      </c>
      <c r="H1003" s="32">
        <v>10</v>
      </c>
      <c r="I1003">
        <v>16</v>
      </c>
      <c r="J1003" s="33">
        <v>0</v>
      </c>
      <c r="K1003" s="33">
        <v>0</v>
      </c>
      <c r="L1003" s="33">
        <v>0</v>
      </c>
      <c r="M1003">
        <v>16</v>
      </c>
      <c r="N1003">
        <v>0</v>
      </c>
      <c r="O1003">
        <v>16</v>
      </c>
      <c r="P1003" t="s">
        <v>53</v>
      </c>
      <c r="Q1003" t="s">
        <v>53</v>
      </c>
      <c r="R1003" t="s">
        <v>53</v>
      </c>
      <c r="S1003" t="s">
        <v>53</v>
      </c>
      <c r="T1003" t="s">
        <v>53</v>
      </c>
      <c r="U1003" t="s">
        <v>53</v>
      </c>
      <c r="V1003" t="s">
        <v>53</v>
      </c>
      <c r="W1003" t="s">
        <v>53</v>
      </c>
      <c r="X1003" s="22" t="s">
        <v>53</v>
      </c>
      <c r="Y1003" s="22" t="s">
        <v>53</v>
      </c>
      <c r="Z1003" s="22" t="s">
        <v>53</v>
      </c>
      <c r="AA1003" s="22" t="s">
        <v>53</v>
      </c>
      <c r="AB1003" t="s">
        <v>53</v>
      </c>
      <c r="AC1003" t="s">
        <v>53</v>
      </c>
      <c r="AD1003" t="s">
        <v>53</v>
      </c>
      <c r="AE1003" t="s">
        <v>53</v>
      </c>
      <c r="AF1003" s="22" t="s">
        <v>53</v>
      </c>
      <c r="AG1003" s="22" t="s">
        <v>53</v>
      </c>
      <c r="AH1003" s="22" t="s">
        <v>53</v>
      </c>
      <c r="AI1003" s="22" t="s">
        <v>53</v>
      </c>
      <c r="AJ1003">
        <v>6</v>
      </c>
      <c r="AK1003">
        <v>10</v>
      </c>
      <c r="AL1003">
        <v>8</v>
      </c>
      <c r="AM1003">
        <v>9</v>
      </c>
      <c r="AN1003" s="22">
        <v>0.166666666666667</v>
      </c>
      <c r="AO1003" s="22">
        <v>0</v>
      </c>
      <c r="AP1003" s="22">
        <v>0.25</v>
      </c>
      <c r="AQ1003" s="22">
        <v>0</v>
      </c>
      <c r="AR1003" s="35">
        <v>0.142857142857143</v>
      </c>
      <c r="AS1003" s="35">
        <v>8.57142857142857</v>
      </c>
      <c r="AT1003" s="35">
        <v>7.42857142857143</v>
      </c>
      <c r="AU1003" s="31">
        <f t="shared" si="19"/>
        <v>112</v>
      </c>
      <c r="AV1003" s="36">
        <f>IFERROR(时间!$B$4+AU1003,"上周无销量")</f>
        <v>43444</v>
      </c>
    </row>
    <row r="1004" spans="1:48">
      <c r="A1004" s="20" t="s">
        <v>2242</v>
      </c>
      <c r="B1004" t="s">
        <v>2243</v>
      </c>
      <c r="C1004" t="s">
        <v>2232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53</v>
      </c>
      <c r="Q1004" t="s">
        <v>53</v>
      </c>
      <c r="R1004" t="s">
        <v>53</v>
      </c>
      <c r="S1004" t="s">
        <v>53</v>
      </c>
      <c r="T1004" t="s">
        <v>53</v>
      </c>
      <c r="U1004" t="s">
        <v>53</v>
      </c>
      <c r="V1004" t="s">
        <v>53</v>
      </c>
      <c r="W1004" t="s">
        <v>53</v>
      </c>
      <c r="X1004" s="22" t="s">
        <v>53</v>
      </c>
      <c r="Y1004" s="22" t="s">
        <v>53</v>
      </c>
      <c r="Z1004" s="22" t="s">
        <v>53</v>
      </c>
      <c r="AA1004" s="22" t="s">
        <v>53</v>
      </c>
      <c r="AB1004" t="s">
        <v>53</v>
      </c>
      <c r="AC1004" t="s">
        <v>53</v>
      </c>
      <c r="AD1004" t="s">
        <v>53</v>
      </c>
      <c r="AE1004" t="s">
        <v>53</v>
      </c>
      <c r="AF1004" s="22" t="s">
        <v>53</v>
      </c>
      <c r="AG1004" s="22" t="s">
        <v>53</v>
      </c>
      <c r="AH1004" s="22" t="s">
        <v>53</v>
      </c>
      <c r="AI1004" s="22" t="s">
        <v>53</v>
      </c>
      <c r="AJ1004">
        <v>0</v>
      </c>
      <c r="AK1004">
        <v>0</v>
      </c>
      <c r="AL1004">
        <v>0</v>
      </c>
      <c r="AM1004">
        <v>0</v>
      </c>
      <c r="AN1004" s="22" t="s">
        <v>53</v>
      </c>
      <c r="AO1004" s="22" t="s">
        <v>53</v>
      </c>
      <c r="AP1004" s="22" t="s">
        <v>53</v>
      </c>
      <c r="AQ1004" s="22" t="s">
        <v>53</v>
      </c>
      <c r="AR1004" s="35">
        <v>0</v>
      </c>
      <c r="AS1004" s="35">
        <v>0</v>
      </c>
      <c r="AT1004" s="35">
        <v>0</v>
      </c>
      <c r="AU1004" s="31" t="str">
        <f t="shared" si="19"/>
        <v>库存为0</v>
      </c>
      <c r="AV1004" s="36" t="str">
        <f>IFERROR(时间!$B$4+AU1004,"上周无销量")</f>
        <v>上周无销量</v>
      </c>
    </row>
    <row r="1005" spans="1:48">
      <c r="A1005" s="20" t="s">
        <v>2244</v>
      </c>
      <c r="B1005" t="s">
        <v>2245</v>
      </c>
      <c r="C1005" t="s">
        <v>2232</v>
      </c>
      <c r="D1005" s="31">
        <v>12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53</v>
      </c>
      <c r="Q1005" t="s">
        <v>53</v>
      </c>
      <c r="R1005" t="s">
        <v>53</v>
      </c>
      <c r="S1005" t="s">
        <v>53</v>
      </c>
      <c r="T1005" t="s">
        <v>53</v>
      </c>
      <c r="U1005" t="s">
        <v>53</v>
      </c>
      <c r="V1005" t="s">
        <v>53</v>
      </c>
      <c r="W1005" t="s">
        <v>53</v>
      </c>
      <c r="X1005" s="22" t="s">
        <v>53</v>
      </c>
      <c r="Y1005" s="22" t="s">
        <v>53</v>
      </c>
      <c r="Z1005" s="22" t="s">
        <v>53</v>
      </c>
      <c r="AA1005" s="22" t="s">
        <v>53</v>
      </c>
      <c r="AB1005" t="s">
        <v>53</v>
      </c>
      <c r="AC1005" t="s">
        <v>53</v>
      </c>
      <c r="AD1005" t="s">
        <v>53</v>
      </c>
      <c r="AE1005" t="s">
        <v>53</v>
      </c>
      <c r="AF1005" s="22" t="s">
        <v>53</v>
      </c>
      <c r="AG1005" s="22" t="s">
        <v>53</v>
      </c>
      <c r="AH1005" s="22" t="s">
        <v>53</v>
      </c>
      <c r="AI1005" s="22" t="s">
        <v>53</v>
      </c>
      <c r="AJ1005">
        <v>0</v>
      </c>
      <c r="AK1005">
        <v>0</v>
      </c>
      <c r="AL1005">
        <v>0</v>
      </c>
      <c r="AM1005">
        <v>0</v>
      </c>
      <c r="AN1005" s="22" t="s">
        <v>53</v>
      </c>
      <c r="AO1005" s="22" t="s">
        <v>53</v>
      </c>
      <c r="AP1005" s="22" t="s">
        <v>53</v>
      </c>
      <c r="AQ1005" s="22" t="s">
        <v>53</v>
      </c>
      <c r="AR1005" s="35">
        <v>1.71428571428571</v>
      </c>
      <c r="AS1005" s="35">
        <v>102.857142857143</v>
      </c>
      <c r="AT1005" s="35">
        <v>-102.857142857143</v>
      </c>
      <c r="AU1005" s="31">
        <f t="shared" si="19"/>
        <v>0</v>
      </c>
      <c r="AV1005" s="36">
        <f>IFERROR(时间!$B$4+AU1005,"上周无销量")</f>
        <v>43332</v>
      </c>
    </row>
    <row r="1006" spans="1:48">
      <c r="A1006" s="20" t="s">
        <v>2246</v>
      </c>
      <c r="B1006" t="s">
        <v>2247</v>
      </c>
      <c r="C1006" t="s">
        <v>2232</v>
      </c>
      <c r="D1006" s="31">
        <v>0</v>
      </c>
      <c r="E1006" s="31">
        <v>1</v>
      </c>
      <c r="F1006" s="31">
        <v>1</v>
      </c>
      <c r="G1006" s="31">
        <v>0</v>
      </c>
      <c r="H1006" s="32">
        <v>13.99</v>
      </c>
      <c r="I1006">
        <v>14</v>
      </c>
      <c r="J1006" s="33">
        <v>0</v>
      </c>
      <c r="K1006" s="33">
        <v>0</v>
      </c>
      <c r="L1006" s="33">
        <v>0</v>
      </c>
      <c r="M1006">
        <v>14</v>
      </c>
      <c r="N1006">
        <v>0</v>
      </c>
      <c r="O1006">
        <v>14</v>
      </c>
      <c r="P1006" t="s">
        <v>53</v>
      </c>
      <c r="Q1006" t="s">
        <v>53</v>
      </c>
      <c r="R1006" t="s">
        <v>53</v>
      </c>
      <c r="S1006" t="s">
        <v>53</v>
      </c>
      <c r="T1006" t="s">
        <v>53</v>
      </c>
      <c r="U1006" t="s">
        <v>53</v>
      </c>
      <c r="V1006" t="s">
        <v>53</v>
      </c>
      <c r="W1006" t="s">
        <v>53</v>
      </c>
      <c r="X1006" s="22" t="s">
        <v>53</v>
      </c>
      <c r="Y1006" s="22" t="s">
        <v>53</v>
      </c>
      <c r="Z1006" s="22" t="s">
        <v>53</v>
      </c>
      <c r="AA1006" s="22" t="s">
        <v>53</v>
      </c>
      <c r="AB1006" t="s">
        <v>53</v>
      </c>
      <c r="AC1006" t="s">
        <v>53</v>
      </c>
      <c r="AD1006" t="s">
        <v>53</v>
      </c>
      <c r="AE1006" t="s">
        <v>53</v>
      </c>
      <c r="AF1006" s="22" t="s">
        <v>53</v>
      </c>
      <c r="AG1006" s="22" t="s">
        <v>53</v>
      </c>
      <c r="AH1006" s="22" t="s">
        <v>53</v>
      </c>
      <c r="AI1006" s="22" t="s">
        <v>53</v>
      </c>
      <c r="AJ1006">
        <v>4</v>
      </c>
      <c r="AK1006">
        <v>14</v>
      </c>
      <c r="AL1006">
        <v>3</v>
      </c>
      <c r="AM1006">
        <v>3</v>
      </c>
      <c r="AN1006" s="22">
        <v>0</v>
      </c>
      <c r="AO1006" s="22">
        <v>0.0714285714285714</v>
      </c>
      <c r="AP1006" s="22">
        <v>0.333333333333333</v>
      </c>
      <c r="AQ1006" s="22">
        <v>0</v>
      </c>
      <c r="AR1006" s="35">
        <v>0</v>
      </c>
      <c r="AS1006" s="35">
        <v>0</v>
      </c>
      <c r="AT1006" s="35">
        <v>14</v>
      </c>
      <c r="AU1006" s="31" t="str">
        <f t="shared" si="19"/>
        <v>库存为14</v>
      </c>
      <c r="AV1006" s="36" t="str">
        <f>IFERROR(时间!$B$4+AU1006,"上周无销量")</f>
        <v>上周无销量</v>
      </c>
    </row>
    <row r="1007" spans="1:48">
      <c r="A1007" s="20" t="s">
        <v>2248</v>
      </c>
      <c r="B1007" t="s">
        <v>2249</v>
      </c>
      <c r="C1007" t="s">
        <v>2232</v>
      </c>
      <c r="D1007" s="31">
        <v>1</v>
      </c>
      <c r="E1007" s="31">
        <v>1</v>
      </c>
      <c r="F1007" s="31">
        <v>0</v>
      </c>
      <c r="G1007" s="31">
        <v>0</v>
      </c>
      <c r="H1007" s="32">
        <v>13.99</v>
      </c>
      <c r="I1007">
        <v>35</v>
      </c>
      <c r="J1007" s="33">
        <v>0</v>
      </c>
      <c r="K1007" s="33">
        <v>0</v>
      </c>
      <c r="L1007" s="33">
        <v>0</v>
      </c>
      <c r="M1007">
        <v>35</v>
      </c>
      <c r="N1007">
        <v>0</v>
      </c>
      <c r="O1007">
        <v>35</v>
      </c>
      <c r="P1007">
        <v>125</v>
      </c>
      <c r="Q1007">
        <v>82</v>
      </c>
      <c r="R1007">
        <v>79</v>
      </c>
      <c r="S1007">
        <v>135</v>
      </c>
      <c r="T1007">
        <v>5</v>
      </c>
      <c r="U1007">
        <v>3</v>
      </c>
      <c r="V1007">
        <v>2</v>
      </c>
      <c r="W1007">
        <v>5</v>
      </c>
      <c r="X1007" s="22">
        <v>0.04</v>
      </c>
      <c r="Y1007" s="22">
        <v>0.0365853658536585</v>
      </c>
      <c r="Z1007" s="22">
        <v>0.0253164556962025</v>
      </c>
      <c r="AA1007" s="22">
        <v>0.037037037037037</v>
      </c>
      <c r="AB1007">
        <v>1.2</v>
      </c>
      <c r="AC1007">
        <v>0.43</v>
      </c>
      <c r="AD1007">
        <v>0.63</v>
      </c>
      <c r="AE1007">
        <v>1.5</v>
      </c>
      <c r="AF1007" s="22">
        <v>0.0857755539671194</v>
      </c>
      <c r="AG1007" s="22">
        <v>0.0307362401715511</v>
      </c>
      <c r="AH1007" s="22" t="s">
        <v>2102</v>
      </c>
      <c r="AI1007" s="22" t="s">
        <v>2250</v>
      </c>
      <c r="AJ1007">
        <v>15</v>
      </c>
      <c r="AK1007">
        <v>15</v>
      </c>
      <c r="AL1007">
        <v>2</v>
      </c>
      <c r="AM1007">
        <v>9</v>
      </c>
      <c r="AN1007" s="22">
        <v>0.0666666666666667</v>
      </c>
      <c r="AO1007" s="22">
        <v>0.0666666666666667</v>
      </c>
      <c r="AP1007" s="22">
        <v>0</v>
      </c>
      <c r="AQ1007" s="22">
        <v>0</v>
      </c>
      <c r="AR1007" s="35">
        <v>0.142857142857143</v>
      </c>
      <c r="AS1007" s="35">
        <v>8.57142857142857</v>
      </c>
      <c r="AT1007" s="35">
        <v>26.4285714285714</v>
      </c>
      <c r="AU1007" s="31">
        <f t="shared" si="19"/>
        <v>245</v>
      </c>
      <c r="AV1007" s="36">
        <f>IFERROR(时间!$B$4+AU1007,"上周无销量")</f>
        <v>43577</v>
      </c>
    </row>
    <row r="1008" spans="1:48">
      <c r="A1008" s="20" t="s">
        <v>2251</v>
      </c>
      <c r="B1008" t="s">
        <v>2252</v>
      </c>
      <c r="C1008" t="s">
        <v>2232</v>
      </c>
      <c r="D1008" s="31">
        <v>0</v>
      </c>
      <c r="E1008" s="31">
        <v>3</v>
      </c>
      <c r="F1008" s="31">
        <v>1</v>
      </c>
      <c r="G1008" s="31">
        <v>0</v>
      </c>
      <c r="H1008" s="32">
        <v>16.99</v>
      </c>
      <c r="I1008">
        <v>22</v>
      </c>
      <c r="J1008" s="33">
        <v>0</v>
      </c>
      <c r="K1008" s="33">
        <v>0</v>
      </c>
      <c r="L1008" s="33">
        <v>0</v>
      </c>
      <c r="M1008">
        <v>22</v>
      </c>
      <c r="N1008">
        <v>1</v>
      </c>
      <c r="O1008">
        <v>23</v>
      </c>
      <c r="P1008">
        <v>55493</v>
      </c>
      <c r="Q1008">
        <v>58849</v>
      </c>
      <c r="R1008">
        <v>6082</v>
      </c>
      <c r="S1008">
        <v>2885</v>
      </c>
      <c r="T1008">
        <v>166</v>
      </c>
      <c r="U1008">
        <v>161</v>
      </c>
      <c r="V1008">
        <v>67</v>
      </c>
      <c r="W1008">
        <v>31</v>
      </c>
      <c r="X1008" s="22">
        <v>0.00299136828068405</v>
      </c>
      <c r="Y1008" s="22">
        <v>0.00273581539193529</v>
      </c>
      <c r="Z1008" s="22">
        <v>0.011016113120684</v>
      </c>
      <c r="AA1008" s="22">
        <v>0.0107452339688042</v>
      </c>
      <c r="AB1008">
        <v>69.9</v>
      </c>
      <c r="AC1008">
        <v>52.89</v>
      </c>
      <c r="AD1008">
        <v>32.92</v>
      </c>
      <c r="AE1008">
        <v>12.72</v>
      </c>
      <c r="AF1008" s="22" t="s">
        <v>2253</v>
      </c>
      <c r="AG1008" s="22">
        <v>1.03766921718658</v>
      </c>
      <c r="AH1008" s="22">
        <v>1.93761035903473</v>
      </c>
      <c r="AI1008" s="22" t="s">
        <v>2254</v>
      </c>
      <c r="AJ1008">
        <v>284</v>
      </c>
      <c r="AK1008">
        <v>245</v>
      </c>
      <c r="AL1008">
        <v>80</v>
      </c>
      <c r="AM1008">
        <v>56</v>
      </c>
      <c r="AN1008" s="22">
        <v>0</v>
      </c>
      <c r="AO1008" s="22">
        <v>0.0122448979591837</v>
      </c>
      <c r="AP1008" s="22">
        <v>0.0125</v>
      </c>
      <c r="AQ1008" s="22">
        <v>0</v>
      </c>
      <c r="AR1008" s="35">
        <v>0</v>
      </c>
      <c r="AS1008" s="35">
        <v>0</v>
      </c>
      <c r="AT1008" s="35">
        <v>22</v>
      </c>
      <c r="AU1008" s="31" t="str">
        <f t="shared" si="19"/>
        <v>库存为22</v>
      </c>
      <c r="AV1008" s="36" t="str">
        <f>IFERROR(时间!$B$4+AU1008,"上周无销量")</f>
        <v>上周无销量</v>
      </c>
    </row>
    <row r="1009" spans="1:48">
      <c r="A1009" s="20" t="s">
        <v>2255</v>
      </c>
      <c r="B1009" t="s">
        <v>2256</v>
      </c>
      <c r="C1009" t="s">
        <v>2232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53</v>
      </c>
      <c r="Q1009" t="s">
        <v>53</v>
      </c>
      <c r="R1009" t="s">
        <v>53</v>
      </c>
      <c r="S1009" t="s">
        <v>53</v>
      </c>
      <c r="T1009" t="s">
        <v>53</v>
      </c>
      <c r="U1009" t="s">
        <v>53</v>
      </c>
      <c r="V1009" t="s">
        <v>53</v>
      </c>
      <c r="W1009" t="s">
        <v>53</v>
      </c>
      <c r="X1009" s="22" t="s">
        <v>53</v>
      </c>
      <c r="Y1009" s="22" t="s">
        <v>53</v>
      </c>
      <c r="Z1009" s="22" t="s">
        <v>53</v>
      </c>
      <c r="AA1009" s="22" t="s">
        <v>53</v>
      </c>
      <c r="AB1009" t="s">
        <v>53</v>
      </c>
      <c r="AC1009" t="s">
        <v>53</v>
      </c>
      <c r="AD1009" t="s">
        <v>53</v>
      </c>
      <c r="AE1009" t="s">
        <v>53</v>
      </c>
      <c r="AF1009" s="22" t="s">
        <v>53</v>
      </c>
      <c r="AG1009" s="22" t="s">
        <v>53</v>
      </c>
      <c r="AH1009" s="22" t="s">
        <v>53</v>
      </c>
      <c r="AI1009" s="22" t="s">
        <v>53</v>
      </c>
      <c r="AJ1009">
        <v>0</v>
      </c>
      <c r="AK1009">
        <v>0</v>
      </c>
      <c r="AL1009">
        <v>0</v>
      </c>
      <c r="AM1009">
        <v>0</v>
      </c>
      <c r="AN1009" s="22" t="s">
        <v>53</v>
      </c>
      <c r="AO1009" s="22" t="s">
        <v>53</v>
      </c>
      <c r="AP1009" s="22" t="s">
        <v>53</v>
      </c>
      <c r="AQ1009" s="22" t="s">
        <v>53</v>
      </c>
      <c r="AR1009" s="35">
        <v>0</v>
      </c>
      <c r="AS1009" s="35">
        <v>0</v>
      </c>
      <c r="AT1009" s="35">
        <v>0</v>
      </c>
      <c r="AU1009" s="31" t="str">
        <f t="shared" si="19"/>
        <v>库存为0</v>
      </c>
      <c r="AV1009" s="36" t="str">
        <f>IFERROR(时间!$B$4+AU1009,"上周无销量")</f>
        <v>上周无销量</v>
      </c>
    </row>
    <row r="1010" spans="1:48">
      <c r="A1010" s="20" t="s">
        <v>2257</v>
      </c>
      <c r="B1010" t="s">
        <v>2258</v>
      </c>
      <c r="C1010" t="s">
        <v>2232</v>
      </c>
      <c r="D1010" s="31">
        <v>0</v>
      </c>
      <c r="E1010" s="31">
        <v>0</v>
      </c>
      <c r="F1010" s="31">
        <v>2</v>
      </c>
      <c r="G1010" s="31">
        <v>0</v>
      </c>
      <c r="H1010" s="32">
        <v>19.99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53</v>
      </c>
      <c r="Q1010" t="s">
        <v>53</v>
      </c>
      <c r="R1010" t="s">
        <v>53</v>
      </c>
      <c r="S1010" t="s">
        <v>53</v>
      </c>
      <c r="T1010" t="s">
        <v>53</v>
      </c>
      <c r="U1010" t="s">
        <v>53</v>
      </c>
      <c r="V1010" t="s">
        <v>53</v>
      </c>
      <c r="W1010" t="s">
        <v>53</v>
      </c>
      <c r="X1010" s="22" t="s">
        <v>53</v>
      </c>
      <c r="Y1010" s="22" t="s">
        <v>53</v>
      </c>
      <c r="Z1010" s="22" t="s">
        <v>53</v>
      </c>
      <c r="AA1010" s="22" t="s">
        <v>53</v>
      </c>
      <c r="AB1010" t="s">
        <v>53</v>
      </c>
      <c r="AC1010" t="s">
        <v>53</v>
      </c>
      <c r="AD1010" t="s">
        <v>53</v>
      </c>
      <c r="AE1010" t="s">
        <v>53</v>
      </c>
      <c r="AF1010" s="22" t="s">
        <v>53</v>
      </c>
      <c r="AG1010" s="22" t="s">
        <v>53</v>
      </c>
      <c r="AH1010" s="22" t="s">
        <v>53</v>
      </c>
      <c r="AI1010" s="22" t="s">
        <v>53</v>
      </c>
      <c r="AJ1010">
        <v>0</v>
      </c>
      <c r="AK1010">
        <v>0</v>
      </c>
      <c r="AL1010">
        <v>42</v>
      </c>
      <c r="AM1010">
        <v>13</v>
      </c>
      <c r="AN1010" s="22" t="s">
        <v>53</v>
      </c>
      <c r="AO1010" s="22" t="s">
        <v>53</v>
      </c>
      <c r="AP1010" s="22">
        <v>0.0476190476190476</v>
      </c>
      <c r="AQ1010" s="22">
        <v>0</v>
      </c>
      <c r="AR1010" s="35">
        <v>0</v>
      </c>
      <c r="AS1010" s="35">
        <v>0</v>
      </c>
      <c r="AT1010" s="35">
        <v>0</v>
      </c>
      <c r="AU1010" s="31" t="str">
        <f t="shared" si="19"/>
        <v>库存为0</v>
      </c>
      <c r="AV1010" s="36" t="str">
        <f>IFERROR(时间!$B$4+AU1010,"上周无销量")</f>
        <v>上周无销量</v>
      </c>
    </row>
    <row r="1011" spans="1:48">
      <c r="A1011" s="20" t="s">
        <v>2259</v>
      </c>
      <c r="B1011" t="s">
        <v>2260</v>
      </c>
      <c r="C1011" t="s">
        <v>2232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 t="s">
        <v>53</v>
      </c>
      <c r="Q1011" t="s">
        <v>53</v>
      </c>
      <c r="R1011" t="s">
        <v>53</v>
      </c>
      <c r="S1011" t="s">
        <v>53</v>
      </c>
      <c r="T1011" t="s">
        <v>53</v>
      </c>
      <c r="U1011" t="s">
        <v>53</v>
      </c>
      <c r="V1011" t="s">
        <v>53</v>
      </c>
      <c r="W1011" t="s">
        <v>53</v>
      </c>
      <c r="X1011" s="22" t="s">
        <v>53</v>
      </c>
      <c r="Y1011" s="22" t="s">
        <v>53</v>
      </c>
      <c r="Z1011" s="22" t="s">
        <v>53</v>
      </c>
      <c r="AA1011" s="22" t="s">
        <v>53</v>
      </c>
      <c r="AB1011" t="s">
        <v>53</v>
      </c>
      <c r="AC1011" t="s">
        <v>53</v>
      </c>
      <c r="AD1011" t="s">
        <v>53</v>
      </c>
      <c r="AE1011" t="s">
        <v>53</v>
      </c>
      <c r="AF1011" s="22" t="s">
        <v>53</v>
      </c>
      <c r="AG1011" s="22" t="s">
        <v>53</v>
      </c>
      <c r="AH1011" s="22" t="s">
        <v>53</v>
      </c>
      <c r="AI1011" s="22" t="s">
        <v>53</v>
      </c>
      <c r="AJ1011">
        <v>0</v>
      </c>
      <c r="AK1011">
        <v>0</v>
      </c>
      <c r="AL1011">
        <v>0</v>
      </c>
      <c r="AM1011">
        <v>0</v>
      </c>
      <c r="AN1011" s="22" t="s">
        <v>53</v>
      </c>
      <c r="AO1011" s="22" t="s">
        <v>53</v>
      </c>
      <c r="AP1011" s="22" t="s">
        <v>53</v>
      </c>
      <c r="AQ1011" s="22" t="s">
        <v>53</v>
      </c>
      <c r="AR1011" s="35">
        <v>0</v>
      </c>
      <c r="AS1011" s="35">
        <v>0</v>
      </c>
      <c r="AT1011" s="35">
        <v>0</v>
      </c>
      <c r="AU1011" s="31" t="str">
        <f t="shared" si="19"/>
        <v>库存为0</v>
      </c>
      <c r="AV1011" s="36" t="str">
        <f>IFERROR(时间!$B$4+AU1011,"上周无销量")</f>
        <v>上周无销量</v>
      </c>
    </row>
    <row r="1012" spans="1:48">
      <c r="A1012" s="20" t="s">
        <v>2261</v>
      </c>
      <c r="B1012" t="s">
        <v>2262</v>
      </c>
      <c r="C1012" t="s">
        <v>2232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53</v>
      </c>
      <c r="Q1012" t="s">
        <v>53</v>
      </c>
      <c r="R1012" t="s">
        <v>53</v>
      </c>
      <c r="S1012" t="s">
        <v>53</v>
      </c>
      <c r="T1012" t="s">
        <v>53</v>
      </c>
      <c r="U1012" t="s">
        <v>53</v>
      </c>
      <c r="V1012" t="s">
        <v>53</v>
      </c>
      <c r="W1012" t="s">
        <v>53</v>
      </c>
      <c r="X1012" s="22" t="s">
        <v>53</v>
      </c>
      <c r="Y1012" s="22" t="s">
        <v>53</v>
      </c>
      <c r="Z1012" s="22" t="s">
        <v>53</v>
      </c>
      <c r="AA1012" s="22" t="s">
        <v>53</v>
      </c>
      <c r="AB1012" t="s">
        <v>53</v>
      </c>
      <c r="AC1012" t="s">
        <v>53</v>
      </c>
      <c r="AD1012" t="s">
        <v>53</v>
      </c>
      <c r="AE1012" t="s">
        <v>53</v>
      </c>
      <c r="AF1012" s="22" t="s">
        <v>53</v>
      </c>
      <c r="AG1012" s="22" t="s">
        <v>53</v>
      </c>
      <c r="AH1012" s="22" t="s">
        <v>53</v>
      </c>
      <c r="AI1012" s="22" t="s">
        <v>53</v>
      </c>
      <c r="AJ1012">
        <v>0</v>
      </c>
      <c r="AK1012">
        <v>0</v>
      </c>
      <c r="AL1012">
        <v>0</v>
      </c>
      <c r="AM1012">
        <v>0</v>
      </c>
      <c r="AN1012" s="22" t="s">
        <v>53</v>
      </c>
      <c r="AO1012" s="22" t="s">
        <v>53</v>
      </c>
      <c r="AP1012" s="22" t="s">
        <v>53</v>
      </c>
      <c r="AQ1012" s="22" t="s">
        <v>53</v>
      </c>
      <c r="AR1012" s="35">
        <v>0</v>
      </c>
      <c r="AS1012" s="35">
        <v>0</v>
      </c>
      <c r="AT1012" s="35">
        <v>0</v>
      </c>
      <c r="AU1012" s="31" t="str">
        <f t="shared" si="19"/>
        <v>库存为0</v>
      </c>
      <c r="AV1012" s="36" t="str">
        <f>IFERROR(时间!$B$4+AU1012,"上周无销量")</f>
        <v>上周无销量</v>
      </c>
    </row>
    <row r="1013" spans="1:48">
      <c r="A1013" s="20" t="s">
        <v>2263</v>
      </c>
      <c r="B1013" t="s">
        <v>2264</v>
      </c>
      <c r="C1013" t="s">
        <v>2232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53</v>
      </c>
      <c r="Q1013" t="s">
        <v>53</v>
      </c>
      <c r="R1013" t="s">
        <v>53</v>
      </c>
      <c r="S1013" t="s">
        <v>53</v>
      </c>
      <c r="T1013" t="s">
        <v>53</v>
      </c>
      <c r="U1013" t="s">
        <v>53</v>
      </c>
      <c r="V1013" t="s">
        <v>53</v>
      </c>
      <c r="W1013" t="s">
        <v>53</v>
      </c>
      <c r="X1013" s="22" t="s">
        <v>53</v>
      </c>
      <c r="Y1013" s="22" t="s">
        <v>53</v>
      </c>
      <c r="Z1013" s="22" t="s">
        <v>53</v>
      </c>
      <c r="AA1013" s="22" t="s">
        <v>53</v>
      </c>
      <c r="AB1013" t="s">
        <v>53</v>
      </c>
      <c r="AC1013" t="s">
        <v>53</v>
      </c>
      <c r="AD1013" t="s">
        <v>53</v>
      </c>
      <c r="AE1013" t="s">
        <v>53</v>
      </c>
      <c r="AF1013" s="22" t="s">
        <v>53</v>
      </c>
      <c r="AG1013" s="22" t="s">
        <v>53</v>
      </c>
      <c r="AH1013" s="22" t="s">
        <v>53</v>
      </c>
      <c r="AI1013" s="22" t="s">
        <v>53</v>
      </c>
      <c r="AJ1013">
        <v>0</v>
      </c>
      <c r="AK1013">
        <v>0</v>
      </c>
      <c r="AL1013">
        <v>0</v>
      </c>
      <c r="AM1013">
        <v>0</v>
      </c>
      <c r="AN1013" s="22" t="s">
        <v>53</v>
      </c>
      <c r="AO1013" s="22" t="s">
        <v>53</v>
      </c>
      <c r="AP1013" s="22" t="s">
        <v>53</v>
      </c>
      <c r="AQ1013" s="22" t="s">
        <v>53</v>
      </c>
      <c r="AR1013" s="35">
        <v>0</v>
      </c>
      <c r="AS1013" s="35">
        <v>0</v>
      </c>
      <c r="AT1013" s="35">
        <v>0</v>
      </c>
      <c r="AU1013" s="31" t="str">
        <f t="shared" si="19"/>
        <v>库存为0</v>
      </c>
      <c r="AV1013" s="36" t="str">
        <f>IFERROR(时间!$B$4+AU1013,"上周无销量")</f>
        <v>上周无销量</v>
      </c>
    </row>
    <row r="1014" spans="1:48">
      <c r="A1014" s="20" t="s">
        <v>2265</v>
      </c>
      <c r="B1014" t="s">
        <v>2266</v>
      </c>
      <c r="C1014" t="s">
        <v>2232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0</v>
      </c>
      <c r="J1014" s="33">
        <v>0</v>
      </c>
      <c r="K1014" s="33">
        <v>0</v>
      </c>
      <c r="L1014" s="33">
        <v>0</v>
      </c>
      <c r="M1014">
        <v>0</v>
      </c>
      <c r="N1014">
        <v>0</v>
      </c>
      <c r="O1014">
        <v>0</v>
      </c>
      <c r="P1014" t="s">
        <v>53</v>
      </c>
      <c r="Q1014" t="s">
        <v>53</v>
      </c>
      <c r="R1014" t="s">
        <v>53</v>
      </c>
      <c r="S1014" t="s">
        <v>53</v>
      </c>
      <c r="T1014" t="s">
        <v>53</v>
      </c>
      <c r="U1014" t="s">
        <v>53</v>
      </c>
      <c r="V1014" t="s">
        <v>53</v>
      </c>
      <c r="W1014" t="s">
        <v>53</v>
      </c>
      <c r="X1014" s="22" t="s">
        <v>53</v>
      </c>
      <c r="Y1014" s="22" t="s">
        <v>53</v>
      </c>
      <c r="Z1014" s="22" t="s">
        <v>53</v>
      </c>
      <c r="AA1014" s="22" t="s">
        <v>53</v>
      </c>
      <c r="AB1014" t="s">
        <v>53</v>
      </c>
      <c r="AC1014" t="s">
        <v>53</v>
      </c>
      <c r="AD1014" t="s">
        <v>53</v>
      </c>
      <c r="AE1014" t="s">
        <v>53</v>
      </c>
      <c r="AF1014" s="22" t="s">
        <v>53</v>
      </c>
      <c r="AG1014" s="22" t="s">
        <v>53</v>
      </c>
      <c r="AH1014" s="22" t="s">
        <v>53</v>
      </c>
      <c r="AI1014" s="22" t="s">
        <v>53</v>
      </c>
      <c r="AJ1014">
        <v>0</v>
      </c>
      <c r="AK1014">
        <v>0</v>
      </c>
      <c r="AL1014">
        <v>0</v>
      </c>
      <c r="AM1014">
        <v>0</v>
      </c>
      <c r="AN1014" s="22" t="s">
        <v>53</v>
      </c>
      <c r="AO1014" s="22" t="s">
        <v>53</v>
      </c>
      <c r="AP1014" s="22" t="s">
        <v>53</v>
      </c>
      <c r="AQ1014" s="22" t="s">
        <v>53</v>
      </c>
      <c r="AR1014" s="35">
        <v>0</v>
      </c>
      <c r="AS1014" s="35">
        <v>0</v>
      </c>
      <c r="AT1014" s="35">
        <v>0</v>
      </c>
      <c r="AU1014" s="31" t="str">
        <f t="shared" si="19"/>
        <v>库存为0</v>
      </c>
      <c r="AV1014" s="36" t="str">
        <f>IFERROR(时间!$B$4+AU1014,"上周无销量")</f>
        <v>上周无销量</v>
      </c>
    </row>
    <row r="1015" spans="1:48">
      <c r="A1015" s="20" t="s">
        <v>2267</v>
      </c>
      <c r="B1015" t="s">
        <v>2268</v>
      </c>
      <c r="C1015" t="s">
        <v>2232</v>
      </c>
      <c r="D1015" s="31">
        <v>0</v>
      </c>
      <c r="E1015" s="31">
        <v>0</v>
      </c>
      <c r="F1015" s="31">
        <v>1</v>
      </c>
      <c r="G1015" s="31">
        <v>0</v>
      </c>
      <c r="H1015" s="32">
        <v>10</v>
      </c>
      <c r="I1015">
        <v>5</v>
      </c>
      <c r="J1015" s="33">
        <v>0</v>
      </c>
      <c r="K1015" s="33">
        <v>0</v>
      </c>
      <c r="L1015" s="33">
        <v>0</v>
      </c>
      <c r="M1015">
        <v>5</v>
      </c>
      <c r="N1015">
        <v>0</v>
      </c>
      <c r="O1015">
        <v>5</v>
      </c>
      <c r="P1015" t="s">
        <v>53</v>
      </c>
      <c r="Q1015" t="s">
        <v>53</v>
      </c>
      <c r="R1015" t="s">
        <v>53</v>
      </c>
      <c r="S1015" t="s">
        <v>53</v>
      </c>
      <c r="T1015" t="s">
        <v>53</v>
      </c>
      <c r="U1015" t="s">
        <v>53</v>
      </c>
      <c r="V1015" t="s">
        <v>53</v>
      </c>
      <c r="W1015" t="s">
        <v>53</v>
      </c>
      <c r="X1015" s="22" t="s">
        <v>53</v>
      </c>
      <c r="Y1015" s="22" t="s">
        <v>53</v>
      </c>
      <c r="Z1015" s="22" t="s">
        <v>53</v>
      </c>
      <c r="AA1015" s="22" t="s">
        <v>53</v>
      </c>
      <c r="AB1015" t="s">
        <v>53</v>
      </c>
      <c r="AC1015" t="s">
        <v>53</v>
      </c>
      <c r="AD1015" t="s">
        <v>53</v>
      </c>
      <c r="AE1015" t="s">
        <v>53</v>
      </c>
      <c r="AF1015" s="22" t="s">
        <v>53</v>
      </c>
      <c r="AG1015" s="22" t="s">
        <v>53</v>
      </c>
      <c r="AH1015" s="22" t="s">
        <v>53</v>
      </c>
      <c r="AI1015" s="22" t="s">
        <v>53</v>
      </c>
      <c r="AJ1015">
        <v>5</v>
      </c>
      <c r="AK1015">
        <v>9</v>
      </c>
      <c r="AL1015">
        <v>6</v>
      </c>
      <c r="AM1015">
        <v>9</v>
      </c>
      <c r="AN1015" s="22">
        <v>0</v>
      </c>
      <c r="AO1015" s="22">
        <v>0</v>
      </c>
      <c r="AP1015" s="22">
        <v>0.166666666666667</v>
      </c>
      <c r="AQ1015" s="22">
        <v>0</v>
      </c>
      <c r="AR1015" s="35">
        <v>0</v>
      </c>
      <c r="AS1015" s="35">
        <v>0</v>
      </c>
      <c r="AT1015" s="35">
        <v>5</v>
      </c>
      <c r="AU1015" s="31" t="str">
        <f t="shared" si="19"/>
        <v>库存为5</v>
      </c>
      <c r="AV1015" s="36" t="str">
        <f>IFERROR(时间!$B$4+AU1015,"上周无销量")</f>
        <v>上周无销量</v>
      </c>
    </row>
    <row r="1016" spans="1:48">
      <c r="A1016" s="20" t="s">
        <v>2269</v>
      </c>
      <c r="B1016" t="s">
        <v>2270</v>
      </c>
      <c r="C1016" t="s">
        <v>2232</v>
      </c>
      <c r="D1016" s="31">
        <v>1</v>
      </c>
      <c r="E1016" s="31">
        <v>0</v>
      </c>
      <c r="F1016" s="31">
        <v>0</v>
      </c>
      <c r="G1016" s="31">
        <v>0</v>
      </c>
      <c r="H1016" s="32">
        <v>13.99</v>
      </c>
      <c r="I1016">
        <v>7</v>
      </c>
      <c r="J1016" s="33">
        <v>0</v>
      </c>
      <c r="K1016" s="33">
        <v>0</v>
      </c>
      <c r="L1016" s="33">
        <v>0</v>
      </c>
      <c r="M1016">
        <v>7</v>
      </c>
      <c r="N1016">
        <v>0</v>
      </c>
      <c r="O1016">
        <v>7</v>
      </c>
      <c r="P1016">
        <v>576</v>
      </c>
      <c r="Q1016">
        <v>211</v>
      </c>
      <c r="R1016">
        <v>173</v>
      </c>
      <c r="S1016">
        <v>373</v>
      </c>
      <c r="T1016">
        <v>5</v>
      </c>
      <c r="U1016">
        <v>0</v>
      </c>
      <c r="V1016">
        <v>2</v>
      </c>
      <c r="W1016">
        <v>4</v>
      </c>
      <c r="X1016" s="22">
        <v>0.00868055555555556</v>
      </c>
      <c r="Y1016" s="22">
        <v>0</v>
      </c>
      <c r="Z1016" s="22">
        <v>0.0115606936416185</v>
      </c>
      <c r="AA1016" s="22">
        <v>0.0107238605898123</v>
      </c>
      <c r="AB1016">
        <v>0.86</v>
      </c>
      <c r="AC1016">
        <v>0</v>
      </c>
      <c r="AD1016">
        <v>0.26</v>
      </c>
      <c r="AE1016">
        <v>1.04</v>
      </c>
      <c r="AF1016" s="22">
        <v>0.0614724803431022</v>
      </c>
      <c r="AG1016" s="22" t="s">
        <v>53</v>
      </c>
      <c r="AH1016" s="22" t="s">
        <v>2271</v>
      </c>
      <c r="AI1016" s="22" t="s">
        <v>2272</v>
      </c>
      <c r="AJ1016">
        <v>8</v>
      </c>
      <c r="AK1016">
        <v>11</v>
      </c>
      <c r="AL1016">
        <v>4</v>
      </c>
      <c r="AM1016">
        <v>7</v>
      </c>
      <c r="AN1016" s="22">
        <v>0.125</v>
      </c>
      <c r="AO1016" s="22">
        <v>0</v>
      </c>
      <c r="AP1016" s="22">
        <v>0</v>
      </c>
      <c r="AQ1016" s="22">
        <v>0</v>
      </c>
      <c r="AR1016" s="35">
        <v>0.142857142857143</v>
      </c>
      <c r="AS1016" s="35">
        <v>8.57142857142857</v>
      </c>
      <c r="AT1016" s="35">
        <v>-1.57142857142857</v>
      </c>
      <c r="AU1016" s="31">
        <f t="shared" si="19"/>
        <v>49</v>
      </c>
      <c r="AV1016" s="36">
        <f>IFERROR(时间!$B$4+AU1016,"上周无销量")</f>
        <v>43381</v>
      </c>
    </row>
    <row r="1017" spans="1:48">
      <c r="A1017" s="20" t="s">
        <v>2273</v>
      </c>
      <c r="B1017" t="s">
        <v>2274</v>
      </c>
      <c r="C1017" t="s">
        <v>2275</v>
      </c>
      <c r="D1017" s="31">
        <v>1</v>
      </c>
      <c r="E1017" s="31">
        <v>2</v>
      </c>
      <c r="F1017" s="31">
        <v>0</v>
      </c>
      <c r="G1017" s="31">
        <v>0</v>
      </c>
      <c r="H1017" s="32">
        <v>24.49</v>
      </c>
      <c r="I1017">
        <v>10</v>
      </c>
      <c r="J1017" s="33">
        <v>0</v>
      </c>
      <c r="K1017" s="33">
        <v>0</v>
      </c>
      <c r="L1017" s="33">
        <v>0</v>
      </c>
      <c r="M1017">
        <v>10</v>
      </c>
      <c r="N1017">
        <v>0</v>
      </c>
      <c r="O1017">
        <v>0</v>
      </c>
      <c r="P1017" t="s">
        <v>53</v>
      </c>
      <c r="Q1017" t="s">
        <v>53</v>
      </c>
      <c r="R1017" t="s">
        <v>53</v>
      </c>
      <c r="S1017" t="s">
        <v>53</v>
      </c>
      <c r="T1017" t="s">
        <v>53</v>
      </c>
      <c r="U1017" t="s">
        <v>53</v>
      </c>
      <c r="V1017" t="s">
        <v>53</v>
      </c>
      <c r="W1017" t="s">
        <v>53</v>
      </c>
      <c r="X1017" s="22" t="s">
        <v>53</v>
      </c>
      <c r="Y1017" s="22" t="s">
        <v>53</v>
      </c>
      <c r="Z1017" s="22" t="s">
        <v>53</v>
      </c>
      <c r="AA1017" s="22" t="s">
        <v>53</v>
      </c>
      <c r="AB1017" t="s">
        <v>53</v>
      </c>
      <c r="AC1017" t="s">
        <v>53</v>
      </c>
      <c r="AD1017" t="s">
        <v>53</v>
      </c>
      <c r="AE1017" t="s">
        <v>53</v>
      </c>
      <c r="AF1017" s="22" t="s">
        <v>53</v>
      </c>
      <c r="AG1017" s="22" t="s">
        <v>53</v>
      </c>
      <c r="AH1017" s="22" t="s">
        <v>53</v>
      </c>
      <c r="AI1017" s="22" t="s">
        <v>53</v>
      </c>
      <c r="AJ1017">
        <v>81</v>
      </c>
      <c r="AK1017">
        <v>63</v>
      </c>
      <c r="AL1017">
        <v>49</v>
      </c>
      <c r="AM1017">
        <v>44</v>
      </c>
      <c r="AN1017" s="22">
        <v>0.0123456790123457</v>
      </c>
      <c r="AO1017" s="22">
        <v>0.0317460317460317</v>
      </c>
      <c r="AP1017" s="22">
        <v>0</v>
      </c>
      <c r="AQ1017" s="22">
        <v>0</v>
      </c>
      <c r="AR1017" s="35">
        <v>0.142857142857143</v>
      </c>
      <c r="AS1017" s="35">
        <v>8.57142857142857</v>
      </c>
      <c r="AT1017" s="35">
        <v>1.42857142857143</v>
      </c>
      <c r="AU1017" s="31">
        <f t="shared" si="19"/>
        <v>70</v>
      </c>
      <c r="AV1017" s="36">
        <f>IFERROR(时间!$B$4+AU1017,"上周无销量")</f>
        <v>43402</v>
      </c>
    </row>
    <row r="1018" spans="1:48">
      <c r="A1018" s="20" t="s">
        <v>2276</v>
      </c>
      <c r="B1018" t="s">
        <v>2277</v>
      </c>
      <c r="C1018" t="s">
        <v>2275</v>
      </c>
      <c r="D1018" s="31">
        <v>1</v>
      </c>
      <c r="E1018" s="31">
        <v>4</v>
      </c>
      <c r="F1018" s="31">
        <v>0</v>
      </c>
      <c r="G1018" s="31">
        <v>2</v>
      </c>
      <c r="H1018" s="32">
        <v>9.9</v>
      </c>
      <c r="I1018">
        <v>18</v>
      </c>
      <c r="J1018" s="33">
        <v>0</v>
      </c>
      <c r="K1018" s="33">
        <v>0</v>
      </c>
      <c r="L1018" s="33">
        <v>1</v>
      </c>
      <c r="M1018">
        <v>19</v>
      </c>
      <c r="N1018">
        <v>0</v>
      </c>
      <c r="O1018">
        <v>2</v>
      </c>
      <c r="P1018" t="s">
        <v>53</v>
      </c>
      <c r="Q1018" t="s">
        <v>53</v>
      </c>
      <c r="R1018" t="s">
        <v>53</v>
      </c>
      <c r="S1018" t="s">
        <v>53</v>
      </c>
      <c r="T1018" t="s">
        <v>53</v>
      </c>
      <c r="U1018" t="s">
        <v>53</v>
      </c>
      <c r="V1018" t="s">
        <v>53</v>
      </c>
      <c r="W1018" t="s">
        <v>53</v>
      </c>
      <c r="X1018" s="22" t="s">
        <v>53</v>
      </c>
      <c r="Y1018" s="22" t="s">
        <v>53</v>
      </c>
      <c r="Z1018" s="22" t="s">
        <v>53</v>
      </c>
      <c r="AA1018" s="22" t="s">
        <v>53</v>
      </c>
      <c r="AB1018" t="s">
        <v>53</v>
      </c>
      <c r="AC1018" t="s">
        <v>53</v>
      </c>
      <c r="AD1018" t="s">
        <v>53</v>
      </c>
      <c r="AE1018" t="s">
        <v>53</v>
      </c>
      <c r="AF1018" s="22" t="s">
        <v>53</v>
      </c>
      <c r="AG1018" s="22" t="s">
        <v>53</v>
      </c>
      <c r="AH1018" s="22" t="s">
        <v>53</v>
      </c>
      <c r="AI1018" s="22" t="s">
        <v>53</v>
      </c>
      <c r="AJ1018">
        <v>67</v>
      </c>
      <c r="AK1018">
        <v>64</v>
      </c>
      <c r="AL1018">
        <v>35</v>
      </c>
      <c r="AM1018">
        <v>46</v>
      </c>
      <c r="AN1018" s="22">
        <v>0.0149253731343284</v>
      </c>
      <c r="AO1018" s="22">
        <v>0.0625</v>
      </c>
      <c r="AP1018" s="22">
        <v>0</v>
      </c>
      <c r="AQ1018" s="22">
        <v>0.0434782608695652</v>
      </c>
      <c r="AR1018" s="35">
        <v>0.142857142857143</v>
      </c>
      <c r="AS1018" s="35">
        <v>8.57142857142857</v>
      </c>
      <c r="AT1018" s="35">
        <v>10.4285714285714</v>
      </c>
      <c r="AU1018" s="31">
        <f t="shared" si="19"/>
        <v>133</v>
      </c>
      <c r="AV1018" s="36">
        <f>IFERROR(时间!$B$4+AU1018,"上周无销量")</f>
        <v>43465</v>
      </c>
    </row>
    <row r="1019" spans="1:48">
      <c r="A1019" s="20" t="s">
        <v>2278</v>
      </c>
      <c r="B1019" t="s">
        <v>2279</v>
      </c>
      <c r="C1019" t="s">
        <v>2280</v>
      </c>
      <c r="D1019" s="31">
        <v>8</v>
      </c>
      <c r="E1019" s="31">
        <v>9</v>
      </c>
      <c r="F1019" s="31">
        <v>2</v>
      </c>
      <c r="G1019" s="31">
        <v>3</v>
      </c>
      <c r="H1019" s="32">
        <v>9.91227272727273</v>
      </c>
      <c r="I1019">
        <v>0</v>
      </c>
      <c r="J1019" s="33">
        <v>12</v>
      </c>
      <c r="K1019" s="33">
        <v>0</v>
      </c>
      <c r="L1019" s="33">
        <v>0</v>
      </c>
      <c r="M1019">
        <v>12</v>
      </c>
      <c r="N1019">
        <v>1</v>
      </c>
      <c r="O1019">
        <v>0</v>
      </c>
      <c r="P1019">
        <v>114</v>
      </c>
      <c r="Q1019">
        <v>132</v>
      </c>
      <c r="R1019">
        <v>116</v>
      </c>
      <c r="S1019">
        <v>150</v>
      </c>
      <c r="T1019">
        <v>0</v>
      </c>
      <c r="U1019">
        <v>0</v>
      </c>
      <c r="V1019">
        <v>0</v>
      </c>
      <c r="W1019">
        <v>3</v>
      </c>
      <c r="X1019" s="22">
        <v>0</v>
      </c>
      <c r="Y1019" s="22">
        <v>0</v>
      </c>
      <c r="Z1019" s="22">
        <v>0</v>
      </c>
      <c r="AA1019" s="22">
        <v>0.02</v>
      </c>
      <c r="AB1019">
        <v>0</v>
      </c>
      <c r="AC1019">
        <v>0</v>
      </c>
      <c r="AD1019">
        <v>0</v>
      </c>
      <c r="AE1019">
        <v>0.45</v>
      </c>
      <c r="AF1019" s="22" t="s">
        <v>53</v>
      </c>
      <c r="AG1019" s="22" t="s">
        <v>53</v>
      </c>
      <c r="AH1019" s="22" t="s">
        <v>53</v>
      </c>
      <c r="AI1019" s="22">
        <v>0.0151327555372128</v>
      </c>
      <c r="AJ1019">
        <v>102</v>
      </c>
      <c r="AK1019">
        <v>84</v>
      </c>
      <c r="AL1019">
        <v>62</v>
      </c>
      <c r="AM1019">
        <v>56</v>
      </c>
      <c r="AN1019" s="22">
        <v>0.0784313725490196</v>
      </c>
      <c r="AO1019" s="22">
        <v>0.107142857142857</v>
      </c>
      <c r="AP1019" s="22">
        <v>0.032258064516129</v>
      </c>
      <c r="AQ1019" s="22">
        <v>0.0535714285714286</v>
      </c>
      <c r="AR1019" s="35">
        <v>1.14285714285714</v>
      </c>
      <c r="AS1019" s="35">
        <v>68.5714285714286</v>
      </c>
      <c r="AT1019" s="35">
        <v>-56.5714285714286</v>
      </c>
      <c r="AU1019" s="31">
        <f t="shared" si="19"/>
        <v>10</v>
      </c>
      <c r="AV1019" s="36">
        <f>IFERROR(时间!$B$4+AU1019,"上周无销量")</f>
        <v>43342</v>
      </c>
    </row>
    <row r="1020" spans="1:48">
      <c r="A1020" s="20" t="s">
        <v>2281</v>
      </c>
      <c r="B1020" t="s">
        <v>2282</v>
      </c>
      <c r="C1020" t="s">
        <v>2283</v>
      </c>
      <c r="D1020" s="31">
        <v>2</v>
      </c>
      <c r="E1020" s="31">
        <v>5</v>
      </c>
      <c r="F1020" s="31">
        <v>4</v>
      </c>
      <c r="G1020" s="31">
        <v>3</v>
      </c>
      <c r="H1020" s="32">
        <v>9.90642857142857</v>
      </c>
      <c r="I1020">
        <v>2</v>
      </c>
      <c r="J1020" s="33">
        <v>0</v>
      </c>
      <c r="K1020" s="33">
        <v>0</v>
      </c>
      <c r="L1020" s="33">
        <v>5</v>
      </c>
      <c r="M1020">
        <v>7</v>
      </c>
      <c r="N1020">
        <v>0</v>
      </c>
      <c r="O1020">
        <v>0</v>
      </c>
      <c r="P1020" t="s">
        <v>53</v>
      </c>
      <c r="Q1020" t="s">
        <v>53</v>
      </c>
      <c r="R1020" t="s">
        <v>53</v>
      </c>
      <c r="S1020" t="s">
        <v>53</v>
      </c>
      <c r="T1020" t="s">
        <v>53</v>
      </c>
      <c r="U1020" t="s">
        <v>53</v>
      </c>
      <c r="V1020" t="s">
        <v>53</v>
      </c>
      <c r="W1020" t="s">
        <v>53</v>
      </c>
      <c r="X1020" s="22" t="s">
        <v>53</v>
      </c>
      <c r="Y1020" s="22" t="s">
        <v>53</v>
      </c>
      <c r="Z1020" s="22" t="s">
        <v>53</v>
      </c>
      <c r="AA1020" s="22" t="s">
        <v>53</v>
      </c>
      <c r="AB1020" t="s">
        <v>53</v>
      </c>
      <c r="AC1020" t="s">
        <v>53</v>
      </c>
      <c r="AD1020" t="s">
        <v>53</v>
      </c>
      <c r="AE1020" t="s">
        <v>53</v>
      </c>
      <c r="AF1020" s="22" t="s">
        <v>53</v>
      </c>
      <c r="AG1020" s="22" t="s">
        <v>53</v>
      </c>
      <c r="AH1020" s="22" t="s">
        <v>53</v>
      </c>
      <c r="AI1020" s="22" t="s">
        <v>53</v>
      </c>
      <c r="AJ1020">
        <v>107</v>
      </c>
      <c r="AK1020">
        <v>116</v>
      </c>
      <c r="AL1020">
        <v>92</v>
      </c>
      <c r="AM1020">
        <v>67</v>
      </c>
      <c r="AN1020" s="22">
        <v>0.0186915887850467</v>
      </c>
      <c r="AO1020" s="22">
        <v>0.0431034482758621</v>
      </c>
      <c r="AP1020" s="22">
        <v>0.0434782608695652</v>
      </c>
      <c r="AQ1020" s="22">
        <v>0.0447761194029851</v>
      </c>
      <c r="AR1020" s="35">
        <v>0.285714285714286</v>
      </c>
      <c r="AS1020" s="35">
        <v>17.1428571428571</v>
      </c>
      <c r="AT1020" s="35">
        <v>-10.1428571428571</v>
      </c>
      <c r="AU1020" s="31">
        <f t="shared" si="19"/>
        <v>24</v>
      </c>
      <c r="AV1020" s="36">
        <f>IFERROR(时间!$B$4+AU1020,"上周无销量")</f>
        <v>43356</v>
      </c>
    </row>
    <row r="1021" spans="1:48">
      <c r="A1021" s="20" t="s">
        <v>2284</v>
      </c>
      <c r="B1021" t="s">
        <v>2285</v>
      </c>
      <c r="C1021" t="s">
        <v>2283</v>
      </c>
      <c r="D1021" s="31">
        <v>0</v>
      </c>
      <c r="E1021" s="31">
        <v>2</v>
      </c>
      <c r="F1021" s="31">
        <v>0</v>
      </c>
      <c r="G1021" s="31">
        <v>0</v>
      </c>
      <c r="H1021" s="32">
        <v>9.9</v>
      </c>
      <c r="I1021">
        <v>10</v>
      </c>
      <c r="J1021" s="33">
        <v>0</v>
      </c>
      <c r="K1021" s="33">
        <v>0</v>
      </c>
      <c r="L1021" s="33">
        <v>0</v>
      </c>
      <c r="M1021">
        <v>10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11</v>
      </c>
      <c r="T1021">
        <v>0</v>
      </c>
      <c r="U1021">
        <v>0</v>
      </c>
      <c r="V1021">
        <v>0</v>
      </c>
      <c r="W1021">
        <v>0</v>
      </c>
      <c r="X1021" s="22" t="s">
        <v>53</v>
      </c>
      <c r="Y1021" s="22" t="s">
        <v>53</v>
      </c>
      <c r="Z1021" s="22" t="s">
        <v>53</v>
      </c>
      <c r="AA1021" s="22">
        <v>0</v>
      </c>
      <c r="AB1021">
        <v>0</v>
      </c>
      <c r="AC1021">
        <v>0</v>
      </c>
      <c r="AD1021">
        <v>0</v>
      </c>
      <c r="AE1021">
        <v>0</v>
      </c>
      <c r="AF1021" s="22" t="s">
        <v>53</v>
      </c>
      <c r="AG1021" s="22" t="s">
        <v>53</v>
      </c>
      <c r="AH1021" s="22" t="s">
        <v>53</v>
      </c>
      <c r="AI1021" s="22" t="s">
        <v>53</v>
      </c>
      <c r="AJ1021">
        <v>50</v>
      </c>
      <c r="AK1021">
        <v>26</v>
      </c>
      <c r="AL1021">
        <v>24</v>
      </c>
      <c r="AM1021">
        <v>22</v>
      </c>
      <c r="AN1021" s="22">
        <v>0</v>
      </c>
      <c r="AO1021" s="22">
        <v>0.0769230769230769</v>
      </c>
      <c r="AP1021" s="22">
        <v>0</v>
      </c>
      <c r="AQ1021" s="22">
        <v>0</v>
      </c>
      <c r="AR1021" s="35">
        <v>0</v>
      </c>
      <c r="AS1021" s="35">
        <v>0</v>
      </c>
      <c r="AT1021" s="35">
        <v>10</v>
      </c>
      <c r="AU1021" s="31" t="str">
        <f t="shared" si="19"/>
        <v>库存为10</v>
      </c>
      <c r="AV1021" s="36" t="str">
        <f>IFERROR(时间!$B$4+AU1021,"上周无销量")</f>
        <v>上周无销量</v>
      </c>
    </row>
    <row r="1022" spans="1:48">
      <c r="A1022" s="20" t="s">
        <v>2286</v>
      </c>
      <c r="B1022" t="s">
        <v>2287</v>
      </c>
      <c r="C1022" t="s">
        <v>2288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3</v>
      </c>
      <c r="O1022">
        <v>0</v>
      </c>
      <c r="P1022" t="s">
        <v>53</v>
      </c>
      <c r="Q1022" t="s">
        <v>53</v>
      </c>
      <c r="R1022" t="s">
        <v>53</v>
      </c>
      <c r="S1022" t="s">
        <v>53</v>
      </c>
      <c r="T1022" t="s">
        <v>53</v>
      </c>
      <c r="U1022" t="s">
        <v>53</v>
      </c>
      <c r="V1022" t="s">
        <v>53</v>
      </c>
      <c r="W1022" t="s">
        <v>53</v>
      </c>
      <c r="X1022" s="22" t="s">
        <v>53</v>
      </c>
      <c r="Y1022" s="22" t="s">
        <v>53</v>
      </c>
      <c r="Z1022" s="22" t="s">
        <v>53</v>
      </c>
      <c r="AA1022" s="22" t="s">
        <v>53</v>
      </c>
      <c r="AB1022" t="s">
        <v>53</v>
      </c>
      <c r="AC1022" t="s">
        <v>53</v>
      </c>
      <c r="AD1022" t="s">
        <v>53</v>
      </c>
      <c r="AE1022" t="s">
        <v>53</v>
      </c>
      <c r="AF1022" s="22" t="s">
        <v>53</v>
      </c>
      <c r="AG1022" s="22" t="s">
        <v>53</v>
      </c>
      <c r="AH1022" s="22" t="s">
        <v>53</v>
      </c>
      <c r="AI1022" s="22" t="s">
        <v>53</v>
      </c>
      <c r="AJ1022">
        <v>0</v>
      </c>
      <c r="AK1022">
        <v>0</v>
      </c>
      <c r="AL1022">
        <v>0</v>
      </c>
      <c r="AM1022">
        <v>0</v>
      </c>
      <c r="AN1022" s="22" t="s">
        <v>53</v>
      </c>
      <c r="AO1022" s="22" t="s">
        <v>53</v>
      </c>
      <c r="AP1022" s="22" t="s">
        <v>53</v>
      </c>
      <c r="AQ1022" s="22" t="s">
        <v>53</v>
      </c>
      <c r="AR1022" s="35">
        <v>0</v>
      </c>
      <c r="AS1022" s="35">
        <v>0</v>
      </c>
      <c r="AT1022" s="35">
        <v>0</v>
      </c>
      <c r="AU1022" s="31" t="str">
        <f t="shared" si="19"/>
        <v>库存为0</v>
      </c>
      <c r="AV1022" s="36" t="str">
        <f>IFERROR(时间!$B$4+AU1022,"上周无销量")</f>
        <v>上周无销量</v>
      </c>
    </row>
    <row r="1023" spans="1:48">
      <c r="A1023" s="20" t="s">
        <v>2289</v>
      </c>
      <c r="B1023" t="s">
        <v>2290</v>
      </c>
      <c r="C1023" t="s">
        <v>2291</v>
      </c>
      <c r="D1023" s="31">
        <v>5</v>
      </c>
      <c r="E1023" s="31">
        <v>7</v>
      </c>
      <c r="F1023" s="31">
        <v>6</v>
      </c>
      <c r="G1023" s="31">
        <v>5</v>
      </c>
      <c r="H1023" s="32">
        <v>9.95217391304348</v>
      </c>
      <c r="I1023">
        <v>62</v>
      </c>
      <c r="J1023" s="33">
        <v>1</v>
      </c>
      <c r="K1023" s="33">
        <v>0</v>
      </c>
      <c r="L1023" s="33">
        <v>4</v>
      </c>
      <c r="M1023">
        <v>67</v>
      </c>
      <c r="N1023">
        <v>0</v>
      </c>
      <c r="O1023">
        <v>0</v>
      </c>
      <c r="P1023">
        <v>5933</v>
      </c>
      <c r="Q1023">
        <v>4676</v>
      </c>
      <c r="R1023">
        <v>3278</v>
      </c>
      <c r="S1023">
        <v>7350</v>
      </c>
      <c r="T1023">
        <v>56</v>
      </c>
      <c r="U1023">
        <v>47</v>
      </c>
      <c r="V1023">
        <v>24</v>
      </c>
      <c r="W1023">
        <v>89</v>
      </c>
      <c r="X1023" s="22">
        <v>0.00943873251306253</v>
      </c>
      <c r="Y1023" s="22">
        <v>0.0100513259195894</v>
      </c>
      <c r="Z1023" s="22">
        <v>0.0073215375228798</v>
      </c>
      <c r="AA1023" s="22">
        <v>0.012108843537415</v>
      </c>
      <c r="AB1023">
        <v>7.92</v>
      </c>
      <c r="AC1023">
        <v>6.29</v>
      </c>
      <c r="AD1023">
        <v>3.15</v>
      </c>
      <c r="AE1023">
        <v>14.42</v>
      </c>
      <c r="AF1023" s="22">
        <v>0.15916120576671</v>
      </c>
      <c r="AG1023" s="22">
        <v>0.0902889596205455</v>
      </c>
      <c r="AH1023" s="22">
        <v>0.0527522935779816</v>
      </c>
      <c r="AI1023" s="22">
        <v>0.289785932721712</v>
      </c>
      <c r="AJ1023">
        <v>160</v>
      </c>
      <c r="AK1023">
        <v>148</v>
      </c>
      <c r="AL1023">
        <v>64</v>
      </c>
      <c r="AM1023">
        <v>89</v>
      </c>
      <c r="AN1023" s="22">
        <v>0.03125</v>
      </c>
      <c r="AO1023" s="22">
        <v>0.0472972972972973</v>
      </c>
      <c r="AP1023" s="22">
        <v>0.09375</v>
      </c>
      <c r="AQ1023" s="22">
        <v>0.0561797752808989</v>
      </c>
      <c r="AR1023" s="35">
        <v>0.714285714285714</v>
      </c>
      <c r="AS1023" s="35">
        <v>42.8571428571429</v>
      </c>
      <c r="AT1023" s="35">
        <v>24.1428571428571</v>
      </c>
      <c r="AU1023" s="31">
        <f t="shared" si="19"/>
        <v>93</v>
      </c>
      <c r="AV1023" s="36">
        <f>IFERROR(时间!$B$4+AU1023,"上周无销量")</f>
        <v>43425</v>
      </c>
    </row>
    <row r="1024" spans="1:48">
      <c r="A1024" s="20" t="s">
        <v>2292</v>
      </c>
      <c r="B1024" t="s">
        <v>2293</v>
      </c>
      <c r="C1024" t="s">
        <v>2291</v>
      </c>
      <c r="D1024" s="31">
        <v>1</v>
      </c>
      <c r="E1024" s="31">
        <v>2</v>
      </c>
      <c r="F1024" s="31">
        <v>2</v>
      </c>
      <c r="G1024" s="31">
        <v>1</v>
      </c>
      <c r="H1024" s="32">
        <v>8.99</v>
      </c>
      <c r="I1024">
        <v>9</v>
      </c>
      <c r="J1024" s="33">
        <v>0</v>
      </c>
      <c r="K1024" s="33">
        <v>0</v>
      </c>
      <c r="L1024" s="33">
        <v>1</v>
      </c>
      <c r="M1024">
        <v>10</v>
      </c>
      <c r="N1024">
        <v>0</v>
      </c>
      <c r="O1024">
        <v>0</v>
      </c>
      <c r="P1024" t="s">
        <v>53</v>
      </c>
      <c r="Q1024" t="s">
        <v>53</v>
      </c>
      <c r="R1024" t="s">
        <v>53</v>
      </c>
      <c r="S1024" t="s">
        <v>53</v>
      </c>
      <c r="T1024" t="s">
        <v>53</v>
      </c>
      <c r="U1024" t="s">
        <v>53</v>
      </c>
      <c r="V1024" t="s">
        <v>53</v>
      </c>
      <c r="W1024" t="s">
        <v>53</v>
      </c>
      <c r="X1024" s="22" t="s">
        <v>53</v>
      </c>
      <c r="Y1024" s="22" t="s">
        <v>53</v>
      </c>
      <c r="Z1024" s="22" t="s">
        <v>53</v>
      </c>
      <c r="AA1024" s="22" t="s">
        <v>53</v>
      </c>
      <c r="AB1024" t="s">
        <v>53</v>
      </c>
      <c r="AC1024" t="s">
        <v>53</v>
      </c>
      <c r="AD1024" t="s">
        <v>53</v>
      </c>
      <c r="AE1024" t="s">
        <v>53</v>
      </c>
      <c r="AF1024" s="22" t="s">
        <v>53</v>
      </c>
      <c r="AG1024" s="22" t="s">
        <v>53</v>
      </c>
      <c r="AH1024" s="22" t="s">
        <v>53</v>
      </c>
      <c r="AI1024" s="22" t="s">
        <v>53</v>
      </c>
      <c r="AJ1024">
        <v>37</v>
      </c>
      <c r="AK1024">
        <v>30</v>
      </c>
      <c r="AL1024">
        <v>76</v>
      </c>
      <c r="AM1024">
        <v>21</v>
      </c>
      <c r="AN1024" s="22">
        <v>0.027027027027027</v>
      </c>
      <c r="AO1024" s="22">
        <v>0.0666666666666667</v>
      </c>
      <c r="AP1024" s="22">
        <v>0.0263157894736842</v>
      </c>
      <c r="AQ1024" s="22">
        <v>0.0476190476190476</v>
      </c>
      <c r="AR1024" s="35">
        <v>0.142857142857143</v>
      </c>
      <c r="AS1024" s="35">
        <v>8.57142857142857</v>
      </c>
      <c r="AT1024" s="35">
        <v>1.42857142857143</v>
      </c>
      <c r="AU1024" s="31">
        <f t="shared" si="19"/>
        <v>70</v>
      </c>
      <c r="AV1024" s="36">
        <f>IFERROR(时间!$B$4+AU1024,"上周无销量")</f>
        <v>43402</v>
      </c>
    </row>
    <row r="1025" spans="1:48">
      <c r="A1025" s="20" t="s">
        <v>2294</v>
      </c>
      <c r="B1025" t="s">
        <v>2295</v>
      </c>
      <c r="C1025" t="s">
        <v>2296</v>
      </c>
      <c r="D1025" s="31">
        <v>33</v>
      </c>
      <c r="E1025" s="31">
        <v>52</v>
      </c>
      <c r="F1025" s="31">
        <v>41</v>
      </c>
      <c r="G1025" s="31">
        <v>44</v>
      </c>
      <c r="H1025" s="32">
        <v>9.90582352941178</v>
      </c>
      <c r="I1025">
        <v>108</v>
      </c>
      <c r="J1025" s="33">
        <v>60</v>
      </c>
      <c r="K1025" s="33">
        <v>0</v>
      </c>
      <c r="L1025" s="33">
        <v>3</v>
      </c>
      <c r="M1025">
        <v>171</v>
      </c>
      <c r="N1025">
        <v>3</v>
      </c>
      <c r="O1025">
        <v>0</v>
      </c>
      <c r="P1025">
        <v>20251</v>
      </c>
      <c r="Q1025">
        <v>19934</v>
      </c>
      <c r="R1025">
        <v>21229</v>
      </c>
      <c r="S1025">
        <v>26742</v>
      </c>
      <c r="T1025">
        <v>200</v>
      </c>
      <c r="U1025">
        <v>243</v>
      </c>
      <c r="V1025">
        <v>203</v>
      </c>
      <c r="W1025">
        <v>243</v>
      </c>
      <c r="X1025" s="22">
        <v>0.00987605550343193</v>
      </c>
      <c r="Y1025" s="22">
        <v>0.0121902277515802</v>
      </c>
      <c r="Z1025" s="22">
        <v>0.00956239106882095</v>
      </c>
      <c r="AA1025" s="22">
        <v>0.00908682970608032</v>
      </c>
      <c r="AB1025">
        <v>64.54</v>
      </c>
      <c r="AC1025">
        <v>70.94</v>
      </c>
      <c r="AD1025">
        <v>42.72</v>
      </c>
      <c r="AE1025">
        <v>49.76</v>
      </c>
      <c r="AF1025" s="22">
        <v>0.197435131965622</v>
      </c>
      <c r="AG1025" s="22">
        <v>0.137720075991681</v>
      </c>
      <c r="AH1025" s="22">
        <v>0.105185723975245</v>
      </c>
      <c r="AI1025" s="22">
        <v>0.114166084985389</v>
      </c>
      <c r="AJ1025">
        <v>522</v>
      </c>
      <c r="AK1025">
        <v>589</v>
      </c>
      <c r="AL1025">
        <v>351</v>
      </c>
      <c r="AM1025">
        <v>372</v>
      </c>
      <c r="AN1025" s="22">
        <v>0.0632183908045977</v>
      </c>
      <c r="AO1025" s="22">
        <v>0.0882852292020374</v>
      </c>
      <c r="AP1025" s="22">
        <v>0.116809116809117</v>
      </c>
      <c r="AQ1025" s="22">
        <v>0.118279569892473</v>
      </c>
      <c r="AR1025" s="35">
        <v>4.71428571428571</v>
      </c>
      <c r="AS1025" s="35">
        <v>282.857142857143</v>
      </c>
      <c r="AT1025" s="35">
        <v>-111.857142857143</v>
      </c>
      <c r="AU1025" s="31">
        <f t="shared" si="19"/>
        <v>36</v>
      </c>
      <c r="AV1025" s="36">
        <f>IFERROR(时间!$B$4+AU1025,"上周无销量")</f>
        <v>43368</v>
      </c>
    </row>
    <row r="1026" spans="1:48">
      <c r="A1026" s="20" t="s">
        <v>2297</v>
      </c>
      <c r="B1026" t="s">
        <v>2298</v>
      </c>
      <c r="C1026" t="s">
        <v>2296</v>
      </c>
      <c r="D1026" s="31">
        <v>21</v>
      </c>
      <c r="E1026" s="31">
        <v>24</v>
      </c>
      <c r="F1026" s="31">
        <v>26</v>
      </c>
      <c r="G1026" s="31">
        <v>15</v>
      </c>
      <c r="H1026" s="32">
        <v>9.07139534883722</v>
      </c>
      <c r="I1026">
        <v>19</v>
      </c>
      <c r="J1026" s="33">
        <v>28</v>
      </c>
      <c r="K1026" s="33">
        <v>1</v>
      </c>
      <c r="L1026" s="33">
        <v>0</v>
      </c>
      <c r="M1026">
        <v>48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1995</v>
      </c>
      <c r="T1026">
        <v>0</v>
      </c>
      <c r="U1026">
        <v>0</v>
      </c>
      <c r="V1026">
        <v>0</v>
      </c>
      <c r="W1026">
        <v>25</v>
      </c>
      <c r="X1026" s="22" t="s">
        <v>53</v>
      </c>
      <c r="Y1026" s="22" t="s">
        <v>53</v>
      </c>
      <c r="Z1026" s="22" t="s">
        <v>53</v>
      </c>
      <c r="AA1026" s="22">
        <v>0.012531328320802</v>
      </c>
      <c r="AB1026">
        <v>0</v>
      </c>
      <c r="AC1026">
        <v>0</v>
      </c>
      <c r="AD1026">
        <v>0</v>
      </c>
      <c r="AE1026">
        <v>7.87</v>
      </c>
      <c r="AF1026" s="22" t="s">
        <v>53</v>
      </c>
      <c r="AG1026" s="22" t="s">
        <v>53</v>
      </c>
      <c r="AH1026" s="22" t="s">
        <v>53</v>
      </c>
      <c r="AI1026" s="22">
        <v>0.0578374821613214</v>
      </c>
      <c r="AJ1026">
        <v>227</v>
      </c>
      <c r="AK1026">
        <v>184</v>
      </c>
      <c r="AL1026">
        <v>142</v>
      </c>
      <c r="AM1026">
        <v>139</v>
      </c>
      <c r="AN1026" s="22">
        <v>0.092511013215859</v>
      </c>
      <c r="AO1026" s="22">
        <v>0.130434782608696</v>
      </c>
      <c r="AP1026" s="22">
        <v>0.183098591549296</v>
      </c>
      <c r="AQ1026" s="22">
        <v>0.107913669064748</v>
      </c>
      <c r="AR1026" s="35">
        <v>3</v>
      </c>
      <c r="AS1026" s="35">
        <v>180</v>
      </c>
      <c r="AT1026" s="35">
        <v>-132</v>
      </c>
      <c r="AU1026" s="31">
        <f t="shared" si="19"/>
        <v>16</v>
      </c>
      <c r="AV1026" s="36">
        <f>IFERROR(时间!$B$4+AU1026,"上周无销量")</f>
        <v>43348</v>
      </c>
    </row>
    <row r="1027" spans="1:48">
      <c r="A1027" s="20" t="s">
        <v>2299</v>
      </c>
      <c r="B1027" t="s">
        <v>2300</v>
      </c>
      <c r="C1027" t="s">
        <v>2301</v>
      </c>
      <c r="D1027" s="31">
        <v>3</v>
      </c>
      <c r="E1027" s="31">
        <v>3</v>
      </c>
      <c r="F1027" s="31">
        <v>6</v>
      </c>
      <c r="G1027" s="31">
        <v>3</v>
      </c>
      <c r="H1027" s="32">
        <v>12.9</v>
      </c>
      <c r="I1027">
        <v>28</v>
      </c>
      <c r="J1027" s="33">
        <v>0</v>
      </c>
      <c r="K1027" s="33">
        <v>0</v>
      </c>
      <c r="L1027" s="33">
        <v>10</v>
      </c>
      <c r="M1027">
        <v>38</v>
      </c>
      <c r="N1027">
        <v>0</v>
      </c>
      <c r="O1027">
        <v>0</v>
      </c>
      <c r="P1027">
        <v>2717</v>
      </c>
      <c r="Q1027">
        <v>3606</v>
      </c>
      <c r="R1027">
        <v>2614</v>
      </c>
      <c r="S1027">
        <v>1803</v>
      </c>
      <c r="T1027">
        <v>30</v>
      </c>
      <c r="U1027">
        <v>30</v>
      </c>
      <c r="V1027">
        <v>25</v>
      </c>
      <c r="W1027">
        <v>13</v>
      </c>
      <c r="X1027" s="22">
        <v>0.0110415899889584</v>
      </c>
      <c r="Y1027" s="22">
        <v>0.00831946755407654</v>
      </c>
      <c r="Z1027" s="22">
        <v>0.00956388676358072</v>
      </c>
      <c r="AA1027" s="22">
        <v>0.007210205213533</v>
      </c>
      <c r="AB1027">
        <v>13.9</v>
      </c>
      <c r="AC1027">
        <v>14.39</v>
      </c>
      <c r="AD1027">
        <v>11.71</v>
      </c>
      <c r="AE1027">
        <v>6.32</v>
      </c>
      <c r="AF1027" s="22">
        <v>0.359173126614987</v>
      </c>
      <c r="AG1027" s="22">
        <v>0.371834625322997</v>
      </c>
      <c r="AH1027" s="22">
        <v>0.151291989664083</v>
      </c>
      <c r="AI1027" s="22">
        <v>0.163307493540052</v>
      </c>
      <c r="AJ1027">
        <v>125</v>
      </c>
      <c r="AK1027">
        <v>91</v>
      </c>
      <c r="AL1027">
        <v>75</v>
      </c>
      <c r="AM1027">
        <v>63</v>
      </c>
      <c r="AN1027" s="22">
        <v>0.024</v>
      </c>
      <c r="AO1027" s="22">
        <v>0.032967032967033</v>
      </c>
      <c r="AP1027" s="22">
        <v>0.08</v>
      </c>
      <c r="AQ1027" s="22">
        <v>0.0476190476190476</v>
      </c>
      <c r="AR1027" s="35">
        <v>0.428571428571429</v>
      </c>
      <c r="AS1027" s="35">
        <v>25.7142857142857</v>
      </c>
      <c r="AT1027" s="35">
        <v>12.2857142857143</v>
      </c>
      <c r="AU1027" s="31">
        <f t="shared" si="19"/>
        <v>88</v>
      </c>
      <c r="AV1027" s="36">
        <f>IFERROR(时间!$B$4+AU1027,"上周无销量")</f>
        <v>43420</v>
      </c>
    </row>
    <row r="1028" spans="1:48">
      <c r="A1028" s="20" t="s">
        <v>2302</v>
      </c>
      <c r="B1028" t="s">
        <v>2303</v>
      </c>
      <c r="C1028" t="s">
        <v>2301</v>
      </c>
      <c r="D1028" s="31">
        <v>0</v>
      </c>
      <c r="E1028" s="31">
        <v>0</v>
      </c>
      <c r="F1028" s="31">
        <v>1</v>
      </c>
      <c r="G1028" s="31">
        <v>0</v>
      </c>
      <c r="H1028" s="32">
        <v>12.9</v>
      </c>
      <c r="I1028">
        <v>24</v>
      </c>
      <c r="J1028" s="33">
        <v>0</v>
      </c>
      <c r="K1028" s="33">
        <v>0</v>
      </c>
      <c r="L1028" s="33">
        <v>0</v>
      </c>
      <c r="M1028">
        <v>24</v>
      </c>
      <c r="N1028">
        <v>0</v>
      </c>
      <c r="O1028">
        <v>24</v>
      </c>
      <c r="P1028">
        <v>552</v>
      </c>
      <c r="Q1028">
        <v>513</v>
      </c>
      <c r="R1028">
        <v>479</v>
      </c>
      <c r="S1028">
        <v>286</v>
      </c>
      <c r="T1028">
        <v>8</v>
      </c>
      <c r="U1028">
        <v>2</v>
      </c>
      <c r="V1028">
        <v>4</v>
      </c>
      <c r="W1028">
        <v>2</v>
      </c>
      <c r="X1028" s="22">
        <v>0.0144927536231884</v>
      </c>
      <c r="Y1028" s="22">
        <v>0.00389863547758285</v>
      </c>
      <c r="Z1028" s="22">
        <v>0.00835073068893528</v>
      </c>
      <c r="AA1028" s="22">
        <v>0.00699300699300699</v>
      </c>
      <c r="AB1028">
        <v>5.29</v>
      </c>
      <c r="AC1028">
        <v>1.92</v>
      </c>
      <c r="AD1028">
        <v>3.86</v>
      </c>
      <c r="AE1028">
        <v>1.77</v>
      </c>
      <c r="AF1028" s="22" t="s">
        <v>2304</v>
      </c>
      <c r="AG1028" s="22" t="s">
        <v>2305</v>
      </c>
      <c r="AH1028" s="22">
        <v>0.29922480620155</v>
      </c>
      <c r="AI1028" s="22" t="s">
        <v>2306</v>
      </c>
      <c r="AJ1028">
        <v>54</v>
      </c>
      <c r="AK1028">
        <v>39</v>
      </c>
      <c r="AL1028">
        <v>30</v>
      </c>
      <c r="AM1028">
        <v>34</v>
      </c>
      <c r="AN1028" s="22">
        <v>0</v>
      </c>
      <c r="AO1028" s="22">
        <v>0</v>
      </c>
      <c r="AP1028" s="22">
        <v>0.0333333333333333</v>
      </c>
      <c r="AQ1028" s="22">
        <v>0</v>
      </c>
      <c r="AR1028" s="35">
        <v>0</v>
      </c>
      <c r="AS1028" s="35">
        <v>0</v>
      </c>
      <c r="AT1028" s="35">
        <v>24</v>
      </c>
      <c r="AU1028" s="31" t="str">
        <f t="shared" si="19"/>
        <v>库存为24</v>
      </c>
      <c r="AV1028" s="36" t="str">
        <f>IFERROR(时间!$B$4+AU1028,"上周无销量")</f>
        <v>上周无销量</v>
      </c>
    </row>
    <row r="1029" spans="1:48">
      <c r="A1029" s="20" t="s">
        <v>2307</v>
      </c>
      <c r="B1029" t="s">
        <v>2308</v>
      </c>
      <c r="C1029" t="s">
        <v>2309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2</v>
      </c>
      <c r="J1029" s="33">
        <v>0</v>
      </c>
      <c r="K1029" s="33">
        <v>0</v>
      </c>
      <c r="L1029" s="33">
        <v>0</v>
      </c>
      <c r="M1029">
        <v>2</v>
      </c>
      <c r="N1029">
        <v>0</v>
      </c>
      <c r="O1029">
        <v>0</v>
      </c>
      <c r="P1029" t="s">
        <v>53</v>
      </c>
      <c r="Q1029" t="s">
        <v>53</v>
      </c>
      <c r="R1029" t="s">
        <v>53</v>
      </c>
      <c r="S1029" t="s">
        <v>53</v>
      </c>
      <c r="T1029" t="s">
        <v>53</v>
      </c>
      <c r="U1029" t="s">
        <v>53</v>
      </c>
      <c r="V1029" t="s">
        <v>53</v>
      </c>
      <c r="W1029" t="s">
        <v>53</v>
      </c>
      <c r="X1029" s="22" t="s">
        <v>53</v>
      </c>
      <c r="Y1029" s="22" t="s">
        <v>53</v>
      </c>
      <c r="Z1029" s="22" t="s">
        <v>53</v>
      </c>
      <c r="AA1029" s="22" t="s">
        <v>53</v>
      </c>
      <c r="AB1029" t="s">
        <v>53</v>
      </c>
      <c r="AC1029" t="s">
        <v>53</v>
      </c>
      <c r="AD1029" t="s">
        <v>53</v>
      </c>
      <c r="AE1029" t="s">
        <v>53</v>
      </c>
      <c r="AF1029" s="22" t="s">
        <v>53</v>
      </c>
      <c r="AG1029" s="22" t="s">
        <v>53</v>
      </c>
      <c r="AH1029" s="22" t="s">
        <v>53</v>
      </c>
      <c r="AI1029" s="22" t="s">
        <v>53</v>
      </c>
      <c r="AJ1029">
        <v>48</v>
      </c>
      <c r="AK1029">
        <v>38</v>
      </c>
      <c r="AL1029">
        <v>24</v>
      </c>
      <c r="AM1029">
        <v>24</v>
      </c>
      <c r="AN1029" s="22">
        <v>0</v>
      </c>
      <c r="AO1029" s="22">
        <v>0</v>
      </c>
      <c r="AP1029" s="22">
        <v>0</v>
      </c>
      <c r="AQ1029" s="22">
        <v>0</v>
      </c>
      <c r="AR1029" s="35">
        <v>0</v>
      </c>
      <c r="AS1029" s="35">
        <v>0</v>
      </c>
      <c r="AT1029" s="35">
        <v>2</v>
      </c>
      <c r="AU1029" s="31" t="str">
        <f t="shared" ref="AU1029:AU1081" si="20">IF(AR1029="","库存为"&amp;M1029,IF(AS1029=0,"库存为"&amp;M1029,INT(M1029/AR1029)))</f>
        <v>库存为2</v>
      </c>
      <c r="AV1029" s="36" t="str">
        <f>IFERROR(时间!$B$4+AU1029,"上周无销量")</f>
        <v>上周无销量</v>
      </c>
    </row>
    <row r="1030" spans="1:48">
      <c r="A1030" s="20" t="s">
        <v>2310</v>
      </c>
      <c r="B1030" t="s">
        <v>2311</v>
      </c>
      <c r="C1030" t="s">
        <v>2312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53</v>
      </c>
      <c r="Q1030" t="s">
        <v>53</v>
      </c>
      <c r="R1030" t="s">
        <v>53</v>
      </c>
      <c r="S1030" t="s">
        <v>53</v>
      </c>
      <c r="T1030" t="s">
        <v>53</v>
      </c>
      <c r="U1030" t="s">
        <v>53</v>
      </c>
      <c r="V1030" t="s">
        <v>53</v>
      </c>
      <c r="W1030" t="s">
        <v>53</v>
      </c>
      <c r="X1030" s="22" t="s">
        <v>53</v>
      </c>
      <c r="Y1030" s="22" t="s">
        <v>53</v>
      </c>
      <c r="Z1030" s="22" t="s">
        <v>53</v>
      </c>
      <c r="AA1030" s="22" t="s">
        <v>53</v>
      </c>
      <c r="AB1030" t="s">
        <v>53</v>
      </c>
      <c r="AC1030" t="s">
        <v>53</v>
      </c>
      <c r="AD1030" t="s">
        <v>53</v>
      </c>
      <c r="AE1030" t="s">
        <v>53</v>
      </c>
      <c r="AF1030" s="22" t="s">
        <v>53</v>
      </c>
      <c r="AG1030" s="22" t="s">
        <v>53</v>
      </c>
      <c r="AH1030" s="22" t="s">
        <v>53</v>
      </c>
      <c r="AI1030" s="22" t="s">
        <v>53</v>
      </c>
      <c r="AJ1030">
        <v>0</v>
      </c>
      <c r="AK1030">
        <v>0</v>
      </c>
      <c r="AL1030">
        <v>0</v>
      </c>
      <c r="AM1030">
        <v>0</v>
      </c>
      <c r="AN1030" s="22" t="s">
        <v>53</v>
      </c>
      <c r="AO1030" s="22" t="s">
        <v>53</v>
      </c>
      <c r="AP1030" s="22" t="s">
        <v>53</v>
      </c>
      <c r="AQ1030" s="22" t="s">
        <v>53</v>
      </c>
      <c r="AR1030" s="35">
        <v>0</v>
      </c>
      <c r="AS1030" s="35">
        <v>0</v>
      </c>
      <c r="AT1030" s="35">
        <v>0</v>
      </c>
      <c r="AU1030" s="31" t="str">
        <f t="shared" si="20"/>
        <v>库存为0</v>
      </c>
      <c r="AV1030" s="36" t="str">
        <f>IFERROR(时间!$B$4+AU1030,"上周无销量")</f>
        <v>上周无销量</v>
      </c>
    </row>
    <row r="1031" spans="1:48">
      <c r="A1031" s="20" t="s">
        <v>2313</v>
      </c>
      <c r="B1031" t="s">
        <v>2314</v>
      </c>
      <c r="C1031" t="s">
        <v>2315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2</v>
      </c>
      <c r="J1031" s="33">
        <v>0</v>
      </c>
      <c r="K1031" s="33">
        <v>0</v>
      </c>
      <c r="L1031" s="33">
        <v>0</v>
      </c>
      <c r="M1031">
        <v>2</v>
      </c>
      <c r="N1031">
        <v>0</v>
      </c>
      <c r="O1031">
        <v>2</v>
      </c>
      <c r="P1031" t="s">
        <v>53</v>
      </c>
      <c r="Q1031" t="s">
        <v>53</v>
      </c>
      <c r="R1031" t="s">
        <v>53</v>
      </c>
      <c r="S1031" t="s">
        <v>53</v>
      </c>
      <c r="T1031" t="s">
        <v>53</v>
      </c>
      <c r="U1031" t="s">
        <v>53</v>
      </c>
      <c r="V1031" t="s">
        <v>53</v>
      </c>
      <c r="W1031" t="s">
        <v>53</v>
      </c>
      <c r="X1031" s="22" t="s">
        <v>53</v>
      </c>
      <c r="Y1031" s="22" t="s">
        <v>53</v>
      </c>
      <c r="Z1031" s="22" t="s">
        <v>53</v>
      </c>
      <c r="AA1031" s="22" t="s">
        <v>53</v>
      </c>
      <c r="AB1031" t="s">
        <v>53</v>
      </c>
      <c r="AC1031" t="s">
        <v>53</v>
      </c>
      <c r="AD1031" t="s">
        <v>53</v>
      </c>
      <c r="AE1031" t="s">
        <v>53</v>
      </c>
      <c r="AF1031" s="22" t="s">
        <v>53</v>
      </c>
      <c r="AG1031" s="22" t="s">
        <v>53</v>
      </c>
      <c r="AH1031" s="22" t="s">
        <v>53</v>
      </c>
      <c r="AI1031" s="22" t="s">
        <v>53</v>
      </c>
      <c r="AJ1031">
        <v>4</v>
      </c>
      <c r="AK1031">
        <v>4</v>
      </c>
      <c r="AL1031">
        <v>2</v>
      </c>
      <c r="AM1031">
        <v>3</v>
      </c>
      <c r="AN1031" s="22">
        <v>0</v>
      </c>
      <c r="AO1031" s="22">
        <v>0</v>
      </c>
      <c r="AP1031" s="22">
        <v>0</v>
      </c>
      <c r="AQ1031" s="22">
        <v>0</v>
      </c>
      <c r="AR1031" s="35">
        <v>0</v>
      </c>
      <c r="AS1031" s="35">
        <v>0</v>
      </c>
      <c r="AT1031" s="35">
        <v>2</v>
      </c>
      <c r="AU1031" s="31" t="str">
        <f t="shared" si="20"/>
        <v>库存为2</v>
      </c>
      <c r="AV1031" s="36" t="str">
        <f>IFERROR(时间!$B$4+AU1031,"上周无销量")</f>
        <v>上周无销量</v>
      </c>
    </row>
    <row r="1032" spans="1:48">
      <c r="A1032" s="20" t="s">
        <v>2316</v>
      </c>
      <c r="B1032" t="s">
        <v>2317</v>
      </c>
      <c r="C1032" t="s">
        <v>2318</v>
      </c>
      <c r="D1032" s="31">
        <v>0</v>
      </c>
      <c r="E1032" s="31">
        <v>1</v>
      </c>
      <c r="F1032" s="31">
        <v>2</v>
      </c>
      <c r="G1032" s="31">
        <v>1</v>
      </c>
      <c r="H1032" s="32">
        <v>16.99</v>
      </c>
      <c r="I1032">
        <v>0</v>
      </c>
      <c r="J1032" s="33">
        <v>20</v>
      </c>
      <c r="K1032" s="33">
        <v>0</v>
      </c>
      <c r="L1032" s="33">
        <v>0</v>
      </c>
      <c r="M1032">
        <v>20</v>
      </c>
      <c r="N1032">
        <v>1</v>
      </c>
      <c r="O1032">
        <v>0</v>
      </c>
      <c r="P1032">
        <v>0</v>
      </c>
      <c r="Q1032">
        <v>0</v>
      </c>
      <c r="R1032">
        <v>312</v>
      </c>
      <c r="S1032">
        <v>0</v>
      </c>
      <c r="T1032">
        <v>0</v>
      </c>
      <c r="U1032">
        <v>0</v>
      </c>
      <c r="V1032">
        <v>4</v>
      </c>
      <c r="W1032">
        <v>0</v>
      </c>
      <c r="X1032" s="22" t="s">
        <v>53</v>
      </c>
      <c r="Y1032" s="22" t="s">
        <v>53</v>
      </c>
      <c r="Z1032" s="22">
        <v>0.0128205128205128</v>
      </c>
      <c r="AA1032" s="22" t="s">
        <v>53</v>
      </c>
      <c r="AB1032">
        <v>0</v>
      </c>
      <c r="AC1032">
        <v>0</v>
      </c>
      <c r="AD1032">
        <v>1.84</v>
      </c>
      <c r="AE1032">
        <v>0</v>
      </c>
      <c r="AF1032" s="22" t="s">
        <v>53</v>
      </c>
      <c r="AG1032" s="22" t="s">
        <v>53</v>
      </c>
      <c r="AH1032" s="22">
        <v>0.0541494997057092</v>
      </c>
      <c r="AI1032" s="22" t="s">
        <v>53</v>
      </c>
      <c r="AJ1032">
        <v>0</v>
      </c>
      <c r="AK1032">
        <v>0</v>
      </c>
      <c r="AL1032">
        <v>59</v>
      </c>
      <c r="AM1032">
        <v>23</v>
      </c>
      <c r="AN1032" s="22" t="s">
        <v>53</v>
      </c>
      <c r="AO1032" s="22" t="s">
        <v>53</v>
      </c>
      <c r="AP1032" s="22">
        <v>0.0338983050847458</v>
      </c>
      <c r="AQ1032" s="22">
        <v>0.0434782608695652</v>
      </c>
      <c r="AR1032" s="35">
        <v>0</v>
      </c>
      <c r="AS1032" s="35">
        <v>0</v>
      </c>
      <c r="AT1032" s="35">
        <v>20</v>
      </c>
      <c r="AU1032" s="31" t="str">
        <f t="shared" si="20"/>
        <v>库存为20</v>
      </c>
      <c r="AV1032" s="36" t="str">
        <f>IFERROR(时间!$B$4+AU1032,"上周无销量")</f>
        <v>上周无销量</v>
      </c>
    </row>
    <row r="1033" spans="1:48">
      <c r="A1033" s="20" t="s">
        <v>2319</v>
      </c>
      <c r="B1033" t="s">
        <v>2320</v>
      </c>
      <c r="C1033" t="s">
        <v>2318</v>
      </c>
      <c r="D1033" s="31">
        <v>1</v>
      </c>
      <c r="E1033" s="31">
        <v>2</v>
      </c>
      <c r="F1033" s="31">
        <v>1</v>
      </c>
      <c r="G1033" s="31">
        <v>0</v>
      </c>
      <c r="H1033" s="32">
        <v>21.99</v>
      </c>
      <c r="I1033">
        <v>0</v>
      </c>
      <c r="J1033" s="33">
        <v>0</v>
      </c>
      <c r="K1033" s="33">
        <v>0</v>
      </c>
      <c r="L1033" s="33">
        <v>1</v>
      </c>
      <c r="M1033">
        <v>1</v>
      </c>
      <c r="N1033">
        <v>0</v>
      </c>
      <c r="O1033">
        <v>0</v>
      </c>
      <c r="P1033">
        <v>105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 s="22">
        <v>0</v>
      </c>
      <c r="Y1033" s="22" t="s">
        <v>53</v>
      </c>
      <c r="Z1033" s="22" t="s">
        <v>53</v>
      </c>
      <c r="AA1033" s="22" t="s">
        <v>53</v>
      </c>
      <c r="AB1033">
        <v>0</v>
      </c>
      <c r="AC1033">
        <v>0</v>
      </c>
      <c r="AD1033">
        <v>0</v>
      </c>
      <c r="AE1033">
        <v>0</v>
      </c>
      <c r="AF1033" s="22" t="s">
        <v>53</v>
      </c>
      <c r="AG1033" s="22" t="s">
        <v>53</v>
      </c>
      <c r="AH1033" s="22" t="s">
        <v>53</v>
      </c>
      <c r="AI1033" s="22" t="s">
        <v>53</v>
      </c>
      <c r="AJ1033">
        <v>99</v>
      </c>
      <c r="AK1033">
        <v>65</v>
      </c>
      <c r="AL1033">
        <v>27</v>
      </c>
      <c r="AM1033">
        <v>18</v>
      </c>
      <c r="AN1033" s="22">
        <v>0.0101010101010101</v>
      </c>
      <c r="AO1033" s="22">
        <v>0.0307692307692308</v>
      </c>
      <c r="AP1033" s="22">
        <v>0.037037037037037</v>
      </c>
      <c r="AQ1033" s="22">
        <v>0</v>
      </c>
      <c r="AR1033" s="35">
        <v>0.142857142857143</v>
      </c>
      <c r="AS1033" s="35">
        <v>8.57142857142857</v>
      </c>
      <c r="AT1033" s="35">
        <v>-7.57142857142857</v>
      </c>
      <c r="AU1033" s="31">
        <f t="shared" si="20"/>
        <v>7</v>
      </c>
      <c r="AV1033" s="36">
        <f>IFERROR(时间!$B$4+AU1033,"上周无销量")</f>
        <v>43339</v>
      </c>
    </row>
    <row r="1034" spans="1:48">
      <c r="A1034" s="20" t="s">
        <v>2321</v>
      </c>
      <c r="B1034" t="s">
        <v>2322</v>
      </c>
      <c r="C1034" t="s">
        <v>2318</v>
      </c>
      <c r="D1034" s="31">
        <v>1</v>
      </c>
      <c r="E1034" s="31">
        <v>0</v>
      </c>
      <c r="F1034" s="31">
        <v>2</v>
      </c>
      <c r="G1034" s="31">
        <v>2</v>
      </c>
      <c r="H1034" s="32">
        <v>25.99</v>
      </c>
      <c r="I1034">
        <v>10</v>
      </c>
      <c r="J1034" s="33">
        <v>5</v>
      </c>
      <c r="K1034" s="33">
        <v>0</v>
      </c>
      <c r="L1034" s="33">
        <v>0</v>
      </c>
      <c r="M1034">
        <v>15</v>
      </c>
      <c r="N1034">
        <v>0</v>
      </c>
      <c r="O1034">
        <v>0</v>
      </c>
      <c r="P1034">
        <v>6901</v>
      </c>
      <c r="Q1034">
        <v>0</v>
      </c>
      <c r="R1034">
        <v>830</v>
      </c>
      <c r="S1034">
        <v>2216</v>
      </c>
      <c r="T1034">
        <v>48</v>
      </c>
      <c r="U1034">
        <v>0</v>
      </c>
      <c r="V1034">
        <v>5</v>
      </c>
      <c r="W1034">
        <v>25</v>
      </c>
      <c r="X1034" s="22">
        <v>0.00695551369366758</v>
      </c>
      <c r="Y1034" s="22" t="s">
        <v>53</v>
      </c>
      <c r="Z1034" s="22">
        <v>0.00602409638554217</v>
      </c>
      <c r="AA1034" s="22">
        <v>0.0112815884476534</v>
      </c>
      <c r="AB1034">
        <v>14.27</v>
      </c>
      <c r="AC1034">
        <v>0</v>
      </c>
      <c r="AD1034">
        <v>1.67</v>
      </c>
      <c r="AE1034">
        <v>11.73</v>
      </c>
      <c r="AF1034" s="22">
        <v>0.549057329742209</v>
      </c>
      <c r="AG1034" s="22" t="s">
        <v>53</v>
      </c>
      <c r="AH1034" s="22">
        <v>0.032127741439015</v>
      </c>
      <c r="AI1034" s="22">
        <v>0.225663716814159</v>
      </c>
      <c r="AJ1034">
        <v>84</v>
      </c>
      <c r="AK1034">
        <v>40</v>
      </c>
      <c r="AL1034">
        <v>7</v>
      </c>
      <c r="AM1034">
        <v>48</v>
      </c>
      <c r="AN1034" s="22">
        <v>0.0119047619047619</v>
      </c>
      <c r="AO1034" s="22">
        <v>0</v>
      </c>
      <c r="AP1034" s="22">
        <v>0.285714285714286</v>
      </c>
      <c r="AQ1034" s="22">
        <v>0.0416666666666667</v>
      </c>
      <c r="AR1034" s="35">
        <v>0.142857142857143</v>
      </c>
      <c r="AS1034" s="35">
        <v>8.57142857142857</v>
      </c>
      <c r="AT1034" s="35">
        <v>6.42857142857143</v>
      </c>
      <c r="AU1034" s="31">
        <f t="shared" si="20"/>
        <v>105</v>
      </c>
      <c r="AV1034" s="36">
        <f>IFERROR(时间!$B$4+AU1034,"上周无销量")</f>
        <v>43437</v>
      </c>
    </row>
    <row r="1035" spans="1:48">
      <c r="A1035" s="20" t="s">
        <v>2323</v>
      </c>
      <c r="B1035" t="s">
        <v>2324</v>
      </c>
      <c r="C1035" t="s">
        <v>2318</v>
      </c>
      <c r="D1035" s="31">
        <v>0</v>
      </c>
      <c r="E1035" s="31">
        <v>3</v>
      </c>
      <c r="F1035" s="31">
        <v>1</v>
      </c>
      <c r="G1035" s="31">
        <v>0</v>
      </c>
      <c r="H1035" s="32">
        <v>16.99</v>
      </c>
      <c r="I1035">
        <v>0</v>
      </c>
      <c r="J1035" s="33">
        <v>5</v>
      </c>
      <c r="K1035" s="33">
        <v>0</v>
      </c>
      <c r="L1035" s="33">
        <v>5</v>
      </c>
      <c r="M1035">
        <v>10</v>
      </c>
      <c r="N1035">
        <v>0</v>
      </c>
      <c r="O1035">
        <v>0</v>
      </c>
      <c r="P1035" t="s">
        <v>53</v>
      </c>
      <c r="Q1035" t="s">
        <v>53</v>
      </c>
      <c r="R1035" t="s">
        <v>53</v>
      </c>
      <c r="S1035" t="s">
        <v>53</v>
      </c>
      <c r="T1035" t="s">
        <v>53</v>
      </c>
      <c r="U1035" t="s">
        <v>53</v>
      </c>
      <c r="V1035" t="s">
        <v>53</v>
      </c>
      <c r="W1035" t="s">
        <v>53</v>
      </c>
      <c r="X1035" s="22" t="s">
        <v>53</v>
      </c>
      <c r="Y1035" s="22" t="s">
        <v>53</v>
      </c>
      <c r="Z1035" s="22" t="s">
        <v>53</v>
      </c>
      <c r="AA1035" s="22" t="s">
        <v>53</v>
      </c>
      <c r="AB1035" t="s">
        <v>53</v>
      </c>
      <c r="AC1035" t="s">
        <v>53</v>
      </c>
      <c r="AD1035" t="s">
        <v>53</v>
      </c>
      <c r="AE1035" t="s">
        <v>53</v>
      </c>
      <c r="AF1035" s="22" t="s">
        <v>53</v>
      </c>
      <c r="AG1035" s="22" t="s">
        <v>53</v>
      </c>
      <c r="AH1035" s="22" t="s">
        <v>53</v>
      </c>
      <c r="AI1035" s="22" t="s">
        <v>53</v>
      </c>
      <c r="AJ1035">
        <v>0</v>
      </c>
      <c r="AK1035">
        <v>37</v>
      </c>
      <c r="AL1035">
        <v>16</v>
      </c>
      <c r="AM1035">
        <v>36</v>
      </c>
      <c r="AN1035" s="22" t="s">
        <v>53</v>
      </c>
      <c r="AO1035" s="22">
        <v>0.0810810810810811</v>
      </c>
      <c r="AP1035" s="22">
        <v>0.0625</v>
      </c>
      <c r="AQ1035" s="22">
        <v>0</v>
      </c>
      <c r="AR1035" s="35">
        <v>0</v>
      </c>
      <c r="AS1035" s="35">
        <v>0</v>
      </c>
      <c r="AT1035" s="35">
        <v>10</v>
      </c>
      <c r="AU1035" s="31" t="str">
        <f t="shared" si="20"/>
        <v>库存为10</v>
      </c>
      <c r="AV1035" s="36" t="str">
        <f>IFERROR(时间!$B$4+AU1035,"上周无销量")</f>
        <v>上周无销量</v>
      </c>
    </row>
    <row r="1036" spans="1:48">
      <c r="A1036" s="20" t="s">
        <v>2325</v>
      </c>
      <c r="B1036" t="s">
        <v>2326</v>
      </c>
      <c r="C1036" t="s">
        <v>2318</v>
      </c>
      <c r="D1036" s="31">
        <v>1</v>
      </c>
      <c r="E1036" s="31">
        <v>1</v>
      </c>
      <c r="F1036" s="31">
        <v>2</v>
      </c>
      <c r="G1036" s="31">
        <v>0</v>
      </c>
      <c r="H1036" s="32">
        <v>21.99</v>
      </c>
      <c r="I1036">
        <v>0</v>
      </c>
      <c r="J1036" s="33">
        <v>10</v>
      </c>
      <c r="K1036" s="33">
        <v>0</v>
      </c>
      <c r="L1036" s="33">
        <v>0</v>
      </c>
      <c r="M1036">
        <v>10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17699</v>
      </c>
      <c r="T1036">
        <v>0</v>
      </c>
      <c r="U1036">
        <v>0</v>
      </c>
      <c r="V1036">
        <v>0</v>
      </c>
      <c r="W1036">
        <v>117</v>
      </c>
      <c r="X1036" s="22" t="s">
        <v>53</v>
      </c>
      <c r="Y1036" s="22" t="s">
        <v>53</v>
      </c>
      <c r="Z1036" s="22" t="s">
        <v>53</v>
      </c>
      <c r="AA1036" s="22">
        <v>0.0066105429685293</v>
      </c>
      <c r="AB1036">
        <v>0</v>
      </c>
      <c r="AC1036">
        <v>0</v>
      </c>
      <c r="AD1036">
        <v>0</v>
      </c>
      <c r="AE1036">
        <v>46.59</v>
      </c>
      <c r="AF1036" s="22" t="s">
        <v>53</v>
      </c>
      <c r="AG1036" s="22" t="s">
        <v>53</v>
      </c>
      <c r="AH1036" s="22" t="s">
        <v>53</v>
      </c>
      <c r="AI1036" s="22" t="s">
        <v>2327</v>
      </c>
      <c r="AJ1036">
        <v>18</v>
      </c>
      <c r="AK1036">
        <v>43</v>
      </c>
      <c r="AL1036">
        <v>32</v>
      </c>
      <c r="AM1036">
        <v>82</v>
      </c>
      <c r="AN1036" s="22">
        <v>0.0555555555555556</v>
      </c>
      <c r="AO1036" s="22">
        <v>0.0232558139534884</v>
      </c>
      <c r="AP1036" s="22">
        <v>0.0625</v>
      </c>
      <c r="AQ1036" s="22">
        <v>0</v>
      </c>
      <c r="AR1036" s="35">
        <v>0.142857142857143</v>
      </c>
      <c r="AS1036" s="35">
        <v>8.57142857142857</v>
      </c>
      <c r="AT1036" s="35">
        <v>1.42857142857143</v>
      </c>
      <c r="AU1036" s="31">
        <f t="shared" si="20"/>
        <v>70</v>
      </c>
      <c r="AV1036" s="36">
        <f>IFERROR(时间!$B$4+AU1036,"上周无销量")</f>
        <v>43402</v>
      </c>
    </row>
    <row r="1037" spans="1:48">
      <c r="A1037" s="20" t="s">
        <v>2328</v>
      </c>
      <c r="B1037" t="s">
        <v>2329</v>
      </c>
      <c r="C1037" t="s">
        <v>2318</v>
      </c>
      <c r="D1037" s="31">
        <v>2</v>
      </c>
      <c r="E1037" s="31">
        <v>0</v>
      </c>
      <c r="F1037" s="31">
        <v>1</v>
      </c>
      <c r="G1037" s="31">
        <v>2</v>
      </c>
      <c r="H1037" s="32">
        <v>25.99</v>
      </c>
      <c r="I1037">
        <v>0</v>
      </c>
      <c r="J1037" s="33">
        <v>0</v>
      </c>
      <c r="K1037" s="33">
        <v>9</v>
      </c>
      <c r="L1037" s="33">
        <v>0</v>
      </c>
      <c r="M1037">
        <v>9</v>
      </c>
      <c r="N1037">
        <v>0</v>
      </c>
      <c r="O1037">
        <v>0</v>
      </c>
      <c r="P1037">
        <v>133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 s="22">
        <v>0</v>
      </c>
      <c r="Y1037" s="22" t="s">
        <v>53</v>
      </c>
      <c r="Z1037" s="22" t="s">
        <v>53</v>
      </c>
      <c r="AA1037" s="22" t="s">
        <v>53</v>
      </c>
      <c r="AB1037">
        <v>0</v>
      </c>
      <c r="AC1037">
        <v>0</v>
      </c>
      <c r="AD1037">
        <v>0</v>
      </c>
      <c r="AE1037">
        <v>0</v>
      </c>
      <c r="AF1037" s="22" t="s">
        <v>53</v>
      </c>
      <c r="AG1037" s="22" t="s">
        <v>53</v>
      </c>
      <c r="AH1037" s="22" t="s">
        <v>53</v>
      </c>
      <c r="AI1037" s="22" t="s">
        <v>53</v>
      </c>
      <c r="AJ1037">
        <v>48</v>
      </c>
      <c r="AK1037">
        <v>0</v>
      </c>
      <c r="AL1037">
        <v>4</v>
      </c>
      <c r="AM1037">
        <v>6</v>
      </c>
      <c r="AN1037" s="22">
        <v>0.0416666666666667</v>
      </c>
      <c r="AO1037" s="22" t="s">
        <v>53</v>
      </c>
      <c r="AP1037" s="22">
        <v>0.25</v>
      </c>
      <c r="AQ1037" s="22">
        <v>0.333333333333333</v>
      </c>
      <c r="AR1037" s="35">
        <v>0.285714285714286</v>
      </c>
      <c r="AS1037" s="35">
        <v>17.1428571428571</v>
      </c>
      <c r="AT1037" s="35">
        <v>-8.14285714285714</v>
      </c>
      <c r="AU1037" s="31">
        <f t="shared" si="20"/>
        <v>31</v>
      </c>
      <c r="AV1037" s="36">
        <f>IFERROR(时间!$B$4+AU1037,"上周无销量")</f>
        <v>43363</v>
      </c>
    </row>
    <row r="1038" spans="1:48">
      <c r="A1038" s="20" t="s">
        <v>2330</v>
      </c>
      <c r="B1038" t="s">
        <v>2331</v>
      </c>
      <c r="C1038" t="s">
        <v>2332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53</v>
      </c>
      <c r="Q1038" t="s">
        <v>53</v>
      </c>
      <c r="R1038" t="s">
        <v>53</v>
      </c>
      <c r="S1038" t="s">
        <v>53</v>
      </c>
      <c r="T1038" t="s">
        <v>53</v>
      </c>
      <c r="U1038" t="s">
        <v>53</v>
      </c>
      <c r="V1038" t="s">
        <v>53</v>
      </c>
      <c r="W1038" t="s">
        <v>53</v>
      </c>
      <c r="X1038" s="22" t="s">
        <v>53</v>
      </c>
      <c r="Y1038" s="22" t="s">
        <v>53</v>
      </c>
      <c r="Z1038" s="22" t="s">
        <v>53</v>
      </c>
      <c r="AA1038" s="22" t="s">
        <v>53</v>
      </c>
      <c r="AB1038" t="s">
        <v>53</v>
      </c>
      <c r="AC1038" t="s">
        <v>53</v>
      </c>
      <c r="AD1038" t="s">
        <v>53</v>
      </c>
      <c r="AE1038" t="s">
        <v>53</v>
      </c>
      <c r="AF1038" s="22" t="s">
        <v>53</v>
      </c>
      <c r="AG1038" s="22" t="s">
        <v>53</v>
      </c>
      <c r="AH1038" s="22" t="s">
        <v>53</v>
      </c>
      <c r="AI1038" s="22" t="s">
        <v>53</v>
      </c>
      <c r="AJ1038">
        <v>0</v>
      </c>
      <c r="AK1038">
        <v>0</v>
      </c>
      <c r="AL1038">
        <v>0</v>
      </c>
      <c r="AM1038">
        <v>0</v>
      </c>
      <c r="AN1038" s="22" t="s">
        <v>53</v>
      </c>
      <c r="AO1038" s="22" t="s">
        <v>53</v>
      </c>
      <c r="AP1038" s="22" t="s">
        <v>53</v>
      </c>
      <c r="AQ1038" s="22" t="s">
        <v>53</v>
      </c>
      <c r="AR1038" s="35">
        <v>0</v>
      </c>
      <c r="AS1038" s="35">
        <v>0</v>
      </c>
      <c r="AT1038" s="35">
        <v>0</v>
      </c>
      <c r="AU1038" s="31" t="str">
        <f t="shared" si="20"/>
        <v>库存为0</v>
      </c>
      <c r="AV1038" s="36" t="str">
        <f>IFERROR(时间!$B$4+AU1038,"上周无销量")</f>
        <v>上周无销量</v>
      </c>
    </row>
    <row r="1039" spans="1:48">
      <c r="A1039" s="20" t="s">
        <v>2333</v>
      </c>
      <c r="B1039" t="s">
        <v>2334</v>
      </c>
      <c r="C1039" t="s">
        <v>2335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53</v>
      </c>
      <c r="Q1039" t="s">
        <v>53</v>
      </c>
      <c r="R1039" t="s">
        <v>53</v>
      </c>
      <c r="S1039" t="s">
        <v>53</v>
      </c>
      <c r="T1039" t="s">
        <v>53</v>
      </c>
      <c r="U1039" t="s">
        <v>53</v>
      </c>
      <c r="V1039" t="s">
        <v>53</v>
      </c>
      <c r="W1039" t="s">
        <v>53</v>
      </c>
      <c r="X1039" s="22" t="s">
        <v>53</v>
      </c>
      <c r="Y1039" s="22" t="s">
        <v>53</v>
      </c>
      <c r="Z1039" s="22" t="s">
        <v>53</v>
      </c>
      <c r="AA1039" s="22" t="s">
        <v>53</v>
      </c>
      <c r="AB1039" t="s">
        <v>53</v>
      </c>
      <c r="AC1039" t="s">
        <v>53</v>
      </c>
      <c r="AD1039" t="s">
        <v>53</v>
      </c>
      <c r="AE1039" t="s">
        <v>53</v>
      </c>
      <c r="AF1039" s="22" t="s">
        <v>53</v>
      </c>
      <c r="AG1039" s="22" t="s">
        <v>53</v>
      </c>
      <c r="AH1039" s="22" t="s">
        <v>53</v>
      </c>
      <c r="AI1039" s="22" t="s">
        <v>53</v>
      </c>
      <c r="AJ1039">
        <v>2</v>
      </c>
      <c r="AK1039">
        <v>7</v>
      </c>
      <c r="AL1039">
        <v>7</v>
      </c>
      <c r="AM1039">
        <v>2</v>
      </c>
      <c r="AN1039" s="22">
        <v>0</v>
      </c>
      <c r="AO1039" s="22">
        <v>0</v>
      </c>
      <c r="AP1039" s="22">
        <v>0</v>
      </c>
      <c r="AQ1039" s="22">
        <v>0</v>
      </c>
      <c r="AR1039" s="35">
        <v>0</v>
      </c>
      <c r="AS1039" s="35">
        <v>0</v>
      </c>
      <c r="AT1039" s="35">
        <v>0</v>
      </c>
      <c r="AU1039" s="31" t="str">
        <f t="shared" si="20"/>
        <v>库存为0</v>
      </c>
      <c r="AV1039" s="36" t="str">
        <f>IFERROR(时间!$B$4+AU1039,"上周无销量")</f>
        <v>上周无销量</v>
      </c>
    </row>
    <row r="1040" spans="1:48">
      <c r="A1040" s="20" t="s">
        <v>2336</v>
      </c>
      <c r="B1040" t="s">
        <v>2337</v>
      </c>
      <c r="C1040" t="s">
        <v>2338</v>
      </c>
      <c r="D1040" s="31">
        <v>5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53</v>
      </c>
      <c r="Q1040" t="s">
        <v>53</v>
      </c>
      <c r="R1040" t="s">
        <v>53</v>
      </c>
      <c r="S1040" t="s">
        <v>53</v>
      </c>
      <c r="T1040" t="s">
        <v>53</v>
      </c>
      <c r="U1040" t="s">
        <v>53</v>
      </c>
      <c r="V1040" t="s">
        <v>53</v>
      </c>
      <c r="W1040" t="s">
        <v>53</v>
      </c>
      <c r="X1040" s="22" t="s">
        <v>53</v>
      </c>
      <c r="Y1040" s="22" t="s">
        <v>53</v>
      </c>
      <c r="Z1040" s="22" t="s">
        <v>53</v>
      </c>
      <c r="AA1040" s="22" t="s">
        <v>53</v>
      </c>
      <c r="AB1040" t="s">
        <v>53</v>
      </c>
      <c r="AC1040" t="s">
        <v>53</v>
      </c>
      <c r="AD1040" t="s">
        <v>53</v>
      </c>
      <c r="AE1040" t="s">
        <v>53</v>
      </c>
      <c r="AF1040" s="22" t="s">
        <v>53</v>
      </c>
      <c r="AG1040" s="22" t="s">
        <v>53</v>
      </c>
      <c r="AH1040" s="22" t="s">
        <v>53</v>
      </c>
      <c r="AI1040" s="22" t="s">
        <v>53</v>
      </c>
      <c r="AJ1040">
        <v>1</v>
      </c>
      <c r="AK1040">
        <v>4</v>
      </c>
      <c r="AL1040">
        <v>1</v>
      </c>
      <c r="AM1040">
        <v>2</v>
      </c>
      <c r="AN1040" s="22">
        <v>5</v>
      </c>
      <c r="AO1040" s="22">
        <v>0</v>
      </c>
      <c r="AP1040" s="22">
        <v>0</v>
      </c>
      <c r="AQ1040" s="22">
        <v>0</v>
      </c>
      <c r="AR1040" s="35">
        <v>0.714285714285714</v>
      </c>
      <c r="AS1040" s="35">
        <v>42.8571428571429</v>
      </c>
      <c r="AT1040" s="35">
        <v>-42.8571428571429</v>
      </c>
      <c r="AU1040" s="31">
        <f t="shared" si="20"/>
        <v>0</v>
      </c>
      <c r="AV1040" s="36">
        <f>IFERROR(时间!$B$4+AU1040,"上周无销量")</f>
        <v>43332</v>
      </c>
    </row>
    <row r="1041" spans="1:48">
      <c r="A1041" s="20" t="s">
        <v>2339</v>
      </c>
      <c r="B1041" t="s">
        <v>2340</v>
      </c>
      <c r="C1041" t="s">
        <v>2341</v>
      </c>
      <c r="D1041" s="31">
        <v>54</v>
      </c>
      <c r="E1041" s="31">
        <v>48</v>
      </c>
      <c r="F1041" s="31">
        <v>17</v>
      </c>
      <c r="G1041" s="31">
        <v>14</v>
      </c>
      <c r="H1041" s="32">
        <v>44.9899999999999</v>
      </c>
      <c r="I1041">
        <v>158</v>
      </c>
      <c r="J1041" s="33">
        <v>30</v>
      </c>
      <c r="K1041" s="33">
        <v>0</v>
      </c>
      <c r="L1041" s="33">
        <v>0</v>
      </c>
      <c r="M1041">
        <v>188</v>
      </c>
      <c r="N1041">
        <v>0</v>
      </c>
      <c r="O1041">
        <v>0</v>
      </c>
      <c r="P1041">
        <v>59929</v>
      </c>
      <c r="Q1041">
        <v>51964</v>
      </c>
      <c r="R1041">
        <v>58714</v>
      </c>
      <c r="S1041">
        <v>86451</v>
      </c>
      <c r="T1041">
        <v>279</v>
      </c>
      <c r="U1041">
        <v>352</v>
      </c>
      <c r="V1041">
        <v>246</v>
      </c>
      <c r="W1041">
        <v>337</v>
      </c>
      <c r="X1041" s="22">
        <v>0.00465550901900582</v>
      </c>
      <c r="Y1041" s="22">
        <v>0.00677392040643522</v>
      </c>
      <c r="Z1041" s="22">
        <v>0.00418980141022584</v>
      </c>
      <c r="AA1041" s="22">
        <v>0.00389816196458109</v>
      </c>
      <c r="AB1041">
        <v>125.68</v>
      </c>
      <c r="AC1041">
        <v>146.33</v>
      </c>
      <c r="AD1041">
        <v>104.28</v>
      </c>
      <c r="AE1041">
        <v>176.19</v>
      </c>
      <c r="AF1041" s="22">
        <v>0.0517316605336166</v>
      </c>
      <c r="AG1041" s="22">
        <v>0.0677604282433135</v>
      </c>
      <c r="AH1041" s="22">
        <v>0.136344024162232</v>
      </c>
      <c r="AI1041" s="22">
        <v>0.279728828628585</v>
      </c>
      <c r="AJ1041">
        <v>797</v>
      </c>
      <c r="AK1041">
        <v>720</v>
      </c>
      <c r="AL1041">
        <v>440</v>
      </c>
      <c r="AM1041">
        <v>435</v>
      </c>
      <c r="AN1041" s="22">
        <v>0.0677540777917189</v>
      </c>
      <c r="AO1041" s="22">
        <v>0.0666666666666667</v>
      </c>
      <c r="AP1041" s="22">
        <v>0.0386363636363636</v>
      </c>
      <c r="AQ1041" s="22">
        <v>0.032183908045977</v>
      </c>
      <c r="AR1041" s="35">
        <v>7.71428571428571</v>
      </c>
      <c r="AS1041" s="35">
        <v>462.857142857143</v>
      </c>
      <c r="AT1041" s="35">
        <v>-274.857142857143</v>
      </c>
      <c r="AU1041" s="31">
        <f t="shared" si="20"/>
        <v>24</v>
      </c>
      <c r="AV1041" s="36">
        <f>IFERROR(时间!$B$4+AU1041,"上周无销量")</f>
        <v>43356</v>
      </c>
    </row>
    <row r="1042" spans="1:48">
      <c r="A1042" s="20" t="s">
        <v>2342</v>
      </c>
      <c r="B1042" t="s">
        <v>545</v>
      </c>
      <c r="C1042" t="s">
        <v>2343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53</v>
      </c>
      <c r="Q1042" t="s">
        <v>53</v>
      </c>
      <c r="R1042" t="s">
        <v>53</v>
      </c>
      <c r="S1042" t="s">
        <v>53</v>
      </c>
      <c r="T1042" t="s">
        <v>53</v>
      </c>
      <c r="U1042" t="s">
        <v>53</v>
      </c>
      <c r="V1042" t="s">
        <v>53</v>
      </c>
      <c r="W1042" t="s">
        <v>53</v>
      </c>
      <c r="X1042" s="22" t="s">
        <v>53</v>
      </c>
      <c r="Y1042" s="22" t="s">
        <v>53</v>
      </c>
      <c r="Z1042" s="22" t="s">
        <v>53</v>
      </c>
      <c r="AA1042" s="22" t="s">
        <v>53</v>
      </c>
      <c r="AB1042" t="s">
        <v>53</v>
      </c>
      <c r="AC1042" t="s">
        <v>53</v>
      </c>
      <c r="AD1042" t="s">
        <v>53</v>
      </c>
      <c r="AE1042" t="s">
        <v>53</v>
      </c>
      <c r="AF1042" s="22" t="s">
        <v>53</v>
      </c>
      <c r="AG1042" s="22" t="s">
        <v>53</v>
      </c>
      <c r="AH1042" s="22" t="s">
        <v>53</v>
      </c>
      <c r="AI1042" s="22" t="s">
        <v>53</v>
      </c>
      <c r="AJ1042">
        <v>0</v>
      </c>
      <c r="AK1042">
        <v>0</v>
      </c>
      <c r="AL1042">
        <v>0</v>
      </c>
      <c r="AM1042">
        <v>0</v>
      </c>
      <c r="AN1042" s="22" t="s">
        <v>53</v>
      </c>
      <c r="AO1042" s="22" t="s">
        <v>53</v>
      </c>
      <c r="AP1042" s="22" t="s">
        <v>53</v>
      </c>
      <c r="AQ1042" s="22" t="s">
        <v>53</v>
      </c>
      <c r="AR1042" s="35">
        <v>0</v>
      </c>
      <c r="AS1042" s="35">
        <v>0</v>
      </c>
      <c r="AT1042" s="35">
        <v>0</v>
      </c>
      <c r="AU1042" s="31" t="str">
        <f t="shared" si="20"/>
        <v>库存为0</v>
      </c>
      <c r="AV1042" s="36" t="str">
        <f>IFERROR(时间!$B$4+AU1042,"上周无销量")</f>
        <v>上周无销量</v>
      </c>
    </row>
    <row r="1043" spans="1:48">
      <c r="A1043" s="20" t="s">
        <v>2344</v>
      </c>
      <c r="B1043" t="s">
        <v>548</v>
      </c>
      <c r="C1043" t="s">
        <v>2345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53</v>
      </c>
      <c r="Q1043" t="s">
        <v>53</v>
      </c>
      <c r="R1043" t="s">
        <v>53</v>
      </c>
      <c r="S1043" t="s">
        <v>53</v>
      </c>
      <c r="T1043" t="s">
        <v>53</v>
      </c>
      <c r="U1043" t="s">
        <v>53</v>
      </c>
      <c r="V1043" t="s">
        <v>53</v>
      </c>
      <c r="W1043" t="s">
        <v>53</v>
      </c>
      <c r="X1043" s="22" t="s">
        <v>53</v>
      </c>
      <c r="Y1043" s="22" t="s">
        <v>53</v>
      </c>
      <c r="Z1043" s="22" t="s">
        <v>53</v>
      </c>
      <c r="AA1043" s="22" t="s">
        <v>53</v>
      </c>
      <c r="AB1043" t="s">
        <v>53</v>
      </c>
      <c r="AC1043" t="s">
        <v>53</v>
      </c>
      <c r="AD1043" t="s">
        <v>53</v>
      </c>
      <c r="AE1043" t="s">
        <v>53</v>
      </c>
      <c r="AF1043" s="22" t="s">
        <v>53</v>
      </c>
      <c r="AG1043" s="22" t="s">
        <v>53</v>
      </c>
      <c r="AH1043" s="22" t="s">
        <v>53</v>
      </c>
      <c r="AI1043" s="22" t="s">
        <v>53</v>
      </c>
      <c r="AJ1043">
        <v>0</v>
      </c>
      <c r="AK1043">
        <v>0</v>
      </c>
      <c r="AL1043">
        <v>0</v>
      </c>
      <c r="AM1043">
        <v>0</v>
      </c>
      <c r="AN1043" s="22" t="s">
        <v>53</v>
      </c>
      <c r="AO1043" s="22" t="s">
        <v>53</v>
      </c>
      <c r="AP1043" s="22" t="s">
        <v>53</v>
      </c>
      <c r="AQ1043" s="22" t="s">
        <v>53</v>
      </c>
      <c r="AR1043" s="35">
        <v>0</v>
      </c>
      <c r="AS1043" s="35">
        <v>0</v>
      </c>
      <c r="AT1043" s="35">
        <v>0</v>
      </c>
      <c r="AU1043" s="31" t="str">
        <f t="shared" si="20"/>
        <v>库存为0</v>
      </c>
      <c r="AV1043" s="36" t="str">
        <f>IFERROR(时间!$B$4+AU1043,"上周无销量")</f>
        <v>上周无销量</v>
      </c>
    </row>
    <row r="1044" spans="1:48">
      <c r="A1044" s="20" t="s">
        <v>2346</v>
      </c>
      <c r="B1044" t="s">
        <v>551</v>
      </c>
      <c r="C1044" t="s">
        <v>2345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53</v>
      </c>
      <c r="Q1044" t="s">
        <v>53</v>
      </c>
      <c r="R1044" t="s">
        <v>53</v>
      </c>
      <c r="S1044" t="s">
        <v>53</v>
      </c>
      <c r="T1044" t="s">
        <v>53</v>
      </c>
      <c r="U1044" t="s">
        <v>53</v>
      </c>
      <c r="V1044" t="s">
        <v>53</v>
      </c>
      <c r="W1044" t="s">
        <v>53</v>
      </c>
      <c r="X1044" s="22" t="s">
        <v>53</v>
      </c>
      <c r="Y1044" s="22" t="s">
        <v>53</v>
      </c>
      <c r="Z1044" s="22" t="s">
        <v>53</v>
      </c>
      <c r="AA1044" s="22" t="s">
        <v>53</v>
      </c>
      <c r="AB1044" t="s">
        <v>53</v>
      </c>
      <c r="AC1044" t="s">
        <v>53</v>
      </c>
      <c r="AD1044" t="s">
        <v>53</v>
      </c>
      <c r="AE1044" t="s">
        <v>53</v>
      </c>
      <c r="AF1044" s="22" t="s">
        <v>53</v>
      </c>
      <c r="AG1044" s="22" t="s">
        <v>53</v>
      </c>
      <c r="AH1044" s="22" t="s">
        <v>53</v>
      </c>
      <c r="AI1044" s="22" t="s">
        <v>53</v>
      </c>
      <c r="AJ1044">
        <v>0</v>
      </c>
      <c r="AK1044">
        <v>0</v>
      </c>
      <c r="AL1044">
        <v>0</v>
      </c>
      <c r="AM1044">
        <v>0</v>
      </c>
      <c r="AN1044" s="22" t="s">
        <v>53</v>
      </c>
      <c r="AO1044" s="22" t="s">
        <v>53</v>
      </c>
      <c r="AP1044" s="22" t="s">
        <v>53</v>
      </c>
      <c r="AQ1044" s="22" t="s">
        <v>53</v>
      </c>
      <c r="AR1044" s="35">
        <v>0</v>
      </c>
      <c r="AS1044" s="35">
        <v>0</v>
      </c>
      <c r="AT1044" s="35">
        <v>0</v>
      </c>
      <c r="AU1044" s="31" t="str">
        <f t="shared" si="20"/>
        <v>库存为0</v>
      </c>
      <c r="AV1044" s="36" t="str">
        <f>IFERROR(时间!$B$4+AU1044,"上周无销量")</f>
        <v>上周无销量</v>
      </c>
    </row>
    <row r="1045" spans="1:48">
      <c r="A1045" s="20" t="s">
        <v>2347</v>
      </c>
      <c r="B1045" t="s">
        <v>553</v>
      </c>
      <c r="C1045" t="s">
        <v>2345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53</v>
      </c>
      <c r="Q1045" t="s">
        <v>53</v>
      </c>
      <c r="R1045" t="s">
        <v>53</v>
      </c>
      <c r="S1045" t="s">
        <v>53</v>
      </c>
      <c r="T1045" t="s">
        <v>53</v>
      </c>
      <c r="U1045" t="s">
        <v>53</v>
      </c>
      <c r="V1045" t="s">
        <v>53</v>
      </c>
      <c r="W1045" t="s">
        <v>53</v>
      </c>
      <c r="X1045" s="22" t="s">
        <v>53</v>
      </c>
      <c r="Y1045" s="22" t="s">
        <v>53</v>
      </c>
      <c r="Z1045" s="22" t="s">
        <v>53</v>
      </c>
      <c r="AA1045" s="22" t="s">
        <v>53</v>
      </c>
      <c r="AB1045" t="s">
        <v>53</v>
      </c>
      <c r="AC1045" t="s">
        <v>53</v>
      </c>
      <c r="AD1045" t="s">
        <v>53</v>
      </c>
      <c r="AE1045" t="s">
        <v>53</v>
      </c>
      <c r="AF1045" s="22" t="s">
        <v>53</v>
      </c>
      <c r="AG1045" s="22" t="s">
        <v>53</v>
      </c>
      <c r="AH1045" s="22" t="s">
        <v>53</v>
      </c>
      <c r="AI1045" s="22" t="s">
        <v>53</v>
      </c>
      <c r="AJ1045">
        <v>0</v>
      </c>
      <c r="AK1045">
        <v>0</v>
      </c>
      <c r="AL1045">
        <v>0</v>
      </c>
      <c r="AM1045">
        <v>0</v>
      </c>
      <c r="AN1045" s="22" t="s">
        <v>53</v>
      </c>
      <c r="AO1045" s="22" t="s">
        <v>53</v>
      </c>
      <c r="AP1045" s="22" t="s">
        <v>53</v>
      </c>
      <c r="AQ1045" s="22" t="s">
        <v>53</v>
      </c>
      <c r="AR1045" s="35">
        <v>0</v>
      </c>
      <c r="AS1045" s="35">
        <v>0</v>
      </c>
      <c r="AT1045" s="35">
        <v>0</v>
      </c>
      <c r="AU1045" s="31" t="str">
        <f t="shared" si="20"/>
        <v>库存为0</v>
      </c>
      <c r="AV1045" s="36" t="str">
        <f>IFERROR(时间!$B$4+AU1045,"上周无销量")</f>
        <v>上周无销量</v>
      </c>
    </row>
    <row r="1046" spans="1:48">
      <c r="A1046" s="20" t="s">
        <v>2348</v>
      </c>
      <c r="B1046" t="s">
        <v>555</v>
      </c>
      <c r="C1046" t="s">
        <v>2345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53</v>
      </c>
      <c r="Q1046" t="s">
        <v>53</v>
      </c>
      <c r="R1046" t="s">
        <v>53</v>
      </c>
      <c r="S1046" t="s">
        <v>53</v>
      </c>
      <c r="T1046" t="s">
        <v>53</v>
      </c>
      <c r="U1046" t="s">
        <v>53</v>
      </c>
      <c r="V1046" t="s">
        <v>53</v>
      </c>
      <c r="W1046" t="s">
        <v>53</v>
      </c>
      <c r="X1046" s="22" t="s">
        <v>53</v>
      </c>
      <c r="Y1046" s="22" t="s">
        <v>53</v>
      </c>
      <c r="Z1046" s="22" t="s">
        <v>53</v>
      </c>
      <c r="AA1046" s="22" t="s">
        <v>53</v>
      </c>
      <c r="AB1046" t="s">
        <v>53</v>
      </c>
      <c r="AC1046" t="s">
        <v>53</v>
      </c>
      <c r="AD1046" t="s">
        <v>53</v>
      </c>
      <c r="AE1046" t="s">
        <v>53</v>
      </c>
      <c r="AF1046" s="22" t="s">
        <v>53</v>
      </c>
      <c r="AG1046" s="22" t="s">
        <v>53</v>
      </c>
      <c r="AH1046" s="22" t="s">
        <v>53</v>
      </c>
      <c r="AI1046" s="22" t="s">
        <v>53</v>
      </c>
      <c r="AJ1046">
        <v>0</v>
      </c>
      <c r="AK1046">
        <v>0</v>
      </c>
      <c r="AL1046">
        <v>0</v>
      </c>
      <c r="AM1046">
        <v>0</v>
      </c>
      <c r="AN1046" s="22" t="s">
        <v>53</v>
      </c>
      <c r="AO1046" s="22" t="s">
        <v>53</v>
      </c>
      <c r="AP1046" s="22" t="s">
        <v>53</v>
      </c>
      <c r="AQ1046" s="22" t="s">
        <v>53</v>
      </c>
      <c r="AR1046" s="35">
        <v>0</v>
      </c>
      <c r="AS1046" s="35">
        <v>0</v>
      </c>
      <c r="AT1046" s="35">
        <v>0</v>
      </c>
      <c r="AU1046" s="31" t="str">
        <f t="shared" si="20"/>
        <v>库存为0</v>
      </c>
      <c r="AV1046" s="36" t="str">
        <f>IFERROR(时间!$B$4+AU1046,"上周无销量")</f>
        <v>上周无销量</v>
      </c>
    </row>
    <row r="1047" spans="1:48">
      <c r="A1047" s="20" t="s">
        <v>2349</v>
      </c>
      <c r="B1047" t="s">
        <v>2350</v>
      </c>
      <c r="C1047" t="s">
        <v>2351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53</v>
      </c>
      <c r="Q1047" t="s">
        <v>53</v>
      </c>
      <c r="R1047" t="s">
        <v>53</v>
      </c>
      <c r="S1047" t="s">
        <v>53</v>
      </c>
      <c r="T1047" t="s">
        <v>53</v>
      </c>
      <c r="U1047" t="s">
        <v>53</v>
      </c>
      <c r="V1047" t="s">
        <v>53</v>
      </c>
      <c r="W1047" t="s">
        <v>53</v>
      </c>
      <c r="X1047" s="22" t="s">
        <v>53</v>
      </c>
      <c r="Y1047" s="22" t="s">
        <v>53</v>
      </c>
      <c r="Z1047" s="22" t="s">
        <v>53</v>
      </c>
      <c r="AA1047" s="22" t="s">
        <v>53</v>
      </c>
      <c r="AB1047" t="s">
        <v>53</v>
      </c>
      <c r="AC1047" t="s">
        <v>53</v>
      </c>
      <c r="AD1047" t="s">
        <v>53</v>
      </c>
      <c r="AE1047" t="s">
        <v>53</v>
      </c>
      <c r="AF1047" s="22" t="s">
        <v>53</v>
      </c>
      <c r="AG1047" s="22" t="s">
        <v>53</v>
      </c>
      <c r="AH1047" s="22" t="s">
        <v>53</v>
      </c>
      <c r="AI1047" s="22" t="s">
        <v>53</v>
      </c>
      <c r="AJ1047">
        <v>1</v>
      </c>
      <c r="AK1047">
        <v>6</v>
      </c>
      <c r="AL1047">
        <v>3</v>
      </c>
      <c r="AM1047">
        <v>1</v>
      </c>
      <c r="AN1047" s="22">
        <v>0</v>
      </c>
      <c r="AO1047" s="22">
        <v>0</v>
      </c>
      <c r="AP1047" s="22">
        <v>0</v>
      </c>
      <c r="AQ1047" s="22">
        <v>0</v>
      </c>
      <c r="AR1047" s="35">
        <v>0</v>
      </c>
      <c r="AS1047" s="35">
        <v>0</v>
      </c>
      <c r="AT1047" s="35">
        <v>0</v>
      </c>
      <c r="AU1047" s="31" t="str">
        <f t="shared" si="20"/>
        <v>库存为0</v>
      </c>
      <c r="AV1047" s="36" t="str">
        <f>IFERROR(时间!$B$4+AU1047,"上周无销量")</f>
        <v>上周无销量</v>
      </c>
    </row>
    <row r="1048" spans="1:48">
      <c r="A1048" s="20" t="s">
        <v>2352</v>
      </c>
      <c r="B1048" t="s">
        <v>2353</v>
      </c>
      <c r="C1048" t="s">
        <v>2351</v>
      </c>
      <c r="D1048" s="31">
        <v>1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53</v>
      </c>
      <c r="Q1048" t="s">
        <v>53</v>
      </c>
      <c r="R1048" t="s">
        <v>53</v>
      </c>
      <c r="S1048" t="s">
        <v>53</v>
      </c>
      <c r="T1048" t="s">
        <v>53</v>
      </c>
      <c r="U1048" t="s">
        <v>53</v>
      </c>
      <c r="V1048" t="s">
        <v>53</v>
      </c>
      <c r="W1048" t="s">
        <v>53</v>
      </c>
      <c r="X1048" s="22" t="s">
        <v>53</v>
      </c>
      <c r="Y1048" s="22" t="s">
        <v>53</v>
      </c>
      <c r="Z1048" s="22" t="s">
        <v>53</v>
      </c>
      <c r="AA1048" s="22" t="s">
        <v>53</v>
      </c>
      <c r="AB1048" t="s">
        <v>53</v>
      </c>
      <c r="AC1048" t="s">
        <v>53</v>
      </c>
      <c r="AD1048" t="s">
        <v>53</v>
      </c>
      <c r="AE1048" t="s">
        <v>53</v>
      </c>
      <c r="AF1048" s="22" t="s">
        <v>53</v>
      </c>
      <c r="AG1048" s="22" t="s">
        <v>53</v>
      </c>
      <c r="AH1048" s="22" t="s">
        <v>53</v>
      </c>
      <c r="AI1048" s="22" t="s">
        <v>53</v>
      </c>
      <c r="AJ1048">
        <v>0</v>
      </c>
      <c r="AK1048">
        <v>7</v>
      </c>
      <c r="AL1048">
        <v>3</v>
      </c>
      <c r="AM1048">
        <v>1</v>
      </c>
      <c r="AN1048" s="22" t="s">
        <v>53</v>
      </c>
      <c r="AO1048" s="22">
        <v>0</v>
      </c>
      <c r="AP1048" s="22">
        <v>0</v>
      </c>
      <c r="AQ1048" s="22">
        <v>0</v>
      </c>
      <c r="AR1048" s="35">
        <v>0.142857142857143</v>
      </c>
      <c r="AS1048" s="35">
        <v>8.57142857142857</v>
      </c>
      <c r="AT1048" s="35">
        <v>-8.57142857142857</v>
      </c>
      <c r="AU1048" s="31">
        <f t="shared" si="20"/>
        <v>0</v>
      </c>
      <c r="AV1048" s="36">
        <f>IFERROR(时间!$B$4+AU1048,"上周无销量")</f>
        <v>43332</v>
      </c>
    </row>
    <row r="1049" spans="1:48">
      <c r="A1049" s="20" t="s">
        <v>2354</v>
      </c>
      <c r="B1049" t="s">
        <v>2355</v>
      </c>
      <c r="C1049" t="s">
        <v>2351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53</v>
      </c>
      <c r="Q1049" t="s">
        <v>53</v>
      </c>
      <c r="R1049" t="s">
        <v>53</v>
      </c>
      <c r="S1049" t="s">
        <v>53</v>
      </c>
      <c r="T1049" t="s">
        <v>53</v>
      </c>
      <c r="U1049" t="s">
        <v>53</v>
      </c>
      <c r="V1049" t="s">
        <v>53</v>
      </c>
      <c r="W1049" t="s">
        <v>53</v>
      </c>
      <c r="X1049" s="22" t="s">
        <v>53</v>
      </c>
      <c r="Y1049" s="22" t="s">
        <v>53</v>
      </c>
      <c r="Z1049" s="22" t="s">
        <v>53</v>
      </c>
      <c r="AA1049" s="22" t="s">
        <v>53</v>
      </c>
      <c r="AB1049" t="s">
        <v>53</v>
      </c>
      <c r="AC1049" t="s">
        <v>53</v>
      </c>
      <c r="AD1049" t="s">
        <v>53</v>
      </c>
      <c r="AE1049" t="s">
        <v>53</v>
      </c>
      <c r="AF1049" s="22" t="s">
        <v>53</v>
      </c>
      <c r="AG1049" s="22" t="s">
        <v>53</v>
      </c>
      <c r="AH1049" s="22" t="s">
        <v>53</v>
      </c>
      <c r="AI1049" s="22" t="s">
        <v>53</v>
      </c>
      <c r="AJ1049">
        <v>1</v>
      </c>
      <c r="AK1049">
        <v>11</v>
      </c>
      <c r="AL1049">
        <v>5</v>
      </c>
      <c r="AM1049">
        <v>1</v>
      </c>
      <c r="AN1049" s="22">
        <v>0</v>
      </c>
      <c r="AO1049" s="22">
        <v>0</v>
      </c>
      <c r="AP1049" s="22">
        <v>0</v>
      </c>
      <c r="AQ1049" s="22">
        <v>0</v>
      </c>
      <c r="AR1049" s="35">
        <v>0</v>
      </c>
      <c r="AS1049" s="35">
        <v>0</v>
      </c>
      <c r="AT1049" s="35">
        <v>0</v>
      </c>
      <c r="AU1049" s="31" t="str">
        <f t="shared" si="20"/>
        <v>库存为0</v>
      </c>
      <c r="AV1049" s="36" t="str">
        <f>IFERROR(时间!$B$4+AU1049,"上周无销量")</f>
        <v>上周无销量</v>
      </c>
    </row>
    <row r="1050" spans="1:48">
      <c r="A1050" s="20" t="s">
        <v>2356</v>
      </c>
      <c r="B1050" t="s">
        <v>2357</v>
      </c>
      <c r="C1050" t="s">
        <v>2351</v>
      </c>
      <c r="D1050" s="31">
        <v>1</v>
      </c>
      <c r="E1050" s="31">
        <v>0</v>
      </c>
      <c r="F1050" s="31">
        <v>0</v>
      </c>
      <c r="G1050" s="31">
        <v>0</v>
      </c>
      <c r="H1050" s="32">
        <v>17.99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53</v>
      </c>
      <c r="Q1050" t="s">
        <v>53</v>
      </c>
      <c r="R1050" t="s">
        <v>53</v>
      </c>
      <c r="S1050" t="s">
        <v>53</v>
      </c>
      <c r="T1050" t="s">
        <v>53</v>
      </c>
      <c r="U1050" t="s">
        <v>53</v>
      </c>
      <c r="V1050" t="s">
        <v>53</v>
      </c>
      <c r="W1050" t="s">
        <v>53</v>
      </c>
      <c r="X1050" s="22" t="s">
        <v>53</v>
      </c>
      <c r="Y1050" s="22" t="s">
        <v>53</v>
      </c>
      <c r="Z1050" s="22" t="s">
        <v>53</v>
      </c>
      <c r="AA1050" s="22" t="s">
        <v>53</v>
      </c>
      <c r="AB1050" t="s">
        <v>53</v>
      </c>
      <c r="AC1050" t="s">
        <v>53</v>
      </c>
      <c r="AD1050" t="s">
        <v>53</v>
      </c>
      <c r="AE1050" t="s">
        <v>53</v>
      </c>
      <c r="AF1050" s="22" t="s">
        <v>53</v>
      </c>
      <c r="AG1050" s="22" t="s">
        <v>53</v>
      </c>
      <c r="AH1050" s="22" t="s">
        <v>53</v>
      </c>
      <c r="AI1050" s="22" t="s">
        <v>53</v>
      </c>
      <c r="AJ1050">
        <v>0</v>
      </c>
      <c r="AK1050">
        <v>3</v>
      </c>
      <c r="AL1050">
        <v>6</v>
      </c>
      <c r="AM1050">
        <v>2</v>
      </c>
      <c r="AN1050" s="22" t="s">
        <v>53</v>
      </c>
      <c r="AO1050" s="22">
        <v>0</v>
      </c>
      <c r="AP1050" s="22">
        <v>0</v>
      </c>
      <c r="AQ1050" s="22">
        <v>0</v>
      </c>
      <c r="AR1050" s="35">
        <v>0.142857142857143</v>
      </c>
      <c r="AS1050" s="35">
        <v>8.57142857142857</v>
      </c>
      <c r="AT1050" s="35">
        <v>-8.57142857142857</v>
      </c>
      <c r="AU1050" s="31">
        <f t="shared" si="20"/>
        <v>0</v>
      </c>
      <c r="AV1050" s="36">
        <f>IFERROR(时间!$B$4+AU1050,"上周无销量")</f>
        <v>43332</v>
      </c>
    </row>
    <row r="1051" spans="1:48">
      <c r="A1051" s="20" t="s">
        <v>2358</v>
      </c>
      <c r="B1051" t="s">
        <v>2359</v>
      </c>
      <c r="C1051" t="s">
        <v>2351</v>
      </c>
      <c r="D1051" s="31">
        <v>0</v>
      </c>
      <c r="E1051" s="31">
        <v>1</v>
      </c>
      <c r="F1051" s="31">
        <v>0</v>
      </c>
      <c r="G1051" s="31">
        <v>0</v>
      </c>
      <c r="H1051" s="32">
        <v>15.99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53</v>
      </c>
      <c r="Q1051" t="s">
        <v>53</v>
      </c>
      <c r="R1051" t="s">
        <v>53</v>
      </c>
      <c r="S1051" t="s">
        <v>53</v>
      </c>
      <c r="T1051" t="s">
        <v>53</v>
      </c>
      <c r="U1051" t="s">
        <v>53</v>
      </c>
      <c r="V1051" t="s">
        <v>53</v>
      </c>
      <c r="W1051" t="s">
        <v>53</v>
      </c>
      <c r="X1051" s="22" t="s">
        <v>53</v>
      </c>
      <c r="Y1051" s="22" t="s">
        <v>53</v>
      </c>
      <c r="Z1051" s="22" t="s">
        <v>53</v>
      </c>
      <c r="AA1051" s="22" t="s">
        <v>53</v>
      </c>
      <c r="AB1051" t="s">
        <v>53</v>
      </c>
      <c r="AC1051" t="s">
        <v>53</v>
      </c>
      <c r="AD1051" t="s">
        <v>53</v>
      </c>
      <c r="AE1051" t="s">
        <v>53</v>
      </c>
      <c r="AF1051" s="22" t="s">
        <v>53</v>
      </c>
      <c r="AG1051" s="22" t="s">
        <v>53</v>
      </c>
      <c r="AH1051" s="22" t="s">
        <v>53</v>
      </c>
      <c r="AI1051" s="22" t="s">
        <v>53</v>
      </c>
      <c r="AJ1051">
        <v>0</v>
      </c>
      <c r="AK1051">
        <v>6</v>
      </c>
      <c r="AL1051">
        <v>6</v>
      </c>
      <c r="AM1051">
        <v>1</v>
      </c>
      <c r="AN1051" s="22" t="s">
        <v>53</v>
      </c>
      <c r="AO1051" s="22">
        <v>0.166666666666667</v>
      </c>
      <c r="AP1051" s="22">
        <v>0</v>
      </c>
      <c r="AQ1051" s="22">
        <v>0</v>
      </c>
      <c r="AR1051" s="35">
        <v>0</v>
      </c>
      <c r="AS1051" s="35">
        <v>0</v>
      </c>
      <c r="AT1051" s="35">
        <v>0</v>
      </c>
      <c r="AU1051" s="31" t="str">
        <f t="shared" si="20"/>
        <v>库存为0</v>
      </c>
      <c r="AV1051" s="36" t="str">
        <f>IFERROR(时间!$B$4+AU1051,"上周无销量")</f>
        <v>上周无销量</v>
      </c>
    </row>
    <row r="1052" spans="1:48">
      <c r="A1052" s="20" t="s">
        <v>2360</v>
      </c>
      <c r="B1052" t="s">
        <v>2361</v>
      </c>
      <c r="C1052" t="s">
        <v>2351</v>
      </c>
      <c r="D1052" s="31">
        <v>1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53</v>
      </c>
      <c r="Q1052" t="s">
        <v>53</v>
      </c>
      <c r="R1052" t="s">
        <v>53</v>
      </c>
      <c r="S1052" t="s">
        <v>53</v>
      </c>
      <c r="T1052" t="s">
        <v>53</v>
      </c>
      <c r="U1052" t="s">
        <v>53</v>
      </c>
      <c r="V1052" t="s">
        <v>53</v>
      </c>
      <c r="W1052" t="s">
        <v>53</v>
      </c>
      <c r="X1052" s="22" t="s">
        <v>53</v>
      </c>
      <c r="Y1052" s="22" t="s">
        <v>53</v>
      </c>
      <c r="Z1052" s="22" t="s">
        <v>53</v>
      </c>
      <c r="AA1052" s="22" t="s">
        <v>53</v>
      </c>
      <c r="AB1052" t="s">
        <v>53</v>
      </c>
      <c r="AC1052" t="s">
        <v>53</v>
      </c>
      <c r="AD1052" t="s">
        <v>53</v>
      </c>
      <c r="AE1052" t="s">
        <v>53</v>
      </c>
      <c r="AF1052" s="22" t="s">
        <v>53</v>
      </c>
      <c r="AG1052" s="22" t="s">
        <v>53</v>
      </c>
      <c r="AH1052" s="22" t="s">
        <v>53</v>
      </c>
      <c r="AI1052" s="22" t="s">
        <v>53</v>
      </c>
      <c r="AJ1052">
        <v>1</v>
      </c>
      <c r="AK1052">
        <v>14</v>
      </c>
      <c r="AL1052">
        <v>8</v>
      </c>
      <c r="AM1052">
        <v>3</v>
      </c>
      <c r="AN1052" s="22">
        <v>1</v>
      </c>
      <c r="AO1052" s="22">
        <v>0</v>
      </c>
      <c r="AP1052" s="22">
        <v>0</v>
      </c>
      <c r="AQ1052" s="22">
        <v>0</v>
      </c>
      <c r="AR1052" s="35">
        <v>0.142857142857143</v>
      </c>
      <c r="AS1052" s="35">
        <v>8.57142857142857</v>
      </c>
      <c r="AT1052" s="35">
        <v>-8.57142857142857</v>
      </c>
      <c r="AU1052" s="31">
        <f t="shared" si="20"/>
        <v>0</v>
      </c>
      <c r="AV1052" s="36">
        <f>IFERROR(时间!$B$4+AU1052,"上周无销量")</f>
        <v>43332</v>
      </c>
    </row>
    <row r="1053" spans="1:48">
      <c r="A1053" s="20" t="s">
        <v>2362</v>
      </c>
      <c r="B1053" t="s">
        <v>2363</v>
      </c>
      <c r="C1053" t="s">
        <v>2351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53</v>
      </c>
      <c r="Q1053" t="s">
        <v>53</v>
      </c>
      <c r="R1053" t="s">
        <v>53</v>
      </c>
      <c r="S1053" t="s">
        <v>53</v>
      </c>
      <c r="T1053" t="s">
        <v>53</v>
      </c>
      <c r="U1053" t="s">
        <v>53</v>
      </c>
      <c r="V1053" t="s">
        <v>53</v>
      </c>
      <c r="W1053" t="s">
        <v>53</v>
      </c>
      <c r="X1053" s="22" t="s">
        <v>53</v>
      </c>
      <c r="Y1053" s="22" t="s">
        <v>53</v>
      </c>
      <c r="Z1053" s="22" t="s">
        <v>53</v>
      </c>
      <c r="AA1053" s="22" t="s">
        <v>53</v>
      </c>
      <c r="AB1053" t="s">
        <v>53</v>
      </c>
      <c r="AC1053" t="s">
        <v>53</v>
      </c>
      <c r="AD1053" t="s">
        <v>53</v>
      </c>
      <c r="AE1053" t="s">
        <v>53</v>
      </c>
      <c r="AF1053" s="22" t="s">
        <v>53</v>
      </c>
      <c r="AG1053" s="22" t="s">
        <v>53</v>
      </c>
      <c r="AH1053" s="22" t="s">
        <v>53</v>
      </c>
      <c r="AI1053" s="22" t="s">
        <v>53</v>
      </c>
      <c r="AJ1053">
        <v>0</v>
      </c>
      <c r="AK1053">
        <v>0</v>
      </c>
      <c r="AL1053">
        <v>0</v>
      </c>
      <c r="AM1053">
        <v>0</v>
      </c>
      <c r="AN1053" s="22" t="s">
        <v>53</v>
      </c>
      <c r="AO1053" s="22" t="s">
        <v>53</v>
      </c>
      <c r="AP1053" s="22" t="s">
        <v>53</v>
      </c>
      <c r="AQ1053" s="22" t="s">
        <v>53</v>
      </c>
      <c r="AR1053" s="35">
        <v>0</v>
      </c>
      <c r="AS1053" s="35">
        <v>0</v>
      </c>
      <c r="AT1053" s="35">
        <v>0</v>
      </c>
      <c r="AU1053" s="31" t="str">
        <f t="shared" si="20"/>
        <v>库存为0</v>
      </c>
      <c r="AV1053" s="36" t="str">
        <f>IFERROR(时间!$B$4+AU1053,"上周无销量")</f>
        <v>上周无销量</v>
      </c>
    </row>
    <row r="1054" spans="1:48">
      <c r="A1054" s="20" t="s">
        <v>2364</v>
      </c>
      <c r="B1054" t="s">
        <v>2365</v>
      </c>
      <c r="C1054" t="s">
        <v>2366</v>
      </c>
      <c r="D1054" s="31">
        <v>3</v>
      </c>
      <c r="E1054" s="31">
        <v>1</v>
      </c>
      <c r="F1054" s="31">
        <v>1</v>
      </c>
      <c r="G1054" s="31">
        <v>2</v>
      </c>
      <c r="H1054" s="32">
        <v>22.4185714285714</v>
      </c>
      <c r="I1054">
        <v>10</v>
      </c>
      <c r="J1054" s="33">
        <v>0</v>
      </c>
      <c r="K1054" s="33">
        <v>0</v>
      </c>
      <c r="L1054" s="33">
        <v>0</v>
      </c>
      <c r="M1054">
        <v>10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534</v>
      </c>
      <c r="T1054">
        <v>0</v>
      </c>
      <c r="U1054">
        <v>0</v>
      </c>
      <c r="V1054">
        <v>0</v>
      </c>
      <c r="W1054">
        <v>1</v>
      </c>
      <c r="X1054" s="22" t="s">
        <v>53</v>
      </c>
      <c r="Y1054" s="22" t="s">
        <v>53</v>
      </c>
      <c r="Z1054" s="22" t="s">
        <v>53</v>
      </c>
      <c r="AA1054" s="22">
        <v>0.00187265917602996</v>
      </c>
      <c r="AB1054">
        <v>0</v>
      </c>
      <c r="AC1054">
        <v>0</v>
      </c>
      <c r="AD1054">
        <v>0</v>
      </c>
      <c r="AE1054">
        <v>0.31</v>
      </c>
      <c r="AF1054" s="22" t="s">
        <v>53</v>
      </c>
      <c r="AG1054" s="22" t="s">
        <v>53</v>
      </c>
      <c r="AH1054" s="22" t="s">
        <v>53</v>
      </c>
      <c r="AI1054" s="22">
        <v>0.00691391066080419</v>
      </c>
      <c r="AJ1054">
        <v>41</v>
      </c>
      <c r="AK1054">
        <v>28</v>
      </c>
      <c r="AL1054">
        <v>29</v>
      </c>
      <c r="AM1054">
        <v>45</v>
      </c>
      <c r="AN1054" s="22">
        <v>0.0731707317073171</v>
      </c>
      <c r="AO1054" s="22">
        <v>0.0357142857142857</v>
      </c>
      <c r="AP1054" s="22">
        <v>0.0344827586206897</v>
      </c>
      <c r="AQ1054" s="22">
        <v>0.0444444444444444</v>
      </c>
      <c r="AR1054" s="35">
        <v>0.428571428571429</v>
      </c>
      <c r="AS1054" s="35">
        <v>25.7142857142857</v>
      </c>
      <c r="AT1054" s="35">
        <v>-15.7142857142857</v>
      </c>
      <c r="AU1054" s="31">
        <f t="shared" si="20"/>
        <v>23</v>
      </c>
      <c r="AV1054" s="36">
        <f>IFERROR(时间!$B$4+AU1054,"上周无销量")</f>
        <v>43355</v>
      </c>
    </row>
    <row r="1055" spans="1:48">
      <c r="A1055" s="20" t="s">
        <v>2367</v>
      </c>
      <c r="B1055" t="s">
        <v>2368</v>
      </c>
      <c r="C1055" t="s">
        <v>2366</v>
      </c>
      <c r="D1055" s="31">
        <v>3</v>
      </c>
      <c r="E1055" s="31">
        <v>1</v>
      </c>
      <c r="F1055" s="31">
        <v>3</v>
      </c>
      <c r="G1055" s="31">
        <v>0</v>
      </c>
      <c r="H1055" s="32">
        <v>17.7057142857143</v>
      </c>
      <c r="I1055">
        <v>12</v>
      </c>
      <c r="J1055" s="33">
        <v>0</v>
      </c>
      <c r="K1055" s="33">
        <v>0</v>
      </c>
      <c r="L1055" s="33">
        <v>0</v>
      </c>
      <c r="M1055">
        <v>12</v>
      </c>
      <c r="N1055">
        <v>0</v>
      </c>
      <c r="O1055">
        <v>0</v>
      </c>
      <c r="P1055">
        <v>5200</v>
      </c>
      <c r="Q1055">
        <v>24538</v>
      </c>
      <c r="R1055">
        <v>14085</v>
      </c>
      <c r="S1055">
        <v>9275</v>
      </c>
      <c r="T1055">
        <v>27</v>
      </c>
      <c r="U1055">
        <v>74</v>
      </c>
      <c r="V1055">
        <v>57</v>
      </c>
      <c r="W1055">
        <v>45</v>
      </c>
      <c r="X1055" s="22">
        <v>0.00519230769230769</v>
      </c>
      <c r="Y1055" s="22">
        <v>0.00301573070339881</v>
      </c>
      <c r="Z1055" s="22">
        <v>0.0040468583599574</v>
      </c>
      <c r="AA1055" s="22">
        <v>0.00485175202156334</v>
      </c>
      <c r="AB1055">
        <v>13.04</v>
      </c>
      <c r="AC1055">
        <v>63.08</v>
      </c>
      <c r="AD1055">
        <v>38.07</v>
      </c>
      <c r="AE1055">
        <v>28.74</v>
      </c>
      <c r="AF1055" s="22">
        <v>0.245495132053144</v>
      </c>
      <c r="AG1055" s="22">
        <v>3.56269162497983</v>
      </c>
      <c r="AH1055" s="22">
        <v>0.716717766661287</v>
      </c>
      <c r="AI1055" s="22" t="s">
        <v>2369</v>
      </c>
      <c r="AJ1055">
        <v>59</v>
      </c>
      <c r="AK1055">
        <v>93</v>
      </c>
      <c r="AL1055">
        <v>54</v>
      </c>
      <c r="AM1055">
        <v>66</v>
      </c>
      <c r="AN1055" s="22">
        <v>0.0508474576271186</v>
      </c>
      <c r="AO1055" s="22">
        <v>0.010752688172043</v>
      </c>
      <c r="AP1055" s="22">
        <v>0.0555555555555556</v>
      </c>
      <c r="AQ1055" s="22">
        <v>0</v>
      </c>
      <c r="AR1055" s="35">
        <v>0.428571428571429</v>
      </c>
      <c r="AS1055" s="35">
        <v>25.7142857142857</v>
      </c>
      <c r="AT1055" s="35">
        <v>-13.7142857142857</v>
      </c>
      <c r="AU1055" s="31">
        <f t="shared" si="20"/>
        <v>28</v>
      </c>
      <c r="AV1055" s="36">
        <f>IFERROR(时间!$B$4+AU1055,"上周无销量")</f>
        <v>43360</v>
      </c>
    </row>
    <row r="1056" spans="1:48">
      <c r="A1056" s="20" t="s">
        <v>2370</v>
      </c>
      <c r="B1056" t="s">
        <v>2371</v>
      </c>
      <c r="C1056" t="s">
        <v>2372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4</v>
      </c>
      <c r="O1056">
        <v>0</v>
      </c>
      <c r="P1056" t="s">
        <v>53</v>
      </c>
      <c r="Q1056" t="s">
        <v>53</v>
      </c>
      <c r="R1056" t="s">
        <v>53</v>
      </c>
      <c r="S1056" t="s">
        <v>53</v>
      </c>
      <c r="T1056" t="s">
        <v>53</v>
      </c>
      <c r="U1056" t="s">
        <v>53</v>
      </c>
      <c r="V1056" t="s">
        <v>53</v>
      </c>
      <c r="W1056" t="s">
        <v>53</v>
      </c>
      <c r="X1056" s="22" t="s">
        <v>53</v>
      </c>
      <c r="Y1056" s="22" t="s">
        <v>53</v>
      </c>
      <c r="Z1056" s="22" t="s">
        <v>53</v>
      </c>
      <c r="AA1056" s="22" t="s">
        <v>53</v>
      </c>
      <c r="AB1056" t="s">
        <v>53</v>
      </c>
      <c r="AC1056" t="s">
        <v>53</v>
      </c>
      <c r="AD1056" t="s">
        <v>53</v>
      </c>
      <c r="AE1056" t="s">
        <v>53</v>
      </c>
      <c r="AF1056" s="22" t="s">
        <v>53</v>
      </c>
      <c r="AG1056" s="22" t="s">
        <v>53</v>
      </c>
      <c r="AH1056" s="22" t="s">
        <v>53</v>
      </c>
      <c r="AI1056" s="22" t="s">
        <v>53</v>
      </c>
      <c r="AJ1056">
        <v>0</v>
      </c>
      <c r="AK1056">
        <v>0</v>
      </c>
      <c r="AL1056">
        <v>0</v>
      </c>
      <c r="AM1056">
        <v>0</v>
      </c>
      <c r="AN1056" s="22" t="s">
        <v>53</v>
      </c>
      <c r="AO1056" s="22" t="s">
        <v>53</v>
      </c>
      <c r="AP1056" s="22" t="s">
        <v>53</v>
      </c>
      <c r="AQ1056" s="22" t="s">
        <v>53</v>
      </c>
      <c r="AR1056" s="35">
        <v>0</v>
      </c>
      <c r="AS1056" s="35">
        <v>0</v>
      </c>
      <c r="AT1056" s="35">
        <v>0</v>
      </c>
      <c r="AU1056" s="31" t="str">
        <f t="shared" si="20"/>
        <v>库存为0</v>
      </c>
      <c r="AV1056" s="36" t="str">
        <f>IFERROR(时间!$B$4+AU1056,"上周无销量")</f>
        <v>上周无销量</v>
      </c>
    </row>
    <row r="1057" spans="1:48">
      <c r="A1057" s="20" t="s">
        <v>2338</v>
      </c>
      <c r="B1057" t="s">
        <v>2373</v>
      </c>
      <c r="C1057" t="s">
        <v>2372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2</v>
      </c>
      <c r="O1057">
        <v>0</v>
      </c>
      <c r="P1057" t="s">
        <v>53</v>
      </c>
      <c r="Q1057" t="s">
        <v>53</v>
      </c>
      <c r="R1057" t="s">
        <v>53</v>
      </c>
      <c r="S1057" t="s">
        <v>53</v>
      </c>
      <c r="T1057" t="s">
        <v>53</v>
      </c>
      <c r="U1057" t="s">
        <v>53</v>
      </c>
      <c r="V1057" t="s">
        <v>53</v>
      </c>
      <c r="W1057" t="s">
        <v>53</v>
      </c>
      <c r="X1057" s="22" t="s">
        <v>53</v>
      </c>
      <c r="Y1057" s="22" t="s">
        <v>53</v>
      </c>
      <c r="Z1057" s="22" t="s">
        <v>53</v>
      </c>
      <c r="AA1057" s="22" t="s">
        <v>53</v>
      </c>
      <c r="AB1057" t="s">
        <v>53</v>
      </c>
      <c r="AC1057" t="s">
        <v>53</v>
      </c>
      <c r="AD1057" t="s">
        <v>53</v>
      </c>
      <c r="AE1057" t="s">
        <v>53</v>
      </c>
      <c r="AF1057" s="22" t="s">
        <v>53</v>
      </c>
      <c r="AG1057" s="22" t="s">
        <v>53</v>
      </c>
      <c r="AH1057" s="22" t="s">
        <v>53</v>
      </c>
      <c r="AI1057" s="22" t="s">
        <v>53</v>
      </c>
      <c r="AJ1057">
        <v>0</v>
      </c>
      <c r="AK1057">
        <v>0</v>
      </c>
      <c r="AL1057">
        <v>0</v>
      </c>
      <c r="AM1057">
        <v>0</v>
      </c>
      <c r="AN1057" s="22" t="s">
        <v>53</v>
      </c>
      <c r="AO1057" s="22" t="s">
        <v>53</v>
      </c>
      <c r="AP1057" s="22" t="s">
        <v>53</v>
      </c>
      <c r="AQ1057" s="22" t="s">
        <v>53</v>
      </c>
      <c r="AR1057" s="35">
        <v>0</v>
      </c>
      <c r="AS1057" s="35">
        <v>0</v>
      </c>
      <c r="AT1057" s="35">
        <v>0</v>
      </c>
      <c r="AU1057" s="31" t="str">
        <f t="shared" si="20"/>
        <v>库存为0</v>
      </c>
      <c r="AV1057" s="36" t="str">
        <f>IFERROR(时间!$B$4+AU1057,"上周无销量")</f>
        <v>上周无销量</v>
      </c>
    </row>
    <row r="1058" spans="1:48">
      <c r="A1058" s="20" t="s">
        <v>2374</v>
      </c>
      <c r="B1058" t="s">
        <v>2375</v>
      </c>
      <c r="C1058" t="s">
        <v>2372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2</v>
      </c>
      <c r="O1058">
        <v>0</v>
      </c>
      <c r="P1058" t="s">
        <v>53</v>
      </c>
      <c r="Q1058" t="s">
        <v>53</v>
      </c>
      <c r="R1058" t="s">
        <v>53</v>
      </c>
      <c r="S1058" t="s">
        <v>53</v>
      </c>
      <c r="T1058" t="s">
        <v>53</v>
      </c>
      <c r="U1058" t="s">
        <v>53</v>
      </c>
      <c r="V1058" t="s">
        <v>53</v>
      </c>
      <c r="W1058" t="s">
        <v>53</v>
      </c>
      <c r="X1058" s="22" t="s">
        <v>53</v>
      </c>
      <c r="Y1058" s="22" t="s">
        <v>53</v>
      </c>
      <c r="Z1058" s="22" t="s">
        <v>53</v>
      </c>
      <c r="AA1058" s="22" t="s">
        <v>53</v>
      </c>
      <c r="AB1058" t="s">
        <v>53</v>
      </c>
      <c r="AC1058" t="s">
        <v>53</v>
      </c>
      <c r="AD1058" t="s">
        <v>53</v>
      </c>
      <c r="AE1058" t="s">
        <v>53</v>
      </c>
      <c r="AF1058" s="22" t="s">
        <v>53</v>
      </c>
      <c r="AG1058" s="22" t="s">
        <v>53</v>
      </c>
      <c r="AH1058" s="22" t="s">
        <v>53</v>
      </c>
      <c r="AI1058" s="22" t="s">
        <v>53</v>
      </c>
      <c r="AJ1058">
        <v>0</v>
      </c>
      <c r="AK1058">
        <v>0</v>
      </c>
      <c r="AL1058">
        <v>0</v>
      </c>
      <c r="AM1058">
        <v>0</v>
      </c>
      <c r="AN1058" s="22" t="s">
        <v>53</v>
      </c>
      <c r="AO1058" s="22" t="s">
        <v>53</v>
      </c>
      <c r="AP1058" s="22" t="s">
        <v>53</v>
      </c>
      <c r="AQ1058" s="22" t="s">
        <v>53</v>
      </c>
      <c r="AR1058" s="35">
        <v>0</v>
      </c>
      <c r="AS1058" s="35">
        <v>0</v>
      </c>
      <c r="AT1058" s="35">
        <v>0</v>
      </c>
      <c r="AU1058" s="31" t="str">
        <f t="shared" si="20"/>
        <v>库存为0</v>
      </c>
      <c r="AV1058" s="36" t="str">
        <f>IFERROR(时间!$B$4+AU1058,"上周无销量")</f>
        <v>上周无销量</v>
      </c>
    </row>
    <row r="1059" spans="1:48">
      <c r="A1059" s="20" t="s">
        <v>2376</v>
      </c>
      <c r="B1059" t="s">
        <v>2377</v>
      </c>
      <c r="C1059" t="s">
        <v>2372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4</v>
      </c>
      <c r="O1059">
        <v>0</v>
      </c>
      <c r="P1059" t="s">
        <v>53</v>
      </c>
      <c r="Q1059" t="s">
        <v>53</v>
      </c>
      <c r="R1059" t="s">
        <v>53</v>
      </c>
      <c r="S1059" t="s">
        <v>53</v>
      </c>
      <c r="T1059" t="s">
        <v>53</v>
      </c>
      <c r="U1059" t="s">
        <v>53</v>
      </c>
      <c r="V1059" t="s">
        <v>53</v>
      </c>
      <c r="W1059" t="s">
        <v>53</v>
      </c>
      <c r="X1059" s="22" t="s">
        <v>53</v>
      </c>
      <c r="Y1059" s="22" t="s">
        <v>53</v>
      </c>
      <c r="Z1059" s="22" t="s">
        <v>53</v>
      </c>
      <c r="AA1059" s="22" t="s">
        <v>53</v>
      </c>
      <c r="AB1059" t="s">
        <v>53</v>
      </c>
      <c r="AC1059" t="s">
        <v>53</v>
      </c>
      <c r="AD1059" t="s">
        <v>53</v>
      </c>
      <c r="AE1059" t="s">
        <v>53</v>
      </c>
      <c r="AF1059" s="22" t="s">
        <v>53</v>
      </c>
      <c r="AG1059" s="22" t="s">
        <v>53</v>
      </c>
      <c r="AH1059" s="22" t="s">
        <v>53</v>
      </c>
      <c r="AI1059" s="22" t="s">
        <v>53</v>
      </c>
      <c r="AJ1059">
        <v>0</v>
      </c>
      <c r="AK1059">
        <v>0</v>
      </c>
      <c r="AL1059">
        <v>0</v>
      </c>
      <c r="AM1059">
        <v>0</v>
      </c>
      <c r="AN1059" s="22" t="s">
        <v>53</v>
      </c>
      <c r="AO1059" s="22" t="s">
        <v>53</v>
      </c>
      <c r="AP1059" s="22" t="s">
        <v>53</v>
      </c>
      <c r="AQ1059" s="22" t="s">
        <v>53</v>
      </c>
      <c r="AR1059" s="35">
        <v>0</v>
      </c>
      <c r="AS1059" s="35">
        <v>0</v>
      </c>
      <c r="AT1059" s="35">
        <v>0</v>
      </c>
      <c r="AU1059" s="31" t="str">
        <f t="shared" si="20"/>
        <v>库存为0</v>
      </c>
      <c r="AV1059" s="36" t="str">
        <f>IFERROR(时间!$B$4+AU1059,"上周无销量")</f>
        <v>上周无销量</v>
      </c>
    </row>
    <row r="1060" spans="1:48">
      <c r="A1060" s="20" t="s">
        <v>2378</v>
      </c>
      <c r="B1060" t="s">
        <v>2379</v>
      </c>
      <c r="C1060" t="s">
        <v>2372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3</v>
      </c>
      <c r="O1060">
        <v>0</v>
      </c>
      <c r="P1060" t="s">
        <v>53</v>
      </c>
      <c r="Q1060" t="s">
        <v>53</v>
      </c>
      <c r="R1060" t="s">
        <v>53</v>
      </c>
      <c r="S1060" t="s">
        <v>53</v>
      </c>
      <c r="T1060" t="s">
        <v>53</v>
      </c>
      <c r="U1060" t="s">
        <v>53</v>
      </c>
      <c r="V1060" t="s">
        <v>53</v>
      </c>
      <c r="W1060" t="s">
        <v>53</v>
      </c>
      <c r="X1060" s="22" t="s">
        <v>53</v>
      </c>
      <c r="Y1060" s="22" t="s">
        <v>53</v>
      </c>
      <c r="Z1060" s="22" t="s">
        <v>53</v>
      </c>
      <c r="AA1060" s="22" t="s">
        <v>53</v>
      </c>
      <c r="AB1060" t="s">
        <v>53</v>
      </c>
      <c r="AC1060" t="s">
        <v>53</v>
      </c>
      <c r="AD1060" t="s">
        <v>53</v>
      </c>
      <c r="AE1060" t="s">
        <v>53</v>
      </c>
      <c r="AF1060" s="22" t="s">
        <v>53</v>
      </c>
      <c r="AG1060" s="22" t="s">
        <v>53</v>
      </c>
      <c r="AH1060" s="22" t="s">
        <v>53</v>
      </c>
      <c r="AI1060" s="22" t="s">
        <v>53</v>
      </c>
      <c r="AJ1060">
        <v>0</v>
      </c>
      <c r="AK1060">
        <v>0</v>
      </c>
      <c r="AL1060">
        <v>0</v>
      </c>
      <c r="AM1060">
        <v>0</v>
      </c>
      <c r="AN1060" s="22" t="s">
        <v>53</v>
      </c>
      <c r="AO1060" s="22" t="s">
        <v>53</v>
      </c>
      <c r="AP1060" s="22" t="s">
        <v>53</v>
      </c>
      <c r="AQ1060" s="22" t="s">
        <v>53</v>
      </c>
      <c r="AR1060" s="35">
        <v>0</v>
      </c>
      <c r="AS1060" s="35">
        <v>0</v>
      </c>
      <c r="AT1060" s="35">
        <v>0</v>
      </c>
      <c r="AU1060" s="31" t="str">
        <f t="shared" si="20"/>
        <v>库存为0</v>
      </c>
      <c r="AV1060" s="36" t="str">
        <f>IFERROR(时间!$B$4+AU1060,"上周无销量")</f>
        <v>上周无销量</v>
      </c>
    </row>
    <row r="1061" spans="1:48">
      <c r="A1061" s="20" t="s">
        <v>2380</v>
      </c>
      <c r="B1061" t="s">
        <v>2381</v>
      </c>
      <c r="C1061" t="s">
        <v>2372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3</v>
      </c>
      <c r="O1061">
        <v>0</v>
      </c>
      <c r="P1061" t="s">
        <v>53</v>
      </c>
      <c r="Q1061" t="s">
        <v>53</v>
      </c>
      <c r="R1061" t="s">
        <v>53</v>
      </c>
      <c r="S1061" t="s">
        <v>53</v>
      </c>
      <c r="T1061" t="s">
        <v>53</v>
      </c>
      <c r="U1061" t="s">
        <v>53</v>
      </c>
      <c r="V1061" t="s">
        <v>53</v>
      </c>
      <c r="W1061" t="s">
        <v>53</v>
      </c>
      <c r="X1061" s="22" t="s">
        <v>53</v>
      </c>
      <c r="Y1061" s="22" t="s">
        <v>53</v>
      </c>
      <c r="Z1061" s="22" t="s">
        <v>53</v>
      </c>
      <c r="AA1061" s="22" t="s">
        <v>53</v>
      </c>
      <c r="AB1061" t="s">
        <v>53</v>
      </c>
      <c r="AC1061" t="s">
        <v>53</v>
      </c>
      <c r="AD1061" t="s">
        <v>53</v>
      </c>
      <c r="AE1061" t="s">
        <v>53</v>
      </c>
      <c r="AF1061" s="22" t="s">
        <v>53</v>
      </c>
      <c r="AG1061" s="22" t="s">
        <v>53</v>
      </c>
      <c r="AH1061" s="22" t="s">
        <v>53</v>
      </c>
      <c r="AI1061" s="22" t="s">
        <v>53</v>
      </c>
      <c r="AJ1061">
        <v>0</v>
      </c>
      <c r="AK1061">
        <v>0</v>
      </c>
      <c r="AL1061">
        <v>0</v>
      </c>
      <c r="AM1061">
        <v>0</v>
      </c>
      <c r="AN1061" s="22" t="s">
        <v>53</v>
      </c>
      <c r="AO1061" s="22" t="s">
        <v>53</v>
      </c>
      <c r="AP1061" s="22" t="s">
        <v>53</v>
      </c>
      <c r="AQ1061" s="22" t="s">
        <v>53</v>
      </c>
      <c r="AR1061" s="35">
        <v>0</v>
      </c>
      <c r="AS1061" s="35">
        <v>0</v>
      </c>
      <c r="AT1061" s="35">
        <v>0</v>
      </c>
      <c r="AU1061" s="31" t="str">
        <f t="shared" si="20"/>
        <v>库存为0</v>
      </c>
      <c r="AV1061" s="36" t="str">
        <f>IFERROR(时间!$B$4+AU1061,"上周无销量")</f>
        <v>上周无销量</v>
      </c>
    </row>
    <row r="1062" spans="1:48">
      <c r="A1062" s="20" t="s">
        <v>2382</v>
      </c>
      <c r="B1062" t="s">
        <v>2383</v>
      </c>
      <c r="C1062" t="s">
        <v>2372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1</v>
      </c>
      <c r="O1062">
        <v>0</v>
      </c>
      <c r="P1062" t="s">
        <v>53</v>
      </c>
      <c r="Q1062" t="s">
        <v>53</v>
      </c>
      <c r="R1062" t="s">
        <v>53</v>
      </c>
      <c r="S1062" t="s">
        <v>53</v>
      </c>
      <c r="T1062" t="s">
        <v>53</v>
      </c>
      <c r="U1062" t="s">
        <v>53</v>
      </c>
      <c r="V1062" t="s">
        <v>53</v>
      </c>
      <c r="W1062" t="s">
        <v>53</v>
      </c>
      <c r="X1062" s="22" t="s">
        <v>53</v>
      </c>
      <c r="Y1062" s="22" t="s">
        <v>53</v>
      </c>
      <c r="Z1062" s="22" t="s">
        <v>53</v>
      </c>
      <c r="AA1062" s="22" t="s">
        <v>53</v>
      </c>
      <c r="AB1062" t="s">
        <v>53</v>
      </c>
      <c r="AC1062" t="s">
        <v>53</v>
      </c>
      <c r="AD1062" t="s">
        <v>53</v>
      </c>
      <c r="AE1062" t="s">
        <v>53</v>
      </c>
      <c r="AF1062" s="22" t="s">
        <v>53</v>
      </c>
      <c r="AG1062" s="22" t="s">
        <v>53</v>
      </c>
      <c r="AH1062" s="22" t="s">
        <v>53</v>
      </c>
      <c r="AI1062" s="22" t="s">
        <v>53</v>
      </c>
      <c r="AJ1062">
        <v>0</v>
      </c>
      <c r="AK1062">
        <v>0</v>
      </c>
      <c r="AL1062">
        <v>0</v>
      </c>
      <c r="AM1062">
        <v>0</v>
      </c>
      <c r="AN1062" s="22" t="s">
        <v>53</v>
      </c>
      <c r="AO1062" s="22" t="s">
        <v>53</v>
      </c>
      <c r="AP1062" s="22" t="s">
        <v>53</v>
      </c>
      <c r="AQ1062" s="22" t="s">
        <v>53</v>
      </c>
      <c r="AR1062" s="35">
        <v>0</v>
      </c>
      <c r="AS1062" s="35">
        <v>0</v>
      </c>
      <c r="AT1062" s="35">
        <v>0</v>
      </c>
      <c r="AU1062" s="31" t="str">
        <f t="shared" si="20"/>
        <v>库存为0</v>
      </c>
      <c r="AV1062" s="36" t="str">
        <f>IFERROR(时间!$B$4+AU1062,"上周无销量")</f>
        <v>上周无销量</v>
      </c>
    </row>
    <row r="1063" spans="1:48">
      <c r="A1063" s="20" t="s">
        <v>2384</v>
      </c>
      <c r="B1063" t="s">
        <v>2385</v>
      </c>
      <c r="C1063" t="s">
        <v>2372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4</v>
      </c>
      <c r="O1063">
        <v>0</v>
      </c>
      <c r="P1063" t="s">
        <v>53</v>
      </c>
      <c r="Q1063" t="s">
        <v>53</v>
      </c>
      <c r="R1063" t="s">
        <v>53</v>
      </c>
      <c r="S1063" t="s">
        <v>53</v>
      </c>
      <c r="T1063" t="s">
        <v>53</v>
      </c>
      <c r="U1063" t="s">
        <v>53</v>
      </c>
      <c r="V1063" t="s">
        <v>53</v>
      </c>
      <c r="W1063" t="s">
        <v>53</v>
      </c>
      <c r="X1063" s="22" t="s">
        <v>53</v>
      </c>
      <c r="Y1063" s="22" t="s">
        <v>53</v>
      </c>
      <c r="Z1063" s="22" t="s">
        <v>53</v>
      </c>
      <c r="AA1063" s="22" t="s">
        <v>53</v>
      </c>
      <c r="AB1063" t="s">
        <v>53</v>
      </c>
      <c r="AC1063" t="s">
        <v>53</v>
      </c>
      <c r="AD1063" t="s">
        <v>53</v>
      </c>
      <c r="AE1063" t="s">
        <v>53</v>
      </c>
      <c r="AF1063" s="22" t="s">
        <v>53</v>
      </c>
      <c r="AG1063" s="22" t="s">
        <v>53</v>
      </c>
      <c r="AH1063" s="22" t="s">
        <v>53</v>
      </c>
      <c r="AI1063" s="22" t="s">
        <v>53</v>
      </c>
      <c r="AJ1063">
        <v>0</v>
      </c>
      <c r="AK1063">
        <v>0</v>
      </c>
      <c r="AL1063">
        <v>0</v>
      </c>
      <c r="AM1063">
        <v>0</v>
      </c>
      <c r="AN1063" s="22" t="s">
        <v>53</v>
      </c>
      <c r="AO1063" s="22" t="s">
        <v>53</v>
      </c>
      <c r="AP1063" s="22" t="s">
        <v>53</v>
      </c>
      <c r="AQ1063" s="22" t="s">
        <v>53</v>
      </c>
      <c r="AR1063" s="35">
        <v>0</v>
      </c>
      <c r="AS1063" s="35">
        <v>0</v>
      </c>
      <c r="AT1063" s="35">
        <v>0</v>
      </c>
      <c r="AU1063" s="31" t="str">
        <f t="shared" si="20"/>
        <v>库存为0</v>
      </c>
      <c r="AV1063" s="36" t="str">
        <f>IFERROR(时间!$B$4+AU1063,"上周无销量")</f>
        <v>上周无销量</v>
      </c>
    </row>
    <row r="1064" spans="1:48">
      <c r="A1064" s="20" t="s">
        <v>2386</v>
      </c>
      <c r="B1064" t="s">
        <v>2387</v>
      </c>
      <c r="C1064" t="s">
        <v>2372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2</v>
      </c>
      <c r="O1064">
        <v>0</v>
      </c>
      <c r="P1064" t="s">
        <v>53</v>
      </c>
      <c r="Q1064" t="s">
        <v>53</v>
      </c>
      <c r="R1064" t="s">
        <v>53</v>
      </c>
      <c r="S1064" t="s">
        <v>53</v>
      </c>
      <c r="T1064" t="s">
        <v>53</v>
      </c>
      <c r="U1064" t="s">
        <v>53</v>
      </c>
      <c r="V1064" t="s">
        <v>53</v>
      </c>
      <c r="W1064" t="s">
        <v>53</v>
      </c>
      <c r="X1064" s="22" t="s">
        <v>53</v>
      </c>
      <c r="Y1064" s="22" t="s">
        <v>53</v>
      </c>
      <c r="Z1064" s="22" t="s">
        <v>53</v>
      </c>
      <c r="AA1064" s="22" t="s">
        <v>53</v>
      </c>
      <c r="AB1064" t="s">
        <v>53</v>
      </c>
      <c r="AC1064" t="s">
        <v>53</v>
      </c>
      <c r="AD1064" t="s">
        <v>53</v>
      </c>
      <c r="AE1064" t="s">
        <v>53</v>
      </c>
      <c r="AF1064" s="22" t="s">
        <v>53</v>
      </c>
      <c r="AG1064" s="22" t="s">
        <v>53</v>
      </c>
      <c r="AH1064" s="22" t="s">
        <v>53</v>
      </c>
      <c r="AI1064" s="22" t="s">
        <v>53</v>
      </c>
      <c r="AJ1064">
        <v>0</v>
      </c>
      <c r="AK1064">
        <v>0</v>
      </c>
      <c r="AL1064">
        <v>0</v>
      </c>
      <c r="AM1064">
        <v>0</v>
      </c>
      <c r="AN1064" s="22" t="s">
        <v>53</v>
      </c>
      <c r="AO1064" s="22" t="s">
        <v>53</v>
      </c>
      <c r="AP1064" s="22" t="s">
        <v>53</v>
      </c>
      <c r="AQ1064" s="22" t="s">
        <v>53</v>
      </c>
      <c r="AR1064" s="35">
        <v>0</v>
      </c>
      <c r="AS1064" s="35">
        <v>0</v>
      </c>
      <c r="AT1064" s="35">
        <v>0</v>
      </c>
      <c r="AU1064" s="31" t="str">
        <f t="shared" si="20"/>
        <v>库存为0</v>
      </c>
      <c r="AV1064" s="36" t="str">
        <f>IFERROR(时间!$B$4+AU1064,"上周无销量")</f>
        <v>上周无销量</v>
      </c>
    </row>
    <row r="1065" spans="1:48">
      <c r="A1065" s="20" t="s">
        <v>2388</v>
      </c>
      <c r="B1065" t="s">
        <v>2389</v>
      </c>
      <c r="C1065" t="s">
        <v>2372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2</v>
      </c>
      <c r="O1065">
        <v>0</v>
      </c>
      <c r="P1065" t="s">
        <v>53</v>
      </c>
      <c r="Q1065" t="s">
        <v>53</v>
      </c>
      <c r="R1065" t="s">
        <v>53</v>
      </c>
      <c r="S1065" t="s">
        <v>53</v>
      </c>
      <c r="T1065" t="s">
        <v>53</v>
      </c>
      <c r="U1065" t="s">
        <v>53</v>
      </c>
      <c r="V1065" t="s">
        <v>53</v>
      </c>
      <c r="W1065" t="s">
        <v>53</v>
      </c>
      <c r="X1065" s="22" t="s">
        <v>53</v>
      </c>
      <c r="Y1065" s="22" t="s">
        <v>53</v>
      </c>
      <c r="Z1065" s="22" t="s">
        <v>53</v>
      </c>
      <c r="AA1065" s="22" t="s">
        <v>53</v>
      </c>
      <c r="AB1065" t="s">
        <v>53</v>
      </c>
      <c r="AC1065" t="s">
        <v>53</v>
      </c>
      <c r="AD1065" t="s">
        <v>53</v>
      </c>
      <c r="AE1065" t="s">
        <v>53</v>
      </c>
      <c r="AF1065" s="22" t="s">
        <v>53</v>
      </c>
      <c r="AG1065" s="22" t="s">
        <v>53</v>
      </c>
      <c r="AH1065" s="22" t="s">
        <v>53</v>
      </c>
      <c r="AI1065" s="22" t="s">
        <v>53</v>
      </c>
      <c r="AJ1065">
        <v>0</v>
      </c>
      <c r="AK1065">
        <v>0</v>
      </c>
      <c r="AL1065">
        <v>0</v>
      </c>
      <c r="AM1065">
        <v>0</v>
      </c>
      <c r="AN1065" s="22" t="s">
        <v>53</v>
      </c>
      <c r="AO1065" s="22" t="s">
        <v>53</v>
      </c>
      <c r="AP1065" s="22" t="s">
        <v>53</v>
      </c>
      <c r="AQ1065" s="22" t="s">
        <v>53</v>
      </c>
      <c r="AR1065" s="35">
        <v>0</v>
      </c>
      <c r="AS1065" s="35">
        <v>0</v>
      </c>
      <c r="AT1065" s="35">
        <v>0</v>
      </c>
      <c r="AU1065" s="31" t="str">
        <f t="shared" si="20"/>
        <v>库存为0</v>
      </c>
      <c r="AV1065" s="36" t="str">
        <f>IFERROR(时间!$B$4+AU1065,"上周无销量")</f>
        <v>上周无销量</v>
      </c>
    </row>
    <row r="1066" spans="1:48">
      <c r="A1066" s="20" t="s">
        <v>2390</v>
      </c>
      <c r="B1066" t="s">
        <v>2391</v>
      </c>
      <c r="C1066" t="s">
        <v>2372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1</v>
      </c>
      <c r="O1066">
        <v>0</v>
      </c>
      <c r="P1066" t="s">
        <v>53</v>
      </c>
      <c r="Q1066" t="s">
        <v>53</v>
      </c>
      <c r="R1066" t="s">
        <v>53</v>
      </c>
      <c r="S1066" t="s">
        <v>53</v>
      </c>
      <c r="T1066" t="s">
        <v>53</v>
      </c>
      <c r="U1066" t="s">
        <v>53</v>
      </c>
      <c r="V1066" t="s">
        <v>53</v>
      </c>
      <c r="W1066" t="s">
        <v>53</v>
      </c>
      <c r="X1066" s="22" t="s">
        <v>53</v>
      </c>
      <c r="Y1066" s="22" t="s">
        <v>53</v>
      </c>
      <c r="Z1066" s="22" t="s">
        <v>53</v>
      </c>
      <c r="AA1066" s="22" t="s">
        <v>53</v>
      </c>
      <c r="AB1066" t="s">
        <v>53</v>
      </c>
      <c r="AC1066" t="s">
        <v>53</v>
      </c>
      <c r="AD1066" t="s">
        <v>53</v>
      </c>
      <c r="AE1066" t="s">
        <v>53</v>
      </c>
      <c r="AF1066" s="22" t="s">
        <v>53</v>
      </c>
      <c r="AG1066" s="22" t="s">
        <v>53</v>
      </c>
      <c r="AH1066" s="22" t="s">
        <v>53</v>
      </c>
      <c r="AI1066" s="22" t="s">
        <v>53</v>
      </c>
      <c r="AJ1066">
        <v>0</v>
      </c>
      <c r="AK1066">
        <v>0</v>
      </c>
      <c r="AL1066">
        <v>0</v>
      </c>
      <c r="AM1066">
        <v>0</v>
      </c>
      <c r="AN1066" s="22" t="s">
        <v>53</v>
      </c>
      <c r="AO1066" s="22" t="s">
        <v>53</v>
      </c>
      <c r="AP1066" s="22" t="s">
        <v>53</v>
      </c>
      <c r="AQ1066" s="22" t="s">
        <v>53</v>
      </c>
      <c r="AR1066" s="35">
        <v>0</v>
      </c>
      <c r="AS1066" s="35">
        <v>0</v>
      </c>
      <c r="AT1066" s="35">
        <v>0</v>
      </c>
      <c r="AU1066" s="31" t="str">
        <f t="shared" si="20"/>
        <v>库存为0</v>
      </c>
      <c r="AV1066" s="36" t="str">
        <f>IFERROR(时间!$B$4+AU1066,"上周无销量")</f>
        <v>上周无销量</v>
      </c>
    </row>
    <row r="1067" spans="1:48">
      <c r="A1067" s="20" t="s">
        <v>2392</v>
      </c>
      <c r="B1067" t="s">
        <v>2393</v>
      </c>
      <c r="C1067" t="s">
        <v>2372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2</v>
      </c>
      <c r="O1067">
        <v>0</v>
      </c>
      <c r="P1067" t="s">
        <v>53</v>
      </c>
      <c r="Q1067" t="s">
        <v>53</v>
      </c>
      <c r="R1067" t="s">
        <v>53</v>
      </c>
      <c r="S1067" t="s">
        <v>53</v>
      </c>
      <c r="T1067" t="s">
        <v>53</v>
      </c>
      <c r="U1067" t="s">
        <v>53</v>
      </c>
      <c r="V1067" t="s">
        <v>53</v>
      </c>
      <c r="W1067" t="s">
        <v>53</v>
      </c>
      <c r="X1067" s="22" t="s">
        <v>53</v>
      </c>
      <c r="Y1067" s="22" t="s">
        <v>53</v>
      </c>
      <c r="Z1067" s="22" t="s">
        <v>53</v>
      </c>
      <c r="AA1067" s="22" t="s">
        <v>53</v>
      </c>
      <c r="AB1067" t="s">
        <v>53</v>
      </c>
      <c r="AC1067" t="s">
        <v>53</v>
      </c>
      <c r="AD1067" t="s">
        <v>53</v>
      </c>
      <c r="AE1067" t="s">
        <v>53</v>
      </c>
      <c r="AF1067" s="22" t="s">
        <v>53</v>
      </c>
      <c r="AG1067" s="22" t="s">
        <v>53</v>
      </c>
      <c r="AH1067" s="22" t="s">
        <v>53</v>
      </c>
      <c r="AI1067" s="22" t="s">
        <v>53</v>
      </c>
      <c r="AJ1067">
        <v>0</v>
      </c>
      <c r="AK1067">
        <v>0</v>
      </c>
      <c r="AL1067">
        <v>0</v>
      </c>
      <c r="AM1067">
        <v>0</v>
      </c>
      <c r="AN1067" s="22" t="s">
        <v>53</v>
      </c>
      <c r="AO1067" s="22" t="s">
        <v>53</v>
      </c>
      <c r="AP1067" s="22" t="s">
        <v>53</v>
      </c>
      <c r="AQ1067" s="22" t="s">
        <v>53</v>
      </c>
      <c r="AR1067" s="35">
        <v>0</v>
      </c>
      <c r="AS1067" s="35">
        <v>0</v>
      </c>
      <c r="AT1067" s="35">
        <v>0</v>
      </c>
      <c r="AU1067" s="31" t="str">
        <f t="shared" si="20"/>
        <v>库存为0</v>
      </c>
      <c r="AV1067" s="36" t="str">
        <f>IFERROR(时间!$B$4+AU1067,"上周无销量")</f>
        <v>上周无销量</v>
      </c>
    </row>
    <row r="1068" spans="1:48">
      <c r="A1068" s="20" t="s">
        <v>2394</v>
      </c>
      <c r="B1068" t="s">
        <v>2395</v>
      </c>
      <c r="C1068" t="s">
        <v>2372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1</v>
      </c>
      <c r="O1068">
        <v>0</v>
      </c>
      <c r="P1068" t="s">
        <v>53</v>
      </c>
      <c r="Q1068" t="s">
        <v>53</v>
      </c>
      <c r="R1068" t="s">
        <v>53</v>
      </c>
      <c r="S1068" t="s">
        <v>53</v>
      </c>
      <c r="T1068" t="s">
        <v>53</v>
      </c>
      <c r="U1068" t="s">
        <v>53</v>
      </c>
      <c r="V1068" t="s">
        <v>53</v>
      </c>
      <c r="W1068" t="s">
        <v>53</v>
      </c>
      <c r="X1068" s="22" t="s">
        <v>53</v>
      </c>
      <c r="Y1068" s="22" t="s">
        <v>53</v>
      </c>
      <c r="Z1068" s="22" t="s">
        <v>53</v>
      </c>
      <c r="AA1068" s="22" t="s">
        <v>53</v>
      </c>
      <c r="AB1068" t="s">
        <v>53</v>
      </c>
      <c r="AC1068" t="s">
        <v>53</v>
      </c>
      <c r="AD1068" t="s">
        <v>53</v>
      </c>
      <c r="AE1068" t="s">
        <v>53</v>
      </c>
      <c r="AF1068" s="22" t="s">
        <v>53</v>
      </c>
      <c r="AG1068" s="22" t="s">
        <v>53</v>
      </c>
      <c r="AH1068" s="22" t="s">
        <v>53</v>
      </c>
      <c r="AI1068" s="22" t="s">
        <v>53</v>
      </c>
      <c r="AJ1068">
        <v>0</v>
      </c>
      <c r="AK1068">
        <v>0</v>
      </c>
      <c r="AL1068">
        <v>0</v>
      </c>
      <c r="AM1068">
        <v>0</v>
      </c>
      <c r="AN1068" s="22" t="s">
        <v>53</v>
      </c>
      <c r="AO1068" s="22" t="s">
        <v>53</v>
      </c>
      <c r="AP1068" s="22" t="s">
        <v>53</v>
      </c>
      <c r="AQ1068" s="22" t="s">
        <v>53</v>
      </c>
      <c r="AR1068" s="35">
        <v>0</v>
      </c>
      <c r="AS1068" s="35">
        <v>0</v>
      </c>
      <c r="AT1068" s="35">
        <v>0</v>
      </c>
      <c r="AU1068" s="31" t="str">
        <f t="shared" si="20"/>
        <v>库存为0</v>
      </c>
      <c r="AV1068" s="36" t="str">
        <f>IFERROR(时间!$B$4+AU1068,"上周无销量")</f>
        <v>上周无销量</v>
      </c>
    </row>
    <row r="1069" spans="1:48">
      <c r="A1069" s="20" t="s">
        <v>2396</v>
      </c>
      <c r="B1069" t="s">
        <v>2397</v>
      </c>
      <c r="C1069" t="s">
        <v>2372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1</v>
      </c>
      <c r="O1069">
        <v>0</v>
      </c>
      <c r="P1069" t="s">
        <v>53</v>
      </c>
      <c r="Q1069" t="s">
        <v>53</v>
      </c>
      <c r="R1069" t="s">
        <v>53</v>
      </c>
      <c r="S1069" t="s">
        <v>53</v>
      </c>
      <c r="T1069" t="s">
        <v>53</v>
      </c>
      <c r="U1069" t="s">
        <v>53</v>
      </c>
      <c r="V1069" t="s">
        <v>53</v>
      </c>
      <c r="W1069" t="s">
        <v>53</v>
      </c>
      <c r="X1069" s="22" t="s">
        <v>53</v>
      </c>
      <c r="Y1069" s="22" t="s">
        <v>53</v>
      </c>
      <c r="Z1069" s="22" t="s">
        <v>53</v>
      </c>
      <c r="AA1069" s="22" t="s">
        <v>53</v>
      </c>
      <c r="AB1069" t="s">
        <v>53</v>
      </c>
      <c r="AC1069" t="s">
        <v>53</v>
      </c>
      <c r="AD1069" t="s">
        <v>53</v>
      </c>
      <c r="AE1069" t="s">
        <v>53</v>
      </c>
      <c r="AF1069" s="22" t="s">
        <v>53</v>
      </c>
      <c r="AG1069" s="22" t="s">
        <v>53</v>
      </c>
      <c r="AH1069" s="22" t="s">
        <v>53</v>
      </c>
      <c r="AI1069" s="22" t="s">
        <v>53</v>
      </c>
      <c r="AJ1069">
        <v>0</v>
      </c>
      <c r="AK1069">
        <v>0</v>
      </c>
      <c r="AL1069">
        <v>0</v>
      </c>
      <c r="AM1069">
        <v>0</v>
      </c>
      <c r="AN1069" s="22" t="s">
        <v>53</v>
      </c>
      <c r="AO1069" s="22" t="s">
        <v>53</v>
      </c>
      <c r="AP1069" s="22" t="s">
        <v>53</v>
      </c>
      <c r="AQ1069" s="22" t="s">
        <v>53</v>
      </c>
      <c r="AR1069" s="35">
        <v>0</v>
      </c>
      <c r="AS1069" s="35">
        <v>0</v>
      </c>
      <c r="AT1069" s="35">
        <v>0</v>
      </c>
      <c r="AU1069" s="31" t="str">
        <f t="shared" si="20"/>
        <v>库存为0</v>
      </c>
      <c r="AV1069" s="36" t="str">
        <f>IFERROR(时间!$B$4+AU1069,"上周无销量")</f>
        <v>上周无销量</v>
      </c>
    </row>
    <row r="1070" spans="1:48">
      <c r="A1070" s="20" t="s">
        <v>2398</v>
      </c>
      <c r="B1070" t="s">
        <v>2399</v>
      </c>
      <c r="C1070" t="s">
        <v>2372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4</v>
      </c>
      <c r="O1070">
        <v>0</v>
      </c>
      <c r="P1070" t="s">
        <v>53</v>
      </c>
      <c r="Q1070" t="s">
        <v>53</v>
      </c>
      <c r="R1070" t="s">
        <v>53</v>
      </c>
      <c r="S1070" t="s">
        <v>53</v>
      </c>
      <c r="T1070" t="s">
        <v>53</v>
      </c>
      <c r="U1070" t="s">
        <v>53</v>
      </c>
      <c r="V1070" t="s">
        <v>53</v>
      </c>
      <c r="W1070" t="s">
        <v>53</v>
      </c>
      <c r="X1070" s="22" t="s">
        <v>53</v>
      </c>
      <c r="Y1070" s="22" t="s">
        <v>53</v>
      </c>
      <c r="Z1070" s="22" t="s">
        <v>53</v>
      </c>
      <c r="AA1070" s="22" t="s">
        <v>53</v>
      </c>
      <c r="AB1070" t="s">
        <v>53</v>
      </c>
      <c r="AC1070" t="s">
        <v>53</v>
      </c>
      <c r="AD1070" t="s">
        <v>53</v>
      </c>
      <c r="AE1070" t="s">
        <v>53</v>
      </c>
      <c r="AF1070" s="22" t="s">
        <v>53</v>
      </c>
      <c r="AG1070" s="22" t="s">
        <v>53</v>
      </c>
      <c r="AH1070" s="22" t="s">
        <v>53</v>
      </c>
      <c r="AI1070" s="22" t="s">
        <v>53</v>
      </c>
      <c r="AJ1070">
        <v>0</v>
      </c>
      <c r="AK1070">
        <v>0</v>
      </c>
      <c r="AL1070">
        <v>0</v>
      </c>
      <c r="AM1070">
        <v>0</v>
      </c>
      <c r="AN1070" s="22" t="s">
        <v>53</v>
      </c>
      <c r="AO1070" s="22" t="s">
        <v>53</v>
      </c>
      <c r="AP1070" s="22" t="s">
        <v>53</v>
      </c>
      <c r="AQ1070" s="22" t="s">
        <v>53</v>
      </c>
      <c r="AR1070" s="35">
        <v>0</v>
      </c>
      <c r="AS1070" s="35">
        <v>0</v>
      </c>
      <c r="AT1070" s="35">
        <v>0</v>
      </c>
      <c r="AU1070" s="31" t="str">
        <f t="shared" si="20"/>
        <v>库存为0</v>
      </c>
      <c r="AV1070" s="36" t="str">
        <f>IFERROR(时间!$B$4+AU1070,"上周无销量")</f>
        <v>上周无销量</v>
      </c>
    </row>
    <row r="1071" spans="1:48">
      <c r="A1071" s="20" t="s">
        <v>2400</v>
      </c>
      <c r="B1071" t="s">
        <v>2401</v>
      </c>
      <c r="C1071" t="s">
        <v>2372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3</v>
      </c>
      <c r="O1071">
        <v>0</v>
      </c>
      <c r="P1071" t="s">
        <v>53</v>
      </c>
      <c r="Q1071" t="s">
        <v>53</v>
      </c>
      <c r="R1071" t="s">
        <v>53</v>
      </c>
      <c r="S1071" t="s">
        <v>53</v>
      </c>
      <c r="T1071" t="s">
        <v>53</v>
      </c>
      <c r="U1071" t="s">
        <v>53</v>
      </c>
      <c r="V1071" t="s">
        <v>53</v>
      </c>
      <c r="W1071" t="s">
        <v>53</v>
      </c>
      <c r="X1071" s="22" t="s">
        <v>53</v>
      </c>
      <c r="Y1071" s="22" t="s">
        <v>53</v>
      </c>
      <c r="Z1071" s="22" t="s">
        <v>53</v>
      </c>
      <c r="AA1071" s="22" t="s">
        <v>53</v>
      </c>
      <c r="AB1071" t="s">
        <v>53</v>
      </c>
      <c r="AC1071" t="s">
        <v>53</v>
      </c>
      <c r="AD1071" t="s">
        <v>53</v>
      </c>
      <c r="AE1071" t="s">
        <v>53</v>
      </c>
      <c r="AF1071" s="22" t="s">
        <v>53</v>
      </c>
      <c r="AG1071" s="22" t="s">
        <v>53</v>
      </c>
      <c r="AH1071" s="22" t="s">
        <v>53</v>
      </c>
      <c r="AI1071" s="22" t="s">
        <v>53</v>
      </c>
      <c r="AJ1071">
        <v>0</v>
      </c>
      <c r="AK1071">
        <v>0</v>
      </c>
      <c r="AL1071">
        <v>0</v>
      </c>
      <c r="AM1071">
        <v>0</v>
      </c>
      <c r="AN1071" s="22" t="s">
        <v>53</v>
      </c>
      <c r="AO1071" s="22" t="s">
        <v>53</v>
      </c>
      <c r="AP1071" s="22" t="s">
        <v>53</v>
      </c>
      <c r="AQ1071" s="22" t="s">
        <v>53</v>
      </c>
      <c r="AR1071" s="35">
        <v>0</v>
      </c>
      <c r="AS1071" s="35">
        <v>0</v>
      </c>
      <c r="AT1071" s="35">
        <v>0</v>
      </c>
      <c r="AU1071" s="31" t="str">
        <f t="shared" si="20"/>
        <v>库存为0</v>
      </c>
      <c r="AV1071" s="36" t="str">
        <f>IFERROR(时间!$B$4+AU1071,"上周无销量")</f>
        <v>上周无销量</v>
      </c>
    </row>
    <row r="1072" spans="1:48">
      <c r="A1072" s="20" t="s">
        <v>2402</v>
      </c>
      <c r="B1072" t="s">
        <v>2403</v>
      </c>
      <c r="C1072" t="s">
        <v>2404</v>
      </c>
      <c r="D1072" s="31">
        <v>0</v>
      </c>
      <c r="E1072" s="31">
        <v>2</v>
      </c>
      <c r="F1072" s="31">
        <v>0</v>
      </c>
      <c r="G1072" s="31">
        <v>0</v>
      </c>
      <c r="H1072" s="32">
        <v>13.99</v>
      </c>
      <c r="I1072">
        <v>3</v>
      </c>
      <c r="J1072" s="33">
        <v>0</v>
      </c>
      <c r="K1072" s="33">
        <v>0</v>
      </c>
      <c r="L1072" s="33">
        <v>0</v>
      </c>
      <c r="M1072">
        <v>3</v>
      </c>
      <c r="N1072">
        <v>0</v>
      </c>
      <c r="O1072">
        <v>3</v>
      </c>
      <c r="P1072" t="s">
        <v>53</v>
      </c>
      <c r="Q1072" t="s">
        <v>53</v>
      </c>
      <c r="R1072" t="s">
        <v>53</v>
      </c>
      <c r="S1072" t="s">
        <v>53</v>
      </c>
      <c r="T1072" t="s">
        <v>53</v>
      </c>
      <c r="U1072" t="s">
        <v>53</v>
      </c>
      <c r="V1072" t="s">
        <v>53</v>
      </c>
      <c r="W1072" t="s">
        <v>53</v>
      </c>
      <c r="X1072" s="22" t="s">
        <v>53</v>
      </c>
      <c r="Y1072" s="22" t="s">
        <v>53</v>
      </c>
      <c r="Z1072" s="22" t="s">
        <v>53</v>
      </c>
      <c r="AA1072" s="22" t="s">
        <v>53</v>
      </c>
      <c r="AB1072" t="s">
        <v>53</v>
      </c>
      <c r="AC1072" t="s">
        <v>53</v>
      </c>
      <c r="AD1072" t="s">
        <v>53</v>
      </c>
      <c r="AE1072" t="s">
        <v>53</v>
      </c>
      <c r="AF1072" s="22" t="s">
        <v>53</v>
      </c>
      <c r="AG1072" s="22" t="s">
        <v>53</v>
      </c>
      <c r="AH1072" s="22" t="s">
        <v>53</v>
      </c>
      <c r="AI1072" s="22" t="s">
        <v>53</v>
      </c>
      <c r="AJ1072">
        <v>16</v>
      </c>
      <c r="AK1072">
        <v>7</v>
      </c>
      <c r="AL1072">
        <v>1</v>
      </c>
      <c r="AM1072">
        <v>5</v>
      </c>
      <c r="AN1072" s="22">
        <v>0</v>
      </c>
      <c r="AO1072" s="22">
        <v>0.285714285714286</v>
      </c>
      <c r="AP1072" s="22">
        <v>0</v>
      </c>
      <c r="AQ1072" s="22">
        <v>0</v>
      </c>
      <c r="AR1072" s="35">
        <v>0</v>
      </c>
      <c r="AS1072" s="35">
        <v>0</v>
      </c>
      <c r="AT1072" s="35">
        <v>3</v>
      </c>
      <c r="AU1072" s="31" t="str">
        <f t="shared" si="20"/>
        <v>库存为3</v>
      </c>
      <c r="AV1072" s="36" t="str">
        <f>IFERROR(时间!$B$4+AU1072,"上周无销量")</f>
        <v>上周无销量</v>
      </c>
    </row>
    <row r="1073" spans="1:48">
      <c r="A1073" s="20" t="s">
        <v>2405</v>
      </c>
      <c r="B1073" t="s">
        <v>2406</v>
      </c>
      <c r="C1073" t="s">
        <v>2404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2</v>
      </c>
      <c r="J1073" s="33">
        <v>0</v>
      </c>
      <c r="K1073" s="33">
        <v>0</v>
      </c>
      <c r="L1073" s="33">
        <v>1</v>
      </c>
      <c r="M1073">
        <v>3</v>
      </c>
      <c r="N1073">
        <v>0</v>
      </c>
      <c r="O1073">
        <v>4</v>
      </c>
      <c r="P1073">
        <v>1135</v>
      </c>
      <c r="Q1073">
        <v>1417</v>
      </c>
      <c r="R1073">
        <v>398</v>
      </c>
      <c r="S1073">
        <v>1540</v>
      </c>
      <c r="T1073">
        <v>8</v>
      </c>
      <c r="U1073">
        <v>3</v>
      </c>
      <c r="V1073">
        <v>1</v>
      </c>
      <c r="W1073">
        <v>6</v>
      </c>
      <c r="X1073" s="22">
        <v>0.00704845814977974</v>
      </c>
      <c r="Y1073" s="22">
        <v>0.00211714890613973</v>
      </c>
      <c r="Z1073" s="22">
        <v>0.00251256281407035</v>
      </c>
      <c r="AA1073" s="22">
        <v>0.0038961038961039</v>
      </c>
      <c r="AB1073">
        <v>1.5</v>
      </c>
      <c r="AC1073">
        <v>0.64</v>
      </c>
      <c r="AD1073">
        <v>0.11</v>
      </c>
      <c r="AE1073">
        <v>1.89</v>
      </c>
      <c r="AF1073" s="22" t="s">
        <v>2250</v>
      </c>
      <c r="AG1073" s="22" t="s">
        <v>2407</v>
      </c>
      <c r="AH1073" s="22" t="s">
        <v>2408</v>
      </c>
      <c r="AI1073" s="22" t="s">
        <v>2409</v>
      </c>
      <c r="AJ1073">
        <v>31</v>
      </c>
      <c r="AK1073">
        <v>11</v>
      </c>
      <c r="AL1073">
        <v>2</v>
      </c>
      <c r="AM1073">
        <v>6</v>
      </c>
      <c r="AN1073" s="22">
        <v>0</v>
      </c>
      <c r="AO1073" s="22">
        <v>0</v>
      </c>
      <c r="AP1073" s="22">
        <v>0</v>
      </c>
      <c r="AQ1073" s="22">
        <v>0</v>
      </c>
      <c r="AR1073" s="35">
        <v>0</v>
      </c>
      <c r="AS1073" s="35">
        <v>0</v>
      </c>
      <c r="AT1073" s="35">
        <v>3</v>
      </c>
      <c r="AU1073" s="31" t="str">
        <f t="shared" si="20"/>
        <v>库存为3</v>
      </c>
      <c r="AV1073" s="36" t="str">
        <f>IFERROR(时间!$B$4+AU1073,"上周无销量")</f>
        <v>上周无销量</v>
      </c>
    </row>
    <row r="1074" spans="1:48">
      <c r="A1074" s="20" t="s">
        <v>2410</v>
      </c>
      <c r="B1074" t="s">
        <v>2411</v>
      </c>
      <c r="C1074" t="s">
        <v>2404</v>
      </c>
      <c r="D1074" s="31">
        <v>2</v>
      </c>
      <c r="E1074" s="31">
        <v>1</v>
      </c>
      <c r="F1074" s="31">
        <v>0</v>
      </c>
      <c r="G1074" s="31">
        <v>0</v>
      </c>
      <c r="H1074" s="32">
        <v>13.99</v>
      </c>
      <c r="I1074">
        <v>3</v>
      </c>
      <c r="J1074" s="33">
        <v>0</v>
      </c>
      <c r="K1074" s="33">
        <v>0</v>
      </c>
      <c r="L1074" s="33">
        <v>0</v>
      </c>
      <c r="M1074">
        <v>3</v>
      </c>
      <c r="N1074">
        <v>0</v>
      </c>
      <c r="O1074">
        <v>0</v>
      </c>
      <c r="P1074" t="s">
        <v>53</v>
      </c>
      <c r="Q1074" t="s">
        <v>53</v>
      </c>
      <c r="R1074" t="s">
        <v>53</v>
      </c>
      <c r="S1074" t="s">
        <v>53</v>
      </c>
      <c r="T1074" t="s">
        <v>53</v>
      </c>
      <c r="U1074" t="s">
        <v>53</v>
      </c>
      <c r="V1074" t="s">
        <v>53</v>
      </c>
      <c r="W1074" t="s">
        <v>53</v>
      </c>
      <c r="X1074" s="22" t="s">
        <v>53</v>
      </c>
      <c r="Y1074" s="22" t="s">
        <v>53</v>
      </c>
      <c r="Z1074" s="22" t="s">
        <v>53</v>
      </c>
      <c r="AA1074" s="22" t="s">
        <v>53</v>
      </c>
      <c r="AB1074" t="s">
        <v>53</v>
      </c>
      <c r="AC1074" t="s">
        <v>53</v>
      </c>
      <c r="AD1074" t="s">
        <v>53</v>
      </c>
      <c r="AE1074" t="s">
        <v>53</v>
      </c>
      <c r="AF1074" s="22" t="s">
        <v>53</v>
      </c>
      <c r="AG1074" s="22" t="s">
        <v>53</v>
      </c>
      <c r="AH1074" s="22" t="s">
        <v>53</v>
      </c>
      <c r="AI1074" s="22" t="s">
        <v>53</v>
      </c>
      <c r="AJ1074">
        <v>41</v>
      </c>
      <c r="AK1074">
        <v>25</v>
      </c>
      <c r="AL1074">
        <v>3</v>
      </c>
      <c r="AM1074">
        <v>9</v>
      </c>
      <c r="AN1074" s="22">
        <v>0.0487804878048781</v>
      </c>
      <c r="AO1074" s="22">
        <v>0.04</v>
      </c>
      <c r="AP1074" s="22">
        <v>0</v>
      </c>
      <c r="AQ1074" s="22">
        <v>0</v>
      </c>
      <c r="AR1074" s="35">
        <v>0.285714285714286</v>
      </c>
      <c r="AS1074" s="35">
        <v>17.1428571428571</v>
      </c>
      <c r="AT1074" s="35">
        <v>-14.1428571428571</v>
      </c>
      <c r="AU1074" s="31">
        <f t="shared" si="20"/>
        <v>10</v>
      </c>
      <c r="AV1074" s="36">
        <f>IFERROR(时间!$B$4+AU1074,"上周无销量")</f>
        <v>43342</v>
      </c>
    </row>
    <row r="1075" spans="1:48">
      <c r="A1075" s="20" t="s">
        <v>2412</v>
      </c>
      <c r="B1075" t="s">
        <v>2413</v>
      </c>
      <c r="C1075" t="s">
        <v>2404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2</v>
      </c>
      <c r="J1075" s="33">
        <v>0</v>
      </c>
      <c r="K1075" s="33">
        <v>0</v>
      </c>
      <c r="L1075" s="33">
        <v>0</v>
      </c>
      <c r="M1075">
        <v>2</v>
      </c>
      <c r="N1075">
        <v>0</v>
      </c>
      <c r="O1075">
        <v>2</v>
      </c>
      <c r="P1075">
        <v>1826</v>
      </c>
      <c r="Q1075">
        <v>2802</v>
      </c>
      <c r="R1075">
        <v>255</v>
      </c>
      <c r="S1075">
        <v>628</v>
      </c>
      <c r="T1075">
        <v>8</v>
      </c>
      <c r="U1075">
        <v>3</v>
      </c>
      <c r="V1075">
        <v>2</v>
      </c>
      <c r="W1075">
        <v>5</v>
      </c>
      <c r="X1075" s="22">
        <v>0.00438116100766703</v>
      </c>
      <c r="Y1075" s="22">
        <v>0.00107066381156317</v>
      </c>
      <c r="Z1075" s="22">
        <v>0.00784313725490196</v>
      </c>
      <c r="AA1075" s="22">
        <v>0.00796178343949045</v>
      </c>
      <c r="AB1075">
        <v>1.4</v>
      </c>
      <c r="AC1075">
        <v>0.79</v>
      </c>
      <c r="AD1075">
        <v>0.26</v>
      </c>
      <c r="AE1075">
        <v>1.17</v>
      </c>
      <c r="AF1075" s="22" t="s">
        <v>2028</v>
      </c>
      <c r="AG1075" s="22" t="s">
        <v>2414</v>
      </c>
      <c r="AH1075" s="22" t="s">
        <v>2271</v>
      </c>
      <c r="AI1075" s="22" t="s">
        <v>2415</v>
      </c>
      <c r="AJ1075">
        <v>30</v>
      </c>
      <c r="AK1075">
        <v>14</v>
      </c>
      <c r="AL1075">
        <v>2</v>
      </c>
      <c r="AM1075">
        <v>4</v>
      </c>
      <c r="AN1075" s="22">
        <v>0</v>
      </c>
      <c r="AO1075" s="22">
        <v>0</v>
      </c>
      <c r="AP1075" s="22">
        <v>0</v>
      </c>
      <c r="AQ1075" s="22">
        <v>0</v>
      </c>
      <c r="AR1075" s="35">
        <v>0</v>
      </c>
      <c r="AS1075" s="35">
        <v>0</v>
      </c>
      <c r="AT1075" s="35">
        <v>2</v>
      </c>
      <c r="AU1075" s="31" t="str">
        <f t="shared" si="20"/>
        <v>库存为2</v>
      </c>
      <c r="AV1075" s="36" t="str">
        <f>IFERROR(时间!$B$4+AU1075,"上周无销量")</f>
        <v>上周无销量</v>
      </c>
    </row>
    <row r="1076" spans="1:48">
      <c r="A1076" s="20" t="s">
        <v>2416</v>
      </c>
      <c r="B1076" t="s">
        <v>2417</v>
      </c>
      <c r="C1076" t="s">
        <v>2404</v>
      </c>
      <c r="D1076" s="31">
        <v>0</v>
      </c>
      <c r="E1076" s="31">
        <v>1</v>
      </c>
      <c r="F1076" s="31">
        <v>0</v>
      </c>
      <c r="G1076" s="31">
        <v>0</v>
      </c>
      <c r="H1076" s="32">
        <v>13.99</v>
      </c>
      <c r="I1076">
        <v>9</v>
      </c>
      <c r="J1076" s="33">
        <v>0</v>
      </c>
      <c r="K1076" s="33">
        <v>0</v>
      </c>
      <c r="L1076" s="33">
        <v>0</v>
      </c>
      <c r="M1076">
        <v>9</v>
      </c>
      <c r="N1076">
        <v>0</v>
      </c>
      <c r="O1076">
        <v>0</v>
      </c>
      <c r="P1076" t="s">
        <v>53</v>
      </c>
      <c r="Q1076" t="s">
        <v>53</v>
      </c>
      <c r="R1076" t="s">
        <v>53</v>
      </c>
      <c r="S1076" t="s">
        <v>53</v>
      </c>
      <c r="T1076" t="s">
        <v>53</v>
      </c>
      <c r="U1076" t="s">
        <v>53</v>
      </c>
      <c r="V1076" t="s">
        <v>53</v>
      </c>
      <c r="W1076" t="s">
        <v>53</v>
      </c>
      <c r="X1076" s="22" t="s">
        <v>53</v>
      </c>
      <c r="Y1076" s="22" t="s">
        <v>53</v>
      </c>
      <c r="Z1076" s="22" t="s">
        <v>53</v>
      </c>
      <c r="AA1076" s="22" t="s">
        <v>53</v>
      </c>
      <c r="AB1076" t="s">
        <v>53</v>
      </c>
      <c r="AC1076" t="s">
        <v>53</v>
      </c>
      <c r="AD1076" t="s">
        <v>53</v>
      </c>
      <c r="AE1076" t="s">
        <v>53</v>
      </c>
      <c r="AF1076" s="22" t="s">
        <v>53</v>
      </c>
      <c r="AG1076" s="22" t="s">
        <v>53</v>
      </c>
      <c r="AH1076" s="22" t="s">
        <v>53</v>
      </c>
      <c r="AI1076" s="22" t="s">
        <v>53</v>
      </c>
      <c r="AJ1076">
        <v>12</v>
      </c>
      <c r="AK1076">
        <v>7</v>
      </c>
      <c r="AL1076">
        <v>1</v>
      </c>
      <c r="AM1076">
        <v>4</v>
      </c>
      <c r="AN1076" s="22">
        <v>0</v>
      </c>
      <c r="AO1076" s="22">
        <v>0.142857142857143</v>
      </c>
      <c r="AP1076" s="22">
        <v>0</v>
      </c>
      <c r="AQ1076" s="22">
        <v>0</v>
      </c>
      <c r="AR1076" s="35">
        <v>0</v>
      </c>
      <c r="AS1076" s="35">
        <v>0</v>
      </c>
      <c r="AT1076" s="35">
        <v>9</v>
      </c>
      <c r="AU1076" s="31" t="str">
        <f t="shared" si="20"/>
        <v>库存为9</v>
      </c>
      <c r="AV1076" s="36" t="str">
        <f>IFERROR(时间!$B$4+AU1076,"上周无销量")</f>
        <v>上周无销量</v>
      </c>
    </row>
    <row r="1077" spans="1:48">
      <c r="A1077" s="20" t="s">
        <v>2418</v>
      </c>
      <c r="B1077" t="s">
        <v>2419</v>
      </c>
      <c r="C1077" t="s">
        <v>2404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7</v>
      </c>
      <c r="J1077" s="33">
        <v>0</v>
      </c>
      <c r="K1077" s="33">
        <v>0</v>
      </c>
      <c r="L1077" s="33">
        <v>0</v>
      </c>
      <c r="M1077">
        <v>7</v>
      </c>
      <c r="N1077">
        <v>0</v>
      </c>
      <c r="O1077">
        <v>3</v>
      </c>
      <c r="P1077" t="s">
        <v>53</v>
      </c>
      <c r="Q1077" t="s">
        <v>53</v>
      </c>
      <c r="R1077" t="s">
        <v>53</v>
      </c>
      <c r="S1077" t="s">
        <v>53</v>
      </c>
      <c r="T1077" t="s">
        <v>53</v>
      </c>
      <c r="U1077" t="s">
        <v>53</v>
      </c>
      <c r="V1077" t="s">
        <v>53</v>
      </c>
      <c r="W1077" t="s">
        <v>53</v>
      </c>
      <c r="X1077" s="22" t="s">
        <v>53</v>
      </c>
      <c r="Y1077" s="22" t="s">
        <v>53</v>
      </c>
      <c r="Z1077" s="22" t="s">
        <v>53</v>
      </c>
      <c r="AA1077" s="22" t="s">
        <v>53</v>
      </c>
      <c r="AB1077" t="s">
        <v>53</v>
      </c>
      <c r="AC1077" t="s">
        <v>53</v>
      </c>
      <c r="AD1077" t="s">
        <v>53</v>
      </c>
      <c r="AE1077" t="s">
        <v>53</v>
      </c>
      <c r="AF1077" s="22" t="s">
        <v>53</v>
      </c>
      <c r="AG1077" s="22" t="s">
        <v>53</v>
      </c>
      <c r="AH1077" s="22" t="s">
        <v>53</v>
      </c>
      <c r="AI1077" s="22" t="s">
        <v>53</v>
      </c>
      <c r="AJ1077">
        <v>26</v>
      </c>
      <c r="AK1077">
        <v>8</v>
      </c>
      <c r="AL1077">
        <v>2</v>
      </c>
      <c r="AM1077">
        <v>6</v>
      </c>
      <c r="AN1077" s="22">
        <v>0</v>
      </c>
      <c r="AO1077" s="22">
        <v>0</v>
      </c>
      <c r="AP1077" s="22">
        <v>0</v>
      </c>
      <c r="AQ1077" s="22">
        <v>0</v>
      </c>
      <c r="AR1077" s="35">
        <v>0</v>
      </c>
      <c r="AS1077" s="35">
        <v>0</v>
      </c>
      <c r="AT1077" s="35">
        <v>7</v>
      </c>
      <c r="AU1077" s="31" t="str">
        <f t="shared" si="20"/>
        <v>库存为7</v>
      </c>
      <c r="AV1077" s="36" t="str">
        <f>IFERROR(时间!$B$4+AU1077,"上周无销量")</f>
        <v>上周无销量</v>
      </c>
    </row>
    <row r="1078" spans="1:48">
      <c r="A1078" s="20" t="s">
        <v>2420</v>
      </c>
      <c r="B1078" t="s">
        <v>2421</v>
      </c>
      <c r="C1078" t="s">
        <v>2404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9</v>
      </c>
      <c r="J1078" s="33">
        <v>0</v>
      </c>
      <c r="K1078" s="33">
        <v>0</v>
      </c>
      <c r="L1078" s="33">
        <v>0</v>
      </c>
      <c r="M1078">
        <v>9</v>
      </c>
      <c r="N1078">
        <v>0</v>
      </c>
      <c r="O1078">
        <v>0</v>
      </c>
      <c r="P1078">
        <v>663</v>
      </c>
      <c r="Q1078">
        <v>539</v>
      </c>
      <c r="R1078">
        <v>482</v>
      </c>
      <c r="S1078">
        <v>1573</v>
      </c>
      <c r="T1078">
        <v>4</v>
      </c>
      <c r="U1078">
        <v>2</v>
      </c>
      <c r="V1078">
        <v>1</v>
      </c>
      <c r="W1078">
        <v>8</v>
      </c>
      <c r="X1078" s="22">
        <v>0.00603318250377074</v>
      </c>
      <c r="Y1078" s="22">
        <v>0.00371057513914657</v>
      </c>
      <c r="Z1078" s="22">
        <v>0.0020746887966805</v>
      </c>
      <c r="AA1078" s="22">
        <v>0.00508582326764145</v>
      </c>
      <c r="AB1078">
        <v>0.92</v>
      </c>
      <c r="AC1078">
        <v>0.42</v>
      </c>
      <c r="AD1078">
        <v>0.14</v>
      </c>
      <c r="AE1078">
        <v>2.59</v>
      </c>
      <c r="AF1078" s="22" t="s">
        <v>2422</v>
      </c>
      <c r="AG1078" s="22" t="s">
        <v>2423</v>
      </c>
      <c r="AH1078" s="22" t="s">
        <v>2424</v>
      </c>
      <c r="AI1078" s="22" t="s">
        <v>2425</v>
      </c>
      <c r="AJ1078">
        <v>38</v>
      </c>
      <c r="AK1078">
        <v>51</v>
      </c>
      <c r="AL1078">
        <v>19</v>
      </c>
      <c r="AM1078">
        <v>7</v>
      </c>
      <c r="AN1078" s="22">
        <v>0</v>
      </c>
      <c r="AO1078" s="22">
        <v>0</v>
      </c>
      <c r="AP1078" s="22">
        <v>0</v>
      </c>
      <c r="AQ1078" s="22">
        <v>0</v>
      </c>
      <c r="AR1078" s="35">
        <v>0</v>
      </c>
      <c r="AS1078" s="35">
        <v>0</v>
      </c>
      <c r="AT1078" s="35">
        <v>9</v>
      </c>
      <c r="AU1078" s="31" t="str">
        <f t="shared" si="20"/>
        <v>库存为9</v>
      </c>
      <c r="AV1078" s="36" t="str">
        <f>IFERROR(时间!$B$4+AU1078,"上周无销量")</f>
        <v>上周无销量</v>
      </c>
    </row>
    <row r="1079" spans="1:48">
      <c r="A1079" s="20" t="s">
        <v>2426</v>
      </c>
      <c r="B1079" t="s">
        <v>2427</v>
      </c>
      <c r="C1079" t="s">
        <v>2404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9</v>
      </c>
      <c r="J1079" s="33">
        <v>0</v>
      </c>
      <c r="K1079" s="33">
        <v>0</v>
      </c>
      <c r="L1079" s="33">
        <v>0</v>
      </c>
      <c r="M1079">
        <v>9</v>
      </c>
      <c r="N1079">
        <v>0</v>
      </c>
      <c r="O1079">
        <v>8</v>
      </c>
      <c r="P1079" t="s">
        <v>53</v>
      </c>
      <c r="Q1079" t="s">
        <v>53</v>
      </c>
      <c r="R1079" t="s">
        <v>53</v>
      </c>
      <c r="S1079" t="s">
        <v>53</v>
      </c>
      <c r="T1079" t="s">
        <v>53</v>
      </c>
      <c r="U1079" t="s">
        <v>53</v>
      </c>
      <c r="V1079" t="s">
        <v>53</v>
      </c>
      <c r="W1079" t="s">
        <v>53</v>
      </c>
      <c r="X1079" s="22" t="s">
        <v>53</v>
      </c>
      <c r="Y1079" s="22" t="s">
        <v>53</v>
      </c>
      <c r="Z1079" s="22" t="s">
        <v>53</v>
      </c>
      <c r="AA1079" s="22" t="s">
        <v>53</v>
      </c>
      <c r="AB1079" t="s">
        <v>53</v>
      </c>
      <c r="AC1079" t="s">
        <v>53</v>
      </c>
      <c r="AD1079" t="s">
        <v>53</v>
      </c>
      <c r="AE1079" t="s">
        <v>53</v>
      </c>
      <c r="AF1079" s="22" t="s">
        <v>53</v>
      </c>
      <c r="AG1079" s="22" t="s">
        <v>53</v>
      </c>
      <c r="AH1079" s="22" t="s">
        <v>53</v>
      </c>
      <c r="AI1079" s="22" t="s">
        <v>53</v>
      </c>
      <c r="AJ1079">
        <v>29</v>
      </c>
      <c r="AK1079">
        <v>8</v>
      </c>
      <c r="AL1079">
        <v>1</v>
      </c>
      <c r="AM1079">
        <v>6</v>
      </c>
      <c r="AN1079" s="22">
        <v>0</v>
      </c>
      <c r="AO1079" s="22">
        <v>0</v>
      </c>
      <c r="AP1079" s="22">
        <v>0</v>
      </c>
      <c r="AQ1079" s="22">
        <v>0</v>
      </c>
      <c r="AR1079" s="35">
        <v>0</v>
      </c>
      <c r="AS1079" s="35">
        <v>0</v>
      </c>
      <c r="AT1079" s="35">
        <v>9</v>
      </c>
      <c r="AU1079" s="31" t="str">
        <f t="shared" si="20"/>
        <v>库存为9</v>
      </c>
      <c r="AV1079" s="36" t="str">
        <f>IFERROR(时间!$B$4+AU1079,"上周无销量")</f>
        <v>上周无销量</v>
      </c>
    </row>
    <row r="1080" spans="1:48">
      <c r="A1080" s="20" t="s">
        <v>2428</v>
      </c>
      <c r="B1080" t="s">
        <v>2429</v>
      </c>
      <c r="C1080" t="s">
        <v>2430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5</v>
      </c>
      <c r="O1080">
        <v>0</v>
      </c>
      <c r="P1080" t="s">
        <v>53</v>
      </c>
      <c r="Q1080" t="s">
        <v>53</v>
      </c>
      <c r="R1080" t="s">
        <v>53</v>
      </c>
      <c r="S1080" t="s">
        <v>53</v>
      </c>
      <c r="T1080" t="s">
        <v>53</v>
      </c>
      <c r="U1080" t="s">
        <v>53</v>
      </c>
      <c r="V1080" t="s">
        <v>53</v>
      </c>
      <c r="W1080" t="s">
        <v>53</v>
      </c>
      <c r="X1080" s="22" t="s">
        <v>53</v>
      </c>
      <c r="Y1080" s="22" t="s">
        <v>53</v>
      </c>
      <c r="Z1080" s="22" t="s">
        <v>53</v>
      </c>
      <c r="AA1080" s="22" t="s">
        <v>53</v>
      </c>
      <c r="AB1080" t="s">
        <v>53</v>
      </c>
      <c r="AC1080" t="s">
        <v>53</v>
      </c>
      <c r="AD1080" t="s">
        <v>53</v>
      </c>
      <c r="AE1080" t="s">
        <v>53</v>
      </c>
      <c r="AF1080" s="22" t="s">
        <v>53</v>
      </c>
      <c r="AG1080" s="22" t="s">
        <v>53</v>
      </c>
      <c r="AH1080" s="22" t="s">
        <v>53</v>
      </c>
      <c r="AI1080" s="22" t="s">
        <v>53</v>
      </c>
      <c r="AJ1080">
        <v>0</v>
      </c>
      <c r="AK1080">
        <v>0</v>
      </c>
      <c r="AL1080">
        <v>0</v>
      </c>
      <c r="AM1080">
        <v>0</v>
      </c>
      <c r="AN1080" s="22" t="s">
        <v>53</v>
      </c>
      <c r="AO1080" s="22" t="s">
        <v>53</v>
      </c>
      <c r="AP1080" s="22" t="s">
        <v>53</v>
      </c>
      <c r="AQ1080" s="22" t="s">
        <v>53</v>
      </c>
      <c r="AR1080" s="35">
        <v>0</v>
      </c>
      <c r="AS1080" s="35">
        <v>0</v>
      </c>
      <c r="AT1080" s="35">
        <v>0</v>
      </c>
      <c r="AU1080" s="31" t="str">
        <f t="shared" si="20"/>
        <v>库存为0</v>
      </c>
      <c r="AV1080" s="36" t="str">
        <f>IFERROR(时间!$B$4+AU1080,"上周无销量")</f>
        <v>上周无销量</v>
      </c>
    </row>
    <row r="1081" spans="1:48">
      <c r="A1081" s="20" t="s">
        <v>2431</v>
      </c>
      <c r="B1081" t="s">
        <v>2432</v>
      </c>
      <c r="C1081" t="s">
        <v>2430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4</v>
      </c>
      <c r="O1081">
        <v>0</v>
      </c>
      <c r="P1081" t="s">
        <v>53</v>
      </c>
      <c r="Q1081" t="s">
        <v>53</v>
      </c>
      <c r="R1081" t="s">
        <v>53</v>
      </c>
      <c r="S1081" t="s">
        <v>53</v>
      </c>
      <c r="T1081" t="s">
        <v>53</v>
      </c>
      <c r="U1081" t="s">
        <v>53</v>
      </c>
      <c r="V1081" t="s">
        <v>53</v>
      </c>
      <c r="W1081" t="s">
        <v>53</v>
      </c>
      <c r="X1081" s="22" t="s">
        <v>53</v>
      </c>
      <c r="Y1081" s="22" t="s">
        <v>53</v>
      </c>
      <c r="Z1081" s="22" t="s">
        <v>53</v>
      </c>
      <c r="AA1081" s="22" t="s">
        <v>53</v>
      </c>
      <c r="AB1081" t="s">
        <v>53</v>
      </c>
      <c r="AC1081" t="s">
        <v>53</v>
      </c>
      <c r="AD1081" t="s">
        <v>53</v>
      </c>
      <c r="AE1081" t="s">
        <v>53</v>
      </c>
      <c r="AF1081" s="22" t="s">
        <v>53</v>
      </c>
      <c r="AG1081" s="22" t="s">
        <v>53</v>
      </c>
      <c r="AH1081" s="22" t="s">
        <v>53</v>
      </c>
      <c r="AI1081" s="22" t="s">
        <v>53</v>
      </c>
      <c r="AJ1081">
        <v>0</v>
      </c>
      <c r="AK1081">
        <v>0</v>
      </c>
      <c r="AL1081">
        <v>0</v>
      </c>
      <c r="AM1081">
        <v>0</v>
      </c>
      <c r="AN1081" s="22" t="s">
        <v>53</v>
      </c>
      <c r="AO1081" s="22" t="s">
        <v>53</v>
      </c>
      <c r="AP1081" s="22" t="s">
        <v>53</v>
      </c>
      <c r="AQ1081" s="22" t="s">
        <v>53</v>
      </c>
      <c r="AR1081" s="35">
        <v>0</v>
      </c>
      <c r="AS1081" s="35">
        <v>0</v>
      </c>
      <c r="AT1081" s="35">
        <v>0</v>
      </c>
      <c r="AU1081" s="31" t="str">
        <f t="shared" si="20"/>
        <v>库存为0</v>
      </c>
      <c r="AV1081" s="36" t="str">
        <f>IFERROR(时间!$B$4+AU1081,"上周无销量")</f>
        <v>上周无销量</v>
      </c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C6:C108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2688" operator="lessThan">
      <formula>20</formula>
    </cfRule>
    <cfRule type="cellIs" dxfId="1" priority="32687" operator="greaterThan">
      <formula>120</formula>
    </cfRule>
    <cfRule type="containsText" dxfId="2" priority="32686" operator="between" text="库存为">
      <formula>NOT(ISERROR(SEARCH("库存为",AU2)))</formula>
    </cfRule>
  </conditionalFormatting>
  <conditionalFormatting sqref="AU6">
    <cfRule type="cellIs" dxfId="0" priority="3228" operator="lessThan">
      <formula>20</formula>
    </cfRule>
    <cfRule type="cellIs" dxfId="1" priority="2152" operator="greaterThan">
      <formula>120</formula>
    </cfRule>
    <cfRule type="containsText" dxfId="2" priority="1076" operator="between" text="库存为">
      <formula>NOT(ISERROR(SEARCH("库存为",AU6)))</formula>
    </cfRule>
  </conditionalFormatting>
  <conditionalFormatting sqref="AU7">
    <cfRule type="cellIs" dxfId="0" priority="3227" operator="lessThan">
      <formula>20</formula>
    </cfRule>
    <cfRule type="cellIs" dxfId="1" priority="2151" operator="greaterThan">
      <formula>120</formula>
    </cfRule>
    <cfRule type="containsText" dxfId="2" priority="1075" operator="between" text="库存为">
      <formula>NOT(ISERROR(SEARCH("库存为",AU7)))</formula>
    </cfRule>
  </conditionalFormatting>
  <conditionalFormatting sqref="AU8">
    <cfRule type="cellIs" dxfId="0" priority="3226" operator="lessThan">
      <formula>20</formula>
    </cfRule>
    <cfRule type="cellIs" dxfId="1" priority="2150" operator="greaterThan">
      <formula>120</formula>
    </cfRule>
    <cfRule type="containsText" dxfId="2" priority="1074" operator="between" text="库存为">
      <formula>NOT(ISERROR(SEARCH("库存为",AU8)))</formula>
    </cfRule>
  </conditionalFormatting>
  <conditionalFormatting sqref="AU9">
    <cfRule type="cellIs" dxfId="0" priority="3225" operator="lessThan">
      <formula>20</formula>
    </cfRule>
    <cfRule type="cellIs" dxfId="1" priority="2149" operator="greaterThan">
      <formula>120</formula>
    </cfRule>
    <cfRule type="containsText" dxfId="2" priority="1073" operator="between" text="库存为">
      <formula>NOT(ISERROR(SEARCH("库存为",AU9)))</formula>
    </cfRule>
  </conditionalFormatting>
  <conditionalFormatting sqref="AU10">
    <cfRule type="cellIs" dxfId="0" priority="3224" operator="lessThan">
      <formula>20</formula>
    </cfRule>
    <cfRule type="cellIs" dxfId="1" priority="2148" operator="greaterThan">
      <formula>120</formula>
    </cfRule>
    <cfRule type="containsText" dxfId="2" priority="1072" operator="between" text="库存为">
      <formula>NOT(ISERROR(SEARCH("库存为",AU10)))</formula>
    </cfRule>
  </conditionalFormatting>
  <conditionalFormatting sqref="AU11">
    <cfRule type="cellIs" dxfId="0" priority="3223" operator="lessThan">
      <formula>20</formula>
    </cfRule>
    <cfRule type="cellIs" dxfId="1" priority="2147" operator="greaterThan">
      <formula>120</formula>
    </cfRule>
    <cfRule type="containsText" dxfId="2" priority="1071" operator="between" text="库存为">
      <formula>NOT(ISERROR(SEARCH("库存为",AU11)))</formula>
    </cfRule>
  </conditionalFormatting>
  <conditionalFormatting sqref="AU12">
    <cfRule type="cellIs" dxfId="0" priority="3222" operator="lessThan">
      <formula>20</formula>
    </cfRule>
    <cfRule type="cellIs" dxfId="1" priority="2146" operator="greaterThan">
      <formula>120</formula>
    </cfRule>
    <cfRule type="containsText" dxfId="2" priority="1070" operator="between" text="库存为">
      <formula>NOT(ISERROR(SEARCH("库存为",AU12)))</formula>
    </cfRule>
  </conditionalFormatting>
  <conditionalFormatting sqref="AU13">
    <cfRule type="cellIs" dxfId="0" priority="3221" operator="lessThan">
      <formula>20</formula>
    </cfRule>
    <cfRule type="cellIs" dxfId="1" priority="2145" operator="greaterThan">
      <formula>120</formula>
    </cfRule>
    <cfRule type="containsText" dxfId="2" priority="1069" operator="between" text="库存为">
      <formula>NOT(ISERROR(SEARCH("库存为",AU13)))</formula>
    </cfRule>
  </conditionalFormatting>
  <conditionalFormatting sqref="AU14">
    <cfRule type="cellIs" dxfId="0" priority="3220" operator="lessThan">
      <formula>20</formula>
    </cfRule>
    <cfRule type="cellIs" dxfId="1" priority="2144" operator="greaterThan">
      <formula>120</formula>
    </cfRule>
    <cfRule type="containsText" dxfId="2" priority="1068" operator="between" text="库存为">
      <formula>NOT(ISERROR(SEARCH("库存为",AU14)))</formula>
    </cfRule>
  </conditionalFormatting>
  <conditionalFormatting sqref="AU15">
    <cfRule type="cellIs" dxfId="0" priority="3219" operator="lessThan">
      <formula>20</formula>
    </cfRule>
    <cfRule type="cellIs" dxfId="1" priority="2143" operator="greaterThan">
      <formula>120</formula>
    </cfRule>
    <cfRule type="containsText" dxfId="2" priority="1067" operator="between" text="库存为">
      <formula>NOT(ISERROR(SEARCH("库存为",AU15)))</formula>
    </cfRule>
  </conditionalFormatting>
  <conditionalFormatting sqref="AU16">
    <cfRule type="cellIs" dxfId="0" priority="3218" operator="lessThan">
      <formula>20</formula>
    </cfRule>
    <cfRule type="cellIs" dxfId="1" priority="2142" operator="greaterThan">
      <formula>120</formula>
    </cfRule>
    <cfRule type="containsText" dxfId="2" priority="1066" operator="between" text="库存为">
      <formula>NOT(ISERROR(SEARCH("库存为",AU16)))</formula>
    </cfRule>
  </conditionalFormatting>
  <conditionalFormatting sqref="AU17">
    <cfRule type="cellIs" dxfId="0" priority="3217" operator="lessThan">
      <formula>20</formula>
    </cfRule>
    <cfRule type="cellIs" dxfId="1" priority="2141" operator="greaterThan">
      <formula>120</formula>
    </cfRule>
    <cfRule type="containsText" dxfId="2" priority="1065" operator="between" text="库存为">
      <formula>NOT(ISERROR(SEARCH("库存为",AU17)))</formula>
    </cfRule>
  </conditionalFormatting>
  <conditionalFormatting sqref="AU18">
    <cfRule type="cellIs" dxfId="0" priority="3216" operator="lessThan">
      <formula>20</formula>
    </cfRule>
    <cfRule type="cellIs" dxfId="1" priority="2140" operator="greaterThan">
      <formula>120</formula>
    </cfRule>
    <cfRule type="containsText" dxfId="2" priority="1064" operator="between" text="库存为">
      <formula>NOT(ISERROR(SEARCH("库存为",AU18)))</formula>
    </cfRule>
  </conditionalFormatting>
  <conditionalFormatting sqref="AU19">
    <cfRule type="cellIs" dxfId="0" priority="3215" operator="lessThan">
      <formula>20</formula>
    </cfRule>
    <cfRule type="cellIs" dxfId="1" priority="2139" operator="greaterThan">
      <formula>120</formula>
    </cfRule>
    <cfRule type="containsText" dxfId="2" priority="1063" operator="between" text="库存为">
      <formula>NOT(ISERROR(SEARCH("库存为",AU19)))</formula>
    </cfRule>
  </conditionalFormatting>
  <conditionalFormatting sqref="AU20">
    <cfRule type="cellIs" dxfId="0" priority="3214" operator="lessThan">
      <formula>20</formula>
    </cfRule>
    <cfRule type="cellIs" dxfId="1" priority="2138" operator="greaterThan">
      <formula>120</formula>
    </cfRule>
    <cfRule type="containsText" dxfId="2" priority="1062" operator="between" text="库存为">
      <formula>NOT(ISERROR(SEARCH("库存为",AU20)))</formula>
    </cfRule>
  </conditionalFormatting>
  <conditionalFormatting sqref="AU21">
    <cfRule type="cellIs" dxfId="0" priority="3213" operator="lessThan">
      <formula>20</formula>
    </cfRule>
    <cfRule type="cellIs" dxfId="1" priority="2137" operator="greaterThan">
      <formula>120</formula>
    </cfRule>
    <cfRule type="containsText" dxfId="2" priority="1061" operator="between" text="库存为">
      <formula>NOT(ISERROR(SEARCH("库存为",AU21)))</formula>
    </cfRule>
  </conditionalFormatting>
  <conditionalFormatting sqref="AU22">
    <cfRule type="cellIs" dxfId="0" priority="3212" operator="lessThan">
      <formula>20</formula>
    </cfRule>
    <cfRule type="cellIs" dxfId="1" priority="2136" operator="greaterThan">
      <formula>120</formula>
    </cfRule>
    <cfRule type="containsText" dxfId="2" priority="1060" operator="between" text="库存为">
      <formula>NOT(ISERROR(SEARCH("库存为",AU22)))</formula>
    </cfRule>
  </conditionalFormatting>
  <conditionalFormatting sqref="AU23">
    <cfRule type="cellIs" dxfId="0" priority="3211" operator="lessThan">
      <formula>20</formula>
    </cfRule>
    <cfRule type="cellIs" dxfId="1" priority="2135" operator="greaterThan">
      <formula>120</formula>
    </cfRule>
    <cfRule type="containsText" dxfId="2" priority="1059" operator="between" text="库存为">
      <formula>NOT(ISERROR(SEARCH("库存为",AU23)))</formula>
    </cfRule>
  </conditionalFormatting>
  <conditionalFormatting sqref="AU24">
    <cfRule type="cellIs" dxfId="0" priority="3210" operator="lessThan">
      <formula>20</formula>
    </cfRule>
    <cfRule type="cellIs" dxfId="1" priority="2134" operator="greaterThan">
      <formula>120</formula>
    </cfRule>
    <cfRule type="containsText" dxfId="2" priority="1058" operator="between" text="库存为">
      <formula>NOT(ISERROR(SEARCH("库存为",AU24)))</formula>
    </cfRule>
  </conditionalFormatting>
  <conditionalFormatting sqref="AU25">
    <cfRule type="cellIs" dxfId="0" priority="3209" operator="lessThan">
      <formula>20</formula>
    </cfRule>
    <cfRule type="cellIs" dxfId="1" priority="2133" operator="greaterThan">
      <formula>120</formula>
    </cfRule>
    <cfRule type="containsText" dxfId="2" priority="1057" operator="between" text="库存为">
      <formula>NOT(ISERROR(SEARCH("库存为",AU25)))</formula>
    </cfRule>
  </conditionalFormatting>
  <conditionalFormatting sqref="AU26">
    <cfRule type="cellIs" dxfId="0" priority="3208" operator="lessThan">
      <formula>20</formula>
    </cfRule>
    <cfRule type="cellIs" dxfId="1" priority="2132" operator="greaterThan">
      <formula>120</formula>
    </cfRule>
    <cfRule type="containsText" dxfId="2" priority="1056" operator="between" text="库存为">
      <formula>NOT(ISERROR(SEARCH("库存为",AU26)))</formula>
    </cfRule>
  </conditionalFormatting>
  <conditionalFormatting sqref="AU27">
    <cfRule type="cellIs" dxfId="0" priority="3207" operator="lessThan">
      <formula>20</formula>
    </cfRule>
    <cfRule type="cellIs" dxfId="1" priority="2131" operator="greaterThan">
      <formula>120</formula>
    </cfRule>
    <cfRule type="containsText" dxfId="2" priority="1055" operator="between" text="库存为">
      <formula>NOT(ISERROR(SEARCH("库存为",AU27)))</formula>
    </cfRule>
  </conditionalFormatting>
  <conditionalFormatting sqref="AU28">
    <cfRule type="cellIs" dxfId="0" priority="3206" operator="lessThan">
      <formula>20</formula>
    </cfRule>
    <cfRule type="cellIs" dxfId="1" priority="2130" operator="greaterThan">
      <formula>120</formula>
    </cfRule>
    <cfRule type="containsText" dxfId="2" priority="1054" operator="between" text="库存为">
      <formula>NOT(ISERROR(SEARCH("库存为",AU28)))</formula>
    </cfRule>
  </conditionalFormatting>
  <conditionalFormatting sqref="AU29">
    <cfRule type="cellIs" dxfId="0" priority="3205" operator="lessThan">
      <formula>20</formula>
    </cfRule>
    <cfRule type="cellIs" dxfId="1" priority="2129" operator="greaterThan">
      <formula>120</formula>
    </cfRule>
    <cfRule type="containsText" dxfId="2" priority="1053" operator="between" text="库存为">
      <formula>NOT(ISERROR(SEARCH("库存为",AU29)))</formula>
    </cfRule>
  </conditionalFormatting>
  <conditionalFormatting sqref="AU30">
    <cfRule type="cellIs" dxfId="0" priority="3204" operator="lessThan">
      <formula>20</formula>
    </cfRule>
    <cfRule type="cellIs" dxfId="1" priority="2128" operator="greaterThan">
      <formula>120</formula>
    </cfRule>
    <cfRule type="containsText" dxfId="2" priority="1052" operator="between" text="库存为">
      <formula>NOT(ISERROR(SEARCH("库存为",AU30)))</formula>
    </cfRule>
  </conditionalFormatting>
  <conditionalFormatting sqref="AU31">
    <cfRule type="cellIs" dxfId="0" priority="3203" operator="lessThan">
      <formula>20</formula>
    </cfRule>
    <cfRule type="cellIs" dxfId="1" priority="2127" operator="greaterThan">
      <formula>120</formula>
    </cfRule>
    <cfRule type="containsText" dxfId="2" priority="1051" operator="between" text="库存为">
      <formula>NOT(ISERROR(SEARCH("库存为",AU31)))</formula>
    </cfRule>
  </conditionalFormatting>
  <conditionalFormatting sqref="AU32">
    <cfRule type="cellIs" dxfId="0" priority="3202" operator="lessThan">
      <formula>20</formula>
    </cfRule>
    <cfRule type="cellIs" dxfId="1" priority="2126" operator="greaterThan">
      <formula>120</formula>
    </cfRule>
    <cfRule type="containsText" dxfId="2" priority="1050" operator="between" text="库存为">
      <formula>NOT(ISERROR(SEARCH("库存为",AU32)))</formula>
    </cfRule>
  </conditionalFormatting>
  <conditionalFormatting sqref="AU33">
    <cfRule type="cellIs" dxfId="0" priority="3201" operator="lessThan">
      <formula>20</formula>
    </cfRule>
    <cfRule type="cellIs" dxfId="1" priority="2125" operator="greaterThan">
      <formula>120</formula>
    </cfRule>
    <cfRule type="containsText" dxfId="2" priority="1049" operator="between" text="库存为">
      <formula>NOT(ISERROR(SEARCH("库存为",AU33)))</formula>
    </cfRule>
  </conditionalFormatting>
  <conditionalFormatting sqref="AU34">
    <cfRule type="cellIs" dxfId="0" priority="3200" operator="lessThan">
      <formula>20</formula>
    </cfRule>
    <cfRule type="cellIs" dxfId="1" priority="2124" operator="greaterThan">
      <formula>120</formula>
    </cfRule>
    <cfRule type="containsText" dxfId="2" priority="1048" operator="between" text="库存为">
      <formula>NOT(ISERROR(SEARCH("库存为",AU34)))</formula>
    </cfRule>
  </conditionalFormatting>
  <conditionalFormatting sqref="AU35">
    <cfRule type="cellIs" dxfId="0" priority="3199" operator="lessThan">
      <formula>20</formula>
    </cfRule>
    <cfRule type="cellIs" dxfId="1" priority="2123" operator="greaterThan">
      <formula>120</formula>
    </cfRule>
    <cfRule type="containsText" dxfId="2" priority="1047" operator="between" text="库存为">
      <formula>NOT(ISERROR(SEARCH("库存为",AU35)))</formula>
    </cfRule>
  </conditionalFormatting>
  <conditionalFormatting sqref="AU36">
    <cfRule type="cellIs" dxfId="0" priority="3198" operator="lessThan">
      <formula>20</formula>
    </cfRule>
    <cfRule type="cellIs" dxfId="1" priority="2122" operator="greaterThan">
      <formula>120</formula>
    </cfRule>
    <cfRule type="containsText" dxfId="2" priority="1046" operator="between" text="库存为">
      <formula>NOT(ISERROR(SEARCH("库存为",AU36)))</formula>
    </cfRule>
  </conditionalFormatting>
  <conditionalFormatting sqref="AU37">
    <cfRule type="cellIs" dxfId="0" priority="3197" operator="lessThan">
      <formula>20</formula>
    </cfRule>
    <cfRule type="cellIs" dxfId="1" priority="2121" operator="greaterThan">
      <formula>120</formula>
    </cfRule>
    <cfRule type="containsText" dxfId="2" priority="1045" operator="between" text="库存为">
      <formula>NOT(ISERROR(SEARCH("库存为",AU37)))</formula>
    </cfRule>
  </conditionalFormatting>
  <conditionalFormatting sqref="AU38">
    <cfRule type="cellIs" dxfId="0" priority="3196" operator="lessThan">
      <formula>20</formula>
    </cfRule>
    <cfRule type="cellIs" dxfId="1" priority="2120" operator="greaterThan">
      <formula>120</formula>
    </cfRule>
    <cfRule type="containsText" dxfId="2" priority="1044" operator="between" text="库存为">
      <formula>NOT(ISERROR(SEARCH("库存为",AU38)))</formula>
    </cfRule>
  </conditionalFormatting>
  <conditionalFormatting sqref="AU39">
    <cfRule type="cellIs" dxfId="0" priority="3195" operator="lessThan">
      <formula>20</formula>
    </cfRule>
    <cfRule type="cellIs" dxfId="1" priority="2119" operator="greaterThan">
      <formula>120</formula>
    </cfRule>
    <cfRule type="containsText" dxfId="2" priority="1043" operator="between" text="库存为">
      <formula>NOT(ISERROR(SEARCH("库存为",AU39)))</formula>
    </cfRule>
  </conditionalFormatting>
  <conditionalFormatting sqref="AU40">
    <cfRule type="cellIs" dxfId="0" priority="3194" operator="lessThan">
      <formula>20</formula>
    </cfRule>
    <cfRule type="cellIs" dxfId="1" priority="2118" operator="greaterThan">
      <formula>120</formula>
    </cfRule>
    <cfRule type="containsText" dxfId="2" priority="1042" operator="between" text="库存为">
      <formula>NOT(ISERROR(SEARCH("库存为",AU40)))</formula>
    </cfRule>
  </conditionalFormatting>
  <conditionalFormatting sqref="AU41">
    <cfRule type="cellIs" dxfId="0" priority="3193" operator="lessThan">
      <formula>20</formula>
    </cfRule>
    <cfRule type="cellIs" dxfId="1" priority="2117" operator="greaterThan">
      <formula>120</formula>
    </cfRule>
    <cfRule type="containsText" dxfId="2" priority="1041" operator="between" text="库存为">
      <formula>NOT(ISERROR(SEARCH("库存为",AU41)))</formula>
    </cfRule>
  </conditionalFormatting>
  <conditionalFormatting sqref="AU42">
    <cfRule type="cellIs" dxfId="0" priority="3192" operator="lessThan">
      <formula>20</formula>
    </cfRule>
    <cfRule type="cellIs" dxfId="1" priority="2116" operator="greaterThan">
      <formula>120</formula>
    </cfRule>
    <cfRule type="containsText" dxfId="2" priority="1040" operator="between" text="库存为">
      <formula>NOT(ISERROR(SEARCH("库存为",AU42)))</formula>
    </cfRule>
  </conditionalFormatting>
  <conditionalFormatting sqref="AU43">
    <cfRule type="cellIs" dxfId="0" priority="3191" operator="lessThan">
      <formula>20</formula>
    </cfRule>
    <cfRule type="cellIs" dxfId="1" priority="2115" operator="greaterThan">
      <formula>120</formula>
    </cfRule>
    <cfRule type="containsText" dxfId="2" priority="1039" operator="between" text="库存为">
      <formula>NOT(ISERROR(SEARCH("库存为",AU43)))</formula>
    </cfRule>
  </conditionalFormatting>
  <conditionalFormatting sqref="AU44">
    <cfRule type="cellIs" dxfId="0" priority="3190" operator="lessThan">
      <formula>20</formula>
    </cfRule>
    <cfRule type="cellIs" dxfId="1" priority="2114" operator="greaterThan">
      <formula>120</formula>
    </cfRule>
    <cfRule type="containsText" dxfId="2" priority="1038" operator="between" text="库存为">
      <formula>NOT(ISERROR(SEARCH("库存为",AU44)))</formula>
    </cfRule>
  </conditionalFormatting>
  <conditionalFormatting sqref="AU45">
    <cfRule type="cellIs" dxfId="0" priority="3189" operator="lessThan">
      <formula>20</formula>
    </cfRule>
    <cfRule type="cellIs" dxfId="1" priority="2113" operator="greaterThan">
      <formula>120</formula>
    </cfRule>
    <cfRule type="containsText" dxfId="2" priority="1037" operator="between" text="库存为">
      <formula>NOT(ISERROR(SEARCH("库存为",AU45)))</formula>
    </cfRule>
  </conditionalFormatting>
  <conditionalFormatting sqref="AU46">
    <cfRule type="cellIs" dxfId="0" priority="3188" operator="lessThan">
      <formula>20</formula>
    </cfRule>
    <cfRule type="cellIs" dxfId="1" priority="2112" operator="greaterThan">
      <formula>120</formula>
    </cfRule>
    <cfRule type="containsText" dxfId="2" priority="1036" operator="between" text="库存为">
      <formula>NOT(ISERROR(SEARCH("库存为",AU46)))</formula>
    </cfRule>
  </conditionalFormatting>
  <conditionalFormatting sqref="AU47">
    <cfRule type="cellIs" dxfId="0" priority="3187" operator="lessThan">
      <formula>20</formula>
    </cfRule>
    <cfRule type="cellIs" dxfId="1" priority="2111" operator="greaterThan">
      <formula>120</formula>
    </cfRule>
    <cfRule type="containsText" dxfId="2" priority="1035" operator="between" text="库存为">
      <formula>NOT(ISERROR(SEARCH("库存为",AU47)))</formula>
    </cfRule>
  </conditionalFormatting>
  <conditionalFormatting sqref="AU48">
    <cfRule type="cellIs" dxfId="0" priority="3186" operator="lessThan">
      <formula>20</formula>
    </cfRule>
    <cfRule type="cellIs" dxfId="1" priority="2110" operator="greaterThan">
      <formula>120</formula>
    </cfRule>
    <cfRule type="containsText" dxfId="2" priority="1034" operator="between" text="库存为">
      <formula>NOT(ISERROR(SEARCH("库存为",AU48)))</formula>
    </cfRule>
  </conditionalFormatting>
  <conditionalFormatting sqref="AU49">
    <cfRule type="cellIs" dxfId="0" priority="3185" operator="lessThan">
      <formula>20</formula>
    </cfRule>
    <cfRule type="cellIs" dxfId="1" priority="2109" operator="greaterThan">
      <formula>120</formula>
    </cfRule>
    <cfRule type="containsText" dxfId="2" priority="1033" operator="between" text="库存为">
      <formula>NOT(ISERROR(SEARCH("库存为",AU49)))</formula>
    </cfRule>
  </conditionalFormatting>
  <conditionalFormatting sqref="AU50">
    <cfRule type="cellIs" dxfId="0" priority="3184" operator="lessThan">
      <formula>20</formula>
    </cfRule>
    <cfRule type="cellIs" dxfId="1" priority="2108" operator="greaterThan">
      <formula>120</formula>
    </cfRule>
    <cfRule type="containsText" dxfId="2" priority="1032" operator="between" text="库存为">
      <formula>NOT(ISERROR(SEARCH("库存为",AU50)))</formula>
    </cfRule>
  </conditionalFormatting>
  <conditionalFormatting sqref="AU51">
    <cfRule type="cellIs" dxfId="0" priority="3183" operator="lessThan">
      <formula>20</formula>
    </cfRule>
    <cfRule type="cellIs" dxfId="1" priority="2107" operator="greaterThan">
      <formula>120</formula>
    </cfRule>
    <cfRule type="containsText" dxfId="2" priority="1031" operator="between" text="库存为">
      <formula>NOT(ISERROR(SEARCH("库存为",AU51)))</formula>
    </cfRule>
  </conditionalFormatting>
  <conditionalFormatting sqref="AU52">
    <cfRule type="cellIs" dxfId="0" priority="3182" operator="lessThan">
      <formula>20</formula>
    </cfRule>
    <cfRule type="cellIs" dxfId="1" priority="2106" operator="greaterThan">
      <formula>120</formula>
    </cfRule>
    <cfRule type="containsText" dxfId="2" priority="1030" operator="between" text="库存为">
      <formula>NOT(ISERROR(SEARCH("库存为",AU52)))</formula>
    </cfRule>
  </conditionalFormatting>
  <conditionalFormatting sqref="AU53">
    <cfRule type="cellIs" dxfId="0" priority="3181" operator="lessThan">
      <formula>20</formula>
    </cfRule>
    <cfRule type="cellIs" dxfId="1" priority="2105" operator="greaterThan">
      <formula>120</formula>
    </cfRule>
    <cfRule type="containsText" dxfId="2" priority="1029" operator="between" text="库存为">
      <formula>NOT(ISERROR(SEARCH("库存为",AU53)))</formula>
    </cfRule>
  </conditionalFormatting>
  <conditionalFormatting sqref="AU54">
    <cfRule type="cellIs" dxfId="0" priority="3180" operator="lessThan">
      <formula>20</formula>
    </cfRule>
    <cfRule type="cellIs" dxfId="1" priority="2104" operator="greaterThan">
      <formula>120</formula>
    </cfRule>
    <cfRule type="containsText" dxfId="2" priority="1028" operator="between" text="库存为">
      <formula>NOT(ISERROR(SEARCH("库存为",AU54)))</formula>
    </cfRule>
  </conditionalFormatting>
  <conditionalFormatting sqref="AU55">
    <cfRule type="cellIs" dxfId="0" priority="3179" operator="lessThan">
      <formula>20</formula>
    </cfRule>
    <cfRule type="cellIs" dxfId="1" priority="2103" operator="greaterThan">
      <formula>120</formula>
    </cfRule>
    <cfRule type="containsText" dxfId="2" priority="1027" operator="between" text="库存为">
      <formula>NOT(ISERROR(SEARCH("库存为",AU55)))</formula>
    </cfRule>
  </conditionalFormatting>
  <conditionalFormatting sqref="AU56">
    <cfRule type="cellIs" dxfId="0" priority="3178" operator="lessThan">
      <formula>20</formula>
    </cfRule>
    <cfRule type="cellIs" dxfId="1" priority="2102" operator="greaterThan">
      <formula>120</formula>
    </cfRule>
    <cfRule type="containsText" dxfId="2" priority="1026" operator="between" text="库存为">
      <formula>NOT(ISERROR(SEARCH("库存为",AU56)))</formula>
    </cfRule>
  </conditionalFormatting>
  <conditionalFormatting sqref="AU57">
    <cfRule type="cellIs" dxfId="0" priority="3177" operator="lessThan">
      <formula>20</formula>
    </cfRule>
    <cfRule type="cellIs" dxfId="1" priority="2101" operator="greaterThan">
      <formula>120</formula>
    </cfRule>
    <cfRule type="containsText" dxfId="2" priority="1025" operator="between" text="库存为">
      <formula>NOT(ISERROR(SEARCH("库存为",AU57)))</formula>
    </cfRule>
  </conditionalFormatting>
  <conditionalFormatting sqref="AU58">
    <cfRule type="cellIs" dxfId="0" priority="3176" operator="lessThan">
      <formula>20</formula>
    </cfRule>
    <cfRule type="cellIs" dxfId="1" priority="2100" operator="greaterThan">
      <formula>120</formula>
    </cfRule>
    <cfRule type="containsText" dxfId="2" priority="1024" operator="between" text="库存为">
      <formula>NOT(ISERROR(SEARCH("库存为",AU58)))</formula>
    </cfRule>
  </conditionalFormatting>
  <conditionalFormatting sqref="AU59">
    <cfRule type="cellIs" dxfId="0" priority="3175" operator="lessThan">
      <formula>20</formula>
    </cfRule>
    <cfRule type="cellIs" dxfId="1" priority="2099" operator="greaterThan">
      <formula>120</formula>
    </cfRule>
    <cfRule type="containsText" dxfId="2" priority="1023" operator="between" text="库存为">
      <formula>NOT(ISERROR(SEARCH("库存为",AU59)))</formula>
    </cfRule>
  </conditionalFormatting>
  <conditionalFormatting sqref="AU60">
    <cfRule type="cellIs" dxfId="0" priority="3174" operator="lessThan">
      <formula>20</formula>
    </cfRule>
    <cfRule type="cellIs" dxfId="1" priority="2098" operator="greaterThan">
      <formula>120</formula>
    </cfRule>
    <cfRule type="containsText" dxfId="2" priority="1022" operator="between" text="库存为">
      <formula>NOT(ISERROR(SEARCH("库存为",AU60)))</formula>
    </cfRule>
  </conditionalFormatting>
  <conditionalFormatting sqref="AU61">
    <cfRule type="cellIs" dxfId="0" priority="3173" operator="lessThan">
      <formula>20</formula>
    </cfRule>
    <cfRule type="cellIs" dxfId="1" priority="2097" operator="greaterThan">
      <formula>120</formula>
    </cfRule>
    <cfRule type="containsText" dxfId="2" priority="1021" operator="between" text="库存为">
      <formula>NOT(ISERROR(SEARCH("库存为",AU61)))</formula>
    </cfRule>
  </conditionalFormatting>
  <conditionalFormatting sqref="AU62">
    <cfRule type="cellIs" dxfId="0" priority="3172" operator="lessThan">
      <formula>20</formula>
    </cfRule>
    <cfRule type="cellIs" dxfId="1" priority="2096" operator="greaterThan">
      <formula>120</formula>
    </cfRule>
    <cfRule type="containsText" dxfId="2" priority="1020" operator="between" text="库存为">
      <formula>NOT(ISERROR(SEARCH("库存为",AU62)))</formula>
    </cfRule>
  </conditionalFormatting>
  <conditionalFormatting sqref="AU63">
    <cfRule type="cellIs" dxfId="0" priority="3171" operator="lessThan">
      <formula>20</formula>
    </cfRule>
    <cfRule type="cellIs" dxfId="1" priority="2095" operator="greaterThan">
      <formula>120</formula>
    </cfRule>
    <cfRule type="containsText" dxfId="2" priority="1019" operator="between" text="库存为">
      <formula>NOT(ISERROR(SEARCH("库存为",AU63)))</formula>
    </cfRule>
  </conditionalFormatting>
  <conditionalFormatting sqref="AU64">
    <cfRule type="cellIs" dxfId="0" priority="3170" operator="lessThan">
      <formula>20</formula>
    </cfRule>
    <cfRule type="cellIs" dxfId="1" priority="2094" operator="greaterThan">
      <formula>120</formula>
    </cfRule>
    <cfRule type="containsText" dxfId="2" priority="1018" operator="between" text="库存为">
      <formula>NOT(ISERROR(SEARCH("库存为",AU64)))</formula>
    </cfRule>
  </conditionalFormatting>
  <conditionalFormatting sqref="AU65">
    <cfRule type="cellIs" dxfId="0" priority="3169" operator="lessThan">
      <formula>20</formula>
    </cfRule>
    <cfRule type="cellIs" dxfId="1" priority="2093" operator="greaterThan">
      <formula>120</formula>
    </cfRule>
    <cfRule type="containsText" dxfId="2" priority="1017" operator="between" text="库存为">
      <formula>NOT(ISERROR(SEARCH("库存为",AU65)))</formula>
    </cfRule>
  </conditionalFormatting>
  <conditionalFormatting sqref="AU66">
    <cfRule type="cellIs" dxfId="0" priority="3168" operator="lessThan">
      <formula>20</formula>
    </cfRule>
    <cfRule type="cellIs" dxfId="1" priority="2092" operator="greaterThan">
      <formula>120</formula>
    </cfRule>
    <cfRule type="containsText" dxfId="2" priority="1016" operator="between" text="库存为">
      <formula>NOT(ISERROR(SEARCH("库存为",AU66)))</formula>
    </cfRule>
  </conditionalFormatting>
  <conditionalFormatting sqref="AU67">
    <cfRule type="cellIs" dxfId="0" priority="3167" operator="lessThan">
      <formula>20</formula>
    </cfRule>
    <cfRule type="cellIs" dxfId="1" priority="2091" operator="greaterThan">
      <formula>120</formula>
    </cfRule>
    <cfRule type="containsText" dxfId="2" priority="1015" operator="between" text="库存为">
      <formula>NOT(ISERROR(SEARCH("库存为",AU67)))</formula>
    </cfRule>
  </conditionalFormatting>
  <conditionalFormatting sqref="AU68">
    <cfRule type="cellIs" dxfId="0" priority="3166" operator="lessThan">
      <formula>20</formula>
    </cfRule>
    <cfRule type="cellIs" dxfId="1" priority="2090" operator="greaterThan">
      <formula>120</formula>
    </cfRule>
    <cfRule type="containsText" dxfId="2" priority="1014" operator="between" text="库存为">
      <formula>NOT(ISERROR(SEARCH("库存为",AU68)))</formula>
    </cfRule>
  </conditionalFormatting>
  <conditionalFormatting sqref="AU69">
    <cfRule type="cellIs" dxfId="0" priority="3165" operator="lessThan">
      <formula>20</formula>
    </cfRule>
    <cfRule type="cellIs" dxfId="1" priority="2089" operator="greaterThan">
      <formula>120</formula>
    </cfRule>
    <cfRule type="containsText" dxfId="2" priority="1013" operator="between" text="库存为">
      <formula>NOT(ISERROR(SEARCH("库存为",AU69)))</formula>
    </cfRule>
  </conditionalFormatting>
  <conditionalFormatting sqref="AU70">
    <cfRule type="cellIs" dxfId="0" priority="3164" operator="lessThan">
      <formula>20</formula>
    </cfRule>
    <cfRule type="cellIs" dxfId="1" priority="2088" operator="greaterThan">
      <formula>120</formula>
    </cfRule>
    <cfRule type="containsText" dxfId="2" priority="1012" operator="between" text="库存为">
      <formula>NOT(ISERROR(SEARCH("库存为",AU70)))</formula>
    </cfRule>
  </conditionalFormatting>
  <conditionalFormatting sqref="AU71">
    <cfRule type="cellIs" dxfId="0" priority="3163" operator="lessThan">
      <formula>20</formula>
    </cfRule>
    <cfRule type="cellIs" dxfId="1" priority="2087" operator="greaterThan">
      <formula>120</formula>
    </cfRule>
    <cfRule type="containsText" dxfId="2" priority="1011" operator="between" text="库存为">
      <formula>NOT(ISERROR(SEARCH("库存为",AU71)))</formula>
    </cfRule>
  </conditionalFormatting>
  <conditionalFormatting sqref="AU72">
    <cfRule type="cellIs" dxfId="0" priority="3162" operator="lessThan">
      <formula>20</formula>
    </cfRule>
    <cfRule type="cellIs" dxfId="1" priority="2086" operator="greaterThan">
      <formula>120</formula>
    </cfRule>
    <cfRule type="containsText" dxfId="2" priority="1010" operator="between" text="库存为">
      <formula>NOT(ISERROR(SEARCH("库存为",AU72)))</formula>
    </cfRule>
  </conditionalFormatting>
  <conditionalFormatting sqref="AU73">
    <cfRule type="cellIs" dxfId="0" priority="3161" operator="lessThan">
      <formula>20</formula>
    </cfRule>
    <cfRule type="cellIs" dxfId="1" priority="2085" operator="greaterThan">
      <formula>120</formula>
    </cfRule>
    <cfRule type="containsText" dxfId="2" priority="1009" operator="between" text="库存为">
      <formula>NOT(ISERROR(SEARCH("库存为",AU73)))</formula>
    </cfRule>
  </conditionalFormatting>
  <conditionalFormatting sqref="AU74">
    <cfRule type="cellIs" dxfId="0" priority="3160" operator="lessThan">
      <formula>20</formula>
    </cfRule>
    <cfRule type="cellIs" dxfId="1" priority="2084" operator="greaterThan">
      <formula>120</formula>
    </cfRule>
    <cfRule type="containsText" dxfId="2" priority="1008" operator="between" text="库存为">
      <formula>NOT(ISERROR(SEARCH("库存为",AU74)))</formula>
    </cfRule>
  </conditionalFormatting>
  <conditionalFormatting sqref="AU75">
    <cfRule type="cellIs" dxfId="0" priority="3159" operator="lessThan">
      <formula>20</formula>
    </cfRule>
    <cfRule type="cellIs" dxfId="1" priority="2083" operator="greaterThan">
      <formula>120</formula>
    </cfRule>
    <cfRule type="containsText" dxfId="2" priority="1007" operator="between" text="库存为">
      <formula>NOT(ISERROR(SEARCH("库存为",AU75)))</formula>
    </cfRule>
  </conditionalFormatting>
  <conditionalFormatting sqref="AU76">
    <cfRule type="cellIs" dxfId="0" priority="3158" operator="lessThan">
      <formula>20</formula>
    </cfRule>
    <cfRule type="cellIs" dxfId="1" priority="2082" operator="greaterThan">
      <formula>120</formula>
    </cfRule>
    <cfRule type="containsText" dxfId="2" priority="1006" operator="between" text="库存为">
      <formula>NOT(ISERROR(SEARCH("库存为",AU76)))</formula>
    </cfRule>
  </conditionalFormatting>
  <conditionalFormatting sqref="AU77">
    <cfRule type="cellIs" dxfId="0" priority="3157" operator="lessThan">
      <formula>20</formula>
    </cfRule>
    <cfRule type="cellIs" dxfId="1" priority="2081" operator="greaterThan">
      <formula>120</formula>
    </cfRule>
    <cfRule type="containsText" dxfId="2" priority="1005" operator="between" text="库存为">
      <formula>NOT(ISERROR(SEARCH("库存为",AU77)))</formula>
    </cfRule>
  </conditionalFormatting>
  <conditionalFormatting sqref="AU78">
    <cfRule type="cellIs" dxfId="0" priority="3156" operator="lessThan">
      <formula>20</formula>
    </cfRule>
    <cfRule type="cellIs" dxfId="1" priority="2080" operator="greaterThan">
      <formula>120</formula>
    </cfRule>
    <cfRule type="containsText" dxfId="2" priority="1004" operator="between" text="库存为">
      <formula>NOT(ISERROR(SEARCH("库存为",AU78)))</formula>
    </cfRule>
  </conditionalFormatting>
  <conditionalFormatting sqref="AU79">
    <cfRule type="cellIs" dxfId="0" priority="3155" operator="lessThan">
      <formula>20</formula>
    </cfRule>
    <cfRule type="cellIs" dxfId="1" priority="2079" operator="greaterThan">
      <formula>120</formula>
    </cfRule>
    <cfRule type="containsText" dxfId="2" priority="1003" operator="between" text="库存为">
      <formula>NOT(ISERROR(SEARCH("库存为",AU79)))</formula>
    </cfRule>
  </conditionalFormatting>
  <conditionalFormatting sqref="AU80">
    <cfRule type="cellIs" dxfId="0" priority="3154" operator="lessThan">
      <formula>20</formula>
    </cfRule>
    <cfRule type="cellIs" dxfId="1" priority="2078" operator="greaterThan">
      <formula>120</formula>
    </cfRule>
    <cfRule type="containsText" dxfId="2" priority="1002" operator="between" text="库存为">
      <formula>NOT(ISERROR(SEARCH("库存为",AU80)))</formula>
    </cfRule>
  </conditionalFormatting>
  <conditionalFormatting sqref="AU81">
    <cfRule type="cellIs" dxfId="0" priority="3153" operator="lessThan">
      <formula>20</formula>
    </cfRule>
    <cfRule type="cellIs" dxfId="1" priority="2077" operator="greaterThan">
      <formula>120</formula>
    </cfRule>
    <cfRule type="containsText" dxfId="2" priority="1001" operator="between" text="库存为">
      <formula>NOT(ISERROR(SEARCH("库存为",AU81)))</formula>
    </cfRule>
  </conditionalFormatting>
  <conditionalFormatting sqref="AU82">
    <cfRule type="cellIs" dxfId="0" priority="3152" operator="lessThan">
      <formula>20</formula>
    </cfRule>
    <cfRule type="cellIs" dxfId="1" priority="2076" operator="greaterThan">
      <formula>120</formula>
    </cfRule>
    <cfRule type="containsText" dxfId="2" priority="1000" operator="between" text="库存为">
      <formula>NOT(ISERROR(SEARCH("库存为",AU82)))</formula>
    </cfRule>
  </conditionalFormatting>
  <conditionalFormatting sqref="AU83">
    <cfRule type="cellIs" dxfId="0" priority="3151" operator="lessThan">
      <formula>20</formula>
    </cfRule>
    <cfRule type="cellIs" dxfId="1" priority="2075" operator="greaterThan">
      <formula>120</formula>
    </cfRule>
    <cfRule type="containsText" dxfId="2" priority="999" operator="between" text="库存为">
      <formula>NOT(ISERROR(SEARCH("库存为",AU83)))</formula>
    </cfRule>
  </conditionalFormatting>
  <conditionalFormatting sqref="AU84">
    <cfRule type="cellIs" dxfId="0" priority="3150" operator="lessThan">
      <formula>20</formula>
    </cfRule>
    <cfRule type="cellIs" dxfId="1" priority="2074" operator="greaterThan">
      <formula>120</formula>
    </cfRule>
    <cfRule type="containsText" dxfId="2" priority="998" operator="between" text="库存为">
      <formula>NOT(ISERROR(SEARCH("库存为",AU84)))</formula>
    </cfRule>
  </conditionalFormatting>
  <conditionalFormatting sqref="AU85">
    <cfRule type="cellIs" dxfId="0" priority="3149" operator="lessThan">
      <formula>20</formula>
    </cfRule>
    <cfRule type="cellIs" dxfId="1" priority="2073" operator="greaterThan">
      <formula>120</formula>
    </cfRule>
    <cfRule type="containsText" dxfId="2" priority="997" operator="between" text="库存为">
      <formula>NOT(ISERROR(SEARCH("库存为",AU85)))</formula>
    </cfRule>
  </conditionalFormatting>
  <conditionalFormatting sqref="AU86">
    <cfRule type="cellIs" dxfId="0" priority="3148" operator="lessThan">
      <formula>20</formula>
    </cfRule>
    <cfRule type="cellIs" dxfId="1" priority="2072" operator="greaterThan">
      <formula>120</formula>
    </cfRule>
    <cfRule type="containsText" dxfId="2" priority="996" operator="between" text="库存为">
      <formula>NOT(ISERROR(SEARCH("库存为",AU86)))</formula>
    </cfRule>
  </conditionalFormatting>
  <conditionalFormatting sqref="AU87">
    <cfRule type="cellIs" dxfId="0" priority="3147" operator="lessThan">
      <formula>20</formula>
    </cfRule>
    <cfRule type="cellIs" dxfId="1" priority="2071" operator="greaterThan">
      <formula>120</formula>
    </cfRule>
    <cfRule type="containsText" dxfId="2" priority="995" operator="between" text="库存为">
      <formula>NOT(ISERROR(SEARCH("库存为",AU87)))</formula>
    </cfRule>
  </conditionalFormatting>
  <conditionalFormatting sqref="AU88">
    <cfRule type="cellIs" dxfId="0" priority="3146" operator="lessThan">
      <formula>20</formula>
    </cfRule>
    <cfRule type="cellIs" dxfId="1" priority="2070" operator="greaterThan">
      <formula>120</formula>
    </cfRule>
    <cfRule type="containsText" dxfId="2" priority="994" operator="between" text="库存为">
      <formula>NOT(ISERROR(SEARCH("库存为",AU88)))</formula>
    </cfRule>
  </conditionalFormatting>
  <conditionalFormatting sqref="AU89">
    <cfRule type="cellIs" dxfId="0" priority="3145" operator="lessThan">
      <formula>20</formula>
    </cfRule>
    <cfRule type="cellIs" dxfId="1" priority="2069" operator="greaterThan">
      <formula>120</formula>
    </cfRule>
    <cfRule type="containsText" dxfId="2" priority="993" operator="between" text="库存为">
      <formula>NOT(ISERROR(SEARCH("库存为",AU89)))</formula>
    </cfRule>
  </conditionalFormatting>
  <conditionalFormatting sqref="AU90">
    <cfRule type="cellIs" dxfId="0" priority="3144" operator="lessThan">
      <formula>20</formula>
    </cfRule>
    <cfRule type="cellIs" dxfId="1" priority="2068" operator="greaterThan">
      <formula>120</formula>
    </cfRule>
    <cfRule type="containsText" dxfId="2" priority="992" operator="between" text="库存为">
      <formula>NOT(ISERROR(SEARCH("库存为",AU90)))</formula>
    </cfRule>
  </conditionalFormatting>
  <conditionalFormatting sqref="AU91">
    <cfRule type="cellIs" dxfId="0" priority="3143" operator="lessThan">
      <formula>20</formula>
    </cfRule>
    <cfRule type="cellIs" dxfId="1" priority="2067" operator="greaterThan">
      <formula>120</formula>
    </cfRule>
    <cfRule type="containsText" dxfId="2" priority="991" operator="between" text="库存为">
      <formula>NOT(ISERROR(SEARCH("库存为",AU91)))</formula>
    </cfRule>
  </conditionalFormatting>
  <conditionalFormatting sqref="AU92">
    <cfRule type="cellIs" dxfId="0" priority="3142" operator="lessThan">
      <formula>20</formula>
    </cfRule>
    <cfRule type="cellIs" dxfId="1" priority="2066" operator="greaterThan">
      <formula>120</formula>
    </cfRule>
    <cfRule type="containsText" dxfId="2" priority="990" operator="between" text="库存为">
      <formula>NOT(ISERROR(SEARCH("库存为",AU92)))</formula>
    </cfRule>
  </conditionalFormatting>
  <conditionalFormatting sqref="AU93">
    <cfRule type="cellIs" dxfId="0" priority="3141" operator="lessThan">
      <formula>20</formula>
    </cfRule>
    <cfRule type="cellIs" dxfId="1" priority="2065" operator="greaterThan">
      <formula>120</formula>
    </cfRule>
    <cfRule type="containsText" dxfId="2" priority="989" operator="between" text="库存为">
      <formula>NOT(ISERROR(SEARCH("库存为",AU93)))</formula>
    </cfRule>
  </conditionalFormatting>
  <conditionalFormatting sqref="AU94">
    <cfRule type="cellIs" dxfId="0" priority="3140" operator="lessThan">
      <formula>20</formula>
    </cfRule>
    <cfRule type="cellIs" dxfId="1" priority="2064" operator="greaterThan">
      <formula>120</formula>
    </cfRule>
    <cfRule type="containsText" dxfId="2" priority="988" operator="between" text="库存为">
      <formula>NOT(ISERROR(SEARCH("库存为",AU94)))</formula>
    </cfRule>
  </conditionalFormatting>
  <conditionalFormatting sqref="AU95">
    <cfRule type="cellIs" dxfId="0" priority="3139" operator="lessThan">
      <formula>20</formula>
    </cfRule>
    <cfRule type="cellIs" dxfId="1" priority="2063" operator="greaterThan">
      <formula>120</formula>
    </cfRule>
    <cfRule type="containsText" dxfId="2" priority="987" operator="between" text="库存为">
      <formula>NOT(ISERROR(SEARCH("库存为",AU95)))</formula>
    </cfRule>
  </conditionalFormatting>
  <conditionalFormatting sqref="AU96">
    <cfRule type="cellIs" dxfId="0" priority="3138" operator="lessThan">
      <formula>20</formula>
    </cfRule>
    <cfRule type="cellIs" dxfId="1" priority="2062" operator="greaterThan">
      <formula>120</formula>
    </cfRule>
    <cfRule type="containsText" dxfId="2" priority="986" operator="between" text="库存为">
      <formula>NOT(ISERROR(SEARCH("库存为",AU96)))</formula>
    </cfRule>
  </conditionalFormatting>
  <conditionalFormatting sqref="AU97">
    <cfRule type="cellIs" dxfId="0" priority="3137" operator="lessThan">
      <formula>20</formula>
    </cfRule>
    <cfRule type="cellIs" dxfId="1" priority="2061" operator="greaterThan">
      <formula>120</formula>
    </cfRule>
    <cfRule type="containsText" dxfId="2" priority="985" operator="between" text="库存为">
      <formula>NOT(ISERROR(SEARCH("库存为",AU97)))</formula>
    </cfRule>
  </conditionalFormatting>
  <conditionalFormatting sqref="AU98">
    <cfRule type="cellIs" dxfId="0" priority="3136" operator="lessThan">
      <formula>20</formula>
    </cfRule>
    <cfRule type="cellIs" dxfId="1" priority="2060" operator="greaterThan">
      <formula>120</formula>
    </cfRule>
    <cfRule type="containsText" dxfId="2" priority="984" operator="between" text="库存为">
      <formula>NOT(ISERROR(SEARCH("库存为",AU98)))</formula>
    </cfRule>
  </conditionalFormatting>
  <conditionalFormatting sqref="AU99">
    <cfRule type="cellIs" dxfId="0" priority="3135" operator="lessThan">
      <formula>20</formula>
    </cfRule>
    <cfRule type="cellIs" dxfId="1" priority="2059" operator="greaterThan">
      <formula>120</formula>
    </cfRule>
    <cfRule type="containsText" dxfId="2" priority="983" operator="between" text="库存为">
      <formula>NOT(ISERROR(SEARCH("库存为",AU99)))</formula>
    </cfRule>
  </conditionalFormatting>
  <conditionalFormatting sqref="AU100">
    <cfRule type="cellIs" dxfId="0" priority="3134" operator="lessThan">
      <formula>20</formula>
    </cfRule>
    <cfRule type="cellIs" dxfId="1" priority="2058" operator="greaterThan">
      <formula>120</formula>
    </cfRule>
    <cfRule type="containsText" dxfId="2" priority="982" operator="between" text="库存为">
      <formula>NOT(ISERROR(SEARCH("库存为",AU100)))</formula>
    </cfRule>
  </conditionalFormatting>
  <conditionalFormatting sqref="AU101">
    <cfRule type="cellIs" dxfId="0" priority="3133" operator="lessThan">
      <formula>20</formula>
    </cfRule>
    <cfRule type="cellIs" dxfId="1" priority="2057" operator="greaterThan">
      <formula>120</formula>
    </cfRule>
    <cfRule type="containsText" dxfId="2" priority="981" operator="between" text="库存为">
      <formula>NOT(ISERROR(SEARCH("库存为",AU101)))</formula>
    </cfRule>
  </conditionalFormatting>
  <conditionalFormatting sqref="AU102">
    <cfRule type="cellIs" dxfId="0" priority="3132" operator="lessThan">
      <formula>20</formula>
    </cfRule>
    <cfRule type="cellIs" dxfId="1" priority="2056" operator="greaterThan">
      <formula>120</formula>
    </cfRule>
    <cfRule type="containsText" dxfId="2" priority="980" operator="between" text="库存为">
      <formula>NOT(ISERROR(SEARCH("库存为",AU102)))</formula>
    </cfRule>
  </conditionalFormatting>
  <conditionalFormatting sqref="AU103">
    <cfRule type="cellIs" dxfId="0" priority="3131" operator="lessThan">
      <formula>20</formula>
    </cfRule>
    <cfRule type="cellIs" dxfId="1" priority="2055" operator="greaterThan">
      <formula>120</formula>
    </cfRule>
    <cfRule type="containsText" dxfId="2" priority="979" operator="between" text="库存为">
      <formula>NOT(ISERROR(SEARCH("库存为",AU103)))</formula>
    </cfRule>
  </conditionalFormatting>
  <conditionalFormatting sqref="AU104">
    <cfRule type="cellIs" dxfId="0" priority="3130" operator="lessThan">
      <formula>20</formula>
    </cfRule>
    <cfRule type="cellIs" dxfId="1" priority="2054" operator="greaterThan">
      <formula>120</formula>
    </cfRule>
    <cfRule type="containsText" dxfId="2" priority="978" operator="between" text="库存为">
      <formula>NOT(ISERROR(SEARCH("库存为",AU104)))</formula>
    </cfRule>
  </conditionalFormatting>
  <conditionalFormatting sqref="AU105">
    <cfRule type="cellIs" dxfId="0" priority="3129" operator="lessThan">
      <formula>20</formula>
    </cfRule>
    <cfRule type="cellIs" dxfId="1" priority="2053" operator="greaterThan">
      <formula>120</formula>
    </cfRule>
    <cfRule type="containsText" dxfId="2" priority="977" operator="between" text="库存为">
      <formula>NOT(ISERROR(SEARCH("库存为",AU105)))</formula>
    </cfRule>
  </conditionalFormatting>
  <conditionalFormatting sqref="AU106">
    <cfRule type="cellIs" dxfId="0" priority="3128" operator="lessThan">
      <formula>20</formula>
    </cfRule>
    <cfRule type="cellIs" dxfId="1" priority="2052" operator="greaterThan">
      <formula>120</formula>
    </cfRule>
    <cfRule type="containsText" dxfId="2" priority="976" operator="between" text="库存为">
      <formula>NOT(ISERROR(SEARCH("库存为",AU106)))</formula>
    </cfRule>
  </conditionalFormatting>
  <conditionalFormatting sqref="AU107">
    <cfRule type="cellIs" dxfId="0" priority="3127" operator="lessThan">
      <formula>20</formula>
    </cfRule>
    <cfRule type="cellIs" dxfId="1" priority="2051" operator="greaterThan">
      <formula>120</formula>
    </cfRule>
    <cfRule type="containsText" dxfId="2" priority="975" operator="between" text="库存为">
      <formula>NOT(ISERROR(SEARCH("库存为",AU107)))</formula>
    </cfRule>
  </conditionalFormatting>
  <conditionalFormatting sqref="AU108">
    <cfRule type="cellIs" dxfId="0" priority="3126" operator="lessThan">
      <formula>20</formula>
    </cfRule>
    <cfRule type="cellIs" dxfId="1" priority="2050" operator="greaterThan">
      <formula>120</formula>
    </cfRule>
    <cfRule type="containsText" dxfId="2" priority="974" operator="between" text="库存为">
      <formula>NOT(ISERROR(SEARCH("库存为",AU108)))</formula>
    </cfRule>
  </conditionalFormatting>
  <conditionalFormatting sqref="AU109">
    <cfRule type="cellIs" dxfId="0" priority="3125" operator="lessThan">
      <formula>20</formula>
    </cfRule>
    <cfRule type="cellIs" dxfId="1" priority="2049" operator="greaterThan">
      <formula>120</formula>
    </cfRule>
    <cfRule type="containsText" dxfId="2" priority="973" operator="between" text="库存为">
      <formula>NOT(ISERROR(SEARCH("库存为",AU109)))</formula>
    </cfRule>
  </conditionalFormatting>
  <conditionalFormatting sqref="AU110">
    <cfRule type="cellIs" dxfId="0" priority="3124" operator="lessThan">
      <formula>20</formula>
    </cfRule>
    <cfRule type="cellIs" dxfId="1" priority="2048" operator="greaterThan">
      <formula>120</formula>
    </cfRule>
    <cfRule type="containsText" dxfId="2" priority="972" operator="between" text="库存为">
      <formula>NOT(ISERROR(SEARCH("库存为",AU110)))</formula>
    </cfRule>
  </conditionalFormatting>
  <conditionalFormatting sqref="AU111">
    <cfRule type="cellIs" dxfId="0" priority="3123" operator="lessThan">
      <formula>20</formula>
    </cfRule>
    <cfRule type="cellIs" dxfId="1" priority="2047" operator="greaterThan">
      <formula>120</formula>
    </cfRule>
    <cfRule type="containsText" dxfId="2" priority="971" operator="between" text="库存为">
      <formula>NOT(ISERROR(SEARCH("库存为",AU111)))</formula>
    </cfRule>
  </conditionalFormatting>
  <conditionalFormatting sqref="AU112">
    <cfRule type="cellIs" dxfId="0" priority="3122" operator="lessThan">
      <formula>20</formula>
    </cfRule>
    <cfRule type="cellIs" dxfId="1" priority="2046" operator="greaterThan">
      <formula>120</formula>
    </cfRule>
    <cfRule type="containsText" dxfId="2" priority="970" operator="between" text="库存为">
      <formula>NOT(ISERROR(SEARCH("库存为",AU112)))</formula>
    </cfRule>
  </conditionalFormatting>
  <conditionalFormatting sqref="AU113">
    <cfRule type="cellIs" dxfId="0" priority="3121" operator="lessThan">
      <formula>20</formula>
    </cfRule>
    <cfRule type="cellIs" dxfId="1" priority="2045" operator="greaterThan">
      <formula>120</formula>
    </cfRule>
    <cfRule type="containsText" dxfId="2" priority="969" operator="between" text="库存为">
      <formula>NOT(ISERROR(SEARCH("库存为",AU113)))</formula>
    </cfRule>
  </conditionalFormatting>
  <conditionalFormatting sqref="AU114">
    <cfRule type="cellIs" dxfId="0" priority="3120" operator="lessThan">
      <formula>20</formula>
    </cfRule>
    <cfRule type="cellIs" dxfId="1" priority="2044" operator="greaterThan">
      <formula>120</formula>
    </cfRule>
    <cfRule type="containsText" dxfId="2" priority="968" operator="between" text="库存为">
      <formula>NOT(ISERROR(SEARCH("库存为",AU114)))</formula>
    </cfRule>
  </conditionalFormatting>
  <conditionalFormatting sqref="AU115">
    <cfRule type="cellIs" dxfId="0" priority="3119" operator="lessThan">
      <formula>20</formula>
    </cfRule>
    <cfRule type="cellIs" dxfId="1" priority="2043" operator="greaterThan">
      <formula>120</formula>
    </cfRule>
    <cfRule type="containsText" dxfId="2" priority="967" operator="between" text="库存为">
      <formula>NOT(ISERROR(SEARCH("库存为",AU115)))</formula>
    </cfRule>
  </conditionalFormatting>
  <conditionalFormatting sqref="AU116">
    <cfRule type="cellIs" dxfId="0" priority="3118" operator="lessThan">
      <formula>20</formula>
    </cfRule>
    <cfRule type="cellIs" dxfId="1" priority="2042" operator="greaterThan">
      <formula>120</formula>
    </cfRule>
    <cfRule type="containsText" dxfId="2" priority="966" operator="between" text="库存为">
      <formula>NOT(ISERROR(SEARCH("库存为",AU116)))</formula>
    </cfRule>
  </conditionalFormatting>
  <conditionalFormatting sqref="AU117">
    <cfRule type="cellIs" dxfId="0" priority="3117" operator="lessThan">
      <formula>20</formula>
    </cfRule>
    <cfRule type="cellIs" dxfId="1" priority="2041" operator="greaterThan">
      <formula>120</formula>
    </cfRule>
    <cfRule type="containsText" dxfId="2" priority="965" operator="between" text="库存为">
      <formula>NOT(ISERROR(SEARCH("库存为",AU117)))</formula>
    </cfRule>
  </conditionalFormatting>
  <conditionalFormatting sqref="AU118">
    <cfRule type="cellIs" dxfId="0" priority="3116" operator="lessThan">
      <formula>20</formula>
    </cfRule>
    <cfRule type="cellIs" dxfId="1" priority="2040" operator="greaterThan">
      <formula>120</formula>
    </cfRule>
    <cfRule type="containsText" dxfId="2" priority="964" operator="between" text="库存为">
      <formula>NOT(ISERROR(SEARCH("库存为",AU118)))</formula>
    </cfRule>
  </conditionalFormatting>
  <conditionalFormatting sqref="AU119">
    <cfRule type="cellIs" dxfId="0" priority="3115" operator="lessThan">
      <formula>20</formula>
    </cfRule>
    <cfRule type="cellIs" dxfId="1" priority="2039" operator="greaterThan">
      <formula>120</formula>
    </cfRule>
    <cfRule type="containsText" dxfId="2" priority="963" operator="between" text="库存为">
      <formula>NOT(ISERROR(SEARCH("库存为",AU119)))</formula>
    </cfRule>
  </conditionalFormatting>
  <conditionalFormatting sqref="AU120">
    <cfRule type="cellIs" dxfId="0" priority="3114" operator="lessThan">
      <formula>20</formula>
    </cfRule>
    <cfRule type="cellIs" dxfId="1" priority="2038" operator="greaterThan">
      <formula>120</formula>
    </cfRule>
    <cfRule type="containsText" dxfId="2" priority="962" operator="between" text="库存为">
      <formula>NOT(ISERROR(SEARCH("库存为",AU120)))</formula>
    </cfRule>
  </conditionalFormatting>
  <conditionalFormatting sqref="AU121">
    <cfRule type="cellIs" dxfId="0" priority="3113" operator="lessThan">
      <formula>20</formula>
    </cfRule>
    <cfRule type="cellIs" dxfId="1" priority="2037" operator="greaterThan">
      <formula>120</formula>
    </cfRule>
    <cfRule type="containsText" dxfId="2" priority="961" operator="between" text="库存为">
      <formula>NOT(ISERROR(SEARCH("库存为",AU121)))</formula>
    </cfRule>
  </conditionalFormatting>
  <conditionalFormatting sqref="AU122">
    <cfRule type="cellIs" dxfId="0" priority="3112" operator="lessThan">
      <formula>20</formula>
    </cfRule>
    <cfRule type="cellIs" dxfId="1" priority="2036" operator="greaterThan">
      <formula>120</formula>
    </cfRule>
    <cfRule type="containsText" dxfId="2" priority="960" operator="between" text="库存为">
      <formula>NOT(ISERROR(SEARCH("库存为",AU122)))</formula>
    </cfRule>
  </conditionalFormatting>
  <conditionalFormatting sqref="AU123">
    <cfRule type="cellIs" dxfId="0" priority="3111" operator="lessThan">
      <formula>20</formula>
    </cfRule>
    <cfRule type="cellIs" dxfId="1" priority="2035" operator="greaterThan">
      <formula>120</formula>
    </cfRule>
    <cfRule type="containsText" dxfId="2" priority="959" operator="between" text="库存为">
      <formula>NOT(ISERROR(SEARCH("库存为",AU123)))</formula>
    </cfRule>
  </conditionalFormatting>
  <conditionalFormatting sqref="AU124">
    <cfRule type="cellIs" dxfId="0" priority="3110" operator="lessThan">
      <formula>20</formula>
    </cfRule>
    <cfRule type="cellIs" dxfId="1" priority="2034" operator="greaterThan">
      <formula>120</formula>
    </cfRule>
    <cfRule type="containsText" dxfId="2" priority="958" operator="between" text="库存为">
      <formula>NOT(ISERROR(SEARCH("库存为",AU124)))</formula>
    </cfRule>
  </conditionalFormatting>
  <conditionalFormatting sqref="AU125">
    <cfRule type="cellIs" dxfId="0" priority="3109" operator="lessThan">
      <formula>20</formula>
    </cfRule>
    <cfRule type="cellIs" dxfId="1" priority="2033" operator="greaterThan">
      <formula>120</formula>
    </cfRule>
    <cfRule type="containsText" dxfId="2" priority="957" operator="between" text="库存为">
      <formula>NOT(ISERROR(SEARCH("库存为",AU125)))</formula>
    </cfRule>
  </conditionalFormatting>
  <conditionalFormatting sqref="AU126">
    <cfRule type="cellIs" dxfId="0" priority="3108" operator="lessThan">
      <formula>20</formula>
    </cfRule>
    <cfRule type="cellIs" dxfId="1" priority="2032" operator="greaterThan">
      <formula>120</formula>
    </cfRule>
    <cfRule type="containsText" dxfId="2" priority="956" operator="between" text="库存为">
      <formula>NOT(ISERROR(SEARCH("库存为",AU126)))</formula>
    </cfRule>
  </conditionalFormatting>
  <conditionalFormatting sqref="AU127">
    <cfRule type="cellIs" dxfId="0" priority="3107" operator="lessThan">
      <formula>20</formula>
    </cfRule>
    <cfRule type="cellIs" dxfId="1" priority="2031" operator="greaterThan">
      <formula>120</formula>
    </cfRule>
    <cfRule type="containsText" dxfId="2" priority="955" operator="between" text="库存为">
      <formula>NOT(ISERROR(SEARCH("库存为",AU127)))</formula>
    </cfRule>
  </conditionalFormatting>
  <conditionalFormatting sqref="AU128">
    <cfRule type="cellIs" dxfId="0" priority="3106" operator="lessThan">
      <formula>20</formula>
    </cfRule>
    <cfRule type="cellIs" dxfId="1" priority="2030" operator="greaterThan">
      <formula>120</formula>
    </cfRule>
    <cfRule type="containsText" dxfId="2" priority="954" operator="between" text="库存为">
      <formula>NOT(ISERROR(SEARCH("库存为",AU128)))</formula>
    </cfRule>
  </conditionalFormatting>
  <conditionalFormatting sqref="AU129">
    <cfRule type="cellIs" dxfId="0" priority="3105" operator="lessThan">
      <formula>20</formula>
    </cfRule>
    <cfRule type="cellIs" dxfId="1" priority="2029" operator="greaterThan">
      <formula>120</formula>
    </cfRule>
    <cfRule type="containsText" dxfId="2" priority="953" operator="between" text="库存为">
      <formula>NOT(ISERROR(SEARCH("库存为",AU129)))</formula>
    </cfRule>
  </conditionalFormatting>
  <conditionalFormatting sqref="AU130">
    <cfRule type="cellIs" dxfId="0" priority="3104" operator="lessThan">
      <formula>20</formula>
    </cfRule>
    <cfRule type="cellIs" dxfId="1" priority="2028" operator="greaterThan">
      <formula>120</formula>
    </cfRule>
    <cfRule type="containsText" dxfId="2" priority="952" operator="between" text="库存为">
      <formula>NOT(ISERROR(SEARCH("库存为",AU130)))</formula>
    </cfRule>
  </conditionalFormatting>
  <conditionalFormatting sqref="AU131">
    <cfRule type="cellIs" dxfId="0" priority="3103" operator="lessThan">
      <formula>20</formula>
    </cfRule>
    <cfRule type="cellIs" dxfId="1" priority="2027" operator="greaterThan">
      <formula>120</formula>
    </cfRule>
    <cfRule type="containsText" dxfId="2" priority="951" operator="between" text="库存为">
      <formula>NOT(ISERROR(SEARCH("库存为",AU131)))</formula>
    </cfRule>
  </conditionalFormatting>
  <conditionalFormatting sqref="AU132">
    <cfRule type="cellIs" dxfId="0" priority="3102" operator="lessThan">
      <formula>20</formula>
    </cfRule>
    <cfRule type="cellIs" dxfId="1" priority="2026" operator="greaterThan">
      <formula>120</formula>
    </cfRule>
    <cfRule type="containsText" dxfId="2" priority="950" operator="between" text="库存为">
      <formula>NOT(ISERROR(SEARCH("库存为",AU132)))</formula>
    </cfRule>
  </conditionalFormatting>
  <conditionalFormatting sqref="AU133">
    <cfRule type="cellIs" dxfId="0" priority="3101" operator="lessThan">
      <formula>20</formula>
    </cfRule>
    <cfRule type="cellIs" dxfId="1" priority="2025" operator="greaterThan">
      <formula>120</formula>
    </cfRule>
    <cfRule type="containsText" dxfId="2" priority="949" operator="between" text="库存为">
      <formula>NOT(ISERROR(SEARCH("库存为",AU133)))</formula>
    </cfRule>
  </conditionalFormatting>
  <conditionalFormatting sqref="AU134">
    <cfRule type="cellIs" dxfId="0" priority="3100" operator="lessThan">
      <formula>20</formula>
    </cfRule>
    <cfRule type="cellIs" dxfId="1" priority="2024" operator="greaterThan">
      <formula>120</formula>
    </cfRule>
    <cfRule type="containsText" dxfId="2" priority="948" operator="between" text="库存为">
      <formula>NOT(ISERROR(SEARCH("库存为",AU134)))</formula>
    </cfRule>
  </conditionalFormatting>
  <conditionalFormatting sqref="AU135">
    <cfRule type="cellIs" dxfId="0" priority="3099" operator="lessThan">
      <formula>20</formula>
    </cfRule>
    <cfRule type="cellIs" dxfId="1" priority="2023" operator="greaterThan">
      <formula>120</formula>
    </cfRule>
    <cfRule type="containsText" dxfId="2" priority="947" operator="between" text="库存为">
      <formula>NOT(ISERROR(SEARCH("库存为",AU135)))</formula>
    </cfRule>
  </conditionalFormatting>
  <conditionalFormatting sqref="AU136">
    <cfRule type="cellIs" dxfId="0" priority="3098" operator="lessThan">
      <formula>20</formula>
    </cfRule>
    <cfRule type="cellIs" dxfId="1" priority="2022" operator="greaterThan">
      <formula>120</formula>
    </cfRule>
    <cfRule type="containsText" dxfId="2" priority="946" operator="between" text="库存为">
      <formula>NOT(ISERROR(SEARCH("库存为",AU136)))</formula>
    </cfRule>
  </conditionalFormatting>
  <conditionalFormatting sqref="AU137">
    <cfRule type="cellIs" dxfId="0" priority="3097" operator="lessThan">
      <formula>20</formula>
    </cfRule>
    <cfRule type="cellIs" dxfId="1" priority="2021" operator="greaterThan">
      <formula>120</formula>
    </cfRule>
    <cfRule type="containsText" dxfId="2" priority="945" operator="between" text="库存为">
      <formula>NOT(ISERROR(SEARCH("库存为",AU137)))</formula>
    </cfRule>
  </conditionalFormatting>
  <conditionalFormatting sqref="AU138">
    <cfRule type="cellIs" dxfId="0" priority="3096" operator="lessThan">
      <formula>20</formula>
    </cfRule>
    <cfRule type="cellIs" dxfId="1" priority="2020" operator="greaterThan">
      <formula>120</formula>
    </cfRule>
    <cfRule type="containsText" dxfId="2" priority="944" operator="between" text="库存为">
      <formula>NOT(ISERROR(SEARCH("库存为",AU138)))</formula>
    </cfRule>
  </conditionalFormatting>
  <conditionalFormatting sqref="AU139">
    <cfRule type="cellIs" dxfId="0" priority="3095" operator="lessThan">
      <formula>20</formula>
    </cfRule>
    <cfRule type="cellIs" dxfId="1" priority="2019" operator="greaterThan">
      <formula>120</formula>
    </cfRule>
    <cfRule type="containsText" dxfId="2" priority="943" operator="between" text="库存为">
      <formula>NOT(ISERROR(SEARCH("库存为",AU139)))</formula>
    </cfRule>
  </conditionalFormatting>
  <conditionalFormatting sqref="AU140">
    <cfRule type="cellIs" dxfId="0" priority="3094" operator="lessThan">
      <formula>20</formula>
    </cfRule>
    <cfRule type="cellIs" dxfId="1" priority="2018" operator="greaterThan">
      <formula>120</formula>
    </cfRule>
    <cfRule type="containsText" dxfId="2" priority="942" operator="between" text="库存为">
      <formula>NOT(ISERROR(SEARCH("库存为",AU140)))</formula>
    </cfRule>
  </conditionalFormatting>
  <conditionalFormatting sqref="AU141">
    <cfRule type="cellIs" dxfId="0" priority="3093" operator="lessThan">
      <formula>20</formula>
    </cfRule>
    <cfRule type="cellIs" dxfId="1" priority="2017" operator="greaterThan">
      <formula>120</formula>
    </cfRule>
    <cfRule type="containsText" dxfId="2" priority="941" operator="between" text="库存为">
      <formula>NOT(ISERROR(SEARCH("库存为",AU141)))</formula>
    </cfRule>
  </conditionalFormatting>
  <conditionalFormatting sqref="AU142">
    <cfRule type="cellIs" dxfId="0" priority="3092" operator="lessThan">
      <formula>20</formula>
    </cfRule>
    <cfRule type="cellIs" dxfId="1" priority="2016" operator="greaterThan">
      <formula>120</formula>
    </cfRule>
    <cfRule type="containsText" dxfId="2" priority="940" operator="between" text="库存为">
      <formula>NOT(ISERROR(SEARCH("库存为",AU142)))</formula>
    </cfRule>
  </conditionalFormatting>
  <conditionalFormatting sqref="AU143">
    <cfRule type="cellIs" dxfId="0" priority="3091" operator="lessThan">
      <formula>20</formula>
    </cfRule>
    <cfRule type="cellIs" dxfId="1" priority="2015" operator="greaterThan">
      <formula>120</formula>
    </cfRule>
    <cfRule type="containsText" dxfId="2" priority="939" operator="between" text="库存为">
      <formula>NOT(ISERROR(SEARCH("库存为",AU143)))</formula>
    </cfRule>
  </conditionalFormatting>
  <conditionalFormatting sqref="AU144">
    <cfRule type="cellIs" dxfId="0" priority="3090" operator="lessThan">
      <formula>20</formula>
    </cfRule>
    <cfRule type="cellIs" dxfId="1" priority="2014" operator="greaterThan">
      <formula>120</formula>
    </cfRule>
    <cfRule type="containsText" dxfId="2" priority="938" operator="between" text="库存为">
      <formula>NOT(ISERROR(SEARCH("库存为",AU144)))</formula>
    </cfRule>
  </conditionalFormatting>
  <conditionalFormatting sqref="AU145">
    <cfRule type="cellIs" dxfId="0" priority="3089" operator="lessThan">
      <formula>20</formula>
    </cfRule>
    <cfRule type="cellIs" dxfId="1" priority="2013" operator="greaterThan">
      <formula>120</formula>
    </cfRule>
    <cfRule type="containsText" dxfId="2" priority="937" operator="between" text="库存为">
      <formula>NOT(ISERROR(SEARCH("库存为",AU145)))</formula>
    </cfRule>
  </conditionalFormatting>
  <conditionalFormatting sqref="AU146">
    <cfRule type="cellIs" dxfId="0" priority="3088" operator="lessThan">
      <formula>20</formula>
    </cfRule>
    <cfRule type="cellIs" dxfId="1" priority="2012" operator="greaterThan">
      <formula>120</formula>
    </cfRule>
    <cfRule type="containsText" dxfId="2" priority="936" operator="between" text="库存为">
      <formula>NOT(ISERROR(SEARCH("库存为",AU146)))</formula>
    </cfRule>
  </conditionalFormatting>
  <conditionalFormatting sqref="AU147">
    <cfRule type="cellIs" dxfId="0" priority="3087" operator="lessThan">
      <formula>20</formula>
    </cfRule>
    <cfRule type="cellIs" dxfId="1" priority="2011" operator="greaterThan">
      <formula>120</formula>
    </cfRule>
    <cfRule type="containsText" dxfId="2" priority="935" operator="between" text="库存为">
      <formula>NOT(ISERROR(SEARCH("库存为",AU147)))</formula>
    </cfRule>
  </conditionalFormatting>
  <conditionalFormatting sqref="AU148">
    <cfRule type="cellIs" dxfId="0" priority="3086" operator="lessThan">
      <formula>20</formula>
    </cfRule>
    <cfRule type="cellIs" dxfId="1" priority="2010" operator="greaterThan">
      <formula>120</formula>
    </cfRule>
    <cfRule type="containsText" dxfId="2" priority="934" operator="between" text="库存为">
      <formula>NOT(ISERROR(SEARCH("库存为",AU148)))</formula>
    </cfRule>
  </conditionalFormatting>
  <conditionalFormatting sqref="AU149">
    <cfRule type="cellIs" dxfId="0" priority="3085" operator="lessThan">
      <formula>20</formula>
    </cfRule>
    <cfRule type="cellIs" dxfId="1" priority="2009" operator="greaterThan">
      <formula>120</formula>
    </cfRule>
    <cfRule type="containsText" dxfId="2" priority="933" operator="between" text="库存为">
      <formula>NOT(ISERROR(SEARCH("库存为",AU149)))</formula>
    </cfRule>
  </conditionalFormatting>
  <conditionalFormatting sqref="AU150">
    <cfRule type="cellIs" dxfId="0" priority="3084" operator="lessThan">
      <formula>20</formula>
    </cfRule>
    <cfRule type="cellIs" dxfId="1" priority="2008" operator="greaterThan">
      <formula>120</formula>
    </cfRule>
    <cfRule type="containsText" dxfId="2" priority="932" operator="between" text="库存为">
      <formula>NOT(ISERROR(SEARCH("库存为",AU150)))</formula>
    </cfRule>
  </conditionalFormatting>
  <conditionalFormatting sqref="AU151">
    <cfRule type="cellIs" dxfId="0" priority="3083" operator="lessThan">
      <formula>20</formula>
    </cfRule>
    <cfRule type="cellIs" dxfId="1" priority="2007" operator="greaterThan">
      <formula>120</formula>
    </cfRule>
    <cfRule type="containsText" dxfId="2" priority="931" operator="between" text="库存为">
      <formula>NOT(ISERROR(SEARCH("库存为",AU151)))</formula>
    </cfRule>
  </conditionalFormatting>
  <conditionalFormatting sqref="AU152">
    <cfRule type="cellIs" dxfId="0" priority="3082" operator="lessThan">
      <formula>20</formula>
    </cfRule>
    <cfRule type="cellIs" dxfId="1" priority="2006" operator="greaterThan">
      <formula>120</formula>
    </cfRule>
    <cfRule type="containsText" dxfId="2" priority="930" operator="between" text="库存为">
      <formula>NOT(ISERROR(SEARCH("库存为",AU152)))</formula>
    </cfRule>
  </conditionalFormatting>
  <conditionalFormatting sqref="AU153">
    <cfRule type="cellIs" dxfId="0" priority="3081" operator="lessThan">
      <formula>20</formula>
    </cfRule>
    <cfRule type="cellIs" dxfId="1" priority="2005" operator="greaterThan">
      <formula>120</formula>
    </cfRule>
    <cfRule type="containsText" dxfId="2" priority="929" operator="between" text="库存为">
      <formula>NOT(ISERROR(SEARCH("库存为",AU153)))</formula>
    </cfRule>
  </conditionalFormatting>
  <conditionalFormatting sqref="AU154">
    <cfRule type="cellIs" dxfId="0" priority="3080" operator="lessThan">
      <formula>20</formula>
    </cfRule>
    <cfRule type="cellIs" dxfId="1" priority="2004" operator="greaterThan">
      <formula>120</formula>
    </cfRule>
    <cfRule type="containsText" dxfId="2" priority="928" operator="between" text="库存为">
      <formula>NOT(ISERROR(SEARCH("库存为",AU154)))</formula>
    </cfRule>
  </conditionalFormatting>
  <conditionalFormatting sqref="AU155">
    <cfRule type="cellIs" dxfId="0" priority="3079" operator="lessThan">
      <formula>20</formula>
    </cfRule>
    <cfRule type="cellIs" dxfId="1" priority="2003" operator="greaterThan">
      <formula>120</formula>
    </cfRule>
    <cfRule type="containsText" dxfId="2" priority="927" operator="between" text="库存为">
      <formula>NOT(ISERROR(SEARCH("库存为",AU155)))</formula>
    </cfRule>
  </conditionalFormatting>
  <conditionalFormatting sqref="AU156">
    <cfRule type="cellIs" dxfId="0" priority="3078" operator="lessThan">
      <formula>20</formula>
    </cfRule>
    <cfRule type="cellIs" dxfId="1" priority="2002" operator="greaterThan">
      <formula>120</formula>
    </cfRule>
    <cfRule type="containsText" dxfId="2" priority="926" operator="between" text="库存为">
      <formula>NOT(ISERROR(SEARCH("库存为",AU156)))</formula>
    </cfRule>
  </conditionalFormatting>
  <conditionalFormatting sqref="AU157">
    <cfRule type="cellIs" dxfId="0" priority="3077" operator="lessThan">
      <formula>20</formula>
    </cfRule>
    <cfRule type="cellIs" dxfId="1" priority="2001" operator="greaterThan">
      <formula>120</formula>
    </cfRule>
    <cfRule type="containsText" dxfId="2" priority="925" operator="between" text="库存为">
      <formula>NOT(ISERROR(SEARCH("库存为",AU157)))</formula>
    </cfRule>
  </conditionalFormatting>
  <conditionalFormatting sqref="AU158">
    <cfRule type="cellIs" dxfId="0" priority="3076" operator="lessThan">
      <formula>20</formula>
    </cfRule>
    <cfRule type="cellIs" dxfId="1" priority="2000" operator="greaterThan">
      <formula>120</formula>
    </cfRule>
    <cfRule type="containsText" dxfId="2" priority="924" operator="between" text="库存为">
      <formula>NOT(ISERROR(SEARCH("库存为",AU158)))</formula>
    </cfRule>
  </conditionalFormatting>
  <conditionalFormatting sqref="AU159">
    <cfRule type="cellIs" dxfId="0" priority="3075" operator="lessThan">
      <formula>20</formula>
    </cfRule>
    <cfRule type="cellIs" dxfId="1" priority="1999" operator="greaterThan">
      <formula>120</formula>
    </cfRule>
    <cfRule type="containsText" dxfId="2" priority="923" operator="between" text="库存为">
      <formula>NOT(ISERROR(SEARCH("库存为",AU159)))</formula>
    </cfRule>
  </conditionalFormatting>
  <conditionalFormatting sqref="AU160">
    <cfRule type="cellIs" dxfId="0" priority="3074" operator="lessThan">
      <formula>20</formula>
    </cfRule>
    <cfRule type="cellIs" dxfId="1" priority="1998" operator="greaterThan">
      <formula>120</formula>
    </cfRule>
    <cfRule type="containsText" dxfId="2" priority="922" operator="between" text="库存为">
      <formula>NOT(ISERROR(SEARCH("库存为",AU160)))</formula>
    </cfRule>
  </conditionalFormatting>
  <conditionalFormatting sqref="AU161">
    <cfRule type="cellIs" dxfId="0" priority="3073" operator="lessThan">
      <formula>20</formula>
    </cfRule>
    <cfRule type="cellIs" dxfId="1" priority="1997" operator="greaterThan">
      <formula>120</formula>
    </cfRule>
    <cfRule type="containsText" dxfId="2" priority="921" operator="between" text="库存为">
      <formula>NOT(ISERROR(SEARCH("库存为",AU161)))</formula>
    </cfRule>
  </conditionalFormatting>
  <conditionalFormatting sqref="AU162">
    <cfRule type="cellIs" dxfId="0" priority="3072" operator="lessThan">
      <formula>20</formula>
    </cfRule>
    <cfRule type="cellIs" dxfId="1" priority="1996" operator="greaterThan">
      <formula>120</formula>
    </cfRule>
    <cfRule type="containsText" dxfId="2" priority="920" operator="between" text="库存为">
      <formula>NOT(ISERROR(SEARCH("库存为",AU162)))</formula>
    </cfRule>
  </conditionalFormatting>
  <conditionalFormatting sqref="AU163">
    <cfRule type="cellIs" dxfId="0" priority="3071" operator="lessThan">
      <formula>20</formula>
    </cfRule>
    <cfRule type="cellIs" dxfId="1" priority="1995" operator="greaterThan">
      <formula>120</formula>
    </cfRule>
    <cfRule type="containsText" dxfId="2" priority="919" operator="between" text="库存为">
      <formula>NOT(ISERROR(SEARCH("库存为",AU163)))</formula>
    </cfRule>
  </conditionalFormatting>
  <conditionalFormatting sqref="AU164">
    <cfRule type="cellIs" dxfId="0" priority="3070" operator="lessThan">
      <formula>20</formula>
    </cfRule>
    <cfRule type="cellIs" dxfId="1" priority="1994" operator="greaterThan">
      <formula>120</formula>
    </cfRule>
    <cfRule type="containsText" dxfId="2" priority="918" operator="between" text="库存为">
      <formula>NOT(ISERROR(SEARCH("库存为",AU164)))</formula>
    </cfRule>
  </conditionalFormatting>
  <conditionalFormatting sqref="AU165">
    <cfRule type="cellIs" dxfId="0" priority="3069" operator="lessThan">
      <formula>20</formula>
    </cfRule>
    <cfRule type="cellIs" dxfId="1" priority="1993" operator="greaterThan">
      <formula>120</formula>
    </cfRule>
    <cfRule type="containsText" dxfId="2" priority="917" operator="between" text="库存为">
      <formula>NOT(ISERROR(SEARCH("库存为",AU165)))</formula>
    </cfRule>
  </conditionalFormatting>
  <conditionalFormatting sqref="AU166">
    <cfRule type="cellIs" dxfId="0" priority="3068" operator="lessThan">
      <formula>20</formula>
    </cfRule>
    <cfRule type="cellIs" dxfId="1" priority="1992" operator="greaterThan">
      <formula>120</formula>
    </cfRule>
    <cfRule type="containsText" dxfId="2" priority="916" operator="between" text="库存为">
      <formula>NOT(ISERROR(SEARCH("库存为",AU166)))</formula>
    </cfRule>
  </conditionalFormatting>
  <conditionalFormatting sqref="AU167">
    <cfRule type="cellIs" dxfId="0" priority="3067" operator="lessThan">
      <formula>20</formula>
    </cfRule>
    <cfRule type="cellIs" dxfId="1" priority="1991" operator="greaterThan">
      <formula>120</formula>
    </cfRule>
    <cfRule type="containsText" dxfId="2" priority="915" operator="between" text="库存为">
      <formula>NOT(ISERROR(SEARCH("库存为",AU167)))</formula>
    </cfRule>
  </conditionalFormatting>
  <conditionalFormatting sqref="AU168">
    <cfRule type="cellIs" dxfId="0" priority="3066" operator="lessThan">
      <formula>20</formula>
    </cfRule>
    <cfRule type="cellIs" dxfId="1" priority="1990" operator="greaterThan">
      <formula>120</formula>
    </cfRule>
    <cfRule type="containsText" dxfId="2" priority="914" operator="between" text="库存为">
      <formula>NOT(ISERROR(SEARCH("库存为",AU168)))</formula>
    </cfRule>
  </conditionalFormatting>
  <conditionalFormatting sqref="AU169">
    <cfRule type="cellIs" dxfId="0" priority="3065" operator="lessThan">
      <formula>20</formula>
    </cfRule>
    <cfRule type="cellIs" dxfId="1" priority="1989" operator="greaterThan">
      <formula>120</formula>
    </cfRule>
    <cfRule type="containsText" dxfId="2" priority="913" operator="between" text="库存为">
      <formula>NOT(ISERROR(SEARCH("库存为",AU169)))</formula>
    </cfRule>
  </conditionalFormatting>
  <conditionalFormatting sqref="AU170">
    <cfRule type="cellIs" dxfId="0" priority="3064" operator="lessThan">
      <formula>20</formula>
    </cfRule>
    <cfRule type="cellIs" dxfId="1" priority="1988" operator="greaterThan">
      <formula>120</formula>
    </cfRule>
    <cfRule type="containsText" dxfId="2" priority="912" operator="between" text="库存为">
      <formula>NOT(ISERROR(SEARCH("库存为",AU170)))</formula>
    </cfRule>
  </conditionalFormatting>
  <conditionalFormatting sqref="AU171">
    <cfRule type="cellIs" dxfId="0" priority="3063" operator="lessThan">
      <formula>20</formula>
    </cfRule>
    <cfRule type="cellIs" dxfId="1" priority="1987" operator="greaterThan">
      <formula>120</formula>
    </cfRule>
    <cfRule type="containsText" dxfId="2" priority="911" operator="between" text="库存为">
      <formula>NOT(ISERROR(SEARCH("库存为",AU171)))</formula>
    </cfRule>
  </conditionalFormatting>
  <conditionalFormatting sqref="AU172">
    <cfRule type="cellIs" dxfId="0" priority="3062" operator="lessThan">
      <formula>20</formula>
    </cfRule>
    <cfRule type="cellIs" dxfId="1" priority="1986" operator="greaterThan">
      <formula>120</formula>
    </cfRule>
    <cfRule type="containsText" dxfId="2" priority="910" operator="between" text="库存为">
      <formula>NOT(ISERROR(SEARCH("库存为",AU172)))</formula>
    </cfRule>
  </conditionalFormatting>
  <conditionalFormatting sqref="AU173">
    <cfRule type="cellIs" dxfId="0" priority="3061" operator="lessThan">
      <formula>20</formula>
    </cfRule>
    <cfRule type="cellIs" dxfId="1" priority="1985" operator="greaterThan">
      <formula>120</formula>
    </cfRule>
    <cfRule type="containsText" dxfId="2" priority="909" operator="between" text="库存为">
      <formula>NOT(ISERROR(SEARCH("库存为",AU173)))</formula>
    </cfRule>
  </conditionalFormatting>
  <conditionalFormatting sqref="AU174">
    <cfRule type="cellIs" dxfId="0" priority="3060" operator="lessThan">
      <formula>20</formula>
    </cfRule>
    <cfRule type="cellIs" dxfId="1" priority="1984" operator="greaterThan">
      <formula>120</formula>
    </cfRule>
    <cfRule type="containsText" dxfId="2" priority="908" operator="between" text="库存为">
      <formula>NOT(ISERROR(SEARCH("库存为",AU174)))</formula>
    </cfRule>
  </conditionalFormatting>
  <conditionalFormatting sqref="AU175">
    <cfRule type="cellIs" dxfId="0" priority="3059" operator="lessThan">
      <formula>20</formula>
    </cfRule>
    <cfRule type="cellIs" dxfId="1" priority="1983" operator="greaterThan">
      <formula>120</formula>
    </cfRule>
    <cfRule type="containsText" dxfId="2" priority="907" operator="between" text="库存为">
      <formula>NOT(ISERROR(SEARCH("库存为",AU175)))</formula>
    </cfRule>
  </conditionalFormatting>
  <conditionalFormatting sqref="AU176">
    <cfRule type="cellIs" dxfId="0" priority="3058" operator="lessThan">
      <formula>20</formula>
    </cfRule>
    <cfRule type="cellIs" dxfId="1" priority="1982" operator="greaterThan">
      <formula>120</formula>
    </cfRule>
    <cfRule type="containsText" dxfId="2" priority="906" operator="between" text="库存为">
      <formula>NOT(ISERROR(SEARCH("库存为",AU176)))</formula>
    </cfRule>
  </conditionalFormatting>
  <conditionalFormatting sqref="AU177">
    <cfRule type="cellIs" dxfId="0" priority="3057" operator="lessThan">
      <formula>20</formula>
    </cfRule>
    <cfRule type="cellIs" dxfId="1" priority="1981" operator="greaterThan">
      <formula>120</formula>
    </cfRule>
    <cfRule type="containsText" dxfId="2" priority="905" operator="between" text="库存为">
      <formula>NOT(ISERROR(SEARCH("库存为",AU177)))</formula>
    </cfRule>
  </conditionalFormatting>
  <conditionalFormatting sqref="AU178">
    <cfRule type="cellIs" dxfId="0" priority="3056" operator="lessThan">
      <formula>20</formula>
    </cfRule>
    <cfRule type="cellIs" dxfId="1" priority="1980" operator="greaterThan">
      <formula>120</formula>
    </cfRule>
    <cfRule type="containsText" dxfId="2" priority="904" operator="between" text="库存为">
      <formula>NOT(ISERROR(SEARCH("库存为",AU178)))</formula>
    </cfRule>
  </conditionalFormatting>
  <conditionalFormatting sqref="AU179">
    <cfRule type="cellIs" dxfId="0" priority="3055" operator="lessThan">
      <formula>20</formula>
    </cfRule>
    <cfRule type="cellIs" dxfId="1" priority="1979" operator="greaterThan">
      <formula>120</formula>
    </cfRule>
    <cfRule type="containsText" dxfId="2" priority="903" operator="between" text="库存为">
      <formula>NOT(ISERROR(SEARCH("库存为",AU179)))</formula>
    </cfRule>
  </conditionalFormatting>
  <conditionalFormatting sqref="AU180">
    <cfRule type="cellIs" dxfId="0" priority="3054" operator="lessThan">
      <formula>20</formula>
    </cfRule>
    <cfRule type="cellIs" dxfId="1" priority="1978" operator="greaterThan">
      <formula>120</formula>
    </cfRule>
    <cfRule type="containsText" dxfId="2" priority="902" operator="between" text="库存为">
      <formula>NOT(ISERROR(SEARCH("库存为",AU180)))</formula>
    </cfRule>
  </conditionalFormatting>
  <conditionalFormatting sqref="AU181">
    <cfRule type="cellIs" dxfId="0" priority="3053" operator="lessThan">
      <formula>20</formula>
    </cfRule>
    <cfRule type="cellIs" dxfId="1" priority="1977" operator="greaterThan">
      <formula>120</formula>
    </cfRule>
    <cfRule type="containsText" dxfId="2" priority="901" operator="between" text="库存为">
      <formula>NOT(ISERROR(SEARCH("库存为",AU181)))</formula>
    </cfRule>
  </conditionalFormatting>
  <conditionalFormatting sqref="AU182">
    <cfRule type="cellIs" dxfId="0" priority="3052" operator="lessThan">
      <formula>20</formula>
    </cfRule>
    <cfRule type="cellIs" dxfId="1" priority="1976" operator="greaterThan">
      <formula>120</formula>
    </cfRule>
    <cfRule type="containsText" dxfId="2" priority="900" operator="between" text="库存为">
      <formula>NOT(ISERROR(SEARCH("库存为",AU182)))</formula>
    </cfRule>
  </conditionalFormatting>
  <conditionalFormatting sqref="AU183">
    <cfRule type="cellIs" dxfId="0" priority="3051" operator="lessThan">
      <formula>20</formula>
    </cfRule>
    <cfRule type="cellIs" dxfId="1" priority="1975" operator="greaterThan">
      <formula>120</formula>
    </cfRule>
    <cfRule type="containsText" dxfId="2" priority="899" operator="between" text="库存为">
      <formula>NOT(ISERROR(SEARCH("库存为",AU183)))</formula>
    </cfRule>
  </conditionalFormatting>
  <conditionalFormatting sqref="AU184">
    <cfRule type="cellIs" dxfId="0" priority="3050" operator="lessThan">
      <formula>20</formula>
    </cfRule>
    <cfRule type="cellIs" dxfId="1" priority="1974" operator="greaterThan">
      <formula>120</formula>
    </cfRule>
    <cfRule type="containsText" dxfId="2" priority="898" operator="between" text="库存为">
      <formula>NOT(ISERROR(SEARCH("库存为",AU184)))</formula>
    </cfRule>
  </conditionalFormatting>
  <conditionalFormatting sqref="AU185">
    <cfRule type="cellIs" dxfId="0" priority="3049" operator="lessThan">
      <formula>20</formula>
    </cfRule>
    <cfRule type="cellIs" dxfId="1" priority="1973" operator="greaterThan">
      <formula>120</formula>
    </cfRule>
    <cfRule type="containsText" dxfId="2" priority="897" operator="between" text="库存为">
      <formula>NOT(ISERROR(SEARCH("库存为",AU185)))</formula>
    </cfRule>
  </conditionalFormatting>
  <conditionalFormatting sqref="AU186">
    <cfRule type="cellIs" dxfId="0" priority="3048" operator="lessThan">
      <formula>20</formula>
    </cfRule>
    <cfRule type="cellIs" dxfId="1" priority="1972" operator="greaterThan">
      <formula>120</formula>
    </cfRule>
    <cfRule type="containsText" dxfId="2" priority="896" operator="between" text="库存为">
      <formula>NOT(ISERROR(SEARCH("库存为",AU186)))</formula>
    </cfRule>
  </conditionalFormatting>
  <conditionalFormatting sqref="AU187">
    <cfRule type="cellIs" dxfId="0" priority="3047" operator="lessThan">
      <formula>20</formula>
    </cfRule>
    <cfRule type="cellIs" dxfId="1" priority="1971" operator="greaterThan">
      <formula>120</formula>
    </cfRule>
    <cfRule type="containsText" dxfId="2" priority="895" operator="between" text="库存为">
      <formula>NOT(ISERROR(SEARCH("库存为",AU187)))</formula>
    </cfRule>
  </conditionalFormatting>
  <conditionalFormatting sqref="AU188">
    <cfRule type="cellIs" dxfId="0" priority="3046" operator="lessThan">
      <formula>20</formula>
    </cfRule>
    <cfRule type="cellIs" dxfId="1" priority="1970" operator="greaterThan">
      <formula>120</formula>
    </cfRule>
    <cfRule type="containsText" dxfId="2" priority="894" operator="between" text="库存为">
      <formula>NOT(ISERROR(SEARCH("库存为",AU188)))</formula>
    </cfRule>
  </conditionalFormatting>
  <conditionalFormatting sqref="AU189">
    <cfRule type="cellIs" dxfId="0" priority="3045" operator="lessThan">
      <formula>20</formula>
    </cfRule>
    <cfRule type="cellIs" dxfId="1" priority="1969" operator="greaterThan">
      <formula>120</formula>
    </cfRule>
    <cfRule type="containsText" dxfId="2" priority="893" operator="between" text="库存为">
      <formula>NOT(ISERROR(SEARCH("库存为",AU189)))</formula>
    </cfRule>
  </conditionalFormatting>
  <conditionalFormatting sqref="AU190">
    <cfRule type="cellIs" dxfId="0" priority="3044" operator="lessThan">
      <formula>20</formula>
    </cfRule>
    <cfRule type="cellIs" dxfId="1" priority="1968" operator="greaterThan">
      <formula>120</formula>
    </cfRule>
    <cfRule type="containsText" dxfId="2" priority="892" operator="between" text="库存为">
      <formula>NOT(ISERROR(SEARCH("库存为",AU190)))</formula>
    </cfRule>
  </conditionalFormatting>
  <conditionalFormatting sqref="AU191">
    <cfRule type="cellIs" dxfId="0" priority="3043" operator="lessThan">
      <formula>20</formula>
    </cfRule>
    <cfRule type="cellIs" dxfId="1" priority="1967" operator="greaterThan">
      <formula>120</formula>
    </cfRule>
    <cfRule type="containsText" dxfId="2" priority="891" operator="between" text="库存为">
      <formula>NOT(ISERROR(SEARCH("库存为",AU191)))</formula>
    </cfRule>
  </conditionalFormatting>
  <conditionalFormatting sqref="AU192">
    <cfRule type="cellIs" dxfId="0" priority="3042" operator="lessThan">
      <formula>20</formula>
    </cfRule>
    <cfRule type="cellIs" dxfId="1" priority="1966" operator="greaterThan">
      <formula>120</formula>
    </cfRule>
    <cfRule type="containsText" dxfId="2" priority="890" operator="between" text="库存为">
      <formula>NOT(ISERROR(SEARCH("库存为",AU192)))</formula>
    </cfRule>
  </conditionalFormatting>
  <conditionalFormatting sqref="AU193">
    <cfRule type="cellIs" dxfId="0" priority="3041" operator="lessThan">
      <formula>20</formula>
    </cfRule>
    <cfRule type="cellIs" dxfId="1" priority="1965" operator="greaterThan">
      <formula>120</formula>
    </cfRule>
    <cfRule type="containsText" dxfId="2" priority="889" operator="between" text="库存为">
      <formula>NOT(ISERROR(SEARCH("库存为",AU193)))</formula>
    </cfRule>
  </conditionalFormatting>
  <conditionalFormatting sqref="AU194">
    <cfRule type="cellIs" dxfId="0" priority="3040" operator="lessThan">
      <formula>20</formula>
    </cfRule>
    <cfRule type="cellIs" dxfId="1" priority="1964" operator="greaterThan">
      <formula>120</formula>
    </cfRule>
    <cfRule type="containsText" dxfId="2" priority="888" operator="between" text="库存为">
      <formula>NOT(ISERROR(SEARCH("库存为",AU194)))</formula>
    </cfRule>
  </conditionalFormatting>
  <conditionalFormatting sqref="AU195">
    <cfRule type="cellIs" dxfId="0" priority="3039" operator="lessThan">
      <formula>20</formula>
    </cfRule>
    <cfRule type="cellIs" dxfId="1" priority="1963" operator="greaterThan">
      <formula>120</formula>
    </cfRule>
    <cfRule type="containsText" dxfId="2" priority="887" operator="between" text="库存为">
      <formula>NOT(ISERROR(SEARCH("库存为",AU195)))</formula>
    </cfRule>
  </conditionalFormatting>
  <conditionalFormatting sqref="AU196">
    <cfRule type="cellIs" dxfId="0" priority="3038" operator="lessThan">
      <formula>20</formula>
    </cfRule>
    <cfRule type="cellIs" dxfId="1" priority="1962" operator="greaterThan">
      <formula>120</formula>
    </cfRule>
    <cfRule type="containsText" dxfId="2" priority="886" operator="between" text="库存为">
      <formula>NOT(ISERROR(SEARCH("库存为",AU196)))</formula>
    </cfRule>
  </conditionalFormatting>
  <conditionalFormatting sqref="AU197">
    <cfRule type="cellIs" dxfId="0" priority="3037" operator="lessThan">
      <formula>20</formula>
    </cfRule>
    <cfRule type="cellIs" dxfId="1" priority="1961" operator="greaterThan">
      <formula>120</formula>
    </cfRule>
    <cfRule type="containsText" dxfId="2" priority="885" operator="between" text="库存为">
      <formula>NOT(ISERROR(SEARCH("库存为",AU197)))</formula>
    </cfRule>
  </conditionalFormatting>
  <conditionalFormatting sqref="AU198">
    <cfRule type="cellIs" dxfId="0" priority="3036" operator="lessThan">
      <formula>20</formula>
    </cfRule>
    <cfRule type="cellIs" dxfId="1" priority="1960" operator="greaterThan">
      <formula>120</formula>
    </cfRule>
    <cfRule type="containsText" dxfId="2" priority="884" operator="between" text="库存为">
      <formula>NOT(ISERROR(SEARCH("库存为",AU198)))</formula>
    </cfRule>
  </conditionalFormatting>
  <conditionalFormatting sqref="AU199">
    <cfRule type="cellIs" dxfId="0" priority="3035" operator="lessThan">
      <formula>20</formula>
    </cfRule>
    <cfRule type="cellIs" dxfId="1" priority="1959" operator="greaterThan">
      <formula>120</formula>
    </cfRule>
    <cfRule type="containsText" dxfId="2" priority="883" operator="between" text="库存为">
      <formula>NOT(ISERROR(SEARCH("库存为",AU199)))</formula>
    </cfRule>
  </conditionalFormatting>
  <conditionalFormatting sqref="AU200">
    <cfRule type="cellIs" dxfId="0" priority="3034" operator="lessThan">
      <formula>20</formula>
    </cfRule>
    <cfRule type="cellIs" dxfId="1" priority="1958" operator="greaterThan">
      <formula>120</formula>
    </cfRule>
    <cfRule type="containsText" dxfId="2" priority="882" operator="between" text="库存为">
      <formula>NOT(ISERROR(SEARCH("库存为",AU200)))</formula>
    </cfRule>
  </conditionalFormatting>
  <conditionalFormatting sqref="AU201">
    <cfRule type="cellIs" dxfId="0" priority="3033" operator="lessThan">
      <formula>20</formula>
    </cfRule>
    <cfRule type="cellIs" dxfId="1" priority="1957" operator="greaterThan">
      <formula>120</formula>
    </cfRule>
    <cfRule type="containsText" dxfId="2" priority="881" operator="between" text="库存为">
      <formula>NOT(ISERROR(SEARCH("库存为",AU201)))</formula>
    </cfRule>
  </conditionalFormatting>
  <conditionalFormatting sqref="AU202">
    <cfRule type="cellIs" dxfId="0" priority="3032" operator="lessThan">
      <formula>20</formula>
    </cfRule>
    <cfRule type="cellIs" dxfId="1" priority="1956" operator="greaterThan">
      <formula>120</formula>
    </cfRule>
    <cfRule type="containsText" dxfId="2" priority="880" operator="between" text="库存为">
      <formula>NOT(ISERROR(SEARCH("库存为",AU202)))</formula>
    </cfRule>
  </conditionalFormatting>
  <conditionalFormatting sqref="AU203">
    <cfRule type="cellIs" dxfId="0" priority="3031" operator="lessThan">
      <formula>20</formula>
    </cfRule>
    <cfRule type="cellIs" dxfId="1" priority="1955" operator="greaterThan">
      <formula>120</formula>
    </cfRule>
    <cfRule type="containsText" dxfId="2" priority="879" operator="between" text="库存为">
      <formula>NOT(ISERROR(SEARCH("库存为",AU203)))</formula>
    </cfRule>
  </conditionalFormatting>
  <conditionalFormatting sqref="AU204">
    <cfRule type="cellIs" dxfId="0" priority="3030" operator="lessThan">
      <formula>20</formula>
    </cfRule>
    <cfRule type="cellIs" dxfId="1" priority="1954" operator="greaterThan">
      <formula>120</formula>
    </cfRule>
    <cfRule type="containsText" dxfId="2" priority="878" operator="between" text="库存为">
      <formula>NOT(ISERROR(SEARCH("库存为",AU204)))</formula>
    </cfRule>
  </conditionalFormatting>
  <conditionalFormatting sqref="AU205">
    <cfRule type="cellIs" dxfId="0" priority="3029" operator="lessThan">
      <formula>20</formula>
    </cfRule>
    <cfRule type="cellIs" dxfId="1" priority="1953" operator="greaterThan">
      <formula>120</formula>
    </cfRule>
    <cfRule type="containsText" dxfId="2" priority="877" operator="between" text="库存为">
      <formula>NOT(ISERROR(SEARCH("库存为",AU205)))</formula>
    </cfRule>
  </conditionalFormatting>
  <conditionalFormatting sqref="AU206">
    <cfRule type="cellIs" dxfId="0" priority="3028" operator="lessThan">
      <formula>20</formula>
    </cfRule>
    <cfRule type="cellIs" dxfId="1" priority="1952" operator="greaterThan">
      <formula>120</formula>
    </cfRule>
    <cfRule type="containsText" dxfId="2" priority="876" operator="between" text="库存为">
      <formula>NOT(ISERROR(SEARCH("库存为",AU206)))</formula>
    </cfRule>
  </conditionalFormatting>
  <conditionalFormatting sqref="AU207">
    <cfRule type="cellIs" dxfId="0" priority="3027" operator="lessThan">
      <formula>20</formula>
    </cfRule>
    <cfRule type="cellIs" dxfId="1" priority="1951" operator="greaterThan">
      <formula>120</formula>
    </cfRule>
    <cfRule type="containsText" dxfId="2" priority="875" operator="between" text="库存为">
      <formula>NOT(ISERROR(SEARCH("库存为",AU207)))</formula>
    </cfRule>
  </conditionalFormatting>
  <conditionalFormatting sqref="AU208">
    <cfRule type="cellIs" dxfId="0" priority="3026" operator="lessThan">
      <formula>20</formula>
    </cfRule>
    <cfRule type="cellIs" dxfId="1" priority="1950" operator="greaterThan">
      <formula>120</formula>
    </cfRule>
    <cfRule type="containsText" dxfId="2" priority="874" operator="between" text="库存为">
      <formula>NOT(ISERROR(SEARCH("库存为",AU208)))</formula>
    </cfRule>
  </conditionalFormatting>
  <conditionalFormatting sqref="AU209">
    <cfRule type="cellIs" dxfId="0" priority="3025" operator="lessThan">
      <formula>20</formula>
    </cfRule>
    <cfRule type="cellIs" dxfId="1" priority="1949" operator="greaterThan">
      <formula>120</formula>
    </cfRule>
    <cfRule type="containsText" dxfId="2" priority="873" operator="between" text="库存为">
      <formula>NOT(ISERROR(SEARCH("库存为",AU209)))</formula>
    </cfRule>
  </conditionalFormatting>
  <conditionalFormatting sqref="AU210">
    <cfRule type="cellIs" dxfId="0" priority="3024" operator="lessThan">
      <formula>20</formula>
    </cfRule>
    <cfRule type="cellIs" dxfId="1" priority="1948" operator="greaterThan">
      <formula>120</formula>
    </cfRule>
    <cfRule type="containsText" dxfId="2" priority="872" operator="between" text="库存为">
      <formula>NOT(ISERROR(SEARCH("库存为",AU210)))</formula>
    </cfRule>
  </conditionalFormatting>
  <conditionalFormatting sqref="AU211">
    <cfRule type="cellIs" dxfId="0" priority="3023" operator="lessThan">
      <formula>20</formula>
    </cfRule>
    <cfRule type="cellIs" dxfId="1" priority="1947" operator="greaterThan">
      <formula>120</formula>
    </cfRule>
    <cfRule type="containsText" dxfId="2" priority="871" operator="between" text="库存为">
      <formula>NOT(ISERROR(SEARCH("库存为",AU211)))</formula>
    </cfRule>
  </conditionalFormatting>
  <conditionalFormatting sqref="AU212">
    <cfRule type="cellIs" dxfId="0" priority="3022" operator="lessThan">
      <formula>20</formula>
    </cfRule>
    <cfRule type="cellIs" dxfId="1" priority="1946" operator="greaterThan">
      <formula>120</formula>
    </cfRule>
    <cfRule type="containsText" dxfId="2" priority="870" operator="between" text="库存为">
      <formula>NOT(ISERROR(SEARCH("库存为",AU212)))</formula>
    </cfRule>
  </conditionalFormatting>
  <conditionalFormatting sqref="AU213">
    <cfRule type="cellIs" dxfId="0" priority="3021" operator="lessThan">
      <formula>20</formula>
    </cfRule>
    <cfRule type="cellIs" dxfId="1" priority="1945" operator="greaterThan">
      <formula>120</formula>
    </cfRule>
    <cfRule type="containsText" dxfId="2" priority="869" operator="between" text="库存为">
      <formula>NOT(ISERROR(SEARCH("库存为",AU213)))</formula>
    </cfRule>
  </conditionalFormatting>
  <conditionalFormatting sqref="AU214">
    <cfRule type="cellIs" dxfId="0" priority="3020" operator="lessThan">
      <formula>20</formula>
    </cfRule>
    <cfRule type="cellIs" dxfId="1" priority="1944" operator="greaterThan">
      <formula>120</formula>
    </cfRule>
    <cfRule type="containsText" dxfId="2" priority="868" operator="between" text="库存为">
      <formula>NOT(ISERROR(SEARCH("库存为",AU214)))</formula>
    </cfRule>
  </conditionalFormatting>
  <conditionalFormatting sqref="AU215">
    <cfRule type="cellIs" dxfId="0" priority="3019" operator="lessThan">
      <formula>20</formula>
    </cfRule>
    <cfRule type="cellIs" dxfId="1" priority="1943" operator="greaterThan">
      <formula>120</formula>
    </cfRule>
    <cfRule type="containsText" dxfId="2" priority="867" operator="between" text="库存为">
      <formula>NOT(ISERROR(SEARCH("库存为",AU215)))</formula>
    </cfRule>
  </conditionalFormatting>
  <conditionalFormatting sqref="AU216">
    <cfRule type="cellIs" dxfId="0" priority="3018" operator="lessThan">
      <formula>20</formula>
    </cfRule>
    <cfRule type="cellIs" dxfId="1" priority="1942" operator="greaterThan">
      <formula>120</formula>
    </cfRule>
    <cfRule type="containsText" dxfId="2" priority="866" operator="between" text="库存为">
      <formula>NOT(ISERROR(SEARCH("库存为",AU216)))</formula>
    </cfRule>
  </conditionalFormatting>
  <conditionalFormatting sqref="AU217">
    <cfRule type="cellIs" dxfId="0" priority="3017" operator="lessThan">
      <formula>20</formula>
    </cfRule>
    <cfRule type="cellIs" dxfId="1" priority="1941" operator="greaterThan">
      <formula>120</formula>
    </cfRule>
    <cfRule type="containsText" dxfId="2" priority="865" operator="between" text="库存为">
      <formula>NOT(ISERROR(SEARCH("库存为",AU217)))</formula>
    </cfRule>
  </conditionalFormatting>
  <conditionalFormatting sqref="AU218">
    <cfRule type="cellIs" dxfId="0" priority="3016" operator="lessThan">
      <formula>20</formula>
    </cfRule>
    <cfRule type="cellIs" dxfId="1" priority="1940" operator="greaterThan">
      <formula>120</formula>
    </cfRule>
    <cfRule type="containsText" dxfId="2" priority="864" operator="between" text="库存为">
      <formula>NOT(ISERROR(SEARCH("库存为",AU218)))</formula>
    </cfRule>
  </conditionalFormatting>
  <conditionalFormatting sqref="AU219">
    <cfRule type="cellIs" dxfId="0" priority="3015" operator="lessThan">
      <formula>20</formula>
    </cfRule>
    <cfRule type="cellIs" dxfId="1" priority="1939" operator="greaterThan">
      <formula>120</formula>
    </cfRule>
    <cfRule type="containsText" dxfId="2" priority="863" operator="between" text="库存为">
      <formula>NOT(ISERROR(SEARCH("库存为",AU219)))</formula>
    </cfRule>
  </conditionalFormatting>
  <conditionalFormatting sqref="AU220">
    <cfRule type="cellIs" dxfId="0" priority="3014" operator="lessThan">
      <formula>20</formula>
    </cfRule>
    <cfRule type="cellIs" dxfId="1" priority="1938" operator="greaterThan">
      <formula>120</formula>
    </cfRule>
    <cfRule type="containsText" dxfId="2" priority="862" operator="between" text="库存为">
      <formula>NOT(ISERROR(SEARCH("库存为",AU220)))</formula>
    </cfRule>
  </conditionalFormatting>
  <conditionalFormatting sqref="AU221">
    <cfRule type="cellIs" dxfId="0" priority="3013" operator="lessThan">
      <formula>20</formula>
    </cfRule>
    <cfRule type="cellIs" dxfId="1" priority="1937" operator="greaterThan">
      <formula>120</formula>
    </cfRule>
    <cfRule type="containsText" dxfId="2" priority="861" operator="between" text="库存为">
      <formula>NOT(ISERROR(SEARCH("库存为",AU221)))</formula>
    </cfRule>
  </conditionalFormatting>
  <conditionalFormatting sqref="AU222">
    <cfRule type="cellIs" dxfId="0" priority="3012" operator="lessThan">
      <formula>20</formula>
    </cfRule>
    <cfRule type="cellIs" dxfId="1" priority="1936" operator="greaterThan">
      <formula>120</formula>
    </cfRule>
    <cfRule type="containsText" dxfId="2" priority="860" operator="between" text="库存为">
      <formula>NOT(ISERROR(SEARCH("库存为",AU222)))</formula>
    </cfRule>
  </conditionalFormatting>
  <conditionalFormatting sqref="AU223">
    <cfRule type="cellIs" dxfId="0" priority="3011" operator="lessThan">
      <formula>20</formula>
    </cfRule>
    <cfRule type="cellIs" dxfId="1" priority="1935" operator="greaterThan">
      <formula>120</formula>
    </cfRule>
    <cfRule type="containsText" dxfId="2" priority="859" operator="between" text="库存为">
      <formula>NOT(ISERROR(SEARCH("库存为",AU223)))</formula>
    </cfRule>
  </conditionalFormatting>
  <conditionalFormatting sqref="AU224">
    <cfRule type="cellIs" dxfId="0" priority="3010" operator="lessThan">
      <formula>20</formula>
    </cfRule>
    <cfRule type="cellIs" dxfId="1" priority="1934" operator="greaterThan">
      <formula>120</formula>
    </cfRule>
    <cfRule type="containsText" dxfId="2" priority="858" operator="between" text="库存为">
      <formula>NOT(ISERROR(SEARCH("库存为",AU224)))</formula>
    </cfRule>
  </conditionalFormatting>
  <conditionalFormatting sqref="AU225">
    <cfRule type="cellIs" dxfId="0" priority="3009" operator="lessThan">
      <formula>20</formula>
    </cfRule>
    <cfRule type="cellIs" dxfId="1" priority="1933" operator="greaterThan">
      <formula>120</formula>
    </cfRule>
    <cfRule type="containsText" dxfId="2" priority="857" operator="between" text="库存为">
      <formula>NOT(ISERROR(SEARCH("库存为",AU225)))</formula>
    </cfRule>
  </conditionalFormatting>
  <conditionalFormatting sqref="AU226">
    <cfRule type="cellIs" dxfId="0" priority="3008" operator="lessThan">
      <formula>20</formula>
    </cfRule>
    <cfRule type="cellIs" dxfId="1" priority="1932" operator="greaterThan">
      <formula>120</formula>
    </cfRule>
    <cfRule type="containsText" dxfId="2" priority="856" operator="between" text="库存为">
      <formula>NOT(ISERROR(SEARCH("库存为",AU226)))</formula>
    </cfRule>
  </conditionalFormatting>
  <conditionalFormatting sqref="AU227">
    <cfRule type="cellIs" dxfId="0" priority="3007" operator="lessThan">
      <formula>20</formula>
    </cfRule>
    <cfRule type="cellIs" dxfId="1" priority="1931" operator="greaterThan">
      <formula>120</formula>
    </cfRule>
    <cfRule type="containsText" dxfId="2" priority="855" operator="between" text="库存为">
      <formula>NOT(ISERROR(SEARCH("库存为",AU227)))</formula>
    </cfRule>
  </conditionalFormatting>
  <conditionalFormatting sqref="AU228">
    <cfRule type="cellIs" dxfId="0" priority="3006" operator="lessThan">
      <formula>20</formula>
    </cfRule>
    <cfRule type="cellIs" dxfId="1" priority="1930" operator="greaterThan">
      <formula>120</formula>
    </cfRule>
    <cfRule type="containsText" dxfId="2" priority="854" operator="between" text="库存为">
      <formula>NOT(ISERROR(SEARCH("库存为",AU228)))</formula>
    </cfRule>
  </conditionalFormatting>
  <conditionalFormatting sqref="AU229">
    <cfRule type="cellIs" dxfId="0" priority="3005" operator="lessThan">
      <formula>20</formula>
    </cfRule>
    <cfRule type="cellIs" dxfId="1" priority="1929" operator="greaterThan">
      <formula>120</formula>
    </cfRule>
    <cfRule type="containsText" dxfId="2" priority="853" operator="between" text="库存为">
      <formula>NOT(ISERROR(SEARCH("库存为",AU229)))</formula>
    </cfRule>
  </conditionalFormatting>
  <conditionalFormatting sqref="AU230">
    <cfRule type="cellIs" dxfId="0" priority="3004" operator="lessThan">
      <formula>20</formula>
    </cfRule>
    <cfRule type="cellIs" dxfId="1" priority="1928" operator="greaterThan">
      <formula>120</formula>
    </cfRule>
    <cfRule type="containsText" dxfId="2" priority="852" operator="between" text="库存为">
      <formula>NOT(ISERROR(SEARCH("库存为",AU230)))</formula>
    </cfRule>
  </conditionalFormatting>
  <conditionalFormatting sqref="AU231">
    <cfRule type="cellIs" dxfId="0" priority="3003" operator="lessThan">
      <formula>20</formula>
    </cfRule>
    <cfRule type="cellIs" dxfId="1" priority="1927" operator="greaterThan">
      <formula>120</formula>
    </cfRule>
    <cfRule type="containsText" dxfId="2" priority="851" operator="between" text="库存为">
      <formula>NOT(ISERROR(SEARCH("库存为",AU231)))</formula>
    </cfRule>
  </conditionalFormatting>
  <conditionalFormatting sqref="AU232">
    <cfRule type="cellIs" dxfId="0" priority="3002" operator="lessThan">
      <formula>20</formula>
    </cfRule>
    <cfRule type="cellIs" dxfId="1" priority="1926" operator="greaterThan">
      <formula>120</formula>
    </cfRule>
    <cfRule type="containsText" dxfId="2" priority="850" operator="between" text="库存为">
      <formula>NOT(ISERROR(SEARCH("库存为",AU232)))</formula>
    </cfRule>
  </conditionalFormatting>
  <conditionalFormatting sqref="AU233">
    <cfRule type="cellIs" dxfId="0" priority="3001" operator="lessThan">
      <formula>20</formula>
    </cfRule>
    <cfRule type="cellIs" dxfId="1" priority="1925" operator="greaterThan">
      <formula>120</formula>
    </cfRule>
    <cfRule type="containsText" dxfId="2" priority="849" operator="between" text="库存为">
      <formula>NOT(ISERROR(SEARCH("库存为",AU233)))</formula>
    </cfRule>
  </conditionalFormatting>
  <conditionalFormatting sqref="AU234">
    <cfRule type="cellIs" dxfId="0" priority="3000" operator="lessThan">
      <formula>20</formula>
    </cfRule>
    <cfRule type="cellIs" dxfId="1" priority="1924" operator="greaterThan">
      <formula>120</formula>
    </cfRule>
    <cfRule type="containsText" dxfId="2" priority="848" operator="between" text="库存为">
      <formula>NOT(ISERROR(SEARCH("库存为",AU234)))</formula>
    </cfRule>
  </conditionalFormatting>
  <conditionalFormatting sqref="AU235">
    <cfRule type="cellIs" dxfId="0" priority="2999" operator="lessThan">
      <formula>20</formula>
    </cfRule>
    <cfRule type="cellIs" dxfId="1" priority="1923" operator="greaterThan">
      <formula>120</formula>
    </cfRule>
    <cfRule type="containsText" dxfId="2" priority="847" operator="between" text="库存为">
      <formula>NOT(ISERROR(SEARCH("库存为",AU235)))</formula>
    </cfRule>
  </conditionalFormatting>
  <conditionalFormatting sqref="AU236">
    <cfRule type="cellIs" dxfId="0" priority="2998" operator="lessThan">
      <formula>20</formula>
    </cfRule>
    <cfRule type="cellIs" dxfId="1" priority="1922" operator="greaterThan">
      <formula>120</formula>
    </cfRule>
    <cfRule type="containsText" dxfId="2" priority="846" operator="between" text="库存为">
      <formula>NOT(ISERROR(SEARCH("库存为",AU236)))</formula>
    </cfRule>
  </conditionalFormatting>
  <conditionalFormatting sqref="AU237">
    <cfRule type="cellIs" dxfId="0" priority="2997" operator="lessThan">
      <formula>20</formula>
    </cfRule>
    <cfRule type="cellIs" dxfId="1" priority="1921" operator="greaterThan">
      <formula>120</formula>
    </cfRule>
    <cfRule type="containsText" dxfId="2" priority="845" operator="between" text="库存为">
      <formula>NOT(ISERROR(SEARCH("库存为",AU237)))</formula>
    </cfRule>
  </conditionalFormatting>
  <conditionalFormatting sqref="AU238">
    <cfRule type="cellIs" dxfId="0" priority="2996" operator="lessThan">
      <formula>20</formula>
    </cfRule>
    <cfRule type="cellIs" dxfId="1" priority="1920" operator="greaterThan">
      <formula>120</formula>
    </cfRule>
    <cfRule type="containsText" dxfId="2" priority="844" operator="between" text="库存为">
      <formula>NOT(ISERROR(SEARCH("库存为",AU238)))</formula>
    </cfRule>
  </conditionalFormatting>
  <conditionalFormatting sqref="AU239">
    <cfRule type="cellIs" dxfId="0" priority="2995" operator="lessThan">
      <formula>20</formula>
    </cfRule>
    <cfRule type="cellIs" dxfId="1" priority="1919" operator="greaterThan">
      <formula>120</formula>
    </cfRule>
    <cfRule type="containsText" dxfId="2" priority="843" operator="between" text="库存为">
      <formula>NOT(ISERROR(SEARCH("库存为",AU239)))</formula>
    </cfRule>
  </conditionalFormatting>
  <conditionalFormatting sqref="AU240">
    <cfRule type="cellIs" dxfId="0" priority="2994" operator="lessThan">
      <formula>20</formula>
    </cfRule>
    <cfRule type="cellIs" dxfId="1" priority="1918" operator="greaterThan">
      <formula>120</formula>
    </cfRule>
    <cfRule type="containsText" dxfId="2" priority="842" operator="between" text="库存为">
      <formula>NOT(ISERROR(SEARCH("库存为",AU240)))</formula>
    </cfRule>
  </conditionalFormatting>
  <conditionalFormatting sqref="AU241">
    <cfRule type="cellIs" dxfId="0" priority="2993" operator="lessThan">
      <formula>20</formula>
    </cfRule>
    <cfRule type="cellIs" dxfId="1" priority="1917" operator="greaterThan">
      <formula>120</formula>
    </cfRule>
    <cfRule type="containsText" dxfId="2" priority="841" operator="between" text="库存为">
      <formula>NOT(ISERROR(SEARCH("库存为",AU241)))</formula>
    </cfRule>
  </conditionalFormatting>
  <conditionalFormatting sqref="AU242">
    <cfRule type="cellIs" dxfId="0" priority="2992" operator="lessThan">
      <formula>20</formula>
    </cfRule>
    <cfRule type="cellIs" dxfId="1" priority="1916" operator="greaterThan">
      <formula>120</formula>
    </cfRule>
    <cfRule type="containsText" dxfId="2" priority="840" operator="between" text="库存为">
      <formula>NOT(ISERROR(SEARCH("库存为",AU242)))</formula>
    </cfRule>
  </conditionalFormatting>
  <conditionalFormatting sqref="AU243">
    <cfRule type="cellIs" dxfId="0" priority="2991" operator="lessThan">
      <formula>20</formula>
    </cfRule>
    <cfRule type="cellIs" dxfId="1" priority="1915" operator="greaterThan">
      <formula>120</formula>
    </cfRule>
    <cfRule type="containsText" dxfId="2" priority="839" operator="between" text="库存为">
      <formula>NOT(ISERROR(SEARCH("库存为",AU243)))</formula>
    </cfRule>
  </conditionalFormatting>
  <conditionalFormatting sqref="AU244">
    <cfRule type="cellIs" dxfId="0" priority="2990" operator="lessThan">
      <formula>20</formula>
    </cfRule>
    <cfRule type="cellIs" dxfId="1" priority="1914" operator="greaterThan">
      <formula>120</formula>
    </cfRule>
    <cfRule type="containsText" dxfId="2" priority="838" operator="between" text="库存为">
      <formula>NOT(ISERROR(SEARCH("库存为",AU244)))</formula>
    </cfRule>
  </conditionalFormatting>
  <conditionalFormatting sqref="AU245">
    <cfRule type="cellIs" dxfId="0" priority="2989" operator="lessThan">
      <formula>20</formula>
    </cfRule>
    <cfRule type="cellIs" dxfId="1" priority="1913" operator="greaterThan">
      <formula>120</formula>
    </cfRule>
    <cfRule type="containsText" dxfId="2" priority="837" operator="between" text="库存为">
      <formula>NOT(ISERROR(SEARCH("库存为",AU245)))</formula>
    </cfRule>
  </conditionalFormatting>
  <conditionalFormatting sqref="AU246">
    <cfRule type="cellIs" dxfId="0" priority="2988" operator="lessThan">
      <formula>20</formula>
    </cfRule>
    <cfRule type="cellIs" dxfId="1" priority="1912" operator="greaterThan">
      <formula>120</formula>
    </cfRule>
    <cfRule type="containsText" dxfId="2" priority="836" operator="between" text="库存为">
      <formula>NOT(ISERROR(SEARCH("库存为",AU246)))</formula>
    </cfRule>
  </conditionalFormatting>
  <conditionalFormatting sqref="AU247">
    <cfRule type="cellIs" dxfId="0" priority="2987" operator="lessThan">
      <formula>20</formula>
    </cfRule>
    <cfRule type="cellIs" dxfId="1" priority="1911" operator="greaterThan">
      <formula>120</formula>
    </cfRule>
    <cfRule type="containsText" dxfId="2" priority="835" operator="between" text="库存为">
      <formula>NOT(ISERROR(SEARCH("库存为",AU247)))</formula>
    </cfRule>
  </conditionalFormatting>
  <conditionalFormatting sqref="AU248">
    <cfRule type="cellIs" dxfId="0" priority="2986" operator="lessThan">
      <formula>20</formula>
    </cfRule>
    <cfRule type="cellIs" dxfId="1" priority="1910" operator="greaterThan">
      <formula>120</formula>
    </cfRule>
    <cfRule type="containsText" dxfId="2" priority="834" operator="between" text="库存为">
      <formula>NOT(ISERROR(SEARCH("库存为",AU248)))</formula>
    </cfRule>
  </conditionalFormatting>
  <conditionalFormatting sqref="AU249">
    <cfRule type="cellIs" dxfId="0" priority="2985" operator="lessThan">
      <formula>20</formula>
    </cfRule>
    <cfRule type="cellIs" dxfId="1" priority="1909" operator="greaterThan">
      <formula>120</formula>
    </cfRule>
    <cfRule type="containsText" dxfId="2" priority="833" operator="between" text="库存为">
      <formula>NOT(ISERROR(SEARCH("库存为",AU249)))</formula>
    </cfRule>
  </conditionalFormatting>
  <conditionalFormatting sqref="AU250">
    <cfRule type="cellIs" dxfId="0" priority="2984" operator="lessThan">
      <formula>20</formula>
    </cfRule>
    <cfRule type="cellIs" dxfId="1" priority="1908" operator="greaterThan">
      <formula>120</formula>
    </cfRule>
    <cfRule type="containsText" dxfId="2" priority="832" operator="between" text="库存为">
      <formula>NOT(ISERROR(SEARCH("库存为",AU250)))</formula>
    </cfRule>
  </conditionalFormatting>
  <conditionalFormatting sqref="AU251">
    <cfRule type="cellIs" dxfId="0" priority="2983" operator="lessThan">
      <formula>20</formula>
    </cfRule>
    <cfRule type="cellIs" dxfId="1" priority="1907" operator="greaterThan">
      <formula>120</formula>
    </cfRule>
    <cfRule type="containsText" dxfId="2" priority="831" operator="between" text="库存为">
      <formula>NOT(ISERROR(SEARCH("库存为",AU251)))</formula>
    </cfRule>
  </conditionalFormatting>
  <conditionalFormatting sqref="AU252">
    <cfRule type="cellIs" dxfId="0" priority="2982" operator="lessThan">
      <formula>20</formula>
    </cfRule>
    <cfRule type="cellIs" dxfId="1" priority="1906" operator="greaterThan">
      <formula>120</formula>
    </cfRule>
    <cfRule type="containsText" dxfId="2" priority="830" operator="between" text="库存为">
      <formula>NOT(ISERROR(SEARCH("库存为",AU252)))</formula>
    </cfRule>
  </conditionalFormatting>
  <conditionalFormatting sqref="AU253">
    <cfRule type="cellIs" dxfId="0" priority="2981" operator="lessThan">
      <formula>20</formula>
    </cfRule>
    <cfRule type="cellIs" dxfId="1" priority="1905" operator="greaterThan">
      <formula>120</formula>
    </cfRule>
    <cfRule type="containsText" dxfId="2" priority="829" operator="between" text="库存为">
      <formula>NOT(ISERROR(SEARCH("库存为",AU253)))</formula>
    </cfRule>
  </conditionalFormatting>
  <conditionalFormatting sqref="AU254">
    <cfRule type="cellIs" dxfId="0" priority="2980" operator="lessThan">
      <formula>20</formula>
    </cfRule>
    <cfRule type="cellIs" dxfId="1" priority="1904" operator="greaterThan">
      <formula>120</formula>
    </cfRule>
    <cfRule type="containsText" dxfId="2" priority="828" operator="between" text="库存为">
      <formula>NOT(ISERROR(SEARCH("库存为",AU254)))</formula>
    </cfRule>
  </conditionalFormatting>
  <conditionalFormatting sqref="AU255">
    <cfRule type="cellIs" dxfId="0" priority="2979" operator="lessThan">
      <formula>20</formula>
    </cfRule>
    <cfRule type="cellIs" dxfId="1" priority="1903" operator="greaterThan">
      <formula>120</formula>
    </cfRule>
    <cfRule type="containsText" dxfId="2" priority="827" operator="between" text="库存为">
      <formula>NOT(ISERROR(SEARCH("库存为",AU255)))</formula>
    </cfRule>
  </conditionalFormatting>
  <conditionalFormatting sqref="AU256">
    <cfRule type="cellIs" dxfId="0" priority="2978" operator="lessThan">
      <formula>20</formula>
    </cfRule>
    <cfRule type="cellIs" dxfId="1" priority="1902" operator="greaterThan">
      <formula>120</formula>
    </cfRule>
    <cfRule type="containsText" dxfId="2" priority="826" operator="between" text="库存为">
      <formula>NOT(ISERROR(SEARCH("库存为",AU256)))</formula>
    </cfRule>
  </conditionalFormatting>
  <conditionalFormatting sqref="AU257">
    <cfRule type="cellIs" dxfId="0" priority="2977" operator="lessThan">
      <formula>20</formula>
    </cfRule>
    <cfRule type="cellIs" dxfId="1" priority="1901" operator="greaterThan">
      <formula>120</formula>
    </cfRule>
    <cfRule type="containsText" dxfId="2" priority="825" operator="between" text="库存为">
      <formula>NOT(ISERROR(SEARCH("库存为",AU257)))</formula>
    </cfRule>
  </conditionalFormatting>
  <conditionalFormatting sqref="AU258">
    <cfRule type="cellIs" dxfId="0" priority="2976" operator="lessThan">
      <formula>20</formula>
    </cfRule>
    <cfRule type="cellIs" dxfId="1" priority="1900" operator="greaterThan">
      <formula>120</formula>
    </cfRule>
    <cfRule type="containsText" dxfId="2" priority="824" operator="between" text="库存为">
      <formula>NOT(ISERROR(SEARCH("库存为",AU258)))</formula>
    </cfRule>
  </conditionalFormatting>
  <conditionalFormatting sqref="AU259">
    <cfRule type="cellIs" dxfId="0" priority="2975" operator="lessThan">
      <formula>20</formula>
    </cfRule>
    <cfRule type="cellIs" dxfId="1" priority="1899" operator="greaterThan">
      <formula>120</formula>
    </cfRule>
    <cfRule type="containsText" dxfId="2" priority="823" operator="between" text="库存为">
      <formula>NOT(ISERROR(SEARCH("库存为",AU259)))</formula>
    </cfRule>
  </conditionalFormatting>
  <conditionalFormatting sqref="AU260">
    <cfRule type="cellIs" dxfId="0" priority="2974" operator="lessThan">
      <formula>20</formula>
    </cfRule>
    <cfRule type="cellIs" dxfId="1" priority="1898" operator="greaterThan">
      <formula>120</formula>
    </cfRule>
    <cfRule type="containsText" dxfId="2" priority="822" operator="between" text="库存为">
      <formula>NOT(ISERROR(SEARCH("库存为",AU260)))</formula>
    </cfRule>
  </conditionalFormatting>
  <conditionalFormatting sqref="AU261">
    <cfRule type="cellIs" dxfId="0" priority="2973" operator="lessThan">
      <formula>20</formula>
    </cfRule>
    <cfRule type="cellIs" dxfId="1" priority="1897" operator="greaterThan">
      <formula>120</formula>
    </cfRule>
    <cfRule type="containsText" dxfId="2" priority="821" operator="between" text="库存为">
      <formula>NOT(ISERROR(SEARCH("库存为",AU261)))</formula>
    </cfRule>
  </conditionalFormatting>
  <conditionalFormatting sqref="AU262">
    <cfRule type="cellIs" dxfId="0" priority="2972" operator="lessThan">
      <formula>20</formula>
    </cfRule>
    <cfRule type="cellIs" dxfId="1" priority="1896" operator="greaterThan">
      <formula>120</formula>
    </cfRule>
    <cfRule type="containsText" dxfId="2" priority="820" operator="between" text="库存为">
      <formula>NOT(ISERROR(SEARCH("库存为",AU262)))</formula>
    </cfRule>
  </conditionalFormatting>
  <conditionalFormatting sqref="AU263">
    <cfRule type="cellIs" dxfId="0" priority="2971" operator="lessThan">
      <formula>20</formula>
    </cfRule>
    <cfRule type="cellIs" dxfId="1" priority="1895" operator="greaterThan">
      <formula>120</formula>
    </cfRule>
    <cfRule type="containsText" dxfId="2" priority="819" operator="between" text="库存为">
      <formula>NOT(ISERROR(SEARCH("库存为",AU263)))</formula>
    </cfRule>
  </conditionalFormatting>
  <conditionalFormatting sqref="AU264">
    <cfRule type="cellIs" dxfId="0" priority="2970" operator="lessThan">
      <formula>20</formula>
    </cfRule>
    <cfRule type="cellIs" dxfId="1" priority="1894" operator="greaterThan">
      <formula>120</formula>
    </cfRule>
    <cfRule type="containsText" dxfId="2" priority="818" operator="between" text="库存为">
      <formula>NOT(ISERROR(SEARCH("库存为",AU264)))</formula>
    </cfRule>
  </conditionalFormatting>
  <conditionalFormatting sqref="AU265">
    <cfRule type="cellIs" dxfId="0" priority="2969" operator="lessThan">
      <formula>20</formula>
    </cfRule>
    <cfRule type="cellIs" dxfId="1" priority="1893" operator="greaterThan">
      <formula>120</formula>
    </cfRule>
    <cfRule type="containsText" dxfId="2" priority="817" operator="between" text="库存为">
      <formula>NOT(ISERROR(SEARCH("库存为",AU265)))</formula>
    </cfRule>
  </conditionalFormatting>
  <conditionalFormatting sqref="AU266">
    <cfRule type="cellIs" dxfId="0" priority="2968" operator="lessThan">
      <formula>20</formula>
    </cfRule>
    <cfRule type="cellIs" dxfId="1" priority="1892" operator="greaterThan">
      <formula>120</formula>
    </cfRule>
    <cfRule type="containsText" dxfId="2" priority="816" operator="between" text="库存为">
      <formula>NOT(ISERROR(SEARCH("库存为",AU266)))</formula>
    </cfRule>
  </conditionalFormatting>
  <conditionalFormatting sqref="AU267">
    <cfRule type="cellIs" dxfId="0" priority="2967" operator="lessThan">
      <formula>20</formula>
    </cfRule>
    <cfRule type="cellIs" dxfId="1" priority="1891" operator="greaterThan">
      <formula>120</formula>
    </cfRule>
    <cfRule type="containsText" dxfId="2" priority="815" operator="between" text="库存为">
      <formula>NOT(ISERROR(SEARCH("库存为",AU267)))</formula>
    </cfRule>
  </conditionalFormatting>
  <conditionalFormatting sqref="AU268">
    <cfRule type="cellIs" dxfId="0" priority="2966" operator="lessThan">
      <formula>20</formula>
    </cfRule>
    <cfRule type="cellIs" dxfId="1" priority="1890" operator="greaterThan">
      <formula>120</formula>
    </cfRule>
    <cfRule type="containsText" dxfId="2" priority="814" operator="between" text="库存为">
      <formula>NOT(ISERROR(SEARCH("库存为",AU268)))</formula>
    </cfRule>
  </conditionalFormatting>
  <conditionalFormatting sqref="AU269">
    <cfRule type="cellIs" dxfId="0" priority="2965" operator="lessThan">
      <formula>20</formula>
    </cfRule>
    <cfRule type="cellIs" dxfId="1" priority="1889" operator="greaterThan">
      <formula>120</formula>
    </cfRule>
    <cfRule type="containsText" dxfId="2" priority="813" operator="between" text="库存为">
      <formula>NOT(ISERROR(SEARCH("库存为",AU269)))</formula>
    </cfRule>
  </conditionalFormatting>
  <conditionalFormatting sqref="AU270">
    <cfRule type="cellIs" dxfId="0" priority="2964" operator="lessThan">
      <formula>20</formula>
    </cfRule>
    <cfRule type="cellIs" dxfId="1" priority="1888" operator="greaterThan">
      <formula>120</formula>
    </cfRule>
    <cfRule type="containsText" dxfId="2" priority="812" operator="between" text="库存为">
      <formula>NOT(ISERROR(SEARCH("库存为",AU270)))</formula>
    </cfRule>
  </conditionalFormatting>
  <conditionalFormatting sqref="AU271">
    <cfRule type="cellIs" dxfId="0" priority="2963" operator="lessThan">
      <formula>20</formula>
    </cfRule>
    <cfRule type="cellIs" dxfId="1" priority="1887" operator="greaterThan">
      <formula>120</formula>
    </cfRule>
    <cfRule type="containsText" dxfId="2" priority="811" operator="between" text="库存为">
      <formula>NOT(ISERROR(SEARCH("库存为",AU271)))</formula>
    </cfRule>
  </conditionalFormatting>
  <conditionalFormatting sqref="AU272">
    <cfRule type="cellIs" dxfId="0" priority="2962" operator="lessThan">
      <formula>20</formula>
    </cfRule>
    <cfRule type="cellIs" dxfId="1" priority="1886" operator="greaterThan">
      <formula>120</formula>
    </cfRule>
    <cfRule type="containsText" dxfId="2" priority="810" operator="between" text="库存为">
      <formula>NOT(ISERROR(SEARCH("库存为",AU272)))</formula>
    </cfRule>
  </conditionalFormatting>
  <conditionalFormatting sqref="AU273">
    <cfRule type="cellIs" dxfId="0" priority="2961" operator="lessThan">
      <formula>20</formula>
    </cfRule>
    <cfRule type="cellIs" dxfId="1" priority="1885" operator="greaterThan">
      <formula>120</formula>
    </cfRule>
    <cfRule type="containsText" dxfId="2" priority="809" operator="between" text="库存为">
      <formula>NOT(ISERROR(SEARCH("库存为",AU273)))</formula>
    </cfRule>
  </conditionalFormatting>
  <conditionalFormatting sqref="AU274">
    <cfRule type="cellIs" dxfId="0" priority="2960" operator="lessThan">
      <formula>20</formula>
    </cfRule>
    <cfRule type="cellIs" dxfId="1" priority="1884" operator="greaterThan">
      <formula>120</formula>
    </cfRule>
    <cfRule type="containsText" dxfId="2" priority="808" operator="between" text="库存为">
      <formula>NOT(ISERROR(SEARCH("库存为",AU274)))</formula>
    </cfRule>
  </conditionalFormatting>
  <conditionalFormatting sqref="AU275">
    <cfRule type="cellIs" dxfId="0" priority="2959" operator="lessThan">
      <formula>20</formula>
    </cfRule>
    <cfRule type="cellIs" dxfId="1" priority="1883" operator="greaterThan">
      <formula>120</formula>
    </cfRule>
    <cfRule type="containsText" dxfId="2" priority="807" operator="between" text="库存为">
      <formula>NOT(ISERROR(SEARCH("库存为",AU275)))</formula>
    </cfRule>
  </conditionalFormatting>
  <conditionalFormatting sqref="AU276">
    <cfRule type="cellIs" dxfId="0" priority="2958" operator="lessThan">
      <formula>20</formula>
    </cfRule>
    <cfRule type="cellIs" dxfId="1" priority="1882" operator="greaterThan">
      <formula>120</formula>
    </cfRule>
    <cfRule type="containsText" dxfId="2" priority="806" operator="between" text="库存为">
      <formula>NOT(ISERROR(SEARCH("库存为",AU276)))</formula>
    </cfRule>
  </conditionalFormatting>
  <conditionalFormatting sqref="AU277">
    <cfRule type="cellIs" dxfId="0" priority="2957" operator="lessThan">
      <formula>20</formula>
    </cfRule>
    <cfRule type="cellIs" dxfId="1" priority="1881" operator="greaterThan">
      <formula>120</formula>
    </cfRule>
    <cfRule type="containsText" dxfId="2" priority="805" operator="between" text="库存为">
      <formula>NOT(ISERROR(SEARCH("库存为",AU277)))</formula>
    </cfRule>
  </conditionalFormatting>
  <conditionalFormatting sqref="AU278">
    <cfRule type="cellIs" dxfId="0" priority="2956" operator="lessThan">
      <formula>20</formula>
    </cfRule>
    <cfRule type="cellIs" dxfId="1" priority="1880" operator="greaterThan">
      <formula>120</formula>
    </cfRule>
    <cfRule type="containsText" dxfId="2" priority="804" operator="between" text="库存为">
      <formula>NOT(ISERROR(SEARCH("库存为",AU278)))</formula>
    </cfRule>
  </conditionalFormatting>
  <conditionalFormatting sqref="AU279">
    <cfRule type="cellIs" dxfId="0" priority="2955" operator="lessThan">
      <formula>20</formula>
    </cfRule>
    <cfRule type="cellIs" dxfId="1" priority="1879" operator="greaterThan">
      <formula>120</formula>
    </cfRule>
    <cfRule type="containsText" dxfId="2" priority="803" operator="between" text="库存为">
      <formula>NOT(ISERROR(SEARCH("库存为",AU279)))</formula>
    </cfRule>
  </conditionalFormatting>
  <conditionalFormatting sqref="AU280">
    <cfRule type="cellIs" dxfId="0" priority="2954" operator="lessThan">
      <formula>20</formula>
    </cfRule>
    <cfRule type="cellIs" dxfId="1" priority="1878" operator="greaterThan">
      <formula>120</formula>
    </cfRule>
    <cfRule type="containsText" dxfId="2" priority="802" operator="between" text="库存为">
      <formula>NOT(ISERROR(SEARCH("库存为",AU280)))</formula>
    </cfRule>
  </conditionalFormatting>
  <conditionalFormatting sqref="AU281">
    <cfRule type="cellIs" dxfId="0" priority="2953" operator="lessThan">
      <formula>20</formula>
    </cfRule>
    <cfRule type="cellIs" dxfId="1" priority="1877" operator="greaterThan">
      <formula>120</formula>
    </cfRule>
    <cfRule type="containsText" dxfId="2" priority="801" operator="between" text="库存为">
      <formula>NOT(ISERROR(SEARCH("库存为",AU281)))</formula>
    </cfRule>
  </conditionalFormatting>
  <conditionalFormatting sqref="AU282">
    <cfRule type="cellIs" dxfId="0" priority="2952" operator="lessThan">
      <formula>20</formula>
    </cfRule>
    <cfRule type="cellIs" dxfId="1" priority="1876" operator="greaterThan">
      <formula>120</formula>
    </cfRule>
    <cfRule type="containsText" dxfId="2" priority="800" operator="between" text="库存为">
      <formula>NOT(ISERROR(SEARCH("库存为",AU282)))</formula>
    </cfRule>
  </conditionalFormatting>
  <conditionalFormatting sqref="AU283">
    <cfRule type="cellIs" dxfId="0" priority="2951" operator="lessThan">
      <formula>20</formula>
    </cfRule>
    <cfRule type="cellIs" dxfId="1" priority="1875" operator="greaterThan">
      <formula>120</formula>
    </cfRule>
    <cfRule type="containsText" dxfId="2" priority="799" operator="between" text="库存为">
      <formula>NOT(ISERROR(SEARCH("库存为",AU283)))</formula>
    </cfRule>
  </conditionalFormatting>
  <conditionalFormatting sqref="AU284">
    <cfRule type="cellIs" dxfId="0" priority="2950" operator="lessThan">
      <formula>20</formula>
    </cfRule>
    <cfRule type="cellIs" dxfId="1" priority="1874" operator="greaterThan">
      <formula>120</formula>
    </cfRule>
    <cfRule type="containsText" dxfId="2" priority="798" operator="between" text="库存为">
      <formula>NOT(ISERROR(SEARCH("库存为",AU284)))</formula>
    </cfRule>
  </conditionalFormatting>
  <conditionalFormatting sqref="AU285">
    <cfRule type="cellIs" dxfId="0" priority="2949" operator="lessThan">
      <formula>20</formula>
    </cfRule>
    <cfRule type="cellIs" dxfId="1" priority="1873" operator="greaterThan">
      <formula>120</formula>
    </cfRule>
    <cfRule type="containsText" dxfId="2" priority="797" operator="between" text="库存为">
      <formula>NOT(ISERROR(SEARCH("库存为",AU285)))</formula>
    </cfRule>
  </conditionalFormatting>
  <conditionalFormatting sqref="AU286">
    <cfRule type="cellIs" dxfId="0" priority="2948" operator="lessThan">
      <formula>20</formula>
    </cfRule>
    <cfRule type="cellIs" dxfId="1" priority="1872" operator="greaterThan">
      <formula>120</formula>
    </cfRule>
    <cfRule type="containsText" dxfId="2" priority="796" operator="between" text="库存为">
      <formula>NOT(ISERROR(SEARCH("库存为",AU286)))</formula>
    </cfRule>
  </conditionalFormatting>
  <conditionalFormatting sqref="AU287">
    <cfRule type="cellIs" dxfId="0" priority="2947" operator="lessThan">
      <formula>20</formula>
    </cfRule>
    <cfRule type="cellIs" dxfId="1" priority="1871" operator="greaterThan">
      <formula>120</formula>
    </cfRule>
    <cfRule type="containsText" dxfId="2" priority="795" operator="between" text="库存为">
      <formula>NOT(ISERROR(SEARCH("库存为",AU287)))</formula>
    </cfRule>
  </conditionalFormatting>
  <conditionalFormatting sqref="AU288">
    <cfRule type="cellIs" dxfId="0" priority="2946" operator="lessThan">
      <formula>20</formula>
    </cfRule>
    <cfRule type="cellIs" dxfId="1" priority="1870" operator="greaterThan">
      <formula>120</formula>
    </cfRule>
    <cfRule type="containsText" dxfId="2" priority="794" operator="between" text="库存为">
      <formula>NOT(ISERROR(SEARCH("库存为",AU288)))</formula>
    </cfRule>
  </conditionalFormatting>
  <conditionalFormatting sqref="AU289">
    <cfRule type="cellIs" dxfId="0" priority="2945" operator="lessThan">
      <formula>20</formula>
    </cfRule>
    <cfRule type="cellIs" dxfId="1" priority="1869" operator="greaterThan">
      <formula>120</formula>
    </cfRule>
    <cfRule type="containsText" dxfId="2" priority="793" operator="between" text="库存为">
      <formula>NOT(ISERROR(SEARCH("库存为",AU289)))</formula>
    </cfRule>
  </conditionalFormatting>
  <conditionalFormatting sqref="AU290">
    <cfRule type="cellIs" dxfId="0" priority="2944" operator="lessThan">
      <formula>20</formula>
    </cfRule>
    <cfRule type="cellIs" dxfId="1" priority="1868" operator="greaterThan">
      <formula>120</formula>
    </cfRule>
    <cfRule type="containsText" dxfId="2" priority="792" operator="between" text="库存为">
      <formula>NOT(ISERROR(SEARCH("库存为",AU290)))</formula>
    </cfRule>
  </conditionalFormatting>
  <conditionalFormatting sqref="AU291">
    <cfRule type="cellIs" dxfId="0" priority="2943" operator="lessThan">
      <formula>20</formula>
    </cfRule>
    <cfRule type="cellIs" dxfId="1" priority="1867" operator="greaterThan">
      <formula>120</formula>
    </cfRule>
    <cfRule type="containsText" dxfId="2" priority="791" operator="between" text="库存为">
      <formula>NOT(ISERROR(SEARCH("库存为",AU291)))</formula>
    </cfRule>
  </conditionalFormatting>
  <conditionalFormatting sqref="AU292">
    <cfRule type="cellIs" dxfId="0" priority="2942" operator="lessThan">
      <formula>20</formula>
    </cfRule>
    <cfRule type="cellIs" dxfId="1" priority="1866" operator="greaterThan">
      <formula>120</formula>
    </cfRule>
    <cfRule type="containsText" dxfId="2" priority="790" operator="between" text="库存为">
      <formula>NOT(ISERROR(SEARCH("库存为",AU292)))</formula>
    </cfRule>
  </conditionalFormatting>
  <conditionalFormatting sqref="AU293">
    <cfRule type="cellIs" dxfId="0" priority="2941" operator="lessThan">
      <formula>20</formula>
    </cfRule>
    <cfRule type="cellIs" dxfId="1" priority="1865" operator="greaterThan">
      <formula>120</formula>
    </cfRule>
    <cfRule type="containsText" dxfId="2" priority="789" operator="between" text="库存为">
      <formula>NOT(ISERROR(SEARCH("库存为",AU293)))</formula>
    </cfRule>
  </conditionalFormatting>
  <conditionalFormatting sqref="AU294">
    <cfRule type="cellIs" dxfId="0" priority="2940" operator="lessThan">
      <formula>20</formula>
    </cfRule>
    <cfRule type="cellIs" dxfId="1" priority="1864" operator="greaterThan">
      <formula>120</formula>
    </cfRule>
    <cfRule type="containsText" dxfId="2" priority="788" operator="between" text="库存为">
      <formula>NOT(ISERROR(SEARCH("库存为",AU294)))</formula>
    </cfRule>
  </conditionalFormatting>
  <conditionalFormatting sqref="AU295">
    <cfRule type="cellIs" dxfId="0" priority="2939" operator="lessThan">
      <formula>20</formula>
    </cfRule>
    <cfRule type="cellIs" dxfId="1" priority="1863" operator="greaterThan">
      <formula>120</formula>
    </cfRule>
    <cfRule type="containsText" dxfId="2" priority="787" operator="between" text="库存为">
      <formula>NOT(ISERROR(SEARCH("库存为",AU295)))</formula>
    </cfRule>
  </conditionalFormatting>
  <conditionalFormatting sqref="AU296">
    <cfRule type="cellIs" dxfId="0" priority="2938" operator="lessThan">
      <formula>20</formula>
    </cfRule>
    <cfRule type="cellIs" dxfId="1" priority="1862" operator="greaterThan">
      <formula>120</formula>
    </cfRule>
    <cfRule type="containsText" dxfId="2" priority="786" operator="between" text="库存为">
      <formula>NOT(ISERROR(SEARCH("库存为",AU296)))</formula>
    </cfRule>
  </conditionalFormatting>
  <conditionalFormatting sqref="AU297">
    <cfRule type="cellIs" dxfId="0" priority="2937" operator="lessThan">
      <formula>20</formula>
    </cfRule>
    <cfRule type="cellIs" dxfId="1" priority="1861" operator="greaterThan">
      <formula>120</formula>
    </cfRule>
    <cfRule type="containsText" dxfId="2" priority="785" operator="between" text="库存为">
      <formula>NOT(ISERROR(SEARCH("库存为",AU297)))</formula>
    </cfRule>
  </conditionalFormatting>
  <conditionalFormatting sqref="AU298">
    <cfRule type="cellIs" dxfId="0" priority="2936" operator="lessThan">
      <formula>20</formula>
    </cfRule>
    <cfRule type="cellIs" dxfId="1" priority="1860" operator="greaterThan">
      <formula>120</formula>
    </cfRule>
    <cfRule type="containsText" dxfId="2" priority="784" operator="between" text="库存为">
      <formula>NOT(ISERROR(SEARCH("库存为",AU298)))</formula>
    </cfRule>
  </conditionalFormatting>
  <conditionalFormatting sqref="AU299">
    <cfRule type="cellIs" dxfId="0" priority="2935" operator="lessThan">
      <formula>20</formula>
    </cfRule>
    <cfRule type="cellIs" dxfId="1" priority="1859" operator="greaterThan">
      <formula>120</formula>
    </cfRule>
    <cfRule type="containsText" dxfId="2" priority="783" operator="between" text="库存为">
      <formula>NOT(ISERROR(SEARCH("库存为",AU299)))</formula>
    </cfRule>
  </conditionalFormatting>
  <conditionalFormatting sqref="AU300">
    <cfRule type="cellIs" dxfId="0" priority="2934" operator="lessThan">
      <formula>20</formula>
    </cfRule>
    <cfRule type="cellIs" dxfId="1" priority="1858" operator="greaterThan">
      <formula>120</formula>
    </cfRule>
    <cfRule type="containsText" dxfId="2" priority="782" operator="between" text="库存为">
      <formula>NOT(ISERROR(SEARCH("库存为",AU300)))</formula>
    </cfRule>
  </conditionalFormatting>
  <conditionalFormatting sqref="AU301">
    <cfRule type="cellIs" dxfId="0" priority="2933" operator="lessThan">
      <formula>20</formula>
    </cfRule>
    <cfRule type="cellIs" dxfId="1" priority="1857" operator="greaterThan">
      <formula>120</formula>
    </cfRule>
    <cfRule type="containsText" dxfId="2" priority="781" operator="between" text="库存为">
      <formula>NOT(ISERROR(SEARCH("库存为",AU301)))</formula>
    </cfRule>
  </conditionalFormatting>
  <conditionalFormatting sqref="AU302">
    <cfRule type="cellIs" dxfId="0" priority="2932" operator="lessThan">
      <formula>20</formula>
    </cfRule>
    <cfRule type="cellIs" dxfId="1" priority="1856" operator="greaterThan">
      <formula>120</formula>
    </cfRule>
    <cfRule type="containsText" dxfId="2" priority="780" operator="between" text="库存为">
      <formula>NOT(ISERROR(SEARCH("库存为",AU302)))</formula>
    </cfRule>
  </conditionalFormatting>
  <conditionalFormatting sqref="AU303">
    <cfRule type="cellIs" dxfId="0" priority="2931" operator="lessThan">
      <formula>20</formula>
    </cfRule>
    <cfRule type="cellIs" dxfId="1" priority="1855" operator="greaterThan">
      <formula>120</formula>
    </cfRule>
    <cfRule type="containsText" dxfId="2" priority="779" operator="between" text="库存为">
      <formula>NOT(ISERROR(SEARCH("库存为",AU303)))</formula>
    </cfRule>
  </conditionalFormatting>
  <conditionalFormatting sqref="AU304">
    <cfRule type="cellIs" dxfId="0" priority="2930" operator="lessThan">
      <formula>20</formula>
    </cfRule>
    <cfRule type="cellIs" dxfId="1" priority="1854" operator="greaterThan">
      <formula>120</formula>
    </cfRule>
    <cfRule type="containsText" dxfId="2" priority="778" operator="between" text="库存为">
      <formula>NOT(ISERROR(SEARCH("库存为",AU304)))</formula>
    </cfRule>
  </conditionalFormatting>
  <conditionalFormatting sqref="AU305">
    <cfRule type="cellIs" dxfId="0" priority="2929" operator="lessThan">
      <formula>20</formula>
    </cfRule>
    <cfRule type="cellIs" dxfId="1" priority="1853" operator="greaterThan">
      <formula>120</formula>
    </cfRule>
    <cfRule type="containsText" dxfId="2" priority="777" operator="between" text="库存为">
      <formula>NOT(ISERROR(SEARCH("库存为",AU305)))</formula>
    </cfRule>
  </conditionalFormatting>
  <conditionalFormatting sqref="AU306">
    <cfRule type="cellIs" dxfId="0" priority="2928" operator="lessThan">
      <formula>20</formula>
    </cfRule>
    <cfRule type="cellIs" dxfId="1" priority="1852" operator="greaterThan">
      <formula>120</formula>
    </cfRule>
    <cfRule type="containsText" dxfId="2" priority="776" operator="between" text="库存为">
      <formula>NOT(ISERROR(SEARCH("库存为",AU306)))</formula>
    </cfRule>
  </conditionalFormatting>
  <conditionalFormatting sqref="AU307">
    <cfRule type="cellIs" dxfId="0" priority="2927" operator="lessThan">
      <formula>20</formula>
    </cfRule>
    <cfRule type="cellIs" dxfId="1" priority="1851" operator="greaterThan">
      <formula>120</formula>
    </cfRule>
    <cfRule type="containsText" dxfId="2" priority="775" operator="between" text="库存为">
      <formula>NOT(ISERROR(SEARCH("库存为",AU307)))</formula>
    </cfRule>
  </conditionalFormatting>
  <conditionalFormatting sqref="AU308">
    <cfRule type="cellIs" dxfId="0" priority="2926" operator="lessThan">
      <formula>20</formula>
    </cfRule>
    <cfRule type="cellIs" dxfId="1" priority="1850" operator="greaterThan">
      <formula>120</formula>
    </cfRule>
    <cfRule type="containsText" dxfId="2" priority="774" operator="between" text="库存为">
      <formula>NOT(ISERROR(SEARCH("库存为",AU308)))</formula>
    </cfRule>
  </conditionalFormatting>
  <conditionalFormatting sqref="AU309">
    <cfRule type="cellIs" dxfId="0" priority="2925" operator="lessThan">
      <formula>20</formula>
    </cfRule>
    <cfRule type="cellIs" dxfId="1" priority="1849" operator="greaterThan">
      <formula>120</formula>
    </cfRule>
    <cfRule type="containsText" dxfId="2" priority="773" operator="between" text="库存为">
      <formula>NOT(ISERROR(SEARCH("库存为",AU309)))</formula>
    </cfRule>
  </conditionalFormatting>
  <conditionalFormatting sqref="AU310">
    <cfRule type="cellIs" dxfId="0" priority="2924" operator="lessThan">
      <formula>20</formula>
    </cfRule>
    <cfRule type="cellIs" dxfId="1" priority="1848" operator="greaterThan">
      <formula>120</formula>
    </cfRule>
    <cfRule type="containsText" dxfId="2" priority="772" operator="between" text="库存为">
      <formula>NOT(ISERROR(SEARCH("库存为",AU310)))</formula>
    </cfRule>
  </conditionalFormatting>
  <conditionalFormatting sqref="AU311">
    <cfRule type="cellIs" dxfId="0" priority="2923" operator="lessThan">
      <formula>20</formula>
    </cfRule>
    <cfRule type="cellIs" dxfId="1" priority="1847" operator="greaterThan">
      <formula>120</formula>
    </cfRule>
    <cfRule type="containsText" dxfId="2" priority="771" operator="between" text="库存为">
      <formula>NOT(ISERROR(SEARCH("库存为",AU311)))</formula>
    </cfRule>
  </conditionalFormatting>
  <conditionalFormatting sqref="AU312">
    <cfRule type="cellIs" dxfId="0" priority="2922" operator="lessThan">
      <formula>20</formula>
    </cfRule>
    <cfRule type="cellIs" dxfId="1" priority="1846" operator="greaterThan">
      <formula>120</formula>
    </cfRule>
    <cfRule type="containsText" dxfId="2" priority="770" operator="between" text="库存为">
      <formula>NOT(ISERROR(SEARCH("库存为",AU312)))</formula>
    </cfRule>
  </conditionalFormatting>
  <conditionalFormatting sqref="AU313">
    <cfRule type="cellIs" dxfId="0" priority="2921" operator="lessThan">
      <formula>20</formula>
    </cfRule>
    <cfRule type="cellIs" dxfId="1" priority="1845" operator="greaterThan">
      <formula>120</formula>
    </cfRule>
    <cfRule type="containsText" dxfId="2" priority="769" operator="between" text="库存为">
      <formula>NOT(ISERROR(SEARCH("库存为",AU313)))</formula>
    </cfRule>
  </conditionalFormatting>
  <conditionalFormatting sqref="AU314">
    <cfRule type="cellIs" dxfId="0" priority="2920" operator="lessThan">
      <formula>20</formula>
    </cfRule>
    <cfRule type="cellIs" dxfId="1" priority="1844" operator="greaterThan">
      <formula>120</formula>
    </cfRule>
    <cfRule type="containsText" dxfId="2" priority="768" operator="between" text="库存为">
      <formula>NOT(ISERROR(SEARCH("库存为",AU314)))</formula>
    </cfRule>
  </conditionalFormatting>
  <conditionalFormatting sqref="AU315">
    <cfRule type="cellIs" dxfId="0" priority="2919" operator="lessThan">
      <formula>20</formula>
    </cfRule>
    <cfRule type="cellIs" dxfId="1" priority="1843" operator="greaterThan">
      <formula>120</formula>
    </cfRule>
    <cfRule type="containsText" dxfId="2" priority="767" operator="between" text="库存为">
      <formula>NOT(ISERROR(SEARCH("库存为",AU315)))</formula>
    </cfRule>
  </conditionalFormatting>
  <conditionalFormatting sqref="AU316">
    <cfRule type="cellIs" dxfId="0" priority="2918" operator="lessThan">
      <formula>20</formula>
    </cfRule>
    <cfRule type="cellIs" dxfId="1" priority="1842" operator="greaterThan">
      <formula>120</formula>
    </cfRule>
    <cfRule type="containsText" dxfId="2" priority="766" operator="between" text="库存为">
      <formula>NOT(ISERROR(SEARCH("库存为",AU316)))</formula>
    </cfRule>
  </conditionalFormatting>
  <conditionalFormatting sqref="AU317">
    <cfRule type="cellIs" dxfId="0" priority="2917" operator="lessThan">
      <formula>20</formula>
    </cfRule>
    <cfRule type="cellIs" dxfId="1" priority="1841" operator="greaterThan">
      <formula>120</formula>
    </cfRule>
    <cfRule type="containsText" dxfId="2" priority="765" operator="between" text="库存为">
      <formula>NOT(ISERROR(SEARCH("库存为",AU317)))</formula>
    </cfRule>
  </conditionalFormatting>
  <conditionalFormatting sqref="AU318">
    <cfRule type="cellIs" dxfId="0" priority="2916" operator="lessThan">
      <formula>20</formula>
    </cfRule>
    <cfRule type="cellIs" dxfId="1" priority="1840" operator="greaterThan">
      <formula>120</formula>
    </cfRule>
    <cfRule type="containsText" dxfId="2" priority="764" operator="between" text="库存为">
      <formula>NOT(ISERROR(SEARCH("库存为",AU318)))</formula>
    </cfRule>
  </conditionalFormatting>
  <conditionalFormatting sqref="AU319">
    <cfRule type="cellIs" dxfId="0" priority="2915" operator="lessThan">
      <formula>20</formula>
    </cfRule>
    <cfRule type="cellIs" dxfId="1" priority="1839" operator="greaterThan">
      <formula>120</formula>
    </cfRule>
    <cfRule type="containsText" dxfId="2" priority="763" operator="between" text="库存为">
      <formula>NOT(ISERROR(SEARCH("库存为",AU319)))</formula>
    </cfRule>
  </conditionalFormatting>
  <conditionalFormatting sqref="AU320">
    <cfRule type="cellIs" dxfId="0" priority="2914" operator="lessThan">
      <formula>20</formula>
    </cfRule>
    <cfRule type="cellIs" dxfId="1" priority="1838" operator="greaterThan">
      <formula>120</formula>
    </cfRule>
    <cfRule type="containsText" dxfId="2" priority="762" operator="between" text="库存为">
      <formula>NOT(ISERROR(SEARCH("库存为",AU320)))</formula>
    </cfRule>
  </conditionalFormatting>
  <conditionalFormatting sqref="AU321">
    <cfRule type="cellIs" dxfId="0" priority="2913" operator="lessThan">
      <formula>20</formula>
    </cfRule>
    <cfRule type="cellIs" dxfId="1" priority="1837" operator="greaterThan">
      <formula>120</formula>
    </cfRule>
    <cfRule type="containsText" dxfId="2" priority="761" operator="between" text="库存为">
      <formula>NOT(ISERROR(SEARCH("库存为",AU321)))</formula>
    </cfRule>
  </conditionalFormatting>
  <conditionalFormatting sqref="AU322">
    <cfRule type="cellIs" dxfId="0" priority="2912" operator="lessThan">
      <formula>20</formula>
    </cfRule>
    <cfRule type="cellIs" dxfId="1" priority="1836" operator="greaterThan">
      <formula>120</formula>
    </cfRule>
    <cfRule type="containsText" dxfId="2" priority="760" operator="between" text="库存为">
      <formula>NOT(ISERROR(SEARCH("库存为",AU322)))</formula>
    </cfRule>
  </conditionalFormatting>
  <conditionalFormatting sqref="AU323">
    <cfRule type="cellIs" dxfId="0" priority="2911" operator="lessThan">
      <formula>20</formula>
    </cfRule>
    <cfRule type="cellIs" dxfId="1" priority="1835" operator="greaterThan">
      <formula>120</formula>
    </cfRule>
    <cfRule type="containsText" dxfId="2" priority="759" operator="between" text="库存为">
      <formula>NOT(ISERROR(SEARCH("库存为",AU323)))</formula>
    </cfRule>
  </conditionalFormatting>
  <conditionalFormatting sqref="AU324">
    <cfRule type="cellIs" dxfId="0" priority="2910" operator="lessThan">
      <formula>20</formula>
    </cfRule>
    <cfRule type="cellIs" dxfId="1" priority="1834" operator="greaterThan">
      <formula>120</formula>
    </cfRule>
    <cfRule type="containsText" dxfId="2" priority="758" operator="between" text="库存为">
      <formula>NOT(ISERROR(SEARCH("库存为",AU324)))</formula>
    </cfRule>
  </conditionalFormatting>
  <conditionalFormatting sqref="AU325">
    <cfRule type="cellIs" dxfId="0" priority="2909" operator="lessThan">
      <formula>20</formula>
    </cfRule>
    <cfRule type="cellIs" dxfId="1" priority="1833" operator="greaterThan">
      <formula>120</formula>
    </cfRule>
    <cfRule type="containsText" dxfId="2" priority="757" operator="between" text="库存为">
      <formula>NOT(ISERROR(SEARCH("库存为",AU325)))</formula>
    </cfRule>
  </conditionalFormatting>
  <conditionalFormatting sqref="AU326">
    <cfRule type="cellIs" dxfId="0" priority="2908" operator="lessThan">
      <formula>20</formula>
    </cfRule>
    <cfRule type="cellIs" dxfId="1" priority="1832" operator="greaterThan">
      <formula>120</formula>
    </cfRule>
    <cfRule type="containsText" dxfId="2" priority="756" operator="between" text="库存为">
      <formula>NOT(ISERROR(SEARCH("库存为",AU326)))</formula>
    </cfRule>
  </conditionalFormatting>
  <conditionalFormatting sqref="AU327">
    <cfRule type="cellIs" dxfId="0" priority="2907" operator="lessThan">
      <formula>20</formula>
    </cfRule>
    <cfRule type="cellIs" dxfId="1" priority="1831" operator="greaterThan">
      <formula>120</formula>
    </cfRule>
    <cfRule type="containsText" dxfId="2" priority="755" operator="between" text="库存为">
      <formula>NOT(ISERROR(SEARCH("库存为",AU327)))</formula>
    </cfRule>
  </conditionalFormatting>
  <conditionalFormatting sqref="AU328">
    <cfRule type="cellIs" dxfId="0" priority="2906" operator="lessThan">
      <formula>20</formula>
    </cfRule>
    <cfRule type="cellIs" dxfId="1" priority="1830" operator="greaterThan">
      <formula>120</formula>
    </cfRule>
    <cfRule type="containsText" dxfId="2" priority="754" operator="between" text="库存为">
      <formula>NOT(ISERROR(SEARCH("库存为",AU328)))</formula>
    </cfRule>
  </conditionalFormatting>
  <conditionalFormatting sqref="AU329">
    <cfRule type="cellIs" dxfId="0" priority="2905" operator="lessThan">
      <formula>20</formula>
    </cfRule>
    <cfRule type="cellIs" dxfId="1" priority="1829" operator="greaterThan">
      <formula>120</formula>
    </cfRule>
    <cfRule type="containsText" dxfId="2" priority="753" operator="between" text="库存为">
      <formula>NOT(ISERROR(SEARCH("库存为",AU329)))</formula>
    </cfRule>
  </conditionalFormatting>
  <conditionalFormatting sqref="AU330">
    <cfRule type="cellIs" dxfId="0" priority="2904" operator="lessThan">
      <formula>20</formula>
    </cfRule>
    <cfRule type="cellIs" dxfId="1" priority="1828" operator="greaterThan">
      <formula>120</formula>
    </cfRule>
    <cfRule type="containsText" dxfId="2" priority="752" operator="between" text="库存为">
      <formula>NOT(ISERROR(SEARCH("库存为",AU330)))</formula>
    </cfRule>
  </conditionalFormatting>
  <conditionalFormatting sqref="AU331">
    <cfRule type="cellIs" dxfId="0" priority="2903" operator="lessThan">
      <formula>20</formula>
    </cfRule>
    <cfRule type="cellIs" dxfId="1" priority="1827" operator="greaterThan">
      <formula>120</formula>
    </cfRule>
    <cfRule type="containsText" dxfId="2" priority="751" operator="between" text="库存为">
      <formula>NOT(ISERROR(SEARCH("库存为",AU331)))</formula>
    </cfRule>
  </conditionalFormatting>
  <conditionalFormatting sqref="AU332">
    <cfRule type="cellIs" dxfId="0" priority="2902" operator="lessThan">
      <formula>20</formula>
    </cfRule>
    <cfRule type="cellIs" dxfId="1" priority="1826" operator="greaterThan">
      <formula>120</formula>
    </cfRule>
    <cfRule type="containsText" dxfId="2" priority="750" operator="between" text="库存为">
      <formula>NOT(ISERROR(SEARCH("库存为",AU332)))</formula>
    </cfRule>
  </conditionalFormatting>
  <conditionalFormatting sqref="AU333">
    <cfRule type="cellIs" dxfId="0" priority="2901" operator="lessThan">
      <formula>20</formula>
    </cfRule>
    <cfRule type="cellIs" dxfId="1" priority="1825" operator="greaterThan">
      <formula>120</formula>
    </cfRule>
    <cfRule type="containsText" dxfId="2" priority="749" operator="between" text="库存为">
      <formula>NOT(ISERROR(SEARCH("库存为",AU333)))</formula>
    </cfRule>
  </conditionalFormatting>
  <conditionalFormatting sqref="AU334">
    <cfRule type="cellIs" dxfId="0" priority="2900" operator="lessThan">
      <formula>20</formula>
    </cfRule>
    <cfRule type="cellIs" dxfId="1" priority="1824" operator="greaterThan">
      <formula>120</formula>
    </cfRule>
    <cfRule type="containsText" dxfId="2" priority="748" operator="between" text="库存为">
      <formula>NOT(ISERROR(SEARCH("库存为",AU334)))</formula>
    </cfRule>
  </conditionalFormatting>
  <conditionalFormatting sqref="AU335">
    <cfRule type="cellIs" dxfId="0" priority="2899" operator="lessThan">
      <formula>20</formula>
    </cfRule>
    <cfRule type="cellIs" dxfId="1" priority="1823" operator="greaterThan">
      <formula>120</formula>
    </cfRule>
    <cfRule type="containsText" dxfId="2" priority="747" operator="between" text="库存为">
      <formula>NOT(ISERROR(SEARCH("库存为",AU335)))</formula>
    </cfRule>
  </conditionalFormatting>
  <conditionalFormatting sqref="AU336">
    <cfRule type="cellIs" dxfId="0" priority="2898" operator="lessThan">
      <formula>20</formula>
    </cfRule>
    <cfRule type="cellIs" dxfId="1" priority="1822" operator="greaterThan">
      <formula>120</formula>
    </cfRule>
    <cfRule type="containsText" dxfId="2" priority="746" operator="between" text="库存为">
      <formula>NOT(ISERROR(SEARCH("库存为",AU336)))</formula>
    </cfRule>
  </conditionalFormatting>
  <conditionalFormatting sqref="AU337">
    <cfRule type="cellIs" dxfId="0" priority="2897" operator="lessThan">
      <formula>20</formula>
    </cfRule>
    <cfRule type="cellIs" dxfId="1" priority="1821" operator="greaterThan">
      <formula>120</formula>
    </cfRule>
    <cfRule type="containsText" dxfId="2" priority="745" operator="between" text="库存为">
      <formula>NOT(ISERROR(SEARCH("库存为",AU337)))</formula>
    </cfRule>
  </conditionalFormatting>
  <conditionalFormatting sqref="AU338">
    <cfRule type="cellIs" dxfId="0" priority="2896" operator="lessThan">
      <formula>20</formula>
    </cfRule>
    <cfRule type="cellIs" dxfId="1" priority="1820" operator="greaterThan">
      <formula>120</formula>
    </cfRule>
    <cfRule type="containsText" dxfId="2" priority="744" operator="between" text="库存为">
      <formula>NOT(ISERROR(SEARCH("库存为",AU338)))</formula>
    </cfRule>
  </conditionalFormatting>
  <conditionalFormatting sqref="AU339">
    <cfRule type="cellIs" dxfId="0" priority="2895" operator="lessThan">
      <formula>20</formula>
    </cfRule>
    <cfRule type="cellIs" dxfId="1" priority="1819" operator="greaterThan">
      <formula>120</formula>
    </cfRule>
    <cfRule type="containsText" dxfId="2" priority="743" operator="between" text="库存为">
      <formula>NOT(ISERROR(SEARCH("库存为",AU339)))</formula>
    </cfRule>
  </conditionalFormatting>
  <conditionalFormatting sqref="AU340">
    <cfRule type="cellIs" dxfId="0" priority="2894" operator="lessThan">
      <formula>20</formula>
    </cfRule>
    <cfRule type="cellIs" dxfId="1" priority="1818" operator="greaterThan">
      <formula>120</formula>
    </cfRule>
    <cfRule type="containsText" dxfId="2" priority="742" operator="between" text="库存为">
      <formula>NOT(ISERROR(SEARCH("库存为",AU340)))</formula>
    </cfRule>
  </conditionalFormatting>
  <conditionalFormatting sqref="AU341">
    <cfRule type="cellIs" dxfId="0" priority="2893" operator="lessThan">
      <formula>20</formula>
    </cfRule>
    <cfRule type="cellIs" dxfId="1" priority="1817" operator="greaterThan">
      <formula>120</formula>
    </cfRule>
    <cfRule type="containsText" dxfId="2" priority="741" operator="between" text="库存为">
      <formula>NOT(ISERROR(SEARCH("库存为",AU341)))</formula>
    </cfRule>
  </conditionalFormatting>
  <conditionalFormatting sqref="AU342">
    <cfRule type="cellIs" dxfId="0" priority="2892" operator="lessThan">
      <formula>20</formula>
    </cfRule>
    <cfRule type="cellIs" dxfId="1" priority="1816" operator="greaterThan">
      <formula>120</formula>
    </cfRule>
    <cfRule type="containsText" dxfId="2" priority="740" operator="between" text="库存为">
      <formula>NOT(ISERROR(SEARCH("库存为",AU342)))</formula>
    </cfRule>
  </conditionalFormatting>
  <conditionalFormatting sqref="AU343">
    <cfRule type="cellIs" dxfId="0" priority="2891" operator="lessThan">
      <formula>20</formula>
    </cfRule>
    <cfRule type="cellIs" dxfId="1" priority="1815" operator="greaterThan">
      <formula>120</formula>
    </cfRule>
    <cfRule type="containsText" dxfId="2" priority="739" operator="between" text="库存为">
      <formula>NOT(ISERROR(SEARCH("库存为",AU343)))</formula>
    </cfRule>
  </conditionalFormatting>
  <conditionalFormatting sqref="AU344">
    <cfRule type="cellIs" dxfId="0" priority="2890" operator="lessThan">
      <formula>20</formula>
    </cfRule>
    <cfRule type="cellIs" dxfId="1" priority="1814" operator="greaterThan">
      <formula>120</formula>
    </cfRule>
    <cfRule type="containsText" dxfId="2" priority="738" operator="between" text="库存为">
      <formula>NOT(ISERROR(SEARCH("库存为",AU344)))</formula>
    </cfRule>
  </conditionalFormatting>
  <conditionalFormatting sqref="AU345">
    <cfRule type="cellIs" dxfId="0" priority="2889" operator="lessThan">
      <formula>20</formula>
    </cfRule>
    <cfRule type="cellIs" dxfId="1" priority="1813" operator="greaterThan">
      <formula>120</formula>
    </cfRule>
    <cfRule type="containsText" dxfId="2" priority="737" operator="between" text="库存为">
      <formula>NOT(ISERROR(SEARCH("库存为",AU345)))</formula>
    </cfRule>
  </conditionalFormatting>
  <conditionalFormatting sqref="AU346">
    <cfRule type="cellIs" dxfId="0" priority="2888" operator="lessThan">
      <formula>20</formula>
    </cfRule>
    <cfRule type="cellIs" dxfId="1" priority="1812" operator="greaterThan">
      <formula>120</formula>
    </cfRule>
    <cfRule type="containsText" dxfId="2" priority="736" operator="between" text="库存为">
      <formula>NOT(ISERROR(SEARCH("库存为",AU346)))</formula>
    </cfRule>
  </conditionalFormatting>
  <conditionalFormatting sqref="AU347">
    <cfRule type="cellIs" dxfId="0" priority="2887" operator="lessThan">
      <formula>20</formula>
    </cfRule>
    <cfRule type="cellIs" dxfId="1" priority="1811" operator="greaterThan">
      <formula>120</formula>
    </cfRule>
    <cfRule type="containsText" dxfId="2" priority="735" operator="between" text="库存为">
      <formula>NOT(ISERROR(SEARCH("库存为",AU347)))</formula>
    </cfRule>
  </conditionalFormatting>
  <conditionalFormatting sqref="AU348">
    <cfRule type="cellIs" dxfId="0" priority="2886" operator="lessThan">
      <formula>20</formula>
    </cfRule>
    <cfRule type="cellIs" dxfId="1" priority="1810" operator="greaterThan">
      <formula>120</formula>
    </cfRule>
    <cfRule type="containsText" dxfId="2" priority="734" operator="between" text="库存为">
      <formula>NOT(ISERROR(SEARCH("库存为",AU348)))</formula>
    </cfRule>
  </conditionalFormatting>
  <conditionalFormatting sqref="AU349">
    <cfRule type="cellIs" dxfId="0" priority="2885" operator="lessThan">
      <formula>20</formula>
    </cfRule>
    <cfRule type="cellIs" dxfId="1" priority="1809" operator="greaterThan">
      <formula>120</formula>
    </cfRule>
    <cfRule type="containsText" dxfId="2" priority="733" operator="between" text="库存为">
      <formula>NOT(ISERROR(SEARCH("库存为",AU349)))</formula>
    </cfRule>
  </conditionalFormatting>
  <conditionalFormatting sqref="AU350">
    <cfRule type="cellIs" dxfId="0" priority="2884" operator="lessThan">
      <formula>20</formula>
    </cfRule>
    <cfRule type="cellIs" dxfId="1" priority="1808" operator="greaterThan">
      <formula>120</formula>
    </cfRule>
    <cfRule type="containsText" dxfId="2" priority="732" operator="between" text="库存为">
      <formula>NOT(ISERROR(SEARCH("库存为",AU350)))</formula>
    </cfRule>
  </conditionalFormatting>
  <conditionalFormatting sqref="AU351">
    <cfRule type="cellIs" dxfId="0" priority="2883" operator="lessThan">
      <formula>20</formula>
    </cfRule>
    <cfRule type="cellIs" dxfId="1" priority="1807" operator="greaterThan">
      <formula>120</formula>
    </cfRule>
    <cfRule type="containsText" dxfId="2" priority="731" operator="between" text="库存为">
      <formula>NOT(ISERROR(SEARCH("库存为",AU351)))</formula>
    </cfRule>
  </conditionalFormatting>
  <conditionalFormatting sqref="AU352">
    <cfRule type="cellIs" dxfId="0" priority="2882" operator="lessThan">
      <formula>20</formula>
    </cfRule>
    <cfRule type="cellIs" dxfId="1" priority="1806" operator="greaterThan">
      <formula>120</formula>
    </cfRule>
    <cfRule type="containsText" dxfId="2" priority="730" operator="between" text="库存为">
      <formula>NOT(ISERROR(SEARCH("库存为",AU352)))</formula>
    </cfRule>
  </conditionalFormatting>
  <conditionalFormatting sqref="AU353">
    <cfRule type="cellIs" dxfId="0" priority="2881" operator="lessThan">
      <formula>20</formula>
    </cfRule>
    <cfRule type="cellIs" dxfId="1" priority="1805" operator="greaterThan">
      <formula>120</formula>
    </cfRule>
    <cfRule type="containsText" dxfId="2" priority="729" operator="between" text="库存为">
      <formula>NOT(ISERROR(SEARCH("库存为",AU353)))</formula>
    </cfRule>
  </conditionalFormatting>
  <conditionalFormatting sqref="AU354">
    <cfRule type="cellIs" dxfId="0" priority="2880" operator="lessThan">
      <formula>20</formula>
    </cfRule>
    <cfRule type="cellIs" dxfId="1" priority="1804" operator="greaterThan">
      <formula>120</formula>
    </cfRule>
    <cfRule type="containsText" dxfId="2" priority="728" operator="between" text="库存为">
      <formula>NOT(ISERROR(SEARCH("库存为",AU354)))</formula>
    </cfRule>
  </conditionalFormatting>
  <conditionalFormatting sqref="AU355">
    <cfRule type="cellIs" dxfId="0" priority="2879" operator="lessThan">
      <formula>20</formula>
    </cfRule>
    <cfRule type="cellIs" dxfId="1" priority="1803" operator="greaterThan">
      <formula>120</formula>
    </cfRule>
    <cfRule type="containsText" dxfId="2" priority="727" operator="between" text="库存为">
      <formula>NOT(ISERROR(SEARCH("库存为",AU355)))</formula>
    </cfRule>
  </conditionalFormatting>
  <conditionalFormatting sqref="AU356">
    <cfRule type="cellIs" dxfId="0" priority="2878" operator="lessThan">
      <formula>20</formula>
    </cfRule>
    <cfRule type="cellIs" dxfId="1" priority="1802" operator="greaterThan">
      <formula>120</formula>
    </cfRule>
    <cfRule type="containsText" dxfId="2" priority="726" operator="between" text="库存为">
      <formula>NOT(ISERROR(SEARCH("库存为",AU356)))</formula>
    </cfRule>
  </conditionalFormatting>
  <conditionalFormatting sqref="AU357">
    <cfRule type="cellIs" dxfId="0" priority="2877" operator="lessThan">
      <formula>20</formula>
    </cfRule>
    <cfRule type="cellIs" dxfId="1" priority="1801" operator="greaterThan">
      <formula>120</formula>
    </cfRule>
    <cfRule type="containsText" dxfId="2" priority="725" operator="between" text="库存为">
      <formula>NOT(ISERROR(SEARCH("库存为",AU357)))</formula>
    </cfRule>
  </conditionalFormatting>
  <conditionalFormatting sqref="AU358">
    <cfRule type="cellIs" dxfId="0" priority="2876" operator="lessThan">
      <formula>20</formula>
    </cfRule>
    <cfRule type="cellIs" dxfId="1" priority="1800" operator="greaterThan">
      <formula>120</formula>
    </cfRule>
    <cfRule type="containsText" dxfId="2" priority="724" operator="between" text="库存为">
      <formula>NOT(ISERROR(SEARCH("库存为",AU358)))</formula>
    </cfRule>
  </conditionalFormatting>
  <conditionalFormatting sqref="AU359">
    <cfRule type="cellIs" dxfId="0" priority="2875" operator="lessThan">
      <formula>20</formula>
    </cfRule>
    <cfRule type="cellIs" dxfId="1" priority="1799" operator="greaterThan">
      <formula>120</formula>
    </cfRule>
    <cfRule type="containsText" dxfId="2" priority="723" operator="between" text="库存为">
      <formula>NOT(ISERROR(SEARCH("库存为",AU359)))</formula>
    </cfRule>
  </conditionalFormatting>
  <conditionalFormatting sqref="AU360">
    <cfRule type="cellIs" dxfId="0" priority="2874" operator="lessThan">
      <formula>20</formula>
    </cfRule>
    <cfRule type="cellIs" dxfId="1" priority="1798" operator="greaterThan">
      <formula>120</formula>
    </cfRule>
    <cfRule type="containsText" dxfId="2" priority="722" operator="between" text="库存为">
      <formula>NOT(ISERROR(SEARCH("库存为",AU360)))</formula>
    </cfRule>
  </conditionalFormatting>
  <conditionalFormatting sqref="AU361">
    <cfRule type="cellIs" dxfId="0" priority="2873" operator="lessThan">
      <formula>20</formula>
    </cfRule>
    <cfRule type="cellIs" dxfId="1" priority="1797" operator="greaterThan">
      <formula>120</formula>
    </cfRule>
    <cfRule type="containsText" dxfId="2" priority="721" operator="between" text="库存为">
      <formula>NOT(ISERROR(SEARCH("库存为",AU361)))</formula>
    </cfRule>
  </conditionalFormatting>
  <conditionalFormatting sqref="AU362">
    <cfRule type="cellIs" dxfId="0" priority="2872" operator="lessThan">
      <formula>20</formula>
    </cfRule>
    <cfRule type="cellIs" dxfId="1" priority="1796" operator="greaterThan">
      <formula>120</formula>
    </cfRule>
    <cfRule type="containsText" dxfId="2" priority="720" operator="between" text="库存为">
      <formula>NOT(ISERROR(SEARCH("库存为",AU362)))</formula>
    </cfRule>
  </conditionalFormatting>
  <conditionalFormatting sqref="AU363">
    <cfRule type="cellIs" dxfId="0" priority="2871" operator="lessThan">
      <formula>20</formula>
    </cfRule>
    <cfRule type="cellIs" dxfId="1" priority="1795" operator="greaterThan">
      <formula>120</formula>
    </cfRule>
    <cfRule type="containsText" dxfId="2" priority="719" operator="between" text="库存为">
      <formula>NOT(ISERROR(SEARCH("库存为",AU363)))</formula>
    </cfRule>
  </conditionalFormatting>
  <conditionalFormatting sqref="AU364">
    <cfRule type="cellIs" dxfId="0" priority="2870" operator="lessThan">
      <formula>20</formula>
    </cfRule>
    <cfRule type="cellIs" dxfId="1" priority="1794" operator="greaterThan">
      <formula>120</formula>
    </cfRule>
    <cfRule type="containsText" dxfId="2" priority="718" operator="between" text="库存为">
      <formula>NOT(ISERROR(SEARCH("库存为",AU364)))</formula>
    </cfRule>
  </conditionalFormatting>
  <conditionalFormatting sqref="AU365">
    <cfRule type="cellIs" dxfId="0" priority="2869" operator="lessThan">
      <formula>20</formula>
    </cfRule>
    <cfRule type="cellIs" dxfId="1" priority="1793" operator="greaterThan">
      <formula>120</formula>
    </cfRule>
    <cfRule type="containsText" dxfId="2" priority="717" operator="between" text="库存为">
      <formula>NOT(ISERROR(SEARCH("库存为",AU365)))</formula>
    </cfRule>
  </conditionalFormatting>
  <conditionalFormatting sqref="AU366">
    <cfRule type="cellIs" dxfId="0" priority="2868" operator="lessThan">
      <formula>20</formula>
    </cfRule>
    <cfRule type="cellIs" dxfId="1" priority="1792" operator="greaterThan">
      <formula>120</formula>
    </cfRule>
    <cfRule type="containsText" dxfId="2" priority="716" operator="between" text="库存为">
      <formula>NOT(ISERROR(SEARCH("库存为",AU366)))</formula>
    </cfRule>
  </conditionalFormatting>
  <conditionalFormatting sqref="AU367">
    <cfRule type="cellIs" dxfId="0" priority="2867" operator="lessThan">
      <formula>20</formula>
    </cfRule>
    <cfRule type="cellIs" dxfId="1" priority="1791" operator="greaterThan">
      <formula>120</formula>
    </cfRule>
    <cfRule type="containsText" dxfId="2" priority="715" operator="between" text="库存为">
      <formula>NOT(ISERROR(SEARCH("库存为",AU367)))</formula>
    </cfRule>
  </conditionalFormatting>
  <conditionalFormatting sqref="AU368">
    <cfRule type="cellIs" dxfId="0" priority="2866" operator="lessThan">
      <formula>20</formula>
    </cfRule>
    <cfRule type="cellIs" dxfId="1" priority="1790" operator="greaterThan">
      <formula>120</formula>
    </cfRule>
    <cfRule type="containsText" dxfId="2" priority="714" operator="between" text="库存为">
      <formula>NOT(ISERROR(SEARCH("库存为",AU368)))</formula>
    </cfRule>
  </conditionalFormatting>
  <conditionalFormatting sqref="AU369">
    <cfRule type="cellIs" dxfId="0" priority="2865" operator="lessThan">
      <formula>20</formula>
    </cfRule>
    <cfRule type="cellIs" dxfId="1" priority="1789" operator="greaterThan">
      <formula>120</formula>
    </cfRule>
    <cfRule type="containsText" dxfId="2" priority="713" operator="between" text="库存为">
      <formula>NOT(ISERROR(SEARCH("库存为",AU369)))</formula>
    </cfRule>
  </conditionalFormatting>
  <conditionalFormatting sqref="AU370">
    <cfRule type="cellIs" dxfId="0" priority="2864" operator="lessThan">
      <formula>20</formula>
    </cfRule>
    <cfRule type="cellIs" dxfId="1" priority="1788" operator="greaterThan">
      <formula>120</formula>
    </cfRule>
    <cfRule type="containsText" dxfId="2" priority="712" operator="between" text="库存为">
      <formula>NOT(ISERROR(SEARCH("库存为",AU370)))</formula>
    </cfRule>
  </conditionalFormatting>
  <conditionalFormatting sqref="AU371">
    <cfRule type="cellIs" dxfId="0" priority="2863" operator="lessThan">
      <formula>20</formula>
    </cfRule>
    <cfRule type="cellIs" dxfId="1" priority="1787" operator="greaterThan">
      <formula>120</formula>
    </cfRule>
    <cfRule type="containsText" dxfId="2" priority="711" operator="between" text="库存为">
      <formula>NOT(ISERROR(SEARCH("库存为",AU371)))</formula>
    </cfRule>
  </conditionalFormatting>
  <conditionalFormatting sqref="AU372">
    <cfRule type="cellIs" dxfId="0" priority="2862" operator="lessThan">
      <formula>20</formula>
    </cfRule>
    <cfRule type="cellIs" dxfId="1" priority="1786" operator="greaterThan">
      <formula>120</formula>
    </cfRule>
    <cfRule type="containsText" dxfId="2" priority="710" operator="between" text="库存为">
      <formula>NOT(ISERROR(SEARCH("库存为",AU372)))</formula>
    </cfRule>
  </conditionalFormatting>
  <conditionalFormatting sqref="AU373">
    <cfRule type="cellIs" dxfId="0" priority="2861" operator="lessThan">
      <formula>20</formula>
    </cfRule>
    <cfRule type="cellIs" dxfId="1" priority="1785" operator="greaterThan">
      <formula>120</formula>
    </cfRule>
    <cfRule type="containsText" dxfId="2" priority="709" operator="between" text="库存为">
      <formula>NOT(ISERROR(SEARCH("库存为",AU373)))</formula>
    </cfRule>
  </conditionalFormatting>
  <conditionalFormatting sqref="AU374">
    <cfRule type="cellIs" dxfId="0" priority="2860" operator="lessThan">
      <formula>20</formula>
    </cfRule>
    <cfRule type="cellIs" dxfId="1" priority="1784" operator="greaterThan">
      <formula>120</formula>
    </cfRule>
    <cfRule type="containsText" dxfId="2" priority="708" operator="between" text="库存为">
      <formula>NOT(ISERROR(SEARCH("库存为",AU374)))</formula>
    </cfRule>
  </conditionalFormatting>
  <conditionalFormatting sqref="AU375">
    <cfRule type="cellIs" dxfId="0" priority="2859" operator="lessThan">
      <formula>20</formula>
    </cfRule>
    <cfRule type="cellIs" dxfId="1" priority="1783" operator="greaterThan">
      <formula>120</formula>
    </cfRule>
    <cfRule type="containsText" dxfId="2" priority="707" operator="between" text="库存为">
      <formula>NOT(ISERROR(SEARCH("库存为",AU375)))</formula>
    </cfRule>
  </conditionalFormatting>
  <conditionalFormatting sqref="AU376">
    <cfRule type="cellIs" dxfId="0" priority="2858" operator="lessThan">
      <formula>20</formula>
    </cfRule>
    <cfRule type="cellIs" dxfId="1" priority="1782" operator="greaterThan">
      <formula>120</formula>
    </cfRule>
    <cfRule type="containsText" dxfId="2" priority="706" operator="between" text="库存为">
      <formula>NOT(ISERROR(SEARCH("库存为",AU376)))</formula>
    </cfRule>
  </conditionalFormatting>
  <conditionalFormatting sqref="AU377">
    <cfRule type="cellIs" dxfId="0" priority="2857" operator="lessThan">
      <formula>20</formula>
    </cfRule>
    <cfRule type="cellIs" dxfId="1" priority="1781" operator="greaterThan">
      <formula>120</formula>
    </cfRule>
    <cfRule type="containsText" dxfId="2" priority="705" operator="between" text="库存为">
      <formula>NOT(ISERROR(SEARCH("库存为",AU377)))</formula>
    </cfRule>
  </conditionalFormatting>
  <conditionalFormatting sqref="AU378">
    <cfRule type="cellIs" dxfId="0" priority="2856" operator="lessThan">
      <formula>20</formula>
    </cfRule>
    <cfRule type="cellIs" dxfId="1" priority="1780" operator="greaterThan">
      <formula>120</formula>
    </cfRule>
    <cfRule type="containsText" dxfId="2" priority="704" operator="between" text="库存为">
      <formula>NOT(ISERROR(SEARCH("库存为",AU378)))</formula>
    </cfRule>
  </conditionalFormatting>
  <conditionalFormatting sqref="AU379">
    <cfRule type="cellIs" dxfId="0" priority="2855" operator="lessThan">
      <formula>20</formula>
    </cfRule>
    <cfRule type="cellIs" dxfId="1" priority="1779" operator="greaterThan">
      <formula>120</formula>
    </cfRule>
    <cfRule type="containsText" dxfId="2" priority="703" operator="between" text="库存为">
      <formula>NOT(ISERROR(SEARCH("库存为",AU379)))</formula>
    </cfRule>
  </conditionalFormatting>
  <conditionalFormatting sqref="AU380">
    <cfRule type="cellIs" dxfId="0" priority="2854" operator="lessThan">
      <formula>20</formula>
    </cfRule>
    <cfRule type="cellIs" dxfId="1" priority="1778" operator="greaterThan">
      <formula>120</formula>
    </cfRule>
    <cfRule type="containsText" dxfId="2" priority="702" operator="between" text="库存为">
      <formula>NOT(ISERROR(SEARCH("库存为",AU380)))</formula>
    </cfRule>
  </conditionalFormatting>
  <conditionalFormatting sqref="AU381">
    <cfRule type="cellIs" dxfId="0" priority="2853" operator="lessThan">
      <formula>20</formula>
    </cfRule>
    <cfRule type="cellIs" dxfId="1" priority="1777" operator="greaterThan">
      <formula>120</formula>
    </cfRule>
    <cfRule type="containsText" dxfId="2" priority="701" operator="between" text="库存为">
      <formula>NOT(ISERROR(SEARCH("库存为",AU381)))</formula>
    </cfRule>
  </conditionalFormatting>
  <conditionalFormatting sqref="AU382">
    <cfRule type="cellIs" dxfId="0" priority="2852" operator="lessThan">
      <formula>20</formula>
    </cfRule>
    <cfRule type="cellIs" dxfId="1" priority="1776" operator="greaterThan">
      <formula>120</formula>
    </cfRule>
    <cfRule type="containsText" dxfId="2" priority="700" operator="between" text="库存为">
      <formula>NOT(ISERROR(SEARCH("库存为",AU382)))</formula>
    </cfRule>
  </conditionalFormatting>
  <conditionalFormatting sqref="AU383">
    <cfRule type="cellIs" dxfId="0" priority="2851" operator="lessThan">
      <formula>20</formula>
    </cfRule>
    <cfRule type="cellIs" dxfId="1" priority="1775" operator="greaterThan">
      <formula>120</formula>
    </cfRule>
    <cfRule type="containsText" dxfId="2" priority="699" operator="between" text="库存为">
      <formula>NOT(ISERROR(SEARCH("库存为",AU383)))</formula>
    </cfRule>
  </conditionalFormatting>
  <conditionalFormatting sqref="AU384">
    <cfRule type="cellIs" dxfId="0" priority="2850" operator="lessThan">
      <formula>20</formula>
    </cfRule>
    <cfRule type="cellIs" dxfId="1" priority="1774" operator="greaterThan">
      <formula>120</formula>
    </cfRule>
    <cfRule type="containsText" dxfId="2" priority="698" operator="between" text="库存为">
      <formula>NOT(ISERROR(SEARCH("库存为",AU384)))</formula>
    </cfRule>
  </conditionalFormatting>
  <conditionalFormatting sqref="AU385">
    <cfRule type="cellIs" dxfId="0" priority="2849" operator="lessThan">
      <formula>20</formula>
    </cfRule>
    <cfRule type="cellIs" dxfId="1" priority="1773" operator="greaterThan">
      <formula>120</formula>
    </cfRule>
    <cfRule type="containsText" dxfId="2" priority="697" operator="between" text="库存为">
      <formula>NOT(ISERROR(SEARCH("库存为",AU385)))</formula>
    </cfRule>
  </conditionalFormatting>
  <conditionalFormatting sqref="AU386">
    <cfRule type="cellIs" dxfId="0" priority="2848" operator="lessThan">
      <formula>20</formula>
    </cfRule>
    <cfRule type="cellIs" dxfId="1" priority="1772" operator="greaterThan">
      <formula>120</formula>
    </cfRule>
    <cfRule type="containsText" dxfId="2" priority="696" operator="between" text="库存为">
      <formula>NOT(ISERROR(SEARCH("库存为",AU386)))</formula>
    </cfRule>
  </conditionalFormatting>
  <conditionalFormatting sqref="AU387">
    <cfRule type="cellIs" dxfId="0" priority="2847" operator="lessThan">
      <formula>20</formula>
    </cfRule>
    <cfRule type="cellIs" dxfId="1" priority="1771" operator="greaterThan">
      <formula>120</formula>
    </cfRule>
    <cfRule type="containsText" dxfId="2" priority="695" operator="between" text="库存为">
      <formula>NOT(ISERROR(SEARCH("库存为",AU387)))</formula>
    </cfRule>
  </conditionalFormatting>
  <conditionalFormatting sqref="AU388">
    <cfRule type="cellIs" dxfId="0" priority="2846" operator="lessThan">
      <formula>20</formula>
    </cfRule>
    <cfRule type="cellIs" dxfId="1" priority="1770" operator="greaterThan">
      <formula>120</formula>
    </cfRule>
    <cfRule type="containsText" dxfId="2" priority="694" operator="between" text="库存为">
      <formula>NOT(ISERROR(SEARCH("库存为",AU388)))</formula>
    </cfRule>
  </conditionalFormatting>
  <conditionalFormatting sqref="AU389">
    <cfRule type="cellIs" dxfId="0" priority="2845" operator="lessThan">
      <formula>20</formula>
    </cfRule>
    <cfRule type="cellIs" dxfId="1" priority="1769" operator="greaterThan">
      <formula>120</formula>
    </cfRule>
    <cfRule type="containsText" dxfId="2" priority="693" operator="between" text="库存为">
      <formula>NOT(ISERROR(SEARCH("库存为",AU389)))</formula>
    </cfRule>
  </conditionalFormatting>
  <conditionalFormatting sqref="AU390">
    <cfRule type="cellIs" dxfId="0" priority="2844" operator="lessThan">
      <formula>20</formula>
    </cfRule>
    <cfRule type="cellIs" dxfId="1" priority="1768" operator="greaterThan">
      <formula>120</formula>
    </cfRule>
    <cfRule type="containsText" dxfId="2" priority="692" operator="between" text="库存为">
      <formula>NOT(ISERROR(SEARCH("库存为",AU390)))</formula>
    </cfRule>
  </conditionalFormatting>
  <conditionalFormatting sqref="AU391">
    <cfRule type="cellIs" dxfId="0" priority="2843" operator="lessThan">
      <formula>20</formula>
    </cfRule>
    <cfRule type="cellIs" dxfId="1" priority="1767" operator="greaterThan">
      <formula>120</formula>
    </cfRule>
    <cfRule type="containsText" dxfId="2" priority="691" operator="between" text="库存为">
      <formula>NOT(ISERROR(SEARCH("库存为",AU391)))</formula>
    </cfRule>
  </conditionalFormatting>
  <conditionalFormatting sqref="AU392">
    <cfRule type="cellIs" dxfId="0" priority="2842" operator="lessThan">
      <formula>20</formula>
    </cfRule>
    <cfRule type="cellIs" dxfId="1" priority="1766" operator="greaterThan">
      <formula>120</formula>
    </cfRule>
    <cfRule type="containsText" dxfId="2" priority="690" operator="between" text="库存为">
      <formula>NOT(ISERROR(SEARCH("库存为",AU392)))</formula>
    </cfRule>
  </conditionalFormatting>
  <conditionalFormatting sqref="AU393">
    <cfRule type="cellIs" dxfId="0" priority="2841" operator="lessThan">
      <formula>20</formula>
    </cfRule>
    <cfRule type="cellIs" dxfId="1" priority="1765" operator="greaterThan">
      <formula>120</formula>
    </cfRule>
    <cfRule type="containsText" dxfId="2" priority="689" operator="between" text="库存为">
      <formula>NOT(ISERROR(SEARCH("库存为",AU393)))</formula>
    </cfRule>
  </conditionalFormatting>
  <conditionalFormatting sqref="AU394">
    <cfRule type="cellIs" dxfId="0" priority="2840" operator="lessThan">
      <formula>20</formula>
    </cfRule>
    <cfRule type="cellIs" dxfId="1" priority="1764" operator="greaterThan">
      <formula>120</formula>
    </cfRule>
    <cfRule type="containsText" dxfId="2" priority="688" operator="between" text="库存为">
      <formula>NOT(ISERROR(SEARCH("库存为",AU394)))</formula>
    </cfRule>
  </conditionalFormatting>
  <conditionalFormatting sqref="AU395">
    <cfRule type="cellIs" dxfId="0" priority="2839" operator="lessThan">
      <formula>20</formula>
    </cfRule>
    <cfRule type="cellIs" dxfId="1" priority="1763" operator="greaterThan">
      <formula>120</formula>
    </cfRule>
    <cfRule type="containsText" dxfId="2" priority="687" operator="between" text="库存为">
      <formula>NOT(ISERROR(SEARCH("库存为",AU395)))</formula>
    </cfRule>
  </conditionalFormatting>
  <conditionalFormatting sqref="AU396">
    <cfRule type="cellIs" dxfId="0" priority="2838" operator="lessThan">
      <formula>20</formula>
    </cfRule>
    <cfRule type="cellIs" dxfId="1" priority="1762" operator="greaterThan">
      <formula>120</formula>
    </cfRule>
    <cfRule type="containsText" dxfId="2" priority="686" operator="between" text="库存为">
      <formula>NOT(ISERROR(SEARCH("库存为",AU396)))</formula>
    </cfRule>
  </conditionalFormatting>
  <conditionalFormatting sqref="AU397">
    <cfRule type="cellIs" dxfId="0" priority="2837" operator="lessThan">
      <formula>20</formula>
    </cfRule>
    <cfRule type="cellIs" dxfId="1" priority="1761" operator="greaterThan">
      <formula>120</formula>
    </cfRule>
    <cfRule type="containsText" dxfId="2" priority="685" operator="between" text="库存为">
      <formula>NOT(ISERROR(SEARCH("库存为",AU397)))</formula>
    </cfRule>
  </conditionalFormatting>
  <conditionalFormatting sqref="AU398">
    <cfRule type="cellIs" dxfId="0" priority="2836" operator="lessThan">
      <formula>20</formula>
    </cfRule>
    <cfRule type="cellIs" dxfId="1" priority="1760" operator="greaterThan">
      <formula>120</formula>
    </cfRule>
    <cfRule type="containsText" dxfId="2" priority="684" operator="between" text="库存为">
      <formula>NOT(ISERROR(SEARCH("库存为",AU398)))</formula>
    </cfRule>
  </conditionalFormatting>
  <conditionalFormatting sqref="AU399">
    <cfRule type="cellIs" dxfId="0" priority="2835" operator="lessThan">
      <formula>20</formula>
    </cfRule>
    <cfRule type="cellIs" dxfId="1" priority="1759" operator="greaterThan">
      <formula>120</formula>
    </cfRule>
    <cfRule type="containsText" dxfId="2" priority="683" operator="between" text="库存为">
      <formula>NOT(ISERROR(SEARCH("库存为",AU399)))</formula>
    </cfRule>
  </conditionalFormatting>
  <conditionalFormatting sqref="AU400">
    <cfRule type="cellIs" dxfId="0" priority="2834" operator="lessThan">
      <formula>20</formula>
    </cfRule>
    <cfRule type="cellIs" dxfId="1" priority="1758" operator="greaterThan">
      <formula>120</formula>
    </cfRule>
    <cfRule type="containsText" dxfId="2" priority="682" operator="between" text="库存为">
      <formula>NOT(ISERROR(SEARCH("库存为",AU400)))</formula>
    </cfRule>
  </conditionalFormatting>
  <conditionalFormatting sqref="AU401">
    <cfRule type="cellIs" dxfId="0" priority="2833" operator="lessThan">
      <formula>20</formula>
    </cfRule>
    <cfRule type="cellIs" dxfId="1" priority="1757" operator="greaterThan">
      <formula>120</formula>
    </cfRule>
    <cfRule type="containsText" dxfId="2" priority="681" operator="between" text="库存为">
      <formula>NOT(ISERROR(SEARCH("库存为",AU401)))</formula>
    </cfRule>
  </conditionalFormatting>
  <conditionalFormatting sqref="AU402">
    <cfRule type="cellIs" dxfId="0" priority="2832" operator="lessThan">
      <formula>20</formula>
    </cfRule>
    <cfRule type="cellIs" dxfId="1" priority="1756" operator="greaterThan">
      <formula>120</formula>
    </cfRule>
    <cfRule type="containsText" dxfId="2" priority="680" operator="between" text="库存为">
      <formula>NOT(ISERROR(SEARCH("库存为",AU402)))</formula>
    </cfRule>
  </conditionalFormatting>
  <conditionalFormatting sqref="AU403">
    <cfRule type="cellIs" dxfId="0" priority="2831" operator="lessThan">
      <formula>20</formula>
    </cfRule>
    <cfRule type="cellIs" dxfId="1" priority="1755" operator="greaterThan">
      <formula>120</formula>
    </cfRule>
    <cfRule type="containsText" dxfId="2" priority="679" operator="between" text="库存为">
      <formula>NOT(ISERROR(SEARCH("库存为",AU403)))</formula>
    </cfRule>
  </conditionalFormatting>
  <conditionalFormatting sqref="AU404">
    <cfRule type="cellIs" dxfId="0" priority="2830" operator="lessThan">
      <formula>20</formula>
    </cfRule>
    <cfRule type="cellIs" dxfId="1" priority="1754" operator="greaterThan">
      <formula>120</formula>
    </cfRule>
    <cfRule type="containsText" dxfId="2" priority="678" operator="between" text="库存为">
      <formula>NOT(ISERROR(SEARCH("库存为",AU404)))</formula>
    </cfRule>
  </conditionalFormatting>
  <conditionalFormatting sqref="AU405">
    <cfRule type="cellIs" dxfId="0" priority="2829" operator="lessThan">
      <formula>20</formula>
    </cfRule>
    <cfRule type="cellIs" dxfId="1" priority="1753" operator="greaterThan">
      <formula>120</formula>
    </cfRule>
    <cfRule type="containsText" dxfId="2" priority="677" operator="between" text="库存为">
      <formula>NOT(ISERROR(SEARCH("库存为",AU405)))</formula>
    </cfRule>
  </conditionalFormatting>
  <conditionalFormatting sqref="AU406">
    <cfRule type="cellIs" dxfId="0" priority="2828" operator="lessThan">
      <formula>20</formula>
    </cfRule>
    <cfRule type="cellIs" dxfId="1" priority="1752" operator="greaterThan">
      <formula>120</formula>
    </cfRule>
    <cfRule type="containsText" dxfId="2" priority="676" operator="between" text="库存为">
      <formula>NOT(ISERROR(SEARCH("库存为",AU406)))</formula>
    </cfRule>
  </conditionalFormatting>
  <conditionalFormatting sqref="AU407">
    <cfRule type="cellIs" dxfId="0" priority="2827" operator="lessThan">
      <formula>20</formula>
    </cfRule>
    <cfRule type="cellIs" dxfId="1" priority="1751" operator="greaterThan">
      <formula>120</formula>
    </cfRule>
    <cfRule type="containsText" dxfId="2" priority="675" operator="between" text="库存为">
      <formula>NOT(ISERROR(SEARCH("库存为",AU407)))</formula>
    </cfRule>
  </conditionalFormatting>
  <conditionalFormatting sqref="AU408">
    <cfRule type="cellIs" dxfId="0" priority="2826" operator="lessThan">
      <formula>20</formula>
    </cfRule>
    <cfRule type="cellIs" dxfId="1" priority="1750" operator="greaterThan">
      <formula>120</formula>
    </cfRule>
    <cfRule type="containsText" dxfId="2" priority="674" operator="between" text="库存为">
      <formula>NOT(ISERROR(SEARCH("库存为",AU408)))</formula>
    </cfRule>
  </conditionalFormatting>
  <conditionalFormatting sqref="AU409">
    <cfRule type="cellIs" dxfId="0" priority="2825" operator="lessThan">
      <formula>20</formula>
    </cfRule>
    <cfRule type="cellIs" dxfId="1" priority="1749" operator="greaterThan">
      <formula>120</formula>
    </cfRule>
    <cfRule type="containsText" dxfId="2" priority="673" operator="between" text="库存为">
      <formula>NOT(ISERROR(SEARCH("库存为",AU409)))</formula>
    </cfRule>
  </conditionalFormatting>
  <conditionalFormatting sqref="AU410">
    <cfRule type="cellIs" dxfId="0" priority="2824" operator="lessThan">
      <formula>20</formula>
    </cfRule>
    <cfRule type="cellIs" dxfId="1" priority="1748" operator="greaterThan">
      <formula>120</formula>
    </cfRule>
    <cfRule type="containsText" dxfId="2" priority="672" operator="between" text="库存为">
      <formula>NOT(ISERROR(SEARCH("库存为",AU410)))</formula>
    </cfRule>
  </conditionalFormatting>
  <conditionalFormatting sqref="AU411">
    <cfRule type="cellIs" dxfId="0" priority="2823" operator="lessThan">
      <formula>20</formula>
    </cfRule>
    <cfRule type="cellIs" dxfId="1" priority="1747" operator="greaterThan">
      <formula>120</formula>
    </cfRule>
    <cfRule type="containsText" dxfId="2" priority="671" operator="between" text="库存为">
      <formula>NOT(ISERROR(SEARCH("库存为",AU411)))</formula>
    </cfRule>
  </conditionalFormatting>
  <conditionalFormatting sqref="AU412">
    <cfRule type="cellIs" dxfId="0" priority="2822" operator="lessThan">
      <formula>20</formula>
    </cfRule>
    <cfRule type="cellIs" dxfId="1" priority="1746" operator="greaterThan">
      <formula>120</formula>
    </cfRule>
    <cfRule type="containsText" dxfId="2" priority="670" operator="between" text="库存为">
      <formula>NOT(ISERROR(SEARCH("库存为",AU412)))</formula>
    </cfRule>
  </conditionalFormatting>
  <conditionalFormatting sqref="AU413">
    <cfRule type="cellIs" dxfId="0" priority="2821" operator="lessThan">
      <formula>20</formula>
    </cfRule>
    <cfRule type="cellIs" dxfId="1" priority="1745" operator="greaterThan">
      <formula>120</formula>
    </cfRule>
    <cfRule type="containsText" dxfId="2" priority="669" operator="between" text="库存为">
      <formula>NOT(ISERROR(SEARCH("库存为",AU413)))</formula>
    </cfRule>
  </conditionalFormatting>
  <conditionalFormatting sqref="AU414">
    <cfRule type="cellIs" dxfId="0" priority="2820" operator="lessThan">
      <formula>20</formula>
    </cfRule>
    <cfRule type="cellIs" dxfId="1" priority="1744" operator="greaterThan">
      <formula>120</formula>
    </cfRule>
    <cfRule type="containsText" dxfId="2" priority="668" operator="between" text="库存为">
      <formula>NOT(ISERROR(SEARCH("库存为",AU414)))</formula>
    </cfRule>
  </conditionalFormatting>
  <conditionalFormatting sqref="AU415">
    <cfRule type="cellIs" dxfId="0" priority="2819" operator="lessThan">
      <formula>20</formula>
    </cfRule>
    <cfRule type="cellIs" dxfId="1" priority="1743" operator="greaterThan">
      <formula>120</formula>
    </cfRule>
    <cfRule type="containsText" dxfId="2" priority="667" operator="between" text="库存为">
      <formula>NOT(ISERROR(SEARCH("库存为",AU415)))</formula>
    </cfRule>
  </conditionalFormatting>
  <conditionalFormatting sqref="AU416">
    <cfRule type="cellIs" dxfId="0" priority="2818" operator="lessThan">
      <formula>20</formula>
    </cfRule>
    <cfRule type="cellIs" dxfId="1" priority="1742" operator="greaterThan">
      <formula>120</formula>
    </cfRule>
    <cfRule type="containsText" dxfId="2" priority="666" operator="between" text="库存为">
      <formula>NOT(ISERROR(SEARCH("库存为",AU416)))</formula>
    </cfRule>
  </conditionalFormatting>
  <conditionalFormatting sqref="AU417">
    <cfRule type="cellIs" dxfId="0" priority="2817" operator="lessThan">
      <formula>20</formula>
    </cfRule>
    <cfRule type="cellIs" dxfId="1" priority="1741" operator="greaterThan">
      <formula>120</formula>
    </cfRule>
    <cfRule type="containsText" dxfId="2" priority="665" operator="between" text="库存为">
      <formula>NOT(ISERROR(SEARCH("库存为",AU417)))</formula>
    </cfRule>
  </conditionalFormatting>
  <conditionalFormatting sqref="AU418">
    <cfRule type="cellIs" dxfId="0" priority="2816" operator="lessThan">
      <formula>20</formula>
    </cfRule>
    <cfRule type="cellIs" dxfId="1" priority="1740" operator="greaterThan">
      <formula>120</formula>
    </cfRule>
    <cfRule type="containsText" dxfId="2" priority="664" operator="between" text="库存为">
      <formula>NOT(ISERROR(SEARCH("库存为",AU418)))</formula>
    </cfRule>
  </conditionalFormatting>
  <conditionalFormatting sqref="AU419">
    <cfRule type="cellIs" dxfId="0" priority="2815" operator="lessThan">
      <formula>20</formula>
    </cfRule>
    <cfRule type="cellIs" dxfId="1" priority="1739" operator="greaterThan">
      <formula>120</formula>
    </cfRule>
    <cfRule type="containsText" dxfId="2" priority="663" operator="between" text="库存为">
      <formula>NOT(ISERROR(SEARCH("库存为",AU419)))</formula>
    </cfRule>
  </conditionalFormatting>
  <conditionalFormatting sqref="AU420">
    <cfRule type="cellIs" dxfId="0" priority="2814" operator="lessThan">
      <formula>20</formula>
    </cfRule>
    <cfRule type="cellIs" dxfId="1" priority="1738" operator="greaterThan">
      <formula>120</formula>
    </cfRule>
    <cfRule type="containsText" dxfId="2" priority="662" operator="between" text="库存为">
      <formula>NOT(ISERROR(SEARCH("库存为",AU420)))</formula>
    </cfRule>
  </conditionalFormatting>
  <conditionalFormatting sqref="AU421">
    <cfRule type="cellIs" dxfId="0" priority="2813" operator="lessThan">
      <formula>20</formula>
    </cfRule>
    <cfRule type="cellIs" dxfId="1" priority="1737" operator="greaterThan">
      <formula>120</formula>
    </cfRule>
    <cfRule type="containsText" dxfId="2" priority="661" operator="between" text="库存为">
      <formula>NOT(ISERROR(SEARCH("库存为",AU421)))</formula>
    </cfRule>
  </conditionalFormatting>
  <conditionalFormatting sqref="AU422">
    <cfRule type="cellIs" dxfId="0" priority="2812" operator="lessThan">
      <formula>20</formula>
    </cfRule>
    <cfRule type="cellIs" dxfId="1" priority="1736" operator="greaterThan">
      <formula>120</formula>
    </cfRule>
    <cfRule type="containsText" dxfId="2" priority="660" operator="between" text="库存为">
      <formula>NOT(ISERROR(SEARCH("库存为",AU422)))</formula>
    </cfRule>
  </conditionalFormatting>
  <conditionalFormatting sqref="AU423">
    <cfRule type="cellIs" dxfId="0" priority="2811" operator="lessThan">
      <formula>20</formula>
    </cfRule>
    <cfRule type="cellIs" dxfId="1" priority="1735" operator="greaterThan">
      <formula>120</formula>
    </cfRule>
    <cfRule type="containsText" dxfId="2" priority="659" operator="between" text="库存为">
      <formula>NOT(ISERROR(SEARCH("库存为",AU423)))</formula>
    </cfRule>
  </conditionalFormatting>
  <conditionalFormatting sqref="AU424">
    <cfRule type="cellIs" dxfId="0" priority="2810" operator="lessThan">
      <formula>20</formula>
    </cfRule>
    <cfRule type="cellIs" dxfId="1" priority="1734" operator="greaterThan">
      <formula>120</formula>
    </cfRule>
    <cfRule type="containsText" dxfId="2" priority="658" operator="between" text="库存为">
      <formula>NOT(ISERROR(SEARCH("库存为",AU424)))</formula>
    </cfRule>
  </conditionalFormatting>
  <conditionalFormatting sqref="AU425">
    <cfRule type="cellIs" dxfId="0" priority="2809" operator="lessThan">
      <formula>20</formula>
    </cfRule>
    <cfRule type="cellIs" dxfId="1" priority="1733" operator="greaterThan">
      <formula>120</formula>
    </cfRule>
    <cfRule type="containsText" dxfId="2" priority="657" operator="between" text="库存为">
      <formula>NOT(ISERROR(SEARCH("库存为",AU425)))</formula>
    </cfRule>
  </conditionalFormatting>
  <conditionalFormatting sqref="AU426">
    <cfRule type="cellIs" dxfId="0" priority="2808" operator="lessThan">
      <formula>20</formula>
    </cfRule>
    <cfRule type="cellIs" dxfId="1" priority="1732" operator="greaterThan">
      <formula>120</formula>
    </cfRule>
    <cfRule type="containsText" dxfId="2" priority="656" operator="between" text="库存为">
      <formula>NOT(ISERROR(SEARCH("库存为",AU426)))</formula>
    </cfRule>
  </conditionalFormatting>
  <conditionalFormatting sqref="AU427">
    <cfRule type="cellIs" dxfId="0" priority="2807" operator="lessThan">
      <formula>20</formula>
    </cfRule>
    <cfRule type="cellIs" dxfId="1" priority="1731" operator="greaterThan">
      <formula>120</formula>
    </cfRule>
    <cfRule type="containsText" dxfId="2" priority="655" operator="between" text="库存为">
      <formula>NOT(ISERROR(SEARCH("库存为",AU427)))</formula>
    </cfRule>
  </conditionalFormatting>
  <conditionalFormatting sqref="AU428">
    <cfRule type="cellIs" dxfId="0" priority="2806" operator="lessThan">
      <formula>20</formula>
    </cfRule>
    <cfRule type="cellIs" dxfId="1" priority="1730" operator="greaterThan">
      <formula>120</formula>
    </cfRule>
    <cfRule type="containsText" dxfId="2" priority="654" operator="between" text="库存为">
      <formula>NOT(ISERROR(SEARCH("库存为",AU428)))</formula>
    </cfRule>
  </conditionalFormatting>
  <conditionalFormatting sqref="AU429">
    <cfRule type="cellIs" dxfId="0" priority="2805" operator="lessThan">
      <formula>20</formula>
    </cfRule>
    <cfRule type="cellIs" dxfId="1" priority="1729" operator="greaterThan">
      <formula>120</formula>
    </cfRule>
    <cfRule type="containsText" dxfId="2" priority="653" operator="between" text="库存为">
      <formula>NOT(ISERROR(SEARCH("库存为",AU429)))</formula>
    </cfRule>
  </conditionalFormatting>
  <conditionalFormatting sqref="AU430">
    <cfRule type="cellIs" dxfId="0" priority="2804" operator="lessThan">
      <formula>20</formula>
    </cfRule>
    <cfRule type="cellIs" dxfId="1" priority="1728" operator="greaterThan">
      <formula>120</formula>
    </cfRule>
    <cfRule type="containsText" dxfId="2" priority="652" operator="between" text="库存为">
      <formula>NOT(ISERROR(SEARCH("库存为",AU430)))</formula>
    </cfRule>
  </conditionalFormatting>
  <conditionalFormatting sqref="AU431">
    <cfRule type="cellIs" dxfId="0" priority="2803" operator="lessThan">
      <formula>20</formula>
    </cfRule>
    <cfRule type="cellIs" dxfId="1" priority="1727" operator="greaterThan">
      <formula>120</formula>
    </cfRule>
    <cfRule type="containsText" dxfId="2" priority="651" operator="between" text="库存为">
      <formula>NOT(ISERROR(SEARCH("库存为",AU431)))</formula>
    </cfRule>
  </conditionalFormatting>
  <conditionalFormatting sqref="AU432">
    <cfRule type="cellIs" dxfId="0" priority="2802" operator="lessThan">
      <formula>20</formula>
    </cfRule>
    <cfRule type="cellIs" dxfId="1" priority="1726" operator="greaterThan">
      <formula>120</formula>
    </cfRule>
    <cfRule type="containsText" dxfId="2" priority="650" operator="between" text="库存为">
      <formula>NOT(ISERROR(SEARCH("库存为",AU432)))</formula>
    </cfRule>
  </conditionalFormatting>
  <conditionalFormatting sqref="AU433">
    <cfRule type="cellIs" dxfId="0" priority="2801" operator="lessThan">
      <formula>20</formula>
    </cfRule>
    <cfRule type="cellIs" dxfId="1" priority="1725" operator="greaterThan">
      <formula>120</formula>
    </cfRule>
    <cfRule type="containsText" dxfId="2" priority="649" operator="between" text="库存为">
      <formula>NOT(ISERROR(SEARCH("库存为",AU433)))</formula>
    </cfRule>
  </conditionalFormatting>
  <conditionalFormatting sqref="AU434">
    <cfRule type="cellIs" dxfId="0" priority="2800" operator="lessThan">
      <formula>20</formula>
    </cfRule>
    <cfRule type="cellIs" dxfId="1" priority="1724" operator="greaterThan">
      <formula>120</formula>
    </cfRule>
    <cfRule type="containsText" dxfId="2" priority="648" operator="between" text="库存为">
      <formula>NOT(ISERROR(SEARCH("库存为",AU434)))</formula>
    </cfRule>
  </conditionalFormatting>
  <conditionalFormatting sqref="AU435">
    <cfRule type="cellIs" dxfId="0" priority="2799" operator="lessThan">
      <formula>20</formula>
    </cfRule>
    <cfRule type="cellIs" dxfId="1" priority="1723" operator="greaterThan">
      <formula>120</formula>
    </cfRule>
    <cfRule type="containsText" dxfId="2" priority="647" operator="between" text="库存为">
      <formula>NOT(ISERROR(SEARCH("库存为",AU435)))</formula>
    </cfRule>
  </conditionalFormatting>
  <conditionalFormatting sqref="AU436">
    <cfRule type="cellIs" dxfId="0" priority="2798" operator="lessThan">
      <formula>20</formula>
    </cfRule>
    <cfRule type="cellIs" dxfId="1" priority="1722" operator="greaterThan">
      <formula>120</formula>
    </cfRule>
    <cfRule type="containsText" dxfId="2" priority="646" operator="between" text="库存为">
      <formula>NOT(ISERROR(SEARCH("库存为",AU436)))</formula>
    </cfRule>
  </conditionalFormatting>
  <conditionalFormatting sqref="AU437">
    <cfRule type="cellIs" dxfId="0" priority="2797" operator="lessThan">
      <formula>20</formula>
    </cfRule>
    <cfRule type="cellIs" dxfId="1" priority="1721" operator="greaterThan">
      <formula>120</formula>
    </cfRule>
    <cfRule type="containsText" dxfId="2" priority="645" operator="between" text="库存为">
      <formula>NOT(ISERROR(SEARCH("库存为",AU437)))</formula>
    </cfRule>
  </conditionalFormatting>
  <conditionalFormatting sqref="AU438">
    <cfRule type="cellIs" dxfId="0" priority="2796" operator="lessThan">
      <formula>20</formula>
    </cfRule>
    <cfRule type="cellIs" dxfId="1" priority="1720" operator="greaterThan">
      <formula>120</formula>
    </cfRule>
    <cfRule type="containsText" dxfId="2" priority="644" operator="between" text="库存为">
      <formula>NOT(ISERROR(SEARCH("库存为",AU438)))</formula>
    </cfRule>
  </conditionalFormatting>
  <conditionalFormatting sqref="AU439">
    <cfRule type="cellIs" dxfId="0" priority="2795" operator="lessThan">
      <formula>20</formula>
    </cfRule>
    <cfRule type="cellIs" dxfId="1" priority="1719" operator="greaterThan">
      <formula>120</formula>
    </cfRule>
    <cfRule type="containsText" dxfId="2" priority="643" operator="between" text="库存为">
      <formula>NOT(ISERROR(SEARCH("库存为",AU439)))</formula>
    </cfRule>
  </conditionalFormatting>
  <conditionalFormatting sqref="AU440">
    <cfRule type="cellIs" dxfId="0" priority="2794" operator="lessThan">
      <formula>20</formula>
    </cfRule>
    <cfRule type="cellIs" dxfId="1" priority="1718" operator="greaterThan">
      <formula>120</formula>
    </cfRule>
    <cfRule type="containsText" dxfId="2" priority="642" operator="between" text="库存为">
      <formula>NOT(ISERROR(SEARCH("库存为",AU440)))</formula>
    </cfRule>
  </conditionalFormatting>
  <conditionalFormatting sqref="AU441">
    <cfRule type="cellIs" dxfId="0" priority="2793" operator="lessThan">
      <formula>20</formula>
    </cfRule>
    <cfRule type="cellIs" dxfId="1" priority="1717" operator="greaterThan">
      <formula>120</formula>
    </cfRule>
    <cfRule type="containsText" dxfId="2" priority="641" operator="between" text="库存为">
      <formula>NOT(ISERROR(SEARCH("库存为",AU441)))</formula>
    </cfRule>
  </conditionalFormatting>
  <conditionalFormatting sqref="AU442">
    <cfRule type="cellIs" dxfId="0" priority="2792" operator="lessThan">
      <formula>20</formula>
    </cfRule>
    <cfRule type="cellIs" dxfId="1" priority="1716" operator="greaterThan">
      <formula>120</formula>
    </cfRule>
    <cfRule type="containsText" dxfId="2" priority="640" operator="between" text="库存为">
      <formula>NOT(ISERROR(SEARCH("库存为",AU442)))</formula>
    </cfRule>
  </conditionalFormatting>
  <conditionalFormatting sqref="AU443">
    <cfRule type="cellIs" dxfId="0" priority="2791" operator="lessThan">
      <formula>20</formula>
    </cfRule>
    <cfRule type="cellIs" dxfId="1" priority="1715" operator="greaterThan">
      <formula>120</formula>
    </cfRule>
    <cfRule type="containsText" dxfId="2" priority="639" operator="between" text="库存为">
      <formula>NOT(ISERROR(SEARCH("库存为",AU443)))</formula>
    </cfRule>
  </conditionalFormatting>
  <conditionalFormatting sqref="AU444">
    <cfRule type="cellIs" dxfId="0" priority="2790" operator="lessThan">
      <formula>20</formula>
    </cfRule>
    <cfRule type="cellIs" dxfId="1" priority="1714" operator="greaterThan">
      <formula>120</formula>
    </cfRule>
    <cfRule type="containsText" dxfId="2" priority="638" operator="between" text="库存为">
      <formula>NOT(ISERROR(SEARCH("库存为",AU444)))</formula>
    </cfRule>
  </conditionalFormatting>
  <conditionalFormatting sqref="AU445">
    <cfRule type="cellIs" dxfId="0" priority="2789" operator="lessThan">
      <formula>20</formula>
    </cfRule>
    <cfRule type="cellIs" dxfId="1" priority="1713" operator="greaterThan">
      <formula>120</formula>
    </cfRule>
    <cfRule type="containsText" dxfId="2" priority="637" operator="between" text="库存为">
      <formula>NOT(ISERROR(SEARCH("库存为",AU445)))</formula>
    </cfRule>
  </conditionalFormatting>
  <conditionalFormatting sqref="AU446">
    <cfRule type="cellIs" dxfId="0" priority="2788" operator="lessThan">
      <formula>20</formula>
    </cfRule>
    <cfRule type="cellIs" dxfId="1" priority="1712" operator="greaterThan">
      <formula>120</formula>
    </cfRule>
    <cfRule type="containsText" dxfId="2" priority="636" operator="between" text="库存为">
      <formula>NOT(ISERROR(SEARCH("库存为",AU446)))</formula>
    </cfRule>
  </conditionalFormatting>
  <conditionalFormatting sqref="AU447">
    <cfRule type="cellIs" dxfId="0" priority="2787" operator="lessThan">
      <formula>20</formula>
    </cfRule>
    <cfRule type="cellIs" dxfId="1" priority="1711" operator="greaterThan">
      <formula>120</formula>
    </cfRule>
    <cfRule type="containsText" dxfId="2" priority="635" operator="between" text="库存为">
      <formula>NOT(ISERROR(SEARCH("库存为",AU447)))</formula>
    </cfRule>
  </conditionalFormatting>
  <conditionalFormatting sqref="AU448">
    <cfRule type="cellIs" dxfId="0" priority="2786" operator="lessThan">
      <formula>20</formula>
    </cfRule>
    <cfRule type="cellIs" dxfId="1" priority="1710" operator="greaterThan">
      <formula>120</formula>
    </cfRule>
    <cfRule type="containsText" dxfId="2" priority="634" operator="between" text="库存为">
      <formula>NOT(ISERROR(SEARCH("库存为",AU448)))</formula>
    </cfRule>
  </conditionalFormatting>
  <conditionalFormatting sqref="AU449">
    <cfRule type="cellIs" dxfId="0" priority="2785" operator="lessThan">
      <formula>20</formula>
    </cfRule>
    <cfRule type="cellIs" dxfId="1" priority="1709" operator="greaterThan">
      <formula>120</formula>
    </cfRule>
    <cfRule type="containsText" dxfId="2" priority="633" operator="between" text="库存为">
      <formula>NOT(ISERROR(SEARCH("库存为",AU449)))</formula>
    </cfRule>
  </conditionalFormatting>
  <conditionalFormatting sqref="AU450">
    <cfRule type="cellIs" dxfId="0" priority="2784" operator="lessThan">
      <formula>20</formula>
    </cfRule>
    <cfRule type="cellIs" dxfId="1" priority="1708" operator="greaterThan">
      <formula>120</formula>
    </cfRule>
    <cfRule type="containsText" dxfId="2" priority="632" operator="between" text="库存为">
      <formula>NOT(ISERROR(SEARCH("库存为",AU450)))</formula>
    </cfRule>
  </conditionalFormatting>
  <conditionalFormatting sqref="AU451">
    <cfRule type="cellIs" dxfId="0" priority="2783" operator="lessThan">
      <formula>20</formula>
    </cfRule>
    <cfRule type="cellIs" dxfId="1" priority="1707" operator="greaterThan">
      <formula>120</formula>
    </cfRule>
    <cfRule type="containsText" dxfId="2" priority="631" operator="between" text="库存为">
      <formula>NOT(ISERROR(SEARCH("库存为",AU451)))</formula>
    </cfRule>
  </conditionalFormatting>
  <conditionalFormatting sqref="AU452">
    <cfRule type="cellIs" dxfId="0" priority="2782" operator="lessThan">
      <formula>20</formula>
    </cfRule>
    <cfRule type="cellIs" dxfId="1" priority="1706" operator="greaterThan">
      <formula>120</formula>
    </cfRule>
    <cfRule type="containsText" dxfId="2" priority="630" operator="between" text="库存为">
      <formula>NOT(ISERROR(SEARCH("库存为",AU452)))</formula>
    </cfRule>
  </conditionalFormatting>
  <conditionalFormatting sqref="AU453">
    <cfRule type="cellIs" dxfId="0" priority="2781" operator="lessThan">
      <formula>20</formula>
    </cfRule>
    <cfRule type="cellIs" dxfId="1" priority="1705" operator="greaterThan">
      <formula>120</formula>
    </cfRule>
    <cfRule type="containsText" dxfId="2" priority="629" operator="between" text="库存为">
      <formula>NOT(ISERROR(SEARCH("库存为",AU453)))</formula>
    </cfRule>
  </conditionalFormatting>
  <conditionalFormatting sqref="AU454">
    <cfRule type="cellIs" dxfId="0" priority="2780" operator="lessThan">
      <formula>20</formula>
    </cfRule>
    <cfRule type="cellIs" dxfId="1" priority="1704" operator="greaterThan">
      <formula>120</formula>
    </cfRule>
    <cfRule type="containsText" dxfId="2" priority="628" operator="between" text="库存为">
      <formula>NOT(ISERROR(SEARCH("库存为",AU454)))</formula>
    </cfRule>
  </conditionalFormatting>
  <conditionalFormatting sqref="AU455">
    <cfRule type="cellIs" dxfId="0" priority="2779" operator="lessThan">
      <formula>20</formula>
    </cfRule>
    <cfRule type="cellIs" dxfId="1" priority="1703" operator="greaterThan">
      <formula>120</formula>
    </cfRule>
    <cfRule type="containsText" dxfId="2" priority="627" operator="between" text="库存为">
      <formula>NOT(ISERROR(SEARCH("库存为",AU455)))</formula>
    </cfRule>
  </conditionalFormatting>
  <conditionalFormatting sqref="AU456">
    <cfRule type="cellIs" dxfId="0" priority="2778" operator="lessThan">
      <formula>20</formula>
    </cfRule>
    <cfRule type="cellIs" dxfId="1" priority="1702" operator="greaterThan">
      <formula>120</formula>
    </cfRule>
    <cfRule type="containsText" dxfId="2" priority="626" operator="between" text="库存为">
      <formula>NOT(ISERROR(SEARCH("库存为",AU456)))</formula>
    </cfRule>
  </conditionalFormatting>
  <conditionalFormatting sqref="AU457">
    <cfRule type="cellIs" dxfId="0" priority="2777" operator="lessThan">
      <formula>20</formula>
    </cfRule>
    <cfRule type="cellIs" dxfId="1" priority="1701" operator="greaterThan">
      <formula>120</formula>
    </cfRule>
    <cfRule type="containsText" dxfId="2" priority="625" operator="between" text="库存为">
      <formula>NOT(ISERROR(SEARCH("库存为",AU457)))</formula>
    </cfRule>
  </conditionalFormatting>
  <conditionalFormatting sqref="AU458">
    <cfRule type="cellIs" dxfId="0" priority="2776" operator="lessThan">
      <formula>20</formula>
    </cfRule>
    <cfRule type="cellIs" dxfId="1" priority="1700" operator="greaterThan">
      <formula>120</formula>
    </cfRule>
    <cfRule type="containsText" dxfId="2" priority="624" operator="between" text="库存为">
      <formula>NOT(ISERROR(SEARCH("库存为",AU458)))</formula>
    </cfRule>
  </conditionalFormatting>
  <conditionalFormatting sqref="AU459">
    <cfRule type="cellIs" dxfId="0" priority="2775" operator="lessThan">
      <formula>20</formula>
    </cfRule>
    <cfRule type="cellIs" dxfId="1" priority="1699" operator="greaterThan">
      <formula>120</formula>
    </cfRule>
    <cfRule type="containsText" dxfId="2" priority="623" operator="between" text="库存为">
      <formula>NOT(ISERROR(SEARCH("库存为",AU459)))</formula>
    </cfRule>
  </conditionalFormatting>
  <conditionalFormatting sqref="AU460">
    <cfRule type="cellIs" dxfId="0" priority="2774" operator="lessThan">
      <formula>20</formula>
    </cfRule>
    <cfRule type="cellIs" dxfId="1" priority="1698" operator="greaterThan">
      <formula>120</formula>
    </cfRule>
    <cfRule type="containsText" dxfId="2" priority="622" operator="between" text="库存为">
      <formula>NOT(ISERROR(SEARCH("库存为",AU460)))</formula>
    </cfRule>
  </conditionalFormatting>
  <conditionalFormatting sqref="AU461">
    <cfRule type="cellIs" dxfId="0" priority="2773" operator="lessThan">
      <formula>20</formula>
    </cfRule>
    <cfRule type="cellIs" dxfId="1" priority="1697" operator="greaterThan">
      <formula>120</formula>
    </cfRule>
    <cfRule type="containsText" dxfId="2" priority="621" operator="between" text="库存为">
      <formula>NOT(ISERROR(SEARCH("库存为",AU461)))</formula>
    </cfRule>
  </conditionalFormatting>
  <conditionalFormatting sqref="AU462">
    <cfRule type="cellIs" dxfId="0" priority="2772" operator="lessThan">
      <formula>20</formula>
    </cfRule>
    <cfRule type="cellIs" dxfId="1" priority="1696" operator="greaterThan">
      <formula>120</formula>
    </cfRule>
    <cfRule type="containsText" dxfId="2" priority="620" operator="between" text="库存为">
      <formula>NOT(ISERROR(SEARCH("库存为",AU462)))</formula>
    </cfRule>
  </conditionalFormatting>
  <conditionalFormatting sqref="AU463">
    <cfRule type="cellIs" dxfId="0" priority="2771" operator="lessThan">
      <formula>20</formula>
    </cfRule>
    <cfRule type="cellIs" dxfId="1" priority="1695" operator="greaterThan">
      <formula>120</formula>
    </cfRule>
    <cfRule type="containsText" dxfId="2" priority="619" operator="between" text="库存为">
      <formula>NOT(ISERROR(SEARCH("库存为",AU463)))</formula>
    </cfRule>
  </conditionalFormatting>
  <conditionalFormatting sqref="AU464">
    <cfRule type="cellIs" dxfId="0" priority="2770" operator="lessThan">
      <formula>20</formula>
    </cfRule>
    <cfRule type="cellIs" dxfId="1" priority="1694" operator="greaterThan">
      <formula>120</formula>
    </cfRule>
    <cfRule type="containsText" dxfId="2" priority="618" operator="between" text="库存为">
      <formula>NOT(ISERROR(SEARCH("库存为",AU464)))</formula>
    </cfRule>
  </conditionalFormatting>
  <conditionalFormatting sqref="AU465">
    <cfRule type="cellIs" dxfId="0" priority="2769" operator="lessThan">
      <formula>20</formula>
    </cfRule>
    <cfRule type="cellIs" dxfId="1" priority="1693" operator="greaterThan">
      <formula>120</formula>
    </cfRule>
    <cfRule type="containsText" dxfId="2" priority="617" operator="between" text="库存为">
      <formula>NOT(ISERROR(SEARCH("库存为",AU465)))</formula>
    </cfRule>
  </conditionalFormatting>
  <conditionalFormatting sqref="AU466">
    <cfRule type="cellIs" dxfId="0" priority="2768" operator="lessThan">
      <formula>20</formula>
    </cfRule>
    <cfRule type="cellIs" dxfId="1" priority="1692" operator="greaterThan">
      <formula>120</formula>
    </cfRule>
    <cfRule type="containsText" dxfId="2" priority="616" operator="between" text="库存为">
      <formula>NOT(ISERROR(SEARCH("库存为",AU466)))</formula>
    </cfRule>
  </conditionalFormatting>
  <conditionalFormatting sqref="AU467">
    <cfRule type="cellIs" dxfId="0" priority="2767" operator="lessThan">
      <formula>20</formula>
    </cfRule>
    <cfRule type="cellIs" dxfId="1" priority="1691" operator="greaterThan">
      <formula>120</formula>
    </cfRule>
    <cfRule type="containsText" dxfId="2" priority="615" operator="between" text="库存为">
      <formula>NOT(ISERROR(SEARCH("库存为",AU467)))</formula>
    </cfRule>
  </conditionalFormatting>
  <conditionalFormatting sqref="AU468">
    <cfRule type="cellIs" dxfId="0" priority="2766" operator="lessThan">
      <formula>20</formula>
    </cfRule>
    <cfRule type="cellIs" dxfId="1" priority="1690" operator="greaterThan">
      <formula>120</formula>
    </cfRule>
    <cfRule type="containsText" dxfId="2" priority="614" operator="between" text="库存为">
      <formula>NOT(ISERROR(SEARCH("库存为",AU468)))</formula>
    </cfRule>
  </conditionalFormatting>
  <conditionalFormatting sqref="AU469">
    <cfRule type="cellIs" dxfId="0" priority="2765" operator="lessThan">
      <formula>20</formula>
    </cfRule>
    <cfRule type="cellIs" dxfId="1" priority="1689" operator="greaterThan">
      <formula>120</formula>
    </cfRule>
    <cfRule type="containsText" dxfId="2" priority="613" operator="between" text="库存为">
      <formula>NOT(ISERROR(SEARCH("库存为",AU469)))</formula>
    </cfRule>
  </conditionalFormatting>
  <conditionalFormatting sqref="AU470">
    <cfRule type="cellIs" dxfId="0" priority="2764" operator="lessThan">
      <formula>20</formula>
    </cfRule>
    <cfRule type="cellIs" dxfId="1" priority="1688" operator="greaterThan">
      <formula>120</formula>
    </cfRule>
    <cfRule type="containsText" dxfId="2" priority="612" operator="between" text="库存为">
      <formula>NOT(ISERROR(SEARCH("库存为",AU470)))</formula>
    </cfRule>
  </conditionalFormatting>
  <conditionalFormatting sqref="AU471">
    <cfRule type="cellIs" dxfId="0" priority="2763" operator="lessThan">
      <formula>20</formula>
    </cfRule>
    <cfRule type="cellIs" dxfId="1" priority="1687" operator="greaterThan">
      <formula>120</formula>
    </cfRule>
    <cfRule type="containsText" dxfId="2" priority="611" operator="between" text="库存为">
      <formula>NOT(ISERROR(SEARCH("库存为",AU471)))</formula>
    </cfRule>
  </conditionalFormatting>
  <conditionalFormatting sqref="AU472">
    <cfRule type="cellIs" dxfId="0" priority="2762" operator="lessThan">
      <formula>20</formula>
    </cfRule>
    <cfRule type="cellIs" dxfId="1" priority="1686" operator="greaterThan">
      <formula>120</formula>
    </cfRule>
    <cfRule type="containsText" dxfId="2" priority="610" operator="between" text="库存为">
      <formula>NOT(ISERROR(SEARCH("库存为",AU472)))</formula>
    </cfRule>
  </conditionalFormatting>
  <conditionalFormatting sqref="AU473">
    <cfRule type="cellIs" dxfId="0" priority="2761" operator="lessThan">
      <formula>20</formula>
    </cfRule>
    <cfRule type="cellIs" dxfId="1" priority="1685" operator="greaterThan">
      <formula>120</formula>
    </cfRule>
    <cfRule type="containsText" dxfId="2" priority="609" operator="between" text="库存为">
      <formula>NOT(ISERROR(SEARCH("库存为",AU473)))</formula>
    </cfRule>
  </conditionalFormatting>
  <conditionalFormatting sqref="AU474">
    <cfRule type="cellIs" dxfId="0" priority="2760" operator="lessThan">
      <formula>20</formula>
    </cfRule>
    <cfRule type="cellIs" dxfId="1" priority="1684" operator="greaterThan">
      <formula>120</formula>
    </cfRule>
    <cfRule type="containsText" dxfId="2" priority="608" operator="between" text="库存为">
      <formula>NOT(ISERROR(SEARCH("库存为",AU474)))</formula>
    </cfRule>
  </conditionalFormatting>
  <conditionalFormatting sqref="AU475">
    <cfRule type="cellIs" dxfId="0" priority="2759" operator="lessThan">
      <formula>20</formula>
    </cfRule>
    <cfRule type="cellIs" dxfId="1" priority="1683" operator="greaterThan">
      <formula>120</formula>
    </cfRule>
    <cfRule type="containsText" dxfId="2" priority="607" operator="between" text="库存为">
      <formula>NOT(ISERROR(SEARCH("库存为",AU475)))</formula>
    </cfRule>
  </conditionalFormatting>
  <conditionalFormatting sqref="AU476">
    <cfRule type="cellIs" dxfId="0" priority="2758" operator="lessThan">
      <formula>20</formula>
    </cfRule>
    <cfRule type="cellIs" dxfId="1" priority="1682" operator="greaterThan">
      <formula>120</formula>
    </cfRule>
    <cfRule type="containsText" dxfId="2" priority="606" operator="between" text="库存为">
      <formula>NOT(ISERROR(SEARCH("库存为",AU476)))</formula>
    </cfRule>
  </conditionalFormatting>
  <conditionalFormatting sqref="AU477">
    <cfRule type="cellIs" dxfId="0" priority="2757" operator="lessThan">
      <formula>20</formula>
    </cfRule>
    <cfRule type="cellIs" dxfId="1" priority="1681" operator="greaterThan">
      <formula>120</formula>
    </cfRule>
    <cfRule type="containsText" dxfId="2" priority="605" operator="between" text="库存为">
      <formula>NOT(ISERROR(SEARCH("库存为",AU477)))</formula>
    </cfRule>
  </conditionalFormatting>
  <conditionalFormatting sqref="AU478">
    <cfRule type="cellIs" dxfId="0" priority="2756" operator="lessThan">
      <formula>20</formula>
    </cfRule>
    <cfRule type="cellIs" dxfId="1" priority="1680" operator="greaterThan">
      <formula>120</formula>
    </cfRule>
    <cfRule type="containsText" dxfId="2" priority="604" operator="between" text="库存为">
      <formula>NOT(ISERROR(SEARCH("库存为",AU478)))</formula>
    </cfRule>
  </conditionalFormatting>
  <conditionalFormatting sqref="AU479">
    <cfRule type="cellIs" dxfId="0" priority="2755" operator="lessThan">
      <formula>20</formula>
    </cfRule>
    <cfRule type="cellIs" dxfId="1" priority="1679" operator="greaterThan">
      <formula>120</formula>
    </cfRule>
    <cfRule type="containsText" dxfId="2" priority="603" operator="between" text="库存为">
      <formula>NOT(ISERROR(SEARCH("库存为",AU479)))</formula>
    </cfRule>
  </conditionalFormatting>
  <conditionalFormatting sqref="AU480">
    <cfRule type="cellIs" dxfId="0" priority="2754" operator="lessThan">
      <formula>20</formula>
    </cfRule>
    <cfRule type="cellIs" dxfId="1" priority="1678" operator="greaterThan">
      <formula>120</formula>
    </cfRule>
    <cfRule type="containsText" dxfId="2" priority="602" operator="between" text="库存为">
      <formula>NOT(ISERROR(SEARCH("库存为",AU480)))</formula>
    </cfRule>
  </conditionalFormatting>
  <conditionalFormatting sqref="AU481">
    <cfRule type="cellIs" dxfId="0" priority="2753" operator="lessThan">
      <formula>20</formula>
    </cfRule>
    <cfRule type="cellIs" dxfId="1" priority="1677" operator="greaterThan">
      <formula>120</formula>
    </cfRule>
    <cfRule type="containsText" dxfId="2" priority="601" operator="between" text="库存为">
      <formula>NOT(ISERROR(SEARCH("库存为",AU481)))</formula>
    </cfRule>
  </conditionalFormatting>
  <conditionalFormatting sqref="AU482">
    <cfRule type="cellIs" dxfId="0" priority="2752" operator="lessThan">
      <formula>20</formula>
    </cfRule>
    <cfRule type="cellIs" dxfId="1" priority="1676" operator="greaterThan">
      <formula>120</formula>
    </cfRule>
    <cfRule type="containsText" dxfId="2" priority="600" operator="between" text="库存为">
      <formula>NOT(ISERROR(SEARCH("库存为",AU482)))</formula>
    </cfRule>
  </conditionalFormatting>
  <conditionalFormatting sqref="AU483">
    <cfRule type="cellIs" dxfId="0" priority="2751" operator="lessThan">
      <formula>20</formula>
    </cfRule>
    <cfRule type="cellIs" dxfId="1" priority="1675" operator="greaterThan">
      <formula>120</formula>
    </cfRule>
    <cfRule type="containsText" dxfId="2" priority="599" operator="between" text="库存为">
      <formula>NOT(ISERROR(SEARCH("库存为",AU483)))</formula>
    </cfRule>
  </conditionalFormatting>
  <conditionalFormatting sqref="AU484">
    <cfRule type="cellIs" dxfId="0" priority="2750" operator="lessThan">
      <formula>20</formula>
    </cfRule>
    <cfRule type="cellIs" dxfId="1" priority="1674" operator="greaterThan">
      <formula>120</formula>
    </cfRule>
    <cfRule type="containsText" dxfId="2" priority="598" operator="between" text="库存为">
      <formula>NOT(ISERROR(SEARCH("库存为",AU484)))</formula>
    </cfRule>
  </conditionalFormatting>
  <conditionalFormatting sqref="AU485">
    <cfRule type="cellIs" dxfId="0" priority="2749" operator="lessThan">
      <formula>20</formula>
    </cfRule>
    <cfRule type="cellIs" dxfId="1" priority="1673" operator="greaterThan">
      <formula>120</formula>
    </cfRule>
    <cfRule type="containsText" dxfId="2" priority="597" operator="between" text="库存为">
      <formula>NOT(ISERROR(SEARCH("库存为",AU485)))</formula>
    </cfRule>
  </conditionalFormatting>
  <conditionalFormatting sqref="AU486">
    <cfRule type="cellIs" dxfId="0" priority="2748" operator="lessThan">
      <formula>20</formula>
    </cfRule>
    <cfRule type="cellIs" dxfId="1" priority="1672" operator="greaterThan">
      <formula>120</formula>
    </cfRule>
    <cfRule type="containsText" dxfId="2" priority="596" operator="between" text="库存为">
      <formula>NOT(ISERROR(SEARCH("库存为",AU486)))</formula>
    </cfRule>
  </conditionalFormatting>
  <conditionalFormatting sqref="AU487">
    <cfRule type="cellIs" dxfId="0" priority="2747" operator="lessThan">
      <formula>20</formula>
    </cfRule>
    <cfRule type="cellIs" dxfId="1" priority="1671" operator="greaterThan">
      <formula>120</formula>
    </cfRule>
    <cfRule type="containsText" dxfId="2" priority="595" operator="between" text="库存为">
      <formula>NOT(ISERROR(SEARCH("库存为",AU487)))</formula>
    </cfRule>
  </conditionalFormatting>
  <conditionalFormatting sqref="AU488">
    <cfRule type="cellIs" dxfId="0" priority="2746" operator="lessThan">
      <formula>20</formula>
    </cfRule>
    <cfRule type="cellIs" dxfId="1" priority="1670" operator="greaterThan">
      <formula>120</formula>
    </cfRule>
    <cfRule type="containsText" dxfId="2" priority="594" operator="between" text="库存为">
      <formula>NOT(ISERROR(SEARCH("库存为",AU488)))</formula>
    </cfRule>
  </conditionalFormatting>
  <conditionalFormatting sqref="AU489">
    <cfRule type="cellIs" dxfId="0" priority="2745" operator="lessThan">
      <formula>20</formula>
    </cfRule>
    <cfRule type="cellIs" dxfId="1" priority="1669" operator="greaterThan">
      <formula>120</formula>
    </cfRule>
    <cfRule type="containsText" dxfId="2" priority="593" operator="between" text="库存为">
      <formula>NOT(ISERROR(SEARCH("库存为",AU489)))</formula>
    </cfRule>
  </conditionalFormatting>
  <conditionalFormatting sqref="AU490">
    <cfRule type="cellIs" dxfId="0" priority="2744" operator="lessThan">
      <formula>20</formula>
    </cfRule>
    <cfRule type="cellIs" dxfId="1" priority="1668" operator="greaterThan">
      <formula>120</formula>
    </cfRule>
    <cfRule type="containsText" dxfId="2" priority="592" operator="between" text="库存为">
      <formula>NOT(ISERROR(SEARCH("库存为",AU490)))</formula>
    </cfRule>
  </conditionalFormatting>
  <conditionalFormatting sqref="AU491">
    <cfRule type="cellIs" dxfId="0" priority="2743" operator="lessThan">
      <formula>20</formula>
    </cfRule>
    <cfRule type="cellIs" dxfId="1" priority="1667" operator="greaterThan">
      <formula>120</formula>
    </cfRule>
    <cfRule type="containsText" dxfId="2" priority="591" operator="between" text="库存为">
      <formula>NOT(ISERROR(SEARCH("库存为",AU491)))</formula>
    </cfRule>
  </conditionalFormatting>
  <conditionalFormatting sqref="AU492">
    <cfRule type="cellIs" dxfId="0" priority="2742" operator="lessThan">
      <formula>20</formula>
    </cfRule>
    <cfRule type="cellIs" dxfId="1" priority="1666" operator="greaterThan">
      <formula>120</formula>
    </cfRule>
    <cfRule type="containsText" dxfId="2" priority="590" operator="between" text="库存为">
      <formula>NOT(ISERROR(SEARCH("库存为",AU492)))</formula>
    </cfRule>
  </conditionalFormatting>
  <conditionalFormatting sqref="AU493">
    <cfRule type="cellIs" dxfId="0" priority="2741" operator="lessThan">
      <formula>20</formula>
    </cfRule>
    <cfRule type="cellIs" dxfId="1" priority="1665" operator="greaterThan">
      <formula>120</formula>
    </cfRule>
    <cfRule type="containsText" dxfId="2" priority="589" operator="between" text="库存为">
      <formula>NOT(ISERROR(SEARCH("库存为",AU493)))</formula>
    </cfRule>
  </conditionalFormatting>
  <conditionalFormatting sqref="AU494">
    <cfRule type="cellIs" dxfId="0" priority="2740" operator="lessThan">
      <formula>20</formula>
    </cfRule>
    <cfRule type="cellIs" dxfId="1" priority="1664" operator="greaterThan">
      <formula>120</formula>
    </cfRule>
    <cfRule type="containsText" dxfId="2" priority="588" operator="between" text="库存为">
      <formula>NOT(ISERROR(SEARCH("库存为",AU494)))</formula>
    </cfRule>
  </conditionalFormatting>
  <conditionalFormatting sqref="AU495">
    <cfRule type="cellIs" dxfId="0" priority="2739" operator="lessThan">
      <formula>20</formula>
    </cfRule>
    <cfRule type="cellIs" dxfId="1" priority="1663" operator="greaterThan">
      <formula>120</formula>
    </cfRule>
    <cfRule type="containsText" dxfId="2" priority="587" operator="between" text="库存为">
      <formula>NOT(ISERROR(SEARCH("库存为",AU495)))</formula>
    </cfRule>
  </conditionalFormatting>
  <conditionalFormatting sqref="AU496">
    <cfRule type="cellIs" dxfId="0" priority="2738" operator="lessThan">
      <formula>20</formula>
    </cfRule>
    <cfRule type="cellIs" dxfId="1" priority="1662" operator="greaterThan">
      <formula>120</formula>
    </cfRule>
    <cfRule type="containsText" dxfId="2" priority="586" operator="between" text="库存为">
      <formula>NOT(ISERROR(SEARCH("库存为",AU496)))</formula>
    </cfRule>
  </conditionalFormatting>
  <conditionalFormatting sqref="AU497">
    <cfRule type="cellIs" dxfId="0" priority="2737" operator="lessThan">
      <formula>20</formula>
    </cfRule>
    <cfRule type="cellIs" dxfId="1" priority="1661" operator="greaterThan">
      <formula>120</formula>
    </cfRule>
    <cfRule type="containsText" dxfId="2" priority="585" operator="between" text="库存为">
      <formula>NOT(ISERROR(SEARCH("库存为",AU497)))</formula>
    </cfRule>
  </conditionalFormatting>
  <conditionalFormatting sqref="AU498">
    <cfRule type="cellIs" dxfId="0" priority="2736" operator="lessThan">
      <formula>20</formula>
    </cfRule>
    <cfRule type="cellIs" dxfId="1" priority="1660" operator="greaterThan">
      <formula>120</formula>
    </cfRule>
    <cfRule type="containsText" dxfId="2" priority="584" operator="between" text="库存为">
      <formula>NOT(ISERROR(SEARCH("库存为",AU498)))</formula>
    </cfRule>
  </conditionalFormatting>
  <conditionalFormatting sqref="AU499">
    <cfRule type="cellIs" dxfId="0" priority="2735" operator="lessThan">
      <formula>20</formula>
    </cfRule>
    <cfRule type="cellIs" dxfId="1" priority="1659" operator="greaterThan">
      <formula>120</formula>
    </cfRule>
    <cfRule type="containsText" dxfId="2" priority="583" operator="between" text="库存为">
      <formula>NOT(ISERROR(SEARCH("库存为",AU499)))</formula>
    </cfRule>
  </conditionalFormatting>
  <conditionalFormatting sqref="AU500">
    <cfRule type="cellIs" dxfId="0" priority="2734" operator="lessThan">
      <formula>20</formula>
    </cfRule>
    <cfRule type="cellIs" dxfId="1" priority="1658" operator="greaterThan">
      <formula>120</formula>
    </cfRule>
    <cfRule type="containsText" dxfId="2" priority="582" operator="between" text="库存为">
      <formula>NOT(ISERROR(SEARCH("库存为",AU500)))</formula>
    </cfRule>
  </conditionalFormatting>
  <conditionalFormatting sqref="AU501">
    <cfRule type="cellIs" dxfId="0" priority="2733" operator="lessThan">
      <formula>20</formula>
    </cfRule>
    <cfRule type="cellIs" dxfId="1" priority="1657" operator="greaterThan">
      <formula>120</formula>
    </cfRule>
    <cfRule type="containsText" dxfId="2" priority="581" operator="between" text="库存为">
      <formula>NOT(ISERROR(SEARCH("库存为",AU501)))</formula>
    </cfRule>
  </conditionalFormatting>
  <conditionalFormatting sqref="AU502">
    <cfRule type="cellIs" dxfId="0" priority="2732" operator="lessThan">
      <formula>20</formula>
    </cfRule>
    <cfRule type="cellIs" dxfId="1" priority="1656" operator="greaterThan">
      <formula>120</formula>
    </cfRule>
    <cfRule type="containsText" dxfId="2" priority="580" operator="between" text="库存为">
      <formula>NOT(ISERROR(SEARCH("库存为",AU502)))</formula>
    </cfRule>
  </conditionalFormatting>
  <conditionalFormatting sqref="AU503">
    <cfRule type="cellIs" dxfId="0" priority="2731" operator="lessThan">
      <formula>20</formula>
    </cfRule>
    <cfRule type="cellIs" dxfId="1" priority="1655" operator="greaterThan">
      <formula>120</formula>
    </cfRule>
    <cfRule type="containsText" dxfId="2" priority="579" operator="between" text="库存为">
      <formula>NOT(ISERROR(SEARCH("库存为",AU503)))</formula>
    </cfRule>
  </conditionalFormatting>
  <conditionalFormatting sqref="AU504">
    <cfRule type="cellIs" dxfId="0" priority="2730" operator="lessThan">
      <formula>20</formula>
    </cfRule>
    <cfRule type="cellIs" dxfId="1" priority="1654" operator="greaterThan">
      <formula>120</formula>
    </cfRule>
    <cfRule type="containsText" dxfId="2" priority="578" operator="between" text="库存为">
      <formula>NOT(ISERROR(SEARCH("库存为",AU504)))</formula>
    </cfRule>
  </conditionalFormatting>
  <conditionalFormatting sqref="AU505">
    <cfRule type="cellIs" dxfId="0" priority="2729" operator="lessThan">
      <formula>20</formula>
    </cfRule>
    <cfRule type="cellIs" dxfId="1" priority="1653" operator="greaterThan">
      <formula>120</formula>
    </cfRule>
    <cfRule type="containsText" dxfId="2" priority="577" operator="between" text="库存为">
      <formula>NOT(ISERROR(SEARCH("库存为",AU505)))</formula>
    </cfRule>
  </conditionalFormatting>
  <conditionalFormatting sqref="AU506">
    <cfRule type="cellIs" dxfId="0" priority="2728" operator="lessThan">
      <formula>20</formula>
    </cfRule>
    <cfRule type="cellIs" dxfId="1" priority="1652" operator="greaterThan">
      <formula>120</formula>
    </cfRule>
    <cfRule type="containsText" dxfId="2" priority="576" operator="between" text="库存为">
      <formula>NOT(ISERROR(SEARCH("库存为",AU506)))</formula>
    </cfRule>
  </conditionalFormatting>
  <conditionalFormatting sqref="AU507">
    <cfRule type="cellIs" dxfId="0" priority="2727" operator="lessThan">
      <formula>20</formula>
    </cfRule>
    <cfRule type="cellIs" dxfId="1" priority="1651" operator="greaterThan">
      <formula>120</formula>
    </cfRule>
    <cfRule type="containsText" dxfId="2" priority="575" operator="between" text="库存为">
      <formula>NOT(ISERROR(SEARCH("库存为",AU507)))</formula>
    </cfRule>
  </conditionalFormatting>
  <conditionalFormatting sqref="AU508">
    <cfRule type="cellIs" dxfId="0" priority="2726" operator="lessThan">
      <formula>20</formula>
    </cfRule>
    <cfRule type="cellIs" dxfId="1" priority="1650" operator="greaterThan">
      <formula>120</formula>
    </cfRule>
    <cfRule type="containsText" dxfId="2" priority="574" operator="between" text="库存为">
      <formula>NOT(ISERROR(SEARCH("库存为",AU508)))</formula>
    </cfRule>
  </conditionalFormatting>
  <conditionalFormatting sqref="AU509">
    <cfRule type="cellIs" dxfId="0" priority="2725" operator="lessThan">
      <formula>20</formula>
    </cfRule>
    <cfRule type="cellIs" dxfId="1" priority="1649" operator="greaterThan">
      <formula>120</formula>
    </cfRule>
    <cfRule type="containsText" dxfId="2" priority="573" operator="between" text="库存为">
      <formula>NOT(ISERROR(SEARCH("库存为",AU509)))</formula>
    </cfRule>
  </conditionalFormatting>
  <conditionalFormatting sqref="AU510">
    <cfRule type="cellIs" dxfId="0" priority="2724" operator="lessThan">
      <formula>20</formula>
    </cfRule>
    <cfRule type="cellIs" dxfId="1" priority="1648" operator="greaterThan">
      <formula>120</formula>
    </cfRule>
    <cfRule type="containsText" dxfId="2" priority="572" operator="between" text="库存为">
      <formula>NOT(ISERROR(SEARCH("库存为",AU510)))</formula>
    </cfRule>
  </conditionalFormatting>
  <conditionalFormatting sqref="AU511">
    <cfRule type="cellIs" dxfId="0" priority="2723" operator="lessThan">
      <formula>20</formula>
    </cfRule>
    <cfRule type="cellIs" dxfId="1" priority="1647" operator="greaterThan">
      <formula>120</formula>
    </cfRule>
    <cfRule type="containsText" dxfId="2" priority="571" operator="between" text="库存为">
      <formula>NOT(ISERROR(SEARCH("库存为",AU511)))</formula>
    </cfRule>
  </conditionalFormatting>
  <conditionalFormatting sqref="AU512">
    <cfRule type="cellIs" dxfId="0" priority="2722" operator="lessThan">
      <formula>20</formula>
    </cfRule>
    <cfRule type="cellIs" dxfId="1" priority="1646" operator="greaterThan">
      <formula>120</formula>
    </cfRule>
    <cfRule type="containsText" dxfId="2" priority="570" operator="between" text="库存为">
      <formula>NOT(ISERROR(SEARCH("库存为",AU512)))</formula>
    </cfRule>
  </conditionalFormatting>
  <conditionalFormatting sqref="AU513">
    <cfRule type="cellIs" dxfId="0" priority="2721" operator="lessThan">
      <formula>20</formula>
    </cfRule>
    <cfRule type="cellIs" dxfId="1" priority="1645" operator="greaterThan">
      <formula>120</formula>
    </cfRule>
    <cfRule type="containsText" dxfId="2" priority="569" operator="between" text="库存为">
      <formula>NOT(ISERROR(SEARCH("库存为",AU513)))</formula>
    </cfRule>
  </conditionalFormatting>
  <conditionalFormatting sqref="AU514">
    <cfRule type="cellIs" dxfId="0" priority="2720" operator="lessThan">
      <formula>20</formula>
    </cfRule>
    <cfRule type="cellIs" dxfId="1" priority="1644" operator="greaterThan">
      <formula>120</formula>
    </cfRule>
    <cfRule type="containsText" dxfId="2" priority="568" operator="between" text="库存为">
      <formula>NOT(ISERROR(SEARCH("库存为",AU514)))</formula>
    </cfRule>
  </conditionalFormatting>
  <conditionalFormatting sqref="AU515">
    <cfRule type="cellIs" dxfId="0" priority="2719" operator="lessThan">
      <formula>20</formula>
    </cfRule>
    <cfRule type="cellIs" dxfId="1" priority="1643" operator="greaterThan">
      <formula>120</formula>
    </cfRule>
    <cfRule type="containsText" dxfId="2" priority="567" operator="between" text="库存为">
      <formula>NOT(ISERROR(SEARCH("库存为",AU515)))</formula>
    </cfRule>
  </conditionalFormatting>
  <conditionalFormatting sqref="AU516">
    <cfRule type="cellIs" dxfId="0" priority="2718" operator="lessThan">
      <formula>20</formula>
    </cfRule>
    <cfRule type="cellIs" dxfId="1" priority="1642" operator="greaterThan">
      <formula>120</formula>
    </cfRule>
    <cfRule type="containsText" dxfId="2" priority="566" operator="between" text="库存为">
      <formula>NOT(ISERROR(SEARCH("库存为",AU516)))</formula>
    </cfRule>
  </conditionalFormatting>
  <conditionalFormatting sqref="AU517">
    <cfRule type="cellIs" dxfId="0" priority="2717" operator="lessThan">
      <formula>20</formula>
    </cfRule>
    <cfRule type="cellIs" dxfId="1" priority="1641" operator="greaterThan">
      <formula>120</formula>
    </cfRule>
    <cfRule type="containsText" dxfId="2" priority="565" operator="between" text="库存为">
      <formula>NOT(ISERROR(SEARCH("库存为",AU517)))</formula>
    </cfRule>
  </conditionalFormatting>
  <conditionalFormatting sqref="AU518">
    <cfRule type="cellIs" dxfId="0" priority="2716" operator="lessThan">
      <formula>20</formula>
    </cfRule>
    <cfRule type="cellIs" dxfId="1" priority="1640" operator="greaterThan">
      <formula>120</formula>
    </cfRule>
    <cfRule type="containsText" dxfId="2" priority="564" operator="between" text="库存为">
      <formula>NOT(ISERROR(SEARCH("库存为",AU518)))</formula>
    </cfRule>
  </conditionalFormatting>
  <conditionalFormatting sqref="AU519">
    <cfRule type="cellIs" dxfId="0" priority="2715" operator="lessThan">
      <formula>20</formula>
    </cfRule>
    <cfRule type="cellIs" dxfId="1" priority="1639" operator="greaterThan">
      <formula>120</formula>
    </cfRule>
    <cfRule type="containsText" dxfId="2" priority="563" operator="between" text="库存为">
      <formula>NOT(ISERROR(SEARCH("库存为",AU519)))</formula>
    </cfRule>
  </conditionalFormatting>
  <conditionalFormatting sqref="AU520">
    <cfRule type="cellIs" dxfId="0" priority="2714" operator="lessThan">
      <formula>20</formula>
    </cfRule>
    <cfRule type="cellIs" dxfId="1" priority="1638" operator="greaterThan">
      <formula>120</formula>
    </cfRule>
    <cfRule type="containsText" dxfId="2" priority="562" operator="between" text="库存为">
      <formula>NOT(ISERROR(SEARCH("库存为",AU520)))</formula>
    </cfRule>
  </conditionalFormatting>
  <conditionalFormatting sqref="AU521">
    <cfRule type="cellIs" dxfId="0" priority="2713" operator="lessThan">
      <formula>20</formula>
    </cfRule>
    <cfRule type="cellIs" dxfId="1" priority="1637" operator="greaterThan">
      <formula>120</formula>
    </cfRule>
    <cfRule type="containsText" dxfId="2" priority="561" operator="between" text="库存为">
      <formula>NOT(ISERROR(SEARCH("库存为",AU521)))</formula>
    </cfRule>
  </conditionalFormatting>
  <conditionalFormatting sqref="AU522">
    <cfRule type="cellIs" dxfId="0" priority="2712" operator="lessThan">
      <formula>20</formula>
    </cfRule>
    <cfRule type="cellIs" dxfId="1" priority="1636" operator="greaterThan">
      <formula>120</formula>
    </cfRule>
    <cfRule type="containsText" dxfId="2" priority="560" operator="between" text="库存为">
      <formula>NOT(ISERROR(SEARCH("库存为",AU522)))</formula>
    </cfRule>
  </conditionalFormatting>
  <conditionalFormatting sqref="AU523">
    <cfRule type="cellIs" dxfId="0" priority="2711" operator="lessThan">
      <formula>20</formula>
    </cfRule>
    <cfRule type="cellIs" dxfId="1" priority="1635" operator="greaterThan">
      <formula>120</formula>
    </cfRule>
    <cfRule type="containsText" dxfId="2" priority="559" operator="between" text="库存为">
      <formula>NOT(ISERROR(SEARCH("库存为",AU523)))</formula>
    </cfRule>
  </conditionalFormatting>
  <conditionalFormatting sqref="AU524">
    <cfRule type="cellIs" dxfId="0" priority="2710" operator="lessThan">
      <formula>20</formula>
    </cfRule>
    <cfRule type="cellIs" dxfId="1" priority="1634" operator="greaterThan">
      <formula>120</formula>
    </cfRule>
    <cfRule type="containsText" dxfId="2" priority="558" operator="between" text="库存为">
      <formula>NOT(ISERROR(SEARCH("库存为",AU524)))</formula>
    </cfRule>
  </conditionalFormatting>
  <conditionalFormatting sqref="AU525">
    <cfRule type="cellIs" dxfId="0" priority="2709" operator="lessThan">
      <formula>20</formula>
    </cfRule>
    <cfRule type="cellIs" dxfId="1" priority="1633" operator="greaterThan">
      <formula>120</formula>
    </cfRule>
    <cfRule type="containsText" dxfId="2" priority="557" operator="between" text="库存为">
      <formula>NOT(ISERROR(SEARCH("库存为",AU525)))</formula>
    </cfRule>
  </conditionalFormatting>
  <conditionalFormatting sqref="AU526">
    <cfRule type="cellIs" dxfId="0" priority="2708" operator="lessThan">
      <formula>20</formula>
    </cfRule>
    <cfRule type="cellIs" dxfId="1" priority="1632" operator="greaterThan">
      <formula>120</formula>
    </cfRule>
    <cfRule type="containsText" dxfId="2" priority="556" operator="between" text="库存为">
      <formula>NOT(ISERROR(SEARCH("库存为",AU526)))</formula>
    </cfRule>
  </conditionalFormatting>
  <conditionalFormatting sqref="AU527">
    <cfRule type="cellIs" dxfId="0" priority="2707" operator="lessThan">
      <formula>20</formula>
    </cfRule>
    <cfRule type="cellIs" dxfId="1" priority="1631" operator="greaterThan">
      <formula>120</formula>
    </cfRule>
    <cfRule type="containsText" dxfId="2" priority="555" operator="between" text="库存为">
      <formula>NOT(ISERROR(SEARCH("库存为",AU527)))</formula>
    </cfRule>
  </conditionalFormatting>
  <conditionalFormatting sqref="AU528">
    <cfRule type="cellIs" dxfId="0" priority="2706" operator="lessThan">
      <formula>20</formula>
    </cfRule>
    <cfRule type="cellIs" dxfId="1" priority="1630" operator="greaterThan">
      <formula>120</formula>
    </cfRule>
    <cfRule type="containsText" dxfId="2" priority="554" operator="between" text="库存为">
      <formula>NOT(ISERROR(SEARCH("库存为",AU528)))</formula>
    </cfRule>
  </conditionalFormatting>
  <conditionalFormatting sqref="AU529">
    <cfRule type="cellIs" dxfId="0" priority="2705" operator="lessThan">
      <formula>20</formula>
    </cfRule>
    <cfRule type="cellIs" dxfId="1" priority="1629" operator="greaterThan">
      <formula>120</formula>
    </cfRule>
    <cfRule type="containsText" dxfId="2" priority="553" operator="between" text="库存为">
      <formula>NOT(ISERROR(SEARCH("库存为",AU529)))</formula>
    </cfRule>
  </conditionalFormatting>
  <conditionalFormatting sqref="AU530">
    <cfRule type="cellIs" dxfId="0" priority="2704" operator="lessThan">
      <formula>20</formula>
    </cfRule>
    <cfRule type="cellIs" dxfId="1" priority="1628" operator="greaterThan">
      <formula>120</formula>
    </cfRule>
    <cfRule type="containsText" dxfId="2" priority="552" operator="between" text="库存为">
      <formula>NOT(ISERROR(SEARCH("库存为",AU530)))</formula>
    </cfRule>
  </conditionalFormatting>
  <conditionalFormatting sqref="AU531">
    <cfRule type="cellIs" dxfId="0" priority="2703" operator="lessThan">
      <formula>20</formula>
    </cfRule>
    <cfRule type="cellIs" dxfId="1" priority="1627" operator="greaterThan">
      <formula>120</formula>
    </cfRule>
    <cfRule type="containsText" dxfId="2" priority="551" operator="between" text="库存为">
      <formula>NOT(ISERROR(SEARCH("库存为",AU531)))</formula>
    </cfRule>
  </conditionalFormatting>
  <conditionalFormatting sqref="AU532">
    <cfRule type="cellIs" dxfId="0" priority="2702" operator="lessThan">
      <formula>20</formula>
    </cfRule>
    <cfRule type="cellIs" dxfId="1" priority="1626" operator="greaterThan">
      <formula>120</formula>
    </cfRule>
    <cfRule type="containsText" dxfId="2" priority="550" operator="between" text="库存为">
      <formula>NOT(ISERROR(SEARCH("库存为",AU532)))</formula>
    </cfRule>
  </conditionalFormatting>
  <conditionalFormatting sqref="AU533">
    <cfRule type="cellIs" dxfId="0" priority="2701" operator="lessThan">
      <formula>20</formula>
    </cfRule>
    <cfRule type="cellIs" dxfId="1" priority="1625" operator="greaterThan">
      <formula>120</formula>
    </cfRule>
    <cfRule type="containsText" dxfId="2" priority="549" operator="between" text="库存为">
      <formula>NOT(ISERROR(SEARCH("库存为",AU533)))</formula>
    </cfRule>
  </conditionalFormatting>
  <conditionalFormatting sqref="AU534">
    <cfRule type="cellIs" dxfId="0" priority="2700" operator="lessThan">
      <formula>20</formula>
    </cfRule>
    <cfRule type="cellIs" dxfId="1" priority="1624" operator="greaterThan">
      <formula>120</formula>
    </cfRule>
    <cfRule type="containsText" dxfId="2" priority="548" operator="between" text="库存为">
      <formula>NOT(ISERROR(SEARCH("库存为",AU534)))</formula>
    </cfRule>
  </conditionalFormatting>
  <conditionalFormatting sqref="AU535">
    <cfRule type="cellIs" dxfId="0" priority="2699" operator="lessThan">
      <formula>20</formula>
    </cfRule>
    <cfRule type="cellIs" dxfId="1" priority="1623" operator="greaterThan">
      <formula>120</formula>
    </cfRule>
    <cfRule type="containsText" dxfId="2" priority="547" operator="between" text="库存为">
      <formula>NOT(ISERROR(SEARCH("库存为",AU535)))</formula>
    </cfRule>
  </conditionalFormatting>
  <conditionalFormatting sqref="AU536">
    <cfRule type="cellIs" dxfId="0" priority="2698" operator="lessThan">
      <formula>20</formula>
    </cfRule>
    <cfRule type="cellIs" dxfId="1" priority="1622" operator="greaterThan">
      <formula>120</formula>
    </cfRule>
    <cfRule type="containsText" dxfId="2" priority="546" operator="between" text="库存为">
      <formula>NOT(ISERROR(SEARCH("库存为",AU536)))</formula>
    </cfRule>
  </conditionalFormatting>
  <conditionalFormatting sqref="AU537">
    <cfRule type="cellIs" dxfId="0" priority="2697" operator="lessThan">
      <formula>20</formula>
    </cfRule>
    <cfRule type="cellIs" dxfId="1" priority="1621" operator="greaterThan">
      <formula>120</formula>
    </cfRule>
    <cfRule type="containsText" dxfId="2" priority="545" operator="between" text="库存为">
      <formula>NOT(ISERROR(SEARCH("库存为",AU537)))</formula>
    </cfRule>
  </conditionalFormatting>
  <conditionalFormatting sqref="AU538">
    <cfRule type="cellIs" dxfId="0" priority="2696" operator="lessThan">
      <formula>20</formula>
    </cfRule>
    <cfRule type="cellIs" dxfId="1" priority="1620" operator="greaterThan">
      <formula>120</formula>
    </cfRule>
    <cfRule type="containsText" dxfId="2" priority="544" operator="between" text="库存为">
      <formula>NOT(ISERROR(SEARCH("库存为",AU538)))</formula>
    </cfRule>
  </conditionalFormatting>
  <conditionalFormatting sqref="AU539">
    <cfRule type="cellIs" dxfId="0" priority="2695" operator="lessThan">
      <formula>20</formula>
    </cfRule>
    <cfRule type="cellIs" dxfId="1" priority="1619" operator="greaterThan">
      <formula>120</formula>
    </cfRule>
    <cfRule type="containsText" dxfId="2" priority="543" operator="between" text="库存为">
      <formula>NOT(ISERROR(SEARCH("库存为",AU539)))</formula>
    </cfRule>
  </conditionalFormatting>
  <conditionalFormatting sqref="AU540">
    <cfRule type="cellIs" dxfId="0" priority="2694" operator="lessThan">
      <formula>20</formula>
    </cfRule>
    <cfRule type="cellIs" dxfId="1" priority="1618" operator="greaterThan">
      <formula>120</formula>
    </cfRule>
    <cfRule type="containsText" dxfId="2" priority="542" operator="between" text="库存为">
      <formula>NOT(ISERROR(SEARCH("库存为",AU540)))</formula>
    </cfRule>
  </conditionalFormatting>
  <conditionalFormatting sqref="AU541">
    <cfRule type="cellIs" dxfId="0" priority="2693" operator="lessThan">
      <formula>20</formula>
    </cfRule>
    <cfRule type="cellIs" dxfId="1" priority="1617" operator="greaterThan">
      <formula>120</formula>
    </cfRule>
    <cfRule type="containsText" dxfId="2" priority="541" operator="between" text="库存为">
      <formula>NOT(ISERROR(SEARCH("库存为",AU541)))</formula>
    </cfRule>
  </conditionalFormatting>
  <conditionalFormatting sqref="AU542">
    <cfRule type="cellIs" dxfId="0" priority="2692" operator="lessThan">
      <formula>20</formula>
    </cfRule>
    <cfRule type="cellIs" dxfId="1" priority="1616" operator="greaterThan">
      <formula>120</formula>
    </cfRule>
    <cfRule type="containsText" dxfId="2" priority="540" operator="between" text="库存为">
      <formula>NOT(ISERROR(SEARCH("库存为",AU542)))</formula>
    </cfRule>
  </conditionalFormatting>
  <conditionalFormatting sqref="AU543">
    <cfRule type="cellIs" dxfId="0" priority="2691" operator="lessThan">
      <formula>20</formula>
    </cfRule>
    <cfRule type="cellIs" dxfId="1" priority="1615" operator="greaterThan">
      <formula>120</formula>
    </cfRule>
    <cfRule type="containsText" dxfId="2" priority="539" operator="between" text="库存为">
      <formula>NOT(ISERROR(SEARCH("库存为",AU543)))</formula>
    </cfRule>
  </conditionalFormatting>
  <conditionalFormatting sqref="AU544">
    <cfRule type="cellIs" dxfId="0" priority="2690" operator="lessThan">
      <formula>20</formula>
    </cfRule>
    <cfRule type="cellIs" dxfId="1" priority="1614" operator="greaterThan">
      <formula>120</formula>
    </cfRule>
    <cfRule type="containsText" dxfId="2" priority="538" operator="between" text="库存为">
      <formula>NOT(ISERROR(SEARCH("库存为",AU544)))</formula>
    </cfRule>
  </conditionalFormatting>
  <conditionalFormatting sqref="AU545">
    <cfRule type="cellIs" dxfId="0" priority="2689" operator="lessThan">
      <formula>20</formula>
    </cfRule>
    <cfRule type="cellIs" dxfId="1" priority="1613" operator="greaterThan">
      <formula>120</formula>
    </cfRule>
    <cfRule type="containsText" dxfId="2" priority="537" operator="between" text="库存为">
      <formula>NOT(ISERROR(SEARCH("库存为",AU545)))</formula>
    </cfRule>
  </conditionalFormatting>
  <conditionalFormatting sqref="AU546">
    <cfRule type="cellIs" dxfId="0" priority="2688" operator="lessThan">
      <formula>20</formula>
    </cfRule>
    <cfRule type="cellIs" dxfId="1" priority="1612" operator="greaterThan">
      <formula>120</formula>
    </cfRule>
    <cfRule type="containsText" dxfId="2" priority="536" operator="between" text="库存为">
      <formula>NOT(ISERROR(SEARCH("库存为",AU546)))</formula>
    </cfRule>
  </conditionalFormatting>
  <conditionalFormatting sqref="AU547">
    <cfRule type="cellIs" dxfId="0" priority="2687" operator="lessThan">
      <formula>20</formula>
    </cfRule>
    <cfRule type="cellIs" dxfId="1" priority="1611" operator="greaterThan">
      <formula>120</formula>
    </cfRule>
    <cfRule type="containsText" dxfId="2" priority="535" operator="between" text="库存为">
      <formula>NOT(ISERROR(SEARCH("库存为",AU547)))</formula>
    </cfRule>
  </conditionalFormatting>
  <conditionalFormatting sqref="AU548">
    <cfRule type="cellIs" dxfId="0" priority="2686" operator="lessThan">
      <formula>20</formula>
    </cfRule>
    <cfRule type="cellIs" dxfId="1" priority="1610" operator="greaterThan">
      <formula>120</formula>
    </cfRule>
    <cfRule type="containsText" dxfId="2" priority="534" operator="between" text="库存为">
      <formula>NOT(ISERROR(SEARCH("库存为",AU548)))</formula>
    </cfRule>
  </conditionalFormatting>
  <conditionalFormatting sqref="AU549">
    <cfRule type="cellIs" dxfId="0" priority="2685" operator="lessThan">
      <formula>20</formula>
    </cfRule>
    <cfRule type="cellIs" dxfId="1" priority="1609" operator="greaterThan">
      <formula>120</formula>
    </cfRule>
    <cfRule type="containsText" dxfId="2" priority="533" operator="between" text="库存为">
      <formula>NOT(ISERROR(SEARCH("库存为",AU549)))</formula>
    </cfRule>
  </conditionalFormatting>
  <conditionalFormatting sqref="AU550">
    <cfRule type="cellIs" dxfId="0" priority="2684" operator="lessThan">
      <formula>20</formula>
    </cfRule>
    <cfRule type="cellIs" dxfId="1" priority="1608" operator="greaterThan">
      <formula>120</formula>
    </cfRule>
    <cfRule type="containsText" dxfId="2" priority="532" operator="between" text="库存为">
      <formula>NOT(ISERROR(SEARCH("库存为",AU550)))</formula>
    </cfRule>
  </conditionalFormatting>
  <conditionalFormatting sqref="AU551">
    <cfRule type="cellIs" dxfId="0" priority="2683" operator="lessThan">
      <formula>20</formula>
    </cfRule>
    <cfRule type="cellIs" dxfId="1" priority="1607" operator="greaterThan">
      <formula>120</formula>
    </cfRule>
    <cfRule type="containsText" dxfId="2" priority="531" operator="between" text="库存为">
      <formula>NOT(ISERROR(SEARCH("库存为",AU551)))</formula>
    </cfRule>
  </conditionalFormatting>
  <conditionalFormatting sqref="AU552">
    <cfRule type="cellIs" dxfId="0" priority="2682" operator="lessThan">
      <formula>20</formula>
    </cfRule>
    <cfRule type="cellIs" dxfId="1" priority="1606" operator="greaterThan">
      <formula>120</formula>
    </cfRule>
    <cfRule type="containsText" dxfId="2" priority="530" operator="between" text="库存为">
      <formula>NOT(ISERROR(SEARCH("库存为",AU552)))</formula>
    </cfRule>
  </conditionalFormatting>
  <conditionalFormatting sqref="AU553">
    <cfRule type="cellIs" dxfId="0" priority="2681" operator="lessThan">
      <formula>20</formula>
    </cfRule>
    <cfRule type="cellIs" dxfId="1" priority="1605" operator="greaterThan">
      <formula>120</formula>
    </cfRule>
    <cfRule type="containsText" dxfId="2" priority="529" operator="between" text="库存为">
      <formula>NOT(ISERROR(SEARCH("库存为",AU553)))</formula>
    </cfRule>
  </conditionalFormatting>
  <conditionalFormatting sqref="AU554">
    <cfRule type="cellIs" dxfId="0" priority="2680" operator="lessThan">
      <formula>20</formula>
    </cfRule>
    <cfRule type="cellIs" dxfId="1" priority="1604" operator="greaterThan">
      <formula>120</formula>
    </cfRule>
    <cfRule type="containsText" dxfId="2" priority="528" operator="between" text="库存为">
      <formula>NOT(ISERROR(SEARCH("库存为",AU554)))</formula>
    </cfRule>
  </conditionalFormatting>
  <conditionalFormatting sqref="AU555">
    <cfRule type="cellIs" dxfId="0" priority="2679" operator="lessThan">
      <formula>20</formula>
    </cfRule>
    <cfRule type="cellIs" dxfId="1" priority="1603" operator="greaterThan">
      <formula>120</formula>
    </cfRule>
    <cfRule type="containsText" dxfId="2" priority="527" operator="between" text="库存为">
      <formula>NOT(ISERROR(SEARCH("库存为",AU555)))</formula>
    </cfRule>
  </conditionalFormatting>
  <conditionalFormatting sqref="AU556">
    <cfRule type="cellIs" dxfId="0" priority="2678" operator="lessThan">
      <formula>20</formula>
    </cfRule>
    <cfRule type="cellIs" dxfId="1" priority="1602" operator="greaterThan">
      <formula>120</formula>
    </cfRule>
    <cfRule type="containsText" dxfId="2" priority="526" operator="between" text="库存为">
      <formula>NOT(ISERROR(SEARCH("库存为",AU556)))</formula>
    </cfRule>
  </conditionalFormatting>
  <conditionalFormatting sqref="AU557">
    <cfRule type="cellIs" dxfId="0" priority="2677" operator="lessThan">
      <formula>20</formula>
    </cfRule>
    <cfRule type="cellIs" dxfId="1" priority="1601" operator="greaterThan">
      <formula>120</formula>
    </cfRule>
    <cfRule type="containsText" dxfId="2" priority="525" operator="between" text="库存为">
      <formula>NOT(ISERROR(SEARCH("库存为",AU557)))</formula>
    </cfRule>
  </conditionalFormatting>
  <conditionalFormatting sqref="AU558">
    <cfRule type="cellIs" dxfId="0" priority="2676" operator="lessThan">
      <formula>20</formula>
    </cfRule>
    <cfRule type="cellIs" dxfId="1" priority="1600" operator="greaterThan">
      <formula>120</formula>
    </cfRule>
    <cfRule type="containsText" dxfId="2" priority="524" operator="between" text="库存为">
      <formula>NOT(ISERROR(SEARCH("库存为",AU558)))</formula>
    </cfRule>
  </conditionalFormatting>
  <conditionalFormatting sqref="AU559">
    <cfRule type="cellIs" dxfId="0" priority="2675" operator="lessThan">
      <formula>20</formula>
    </cfRule>
    <cfRule type="cellIs" dxfId="1" priority="1599" operator="greaterThan">
      <formula>120</formula>
    </cfRule>
    <cfRule type="containsText" dxfId="2" priority="523" operator="between" text="库存为">
      <formula>NOT(ISERROR(SEARCH("库存为",AU559)))</formula>
    </cfRule>
  </conditionalFormatting>
  <conditionalFormatting sqref="AU560">
    <cfRule type="cellIs" dxfId="0" priority="2674" operator="lessThan">
      <formula>20</formula>
    </cfRule>
    <cfRule type="cellIs" dxfId="1" priority="1598" operator="greaterThan">
      <formula>120</formula>
    </cfRule>
    <cfRule type="containsText" dxfId="2" priority="522" operator="between" text="库存为">
      <formula>NOT(ISERROR(SEARCH("库存为",AU560)))</formula>
    </cfRule>
  </conditionalFormatting>
  <conditionalFormatting sqref="AU561">
    <cfRule type="cellIs" dxfId="0" priority="2673" operator="lessThan">
      <formula>20</formula>
    </cfRule>
    <cfRule type="cellIs" dxfId="1" priority="1597" operator="greaterThan">
      <formula>120</formula>
    </cfRule>
    <cfRule type="containsText" dxfId="2" priority="521" operator="between" text="库存为">
      <formula>NOT(ISERROR(SEARCH("库存为",AU561)))</formula>
    </cfRule>
  </conditionalFormatting>
  <conditionalFormatting sqref="AU562">
    <cfRule type="cellIs" dxfId="0" priority="2672" operator="lessThan">
      <formula>20</formula>
    </cfRule>
    <cfRule type="cellIs" dxfId="1" priority="1596" operator="greaterThan">
      <formula>120</formula>
    </cfRule>
    <cfRule type="containsText" dxfId="2" priority="520" operator="between" text="库存为">
      <formula>NOT(ISERROR(SEARCH("库存为",AU562)))</formula>
    </cfRule>
  </conditionalFormatting>
  <conditionalFormatting sqref="AU563">
    <cfRule type="cellIs" dxfId="0" priority="2671" operator="lessThan">
      <formula>20</formula>
    </cfRule>
    <cfRule type="cellIs" dxfId="1" priority="1595" operator="greaterThan">
      <formula>120</formula>
    </cfRule>
    <cfRule type="containsText" dxfId="2" priority="519" operator="between" text="库存为">
      <formula>NOT(ISERROR(SEARCH("库存为",AU563)))</formula>
    </cfRule>
  </conditionalFormatting>
  <conditionalFormatting sqref="AU564">
    <cfRule type="cellIs" dxfId="0" priority="2670" operator="lessThan">
      <formula>20</formula>
    </cfRule>
    <cfRule type="cellIs" dxfId="1" priority="1594" operator="greaterThan">
      <formula>120</formula>
    </cfRule>
    <cfRule type="containsText" dxfId="2" priority="518" operator="between" text="库存为">
      <formula>NOT(ISERROR(SEARCH("库存为",AU564)))</formula>
    </cfRule>
  </conditionalFormatting>
  <conditionalFormatting sqref="AU565">
    <cfRule type="cellIs" dxfId="0" priority="2669" operator="lessThan">
      <formula>20</formula>
    </cfRule>
    <cfRule type="cellIs" dxfId="1" priority="1593" operator="greaterThan">
      <formula>120</formula>
    </cfRule>
    <cfRule type="containsText" dxfId="2" priority="517" operator="between" text="库存为">
      <formula>NOT(ISERROR(SEARCH("库存为",AU565)))</formula>
    </cfRule>
  </conditionalFormatting>
  <conditionalFormatting sqref="AU566">
    <cfRule type="cellIs" dxfId="0" priority="2668" operator="lessThan">
      <formula>20</formula>
    </cfRule>
    <cfRule type="cellIs" dxfId="1" priority="1592" operator="greaterThan">
      <formula>120</formula>
    </cfRule>
    <cfRule type="containsText" dxfId="2" priority="516" operator="between" text="库存为">
      <formula>NOT(ISERROR(SEARCH("库存为",AU566)))</formula>
    </cfRule>
  </conditionalFormatting>
  <conditionalFormatting sqref="AU567">
    <cfRule type="cellIs" dxfId="0" priority="2667" operator="lessThan">
      <formula>20</formula>
    </cfRule>
    <cfRule type="cellIs" dxfId="1" priority="1591" operator="greaterThan">
      <formula>120</formula>
    </cfRule>
    <cfRule type="containsText" dxfId="2" priority="515" operator="between" text="库存为">
      <formula>NOT(ISERROR(SEARCH("库存为",AU567)))</formula>
    </cfRule>
  </conditionalFormatting>
  <conditionalFormatting sqref="AU568">
    <cfRule type="cellIs" dxfId="0" priority="2666" operator="lessThan">
      <formula>20</formula>
    </cfRule>
    <cfRule type="cellIs" dxfId="1" priority="1590" operator="greaterThan">
      <formula>120</formula>
    </cfRule>
    <cfRule type="containsText" dxfId="2" priority="514" operator="between" text="库存为">
      <formula>NOT(ISERROR(SEARCH("库存为",AU568)))</formula>
    </cfRule>
  </conditionalFormatting>
  <conditionalFormatting sqref="AU569">
    <cfRule type="cellIs" dxfId="0" priority="2665" operator="lessThan">
      <formula>20</formula>
    </cfRule>
    <cfRule type="cellIs" dxfId="1" priority="1589" operator="greaterThan">
      <formula>120</formula>
    </cfRule>
    <cfRule type="containsText" dxfId="2" priority="513" operator="between" text="库存为">
      <formula>NOT(ISERROR(SEARCH("库存为",AU569)))</formula>
    </cfRule>
  </conditionalFormatting>
  <conditionalFormatting sqref="AU570">
    <cfRule type="cellIs" dxfId="0" priority="2664" operator="lessThan">
      <formula>20</formula>
    </cfRule>
    <cfRule type="cellIs" dxfId="1" priority="1588" operator="greaterThan">
      <formula>120</formula>
    </cfRule>
    <cfRule type="containsText" dxfId="2" priority="512" operator="between" text="库存为">
      <formula>NOT(ISERROR(SEARCH("库存为",AU570)))</formula>
    </cfRule>
  </conditionalFormatting>
  <conditionalFormatting sqref="AU571">
    <cfRule type="cellIs" dxfId="0" priority="2663" operator="lessThan">
      <formula>20</formula>
    </cfRule>
    <cfRule type="cellIs" dxfId="1" priority="1587" operator="greaterThan">
      <formula>120</formula>
    </cfRule>
    <cfRule type="containsText" dxfId="2" priority="511" operator="between" text="库存为">
      <formula>NOT(ISERROR(SEARCH("库存为",AU571)))</formula>
    </cfRule>
  </conditionalFormatting>
  <conditionalFormatting sqref="AU572">
    <cfRule type="cellIs" dxfId="0" priority="2662" operator="lessThan">
      <formula>20</formula>
    </cfRule>
    <cfRule type="cellIs" dxfId="1" priority="1586" operator="greaterThan">
      <formula>120</formula>
    </cfRule>
    <cfRule type="containsText" dxfId="2" priority="510" operator="between" text="库存为">
      <formula>NOT(ISERROR(SEARCH("库存为",AU572)))</formula>
    </cfRule>
  </conditionalFormatting>
  <conditionalFormatting sqref="AU573">
    <cfRule type="cellIs" dxfId="0" priority="2661" operator="lessThan">
      <formula>20</formula>
    </cfRule>
    <cfRule type="cellIs" dxfId="1" priority="1585" operator="greaterThan">
      <formula>120</formula>
    </cfRule>
    <cfRule type="containsText" dxfId="2" priority="509" operator="between" text="库存为">
      <formula>NOT(ISERROR(SEARCH("库存为",AU573)))</formula>
    </cfRule>
  </conditionalFormatting>
  <conditionalFormatting sqref="AU574">
    <cfRule type="cellIs" dxfId="0" priority="2660" operator="lessThan">
      <formula>20</formula>
    </cfRule>
    <cfRule type="cellIs" dxfId="1" priority="1584" operator="greaterThan">
      <formula>120</formula>
    </cfRule>
    <cfRule type="containsText" dxfId="2" priority="508" operator="between" text="库存为">
      <formula>NOT(ISERROR(SEARCH("库存为",AU574)))</formula>
    </cfRule>
  </conditionalFormatting>
  <conditionalFormatting sqref="AU575">
    <cfRule type="cellIs" dxfId="0" priority="2659" operator="lessThan">
      <formula>20</formula>
    </cfRule>
    <cfRule type="cellIs" dxfId="1" priority="1583" operator="greaterThan">
      <formula>120</formula>
    </cfRule>
    <cfRule type="containsText" dxfId="2" priority="507" operator="between" text="库存为">
      <formula>NOT(ISERROR(SEARCH("库存为",AU575)))</formula>
    </cfRule>
  </conditionalFormatting>
  <conditionalFormatting sqref="AU576">
    <cfRule type="cellIs" dxfId="0" priority="2658" operator="lessThan">
      <formula>20</formula>
    </cfRule>
    <cfRule type="cellIs" dxfId="1" priority="1582" operator="greaterThan">
      <formula>120</formula>
    </cfRule>
    <cfRule type="containsText" dxfId="2" priority="506" operator="between" text="库存为">
      <formula>NOT(ISERROR(SEARCH("库存为",AU576)))</formula>
    </cfRule>
  </conditionalFormatting>
  <conditionalFormatting sqref="AU577">
    <cfRule type="cellIs" dxfId="0" priority="2657" operator="lessThan">
      <formula>20</formula>
    </cfRule>
    <cfRule type="cellIs" dxfId="1" priority="1581" operator="greaterThan">
      <formula>120</formula>
    </cfRule>
    <cfRule type="containsText" dxfId="2" priority="505" operator="between" text="库存为">
      <formula>NOT(ISERROR(SEARCH("库存为",AU577)))</formula>
    </cfRule>
  </conditionalFormatting>
  <conditionalFormatting sqref="AU578">
    <cfRule type="cellIs" dxfId="0" priority="2656" operator="lessThan">
      <formula>20</formula>
    </cfRule>
    <cfRule type="cellIs" dxfId="1" priority="1580" operator="greaterThan">
      <formula>120</formula>
    </cfRule>
    <cfRule type="containsText" dxfId="2" priority="504" operator="between" text="库存为">
      <formula>NOT(ISERROR(SEARCH("库存为",AU578)))</formula>
    </cfRule>
  </conditionalFormatting>
  <conditionalFormatting sqref="AU579">
    <cfRule type="cellIs" dxfId="0" priority="2655" operator="lessThan">
      <formula>20</formula>
    </cfRule>
    <cfRule type="cellIs" dxfId="1" priority="1579" operator="greaterThan">
      <formula>120</formula>
    </cfRule>
    <cfRule type="containsText" dxfId="2" priority="503" operator="between" text="库存为">
      <formula>NOT(ISERROR(SEARCH("库存为",AU579)))</formula>
    </cfRule>
  </conditionalFormatting>
  <conditionalFormatting sqref="AU580">
    <cfRule type="cellIs" dxfId="0" priority="2654" operator="lessThan">
      <formula>20</formula>
    </cfRule>
    <cfRule type="cellIs" dxfId="1" priority="1578" operator="greaterThan">
      <formula>120</formula>
    </cfRule>
    <cfRule type="containsText" dxfId="2" priority="502" operator="between" text="库存为">
      <formula>NOT(ISERROR(SEARCH("库存为",AU580)))</formula>
    </cfRule>
  </conditionalFormatting>
  <conditionalFormatting sqref="AU581">
    <cfRule type="cellIs" dxfId="0" priority="2653" operator="lessThan">
      <formula>20</formula>
    </cfRule>
    <cfRule type="cellIs" dxfId="1" priority="1577" operator="greaterThan">
      <formula>120</formula>
    </cfRule>
    <cfRule type="containsText" dxfId="2" priority="501" operator="between" text="库存为">
      <formula>NOT(ISERROR(SEARCH("库存为",AU581)))</formula>
    </cfRule>
  </conditionalFormatting>
  <conditionalFormatting sqref="AU582">
    <cfRule type="cellIs" dxfId="0" priority="2652" operator="lessThan">
      <formula>20</formula>
    </cfRule>
    <cfRule type="cellIs" dxfId="1" priority="1576" operator="greaterThan">
      <formula>120</formula>
    </cfRule>
    <cfRule type="containsText" dxfId="2" priority="500" operator="between" text="库存为">
      <formula>NOT(ISERROR(SEARCH("库存为",AU582)))</formula>
    </cfRule>
  </conditionalFormatting>
  <conditionalFormatting sqref="AU583">
    <cfRule type="cellIs" dxfId="0" priority="2651" operator="lessThan">
      <formula>20</formula>
    </cfRule>
    <cfRule type="cellIs" dxfId="1" priority="1575" operator="greaterThan">
      <formula>120</formula>
    </cfRule>
    <cfRule type="containsText" dxfId="2" priority="499" operator="between" text="库存为">
      <formula>NOT(ISERROR(SEARCH("库存为",AU583)))</formula>
    </cfRule>
  </conditionalFormatting>
  <conditionalFormatting sqref="AU584">
    <cfRule type="cellIs" dxfId="0" priority="2650" operator="lessThan">
      <formula>20</formula>
    </cfRule>
    <cfRule type="cellIs" dxfId="1" priority="1574" operator="greaterThan">
      <formula>120</formula>
    </cfRule>
    <cfRule type="containsText" dxfId="2" priority="498" operator="between" text="库存为">
      <formula>NOT(ISERROR(SEARCH("库存为",AU584)))</formula>
    </cfRule>
  </conditionalFormatting>
  <conditionalFormatting sqref="AU585">
    <cfRule type="cellIs" dxfId="0" priority="2649" operator="lessThan">
      <formula>20</formula>
    </cfRule>
    <cfRule type="cellIs" dxfId="1" priority="1573" operator="greaterThan">
      <formula>120</formula>
    </cfRule>
    <cfRule type="containsText" dxfId="2" priority="497" operator="between" text="库存为">
      <formula>NOT(ISERROR(SEARCH("库存为",AU585)))</formula>
    </cfRule>
  </conditionalFormatting>
  <conditionalFormatting sqref="AU586">
    <cfRule type="cellIs" dxfId="0" priority="2648" operator="lessThan">
      <formula>20</formula>
    </cfRule>
    <cfRule type="cellIs" dxfId="1" priority="1572" operator="greaterThan">
      <formula>120</formula>
    </cfRule>
    <cfRule type="containsText" dxfId="2" priority="496" operator="between" text="库存为">
      <formula>NOT(ISERROR(SEARCH("库存为",AU586)))</formula>
    </cfRule>
  </conditionalFormatting>
  <conditionalFormatting sqref="AU587">
    <cfRule type="cellIs" dxfId="0" priority="2647" operator="lessThan">
      <formula>20</formula>
    </cfRule>
    <cfRule type="cellIs" dxfId="1" priority="1571" operator="greaterThan">
      <formula>120</formula>
    </cfRule>
    <cfRule type="containsText" dxfId="2" priority="495" operator="between" text="库存为">
      <formula>NOT(ISERROR(SEARCH("库存为",AU587)))</formula>
    </cfRule>
  </conditionalFormatting>
  <conditionalFormatting sqref="AU588">
    <cfRule type="cellIs" dxfId="0" priority="2646" operator="lessThan">
      <formula>20</formula>
    </cfRule>
    <cfRule type="cellIs" dxfId="1" priority="1570" operator="greaterThan">
      <formula>120</formula>
    </cfRule>
    <cfRule type="containsText" dxfId="2" priority="494" operator="between" text="库存为">
      <formula>NOT(ISERROR(SEARCH("库存为",AU588)))</formula>
    </cfRule>
  </conditionalFormatting>
  <conditionalFormatting sqref="AU589">
    <cfRule type="cellIs" dxfId="0" priority="2645" operator="lessThan">
      <formula>20</formula>
    </cfRule>
    <cfRule type="cellIs" dxfId="1" priority="1569" operator="greaterThan">
      <formula>120</formula>
    </cfRule>
    <cfRule type="containsText" dxfId="2" priority="493" operator="between" text="库存为">
      <formula>NOT(ISERROR(SEARCH("库存为",AU589)))</formula>
    </cfRule>
  </conditionalFormatting>
  <conditionalFormatting sqref="AU590">
    <cfRule type="cellIs" dxfId="0" priority="2644" operator="lessThan">
      <formula>20</formula>
    </cfRule>
    <cfRule type="cellIs" dxfId="1" priority="1568" operator="greaterThan">
      <formula>120</formula>
    </cfRule>
    <cfRule type="containsText" dxfId="2" priority="492" operator="between" text="库存为">
      <formula>NOT(ISERROR(SEARCH("库存为",AU590)))</formula>
    </cfRule>
  </conditionalFormatting>
  <conditionalFormatting sqref="AU591">
    <cfRule type="cellIs" dxfId="0" priority="2643" operator="lessThan">
      <formula>20</formula>
    </cfRule>
    <cfRule type="cellIs" dxfId="1" priority="1567" operator="greaterThan">
      <formula>120</formula>
    </cfRule>
    <cfRule type="containsText" dxfId="2" priority="491" operator="between" text="库存为">
      <formula>NOT(ISERROR(SEARCH("库存为",AU591)))</formula>
    </cfRule>
  </conditionalFormatting>
  <conditionalFormatting sqref="AU592">
    <cfRule type="cellIs" dxfId="0" priority="2642" operator="lessThan">
      <formula>20</formula>
    </cfRule>
    <cfRule type="cellIs" dxfId="1" priority="1566" operator="greaterThan">
      <formula>120</formula>
    </cfRule>
    <cfRule type="containsText" dxfId="2" priority="490" operator="between" text="库存为">
      <formula>NOT(ISERROR(SEARCH("库存为",AU592)))</formula>
    </cfRule>
  </conditionalFormatting>
  <conditionalFormatting sqref="AU593">
    <cfRule type="cellIs" dxfId="0" priority="2641" operator="lessThan">
      <formula>20</formula>
    </cfRule>
    <cfRule type="cellIs" dxfId="1" priority="1565" operator="greaterThan">
      <formula>120</formula>
    </cfRule>
    <cfRule type="containsText" dxfId="2" priority="489" operator="between" text="库存为">
      <formula>NOT(ISERROR(SEARCH("库存为",AU593)))</formula>
    </cfRule>
  </conditionalFormatting>
  <conditionalFormatting sqref="AU594">
    <cfRule type="cellIs" dxfId="0" priority="2640" operator="lessThan">
      <formula>20</formula>
    </cfRule>
    <cfRule type="cellIs" dxfId="1" priority="1564" operator="greaterThan">
      <formula>120</formula>
    </cfRule>
    <cfRule type="containsText" dxfId="2" priority="488" operator="between" text="库存为">
      <formula>NOT(ISERROR(SEARCH("库存为",AU594)))</formula>
    </cfRule>
  </conditionalFormatting>
  <conditionalFormatting sqref="AU595">
    <cfRule type="cellIs" dxfId="0" priority="2639" operator="lessThan">
      <formula>20</formula>
    </cfRule>
    <cfRule type="cellIs" dxfId="1" priority="1563" operator="greaterThan">
      <formula>120</formula>
    </cfRule>
    <cfRule type="containsText" dxfId="2" priority="487" operator="between" text="库存为">
      <formula>NOT(ISERROR(SEARCH("库存为",AU595)))</formula>
    </cfRule>
  </conditionalFormatting>
  <conditionalFormatting sqref="AU596">
    <cfRule type="cellIs" dxfId="0" priority="2638" operator="lessThan">
      <formula>20</formula>
    </cfRule>
    <cfRule type="cellIs" dxfId="1" priority="1562" operator="greaterThan">
      <formula>120</formula>
    </cfRule>
    <cfRule type="containsText" dxfId="2" priority="486" operator="between" text="库存为">
      <formula>NOT(ISERROR(SEARCH("库存为",AU596)))</formula>
    </cfRule>
  </conditionalFormatting>
  <conditionalFormatting sqref="AU597">
    <cfRule type="cellIs" dxfId="0" priority="2637" operator="lessThan">
      <formula>20</formula>
    </cfRule>
    <cfRule type="cellIs" dxfId="1" priority="1561" operator="greaterThan">
      <formula>120</formula>
    </cfRule>
    <cfRule type="containsText" dxfId="2" priority="485" operator="between" text="库存为">
      <formula>NOT(ISERROR(SEARCH("库存为",AU597)))</formula>
    </cfRule>
  </conditionalFormatting>
  <conditionalFormatting sqref="AU598">
    <cfRule type="cellIs" dxfId="0" priority="2636" operator="lessThan">
      <formula>20</formula>
    </cfRule>
    <cfRule type="cellIs" dxfId="1" priority="1560" operator="greaterThan">
      <formula>120</formula>
    </cfRule>
    <cfRule type="containsText" dxfId="2" priority="484" operator="between" text="库存为">
      <formula>NOT(ISERROR(SEARCH("库存为",AU598)))</formula>
    </cfRule>
  </conditionalFormatting>
  <conditionalFormatting sqref="AU599">
    <cfRule type="cellIs" dxfId="0" priority="2635" operator="lessThan">
      <formula>20</formula>
    </cfRule>
    <cfRule type="cellIs" dxfId="1" priority="1559" operator="greaterThan">
      <formula>120</formula>
    </cfRule>
    <cfRule type="containsText" dxfId="2" priority="483" operator="between" text="库存为">
      <formula>NOT(ISERROR(SEARCH("库存为",AU599)))</formula>
    </cfRule>
  </conditionalFormatting>
  <conditionalFormatting sqref="AU600">
    <cfRule type="cellIs" dxfId="0" priority="2634" operator="lessThan">
      <formula>20</formula>
    </cfRule>
    <cfRule type="cellIs" dxfId="1" priority="1558" operator="greaterThan">
      <formula>120</formula>
    </cfRule>
    <cfRule type="containsText" dxfId="2" priority="482" operator="between" text="库存为">
      <formula>NOT(ISERROR(SEARCH("库存为",AU600)))</formula>
    </cfRule>
  </conditionalFormatting>
  <conditionalFormatting sqref="AU601">
    <cfRule type="cellIs" dxfId="0" priority="2633" operator="lessThan">
      <formula>20</formula>
    </cfRule>
    <cfRule type="cellIs" dxfId="1" priority="1557" operator="greaterThan">
      <formula>120</formula>
    </cfRule>
    <cfRule type="containsText" dxfId="2" priority="481" operator="between" text="库存为">
      <formula>NOT(ISERROR(SEARCH("库存为",AU601)))</formula>
    </cfRule>
  </conditionalFormatting>
  <conditionalFormatting sqref="AU602">
    <cfRule type="cellIs" dxfId="0" priority="2632" operator="lessThan">
      <formula>20</formula>
    </cfRule>
    <cfRule type="cellIs" dxfId="1" priority="1556" operator="greaterThan">
      <formula>120</formula>
    </cfRule>
    <cfRule type="containsText" dxfId="2" priority="480" operator="between" text="库存为">
      <formula>NOT(ISERROR(SEARCH("库存为",AU602)))</formula>
    </cfRule>
  </conditionalFormatting>
  <conditionalFormatting sqref="AU603">
    <cfRule type="cellIs" dxfId="0" priority="2631" operator="lessThan">
      <formula>20</formula>
    </cfRule>
    <cfRule type="cellIs" dxfId="1" priority="1555" operator="greaterThan">
      <formula>120</formula>
    </cfRule>
    <cfRule type="containsText" dxfId="2" priority="479" operator="between" text="库存为">
      <formula>NOT(ISERROR(SEARCH("库存为",AU603)))</formula>
    </cfRule>
  </conditionalFormatting>
  <conditionalFormatting sqref="AU604">
    <cfRule type="cellIs" dxfId="0" priority="2630" operator="lessThan">
      <formula>20</formula>
    </cfRule>
    <cfRule type="cellIs" dxfId="1" priority="1554" operator="greaterThan">
      <formula>120</formula>
    </cfRule>
    <cfRule type="containsText" dxfId="2" priority="478" operator="between" text="库存为">
      <formula>NOT(ISERROR(SEARCH("库存为",AU604)))</formula>
    </cfRule>
  </conditionalFormatting>
  <conditionalFormatting sqref="AU605">
    <cfRule type="cellIs" dxfId="0" priority="2629" operator="lessThan">
      <formula>20</formula>
    </cfRule>
    <cfRule type="cellIs" dxfId="1" priority="1553" operator="greaterThan">
      <formula>120</formula>
    </cfRule>
    <cfRule type="containsText" dxfId="2" priority="477" operator="between" text="库存为">
      <formula>NOT(ISERROR(SEARCH("库存为",AU605)))</formula>
    </cfRule>
  </conditionalFormatting>
  <conditionalFormatting sqref="AU606">
    <cfRule type="cellIs" dxfId="0" priority="2628" operator="lessThan">
      <formula>20</formula>
    </cfRule>
    <cfRule type="cellIs" dxfId="1" priority="1552" operator="greaterThan">
      <formula>120</formula>
    </cfRule>
    <cfRule type="containsText" dxfId="2" priority="476" operator="between" text="库存为">
      <formula>NOT(ISERROR(SEARCH("库存为",AU606)))</formula>
    </cfRule>
  </conditionalFormatting>
  <conditionalFormatting sqref="AU607">
    <cfRule type="cellIs" dxfId="0" priority="2627" operator="lessThan">
      <formula>20</formula>
    </cfRule>
    <cfRule type="cellIs" dxfId="1" priority="1551" operator="greaterThan">
      <formula>120</formula>
    </cfRule>
    <cfRule type="containsText" dxfId="2" priority="475" operator="between" text="库存为">
      <formula>NOT(ISERROR(SEARCH("库存为",AU607)))</formula>
    </cfRule>
  </conditionalFormatting>
  <conditionalFormatting sqref="AU608">
    <cfRule type="cellIs" dxfId="0" priority="2626" operator="lessThan">
      <formula>20</formula>
    </cfRule>
    <cfRule type="cellIs" dxfId="1" priority="1550" operator="greaterThan">
      <formula>120</formula>
    </cfRule>
    <cfRule type="containsText" dxfId="2" priority="474" operator="between" text="库存为">
      <formula>NOT(ISERROR(SEARCH("库存为",AU608)))</formula>
    </cfRule>
  </conditionalFormatting>
  <conditionalFormatting sqref="AU609">
    <cfRule type="cellIs" dxfId="0" priority="2625" operator="lessThan">
      <formula>20</formula>
    </cfRule>
    <cfRule type="cellIs" dxfId="1" priority="1549" operator="greaterThan">
      <formula>120</formula>
    </cfRule>
    <cfRule type="containsText" dxfId="2" priority="473" operator="between" text="库存为">
      <formula>NOT(ISERROR(SEARCH("库存为",AU609)))</formula>
    </cfRule>
  </conditionalFormatting>
  <conditionalFormatting sqref="AU610">
    <cfRule type="cellIs" dxfId="0" priority="2624" operator="lessThan">
      <formula>20</formula>
    </cfRule>
    <cfRule type="cellIs" dxfId="1" priority="1548" operator="greaterThan">
      <formula>120</formula>
    </cfRule>
    <cfRule type="containsText" dxfId="2" priority="472" operator="between" text="库存为">
      <formula>NOT(ISERROR(SEARCH("库存为",AU610)))</formula>
    </cfRule>
  </conditionalFormatting>
  <conditionalFormatting sqref="AU611">
    <cfRule type="cellIs" dxfId="0" priority="2623" operator="lessThan">
      <formula>20</formula>
    </cfRule>
    <cfRule type="cellIs" dxfId="1" priority="1547" operator="greaterThan">
      <formula>120</formula>
    </cfRule>
    <cfRule type="containsText" dxfId="2" priority="471" operator="between" text="库存为">
      <formula>NOT(ISERROR(SEARCH("库存为",AU611)))</formula>
    </cfRule>
  </conditionalFormatting>
  <conditionalFormatting sqref="AU612">
    <cfRule type="cellIs" dxfId="0" priority="2622" operator="lessThan">
      <formula>20</formula>
    </cfRule>
    <cfRule type="cellIs" dxfId="1" priority="1546" operator="greaterThan">
      <formula>120</formula>
    </cfRule>
    <cfRule type="containsText" dxfId="2" priority="470" operator="between" text="库存为">
      <formula>NOT(ISERROR(SEARCH("库存为",AU612)))</formula>
    </cfRule>
  </conditionalFormatting>
  <conditionalFormatting sqref="AU613">
    <cfRule type="cellIs" dxfId="0" priority="2621" operator="lessThan">
      <formula>20</formula>
    </cfRule>
    <cfRule type="cellIs" dxfId="1" priority="1545" operator="greaterThan">
      <formula>120</formula>
    </cfRule>
    <cfRule type="containsText" dxfId="2" priority="469" operator="between" text="库存为">
      <formula>NOT(ISERROR(SEARCH("库存为",AU613)))</formula>
    </cfRule>
  </conditionalFormatting>
  <conditionalFormatting sqref="AU614">
    <cfRule type="cellIs" dxfId="0" priority="2620" operator="lessThan">
      <formula>20</formula>
    </cfRule>
    <cfRule type="cellIs" dxfId="1" priority="1544" operator="greaterThan">
      <formula>120</formula>
    </cfRule>
    <cfRule type="containsText" dxfId="2" priority="468" operator="between" text="库存为">
      <formula>NOT(ISERROR(SEARCH("库存为",AU614)))</formula>
    </cfRule>
  </conditionalFormatting>
  <conditionalFormatting sqref="AU615">
    <cfRule type="cellIs" dxfId="0" priority="2619" operator="lessThan">
      <formula>20</formula>
    </cfRule>
    <cfRule type="cellIs" dxfId="1" priority="1543" operator="greaterThan">
      <formula>120</formula>
    </cfRule>
    <cfRule type="containsText" dxfId="2" priority="467" operator="between" text="库存为">
      <formula>NOT(ISERROR(SEARCH("库存为",AU615)))</formula>
    </cfRule>
  </conditionalFormatting>
  <conditionalFormatting sqref="AU616">
    <cfRule type="cellIs" dxfId="0" priority="2618" operator="lessThan">
      <formula>20</formula>
    </cfRule>
    <cfRule type="cellIs" dxfId="1" priority="1542" operator="greaterThan">
      <formula>120</formula>
    </cfRule>
    <cfRule type="containsText" dxfId="2" priority="466" operator="between" text="库存为">
      <formula>NOT(ISERROR(SEARCH("库存为",AU616)))</formula>
    </cfRule>
  </conditionalFormatting>
  <conditionalFormatting sqref="AU617">
    <cfRule type="cellIs" dxfId="0" priority="2617" operator="lessThan">
      <formula>20</formula>
    </cfRule>
    <cfRule type="cellIs" dxfId="1" priority="1541" operator="greaterThan">
      <formula>120</formula>
    </cfRule>
    <cfRule type="containsText" dxfId="2" priority="465" operator="between" text="库存为">
      <formula>NOT(ISERROR(SEARCH("库存为",AU617)))</formula>
    </cfRule>
  </conditionalFormatting>
  <conditionalFormatting sqref="AU618">
    <cfRule type="cellIs" dxfId="0" priority="2616" operator="lessThan">
      <formula>20</formula>
    </cfRule>
    <cfRule type="cellIs" dxfId="1" priority="1540" operator="greaterThan">
      <formula>120</formula>
    </cfRule>
    <cfRule type="containsText" dxfId="2" priority="464" operator="between" text="库存为">
      <formula>NOT(ISERROR(SEARCH("库存为",AU618)))</formula>
    </cfRule>
  </conditionalFormatting>
  <conditionalFormatting sqref="AU619">
    <cfRule type="cellIs" dxfId="0" priority="2615" operator="lessThan">
      <formula>20</formula>
    </cfRule>
    <cfRule type="cellIs" dxfId="1" priority="1539" operator="greaterThan">
      <formula>120</formula>
    </cfRule>
    <cfRule type="containsText" dxfId="2" priority="463" operator="between" text="库存为">
      <formula>NOT(ISERROR(SEARCH("库存为",AU619)))</formula>
    </cfRule>
  </conditionalFormatting>
  <conditionalFormatting sqref="AU620">
    <cfRule type="cellIs" dxfId="0" priority="2614" operator="lessThan">
      <formula>20</formula>
    </cfRule>
    <cfRule type="cellIs" dxfId="1" priority="1538" operator="greaterThan">
      <formula>120</formula>
    </cfRule>
    <cfRule type="containsText" dxfId="2" priority="462" operator="between" text="库存为">
      <formula>NOT(ISERROR(SEARCH("库存为",AU620)))</formula>
    </cfRule>
  </conditionalFormatting>
  <conditionalFormatting sqref="AU621">
    <cfRule type="cellIs" dxfId="0" priority="2613" operator="lessThan">
      <formula>20</formula>
    </cfRule>
    <cfRule type="cellIs" dxfId="1" priority="1537" operator="greaterThan">
      <formula>120</formula>
    </cfRule>
    <cfRule type="containsText" dxfId="2" priority="461" operator="between" text="库存为">
      <formula>NOT(ISERROR(SEARCH("库存为",AU621)))</formula>
    </cfRule>
  </conditionalFormatting>
  <conditionalFormatting sqref="AU622">
    <cfRule type="cellIs" dxfId="0" priority="2612" operator="lessThan">
      <formula>20</formula>
    </cfRule>
    <cfRule type="cellIs" dxfId="1" priority="1536" operator="greaterThan">
      <formula>120</formula>
    </cfRule>
    <cfRule type="containsText" dxfId="2" priority="460" operator="between" text="库存为">
      <formula>NOT(ISERROR(SEARCH("库存为",AU622)))</formula>
    </cfRule>
  </conditionalFormatting>
  <conditionalFormatting sqref="AU623">
    <cfRule type="cellIs" dxfId="0" priority="2611" operator="lessThan">
      <formula>20</formula>
    </cfRule>
    <cfRule type="cellIs" dxfId="1" priority="1535" operator="greaterThan">
      <formula>120</formula>
    </cfRule>
    <cfRule type="containsText" dxfId="2" priority="459" operator="between" text="库存为">
      <formula>NOT(ISERROR(SEARCH("库存为",AU623)))</formula>
    </cfRule>
  </conditionalFormatting>
  <conditionalFormatting sqref="AU624">
    <cfRule type="cellIs" dxfId="0" priority="2610" operator="lessThan">
      <formula>20</formula>
    </cfRule>
    <cfRule type="cellIs" dxfId="1" priority="1534" operator="greaterThan">
      <formula>120</formula>
    </cfRule>
    <cfRule type="containsText" dxfId="2" priority="458" operator="between" text="库存为">
      <formula>NOT(ISERROR(SEARCH("库存为",AU624)))</formula>
    </cfRule>
  </conditionalFormatting>
  <conditionalFormatting sqref="AU625">
    <cfRule type="cellIs" dxfId="0" priority="2609" operator="lessThan">
      <formula>20</formula>
    </cfRule>
    <cfRule type="cellIs" dxfId="1" priority="1533" operator="greaterThan">
      <formula>120</formula>
    </cfRule>
    <cfRule type="containsText" dxfId="2" priority="457" operator="between" text="库存为">
      <formula>NOT(ISERROR(SEARCH("库存为",AU625)))</formula>
    </cfRule>
  </conditionalFormatting>
  <conditionalFormatting sqref="AU626">
    <cfRule type="cellIs" dxfId="0" priority="2608" operator="lessThan">
      <formula>20</formula>
    </cfRule>
    <cfRule type="cellIs" dxfId="1" priority="1532" operator="greaterThan">
      <formula>120</formula>
    </cfRule>
    <cfRule type="containsText" dxfId="2" priority="456" operator="between" text="库存为">
      <formula>NOT(ISERROR(SEARCH("库存为",AU626)))</formula>
    </cfRule>
  </conditionalFormatting>
  <conditionalFormatting sqref="AU627">
    <cfRule type="cellIs" dxfId="0" priority="2607" operator="lessThan">
      <formula>20</formula>
    </cfRule>
    <cfRule type="cellIs" dxfId="1" priority="1531" operator="greaterThan">
      <formula>120</formula>
    </cfRule>
    <cfRule type="containsText" dxfId="2" priority="455" operator="between" text="库存为">
      <formula>NOT(ISERROR(SEARCH("库存为",AU627)))</formula>
    </cfRule>
  </conditionalFormatting>
  <conditionalFormatting sqref="AU628">
    <cfRule type="cellIs" dxfId="0" priority="2606" operator="lessThan">
      <formula>20</formula>
    </cfRule>
    <cfRule type="cellIs" dxfId="1" priority="1530" operator="greaterThan">
      <formula>120</formula>
    </cfRule>
    <cfRule type="containsText" dxfId="2" priority="454" operator="between" text="库存为">
      <formula>NOT(ISERROR(SEARCH("库存为",AU628)))</formula>
    </cfRule>
  </conditionalFormatting>
  <conditionalFormatting sqref="AU629">
    <cfRule type="cellIs" dxfId="0" priority="2605" operator="lessThan">
      <formula>20</formula>
    </cfRule>
    <cfRule type="cellIs" dxfId="1" priority="1529" operator="greaterThan">
      <formula>120</formula>
    </cfRule>
    <cfRule type="containsText" dxfId="2" priority="453" operator="between" text="库存为">
      <formula>NOT(ISERROR(SEARCH("库存为",AU629)))</formula>
    </cfRule>
  </conditionalFormatting>
  <conditionalFormatting sqref="AU630">
    <cfRule type="cellIs" dxfId="0" priority="2604" operator="lessThan">
      <formula>20</formula>
    </cfRule>
    <cfRule type="cellIs" dxfId="1" priority="1528" operator="greaterThan">
      <formula>120</formula>
    </cfRule>
    <cfRule type="containsText" dxfId="2" priority="452" operator="between" text="库存为">
      <formula>NOT(ISERROR(SEARCH("库存为",AU630)))</formula>
    </cfRule>
  </conditionalFormatting>
  <conditionalFormatting sqref="AU631">
    <cfRule type="cellIs" dxfId="0" priority="2603" operator="lessThan">
      <formula>20</formula>
    </cfRule>
    <cfRule type="cellIs" dxfId="1" priority="1527" operator="greaterThan">
      <formula>120</formula>
    </cfRule>
    <cfRule type="containsText" dxfId="2" priority="451" operator="between" text="库存为">
      <formula>NOT(ISERROR(SEARCH("库存为",AU631)))</formula>
    </cfRule>
  </conditionalFormatting>
  <conditionalFormatting sqref="AU632">
    <cfRule type="cellIs" dxfId="0" priority="2602" operator="lessThan">
      <formula>20</formula>
    </cfRule>
    <cfRule type="cellIs" dxfId="1" priority="1526" operator="greaterThan">
      <formula>120</formula>
    </cfRule>
    <cfRule type="containsText" dxfId="2" priority="450" operator="between" text="库存为">
      <formula>NOT(ISERROR(SEARCH("库存为",AU632)))</formula>
    </cfRule>
  </conditionalFormatting>
  <conditionalFormatting sqref="AU633">
    <cfRule type="cellIs" dxfId="0" priority="2601" operator="lessThan">
      <formula>20</formula>
    </cfRule>
    <cfRule type="cellIs" dxfId="1" priority="1525" operator="greaterThan">
      <formula>120</formula>
    </cfRule>
    <cfRule type="containsText" dxfId="2" priority="449" operator="between" text="库存为">
      <formula>NOT(ISERROR(SEARCH("库存为",AU633)))</formula>
    </cfRule>
  </conditionalFormatting>
  <conditionalFormatting sqref="AU634">
    <cfRule type="cellIs" dxfId="0" priority="2600" operator="lessThan">
      <formula>20</formula>
    </cfRule>
    <cfRule type="cellIs" dxfId="1" priority="1524" operator="greaterThan">
      <formula>120</formula>
    </cfRule>
    <cfRule type="containsText" dxfId="2" priority="448" operator="between" text="库存为">
      <formula>NOT(ISERROR(SEARCH("库存为",AU634)))</formula>
    </cfRule>
  </conditionalFormatting>
  <conditionalFormatting sqref="AU635">
    <cfRule type="cellIs" dxfId="0" priority="2599" operator="lessThan">
      <formula>20</formula>
    </cfRule>
    <cfRule type="cellIs" dxfId="1" priority="1523" operator="greaterThan">
      <formula>120</formula>
    </cfRule>
    <cfRule type="containsText" dxfId="2" priority="447" operator="between" text="库存为">
      <formula>NOT(ISERROR(SEARCH("库存为",AU635)))</formula>
    </cfRule>
  </conditionalFormatting>
  <conditionalFormatting sqref="AU636">
    <cfRule type="cellIs" dxfId="0" priority="2598" operator="lessThan">
      <formula>20</formula>
    </cfRule>
    <cfRule type="cellIs" dxfId="1" priority="1522" operator="greaterThan">
      <formula>120</formula>
    </cfRule>
    <cfRule type="containsText" dxfId="2" priority="446" operator="between" text="库存为">
      <formula>NOT(ISERROR(SEARCH("库存为",AU636)))</formula>
    </cfRule>
  </conditionalFormatting>
  <conditionalFormatting sqref="AU637">
    <cfRule type="cellIs" dxfId="0" priority="2597" operator="lessThan">
      <formula>20</formula>
    </cfRule>
    <cfRule type="cellIs" dxfId="1" priority="1521" operator="greaterThan">
      <formula>120</formula>
    </cfRule>
    <cfRule type="containsText" dxfId="2" priority="445" operator="between" text="库存为">
      <formula>NOT(ISERROR(SEARCH("库存为",AU637)))</formula>
    </cfRule>
  </conditionalFormatting>
  <conditionalFormatting sqref="AU638">
    <cfRule type="cellIs" dxfId="0" priority="2596" operator="lessThan">
      <formula>20</formula>
    </cfRule>
    <cfRule type="cellIs" dxfId="1" priority="1520" operator="greaterThan">
      <formula>120</formula>
    </cfRule>
    <cfRule type="containsText" dxfId="2" priority="444" operator="between" text="库存为">
      <formula>NOT(ISERROR(SEARCH("库存为",AU638)))</formula>
    </cfRule>
  </conditionalFormatting>
  <conditionalFormatting sqref="AU639">
    <cfRule type="cellIs" dxfId="0" priority="2595" operator="lessThan">
      <formula>20</formula>
    </cfRule>
    <cfRule type="cellIs" dxfId="1" priority="1519" operator="greaterThan">
      <formula>120</formula>
    </cfRule>
    <cfRule type="containsText" dxfId="2" priority="443" operator="between" text="库存为">
      <formula>NOT(ISERROR(SEARCH("库存为",AU639)))</formula>
    </cfRule>
  </conditionalFormatting>
  <conditionalFormatting sqref="AU640">
    <cfRule type="cellIs" dxfId="0" priority="2594" operator="lessThan">
      <formula>20</formula>
    </cfRule>
    <cfRule type="cellIs" dxfId="1" priority="1518" operator="greaterThan">
      <formula>120</formula>
    </cfRule>
    <cfRule type="containsText" dxfId="2" priority="442" operator="between" text="库存为">
      <formula>NOT(ISERROR(SEARCH("库存为",AU640)))</formula>
    </cfRule>
  </conditionalFormatting>
  <conditionalFormatting sqref="AU641">
    <cfRule type="cellIs" dxfId="0" priority="2593" operator="lessThan">
      <formula>20</formula>
    </cfRule>
    <cfRule type="cellIs" dxfId="1" priority="1517" operator="greaterThan">
      <formula>120</formula>
    </cfRule>
    <cfRule type="containsText" dxfId="2" priority="441" operator="between" text="库存为">
      <formula>NOT(ISERROR(SEARCH("库存为",AU641)))</formula>
    </cfRule>
  </conditionalFormatting>
  <conditionalFormatting sqref="AU642">
    <cfRule type="cellIs" dxfId="0" priority="2592" operator="lessThan">
      <formula>20</formula>
    </cfRule>
    <cfRule type="cellIs" dxfId="1" priority="1516" operator="greaterThan">
      <formula>120</formula>
    </cfRule>
    <cfRule type="containsText" dxfId="2" priority="440" operator="between" text="库存为">
      <formula>NOT(ISERROR(SEARCH("库存为",AU642)))</formula>
    </cfRule>
  </conditionalFormatting>
  <conditionalFormatting sqref="AU643">
    <cfRule type="cellIs" dxfId="0" priority="2591" operator="lessThan">
      <formula>20</formula>
    </cfRule>
    <cfRule type="cellIs" dxfId="1" priority="1515" operator="greaterThan">
      <formula>120</formula>
    </cfRule>
    <cfRule type="containsText" dxfId="2" priority="439" operator="between" text="库存为">
      <formula>NOT(ISERROR(SEARCH("库存为",AU643)))</formula>
    </cfRule>
  </conditionalFormatting>
  <conditionalFormatting sqref="AU644">
    <cfRule type="cellIs" dxfId="0" priority="2590" operator="lessThan">
      <formula>20</formula>
    </cfRule>
    <cfRule type="cellIs" dxfId="1" priority="1514" operator="greaterThan">
      <formula>120</formula>
    </cfRule>
    <cfRule type="containsText" dxfId="2" priority="438" operator="between" text="库存为">
      <formula>NOT(ISERROR(SEARCH("库存为",AU644)))</formula>
    </cfRule>
  </conditionalFormatting>
  <conditionalFormatting sqref="AU645">
    <cfRule type="cellIs" dxfId="0" priority="2589" operator="lessThan">
      <formula>20</formula>
    </cfRule>
    <cfRule type="cellIs" dxfId="1" priority="1513" operator="greaterThan">
      <formula>120</formula>
    </cfRule>
    <cfRule type="containsText" dxfId="2" priority="437" operator="between" text="库存为">
      <formula>NOT(ISERROR(SEARCH("库存为",AU645)))</formula>
    </cfRule>
  </conditionalFormatting>
  <conditionalFormatting sqref="AU646">
    <cfRule type="cellIs" dxfId="0" priority="2588" operator="lessThan">
      <formula>20</formula>
    </cfRule>
    <cfRule type="cellIs" dxfId="1" priority="1512" operator="greaterThan">
      <formula>120</formula>
    </cfRule>
    <cfRule type="containsText" dxfId="2" priority="436" operator="between" text="库存为">
      <formula>NOT(ISERROR(SEARCH("库存为",AU646)))</formula>
    </cfRule>
  </conditionalFormatting>
  <conditionalFormatting sqref="AU647">
    <cfRule type="cellIs" dxfId="0" priority="2587" operator="lessThan">
      <formula>20</formula>
    </cfRule>
    <cfRule type="cellIs" dxfId="1" priority="1511" operator="greaterThan">
      <formula>120</formula>
    </cfRule>
    <cfRule type="containsText" dxfId="2" priority="435" operator="between" text="库存为">
      <formula>NOT(ISERROR(SEARCH("库存为",AU647)))</formula>
    </cfRule>
  </conditionalFormatting>
  <conditionalFormatting sqref="AU648">
    <cfRule type="cellIs" dxfId="0" priority="2586" operator="lessThan">
      <formula>20</formula>
    </cfRule>
    <cfRule type="cellIs" dxfId="1" priority="1510" operator="greaterThan">
      <formula>120</formula>
    </cfRule>
    <cfRule type="containsText" dxfId="2" priority="434" operator="between" text="库存为">
      <formula>NOT(ISERROR(SEARCH("库存为",AU648)))</formula>
    </cfRule>
  </conditionalFormatting>
  <conditionalFormatting sqref="AU649">
    <cfRule type="cellIs" dxfId="0" priority="2585" operator="lessThan">
      <formula>20</formula>
    </cfRule>
    <cfRule type="cellIs" dxfId="1" priority="1509" operator="greaterThan">
      <formula>120</formula>
    </cfRule>
    <cfRule type="containsText" dxfId="2" priority="433" operator="between" text="库存为">
      <formula>NOT(ISERROR(SEARCH("库存为",AU649)))</formula>
    </cfRule>
  </conditionalFormatting>
  <conditionalFormatting sqref="AU650">
    <cfRule type="cellIs" dxfId="0" priority="2584" operator="lessThan">
      <formula>20</formula>
    </cfRule>
    <cfRule type="cellIs" dxfId="1" priority="1508" operator="greaterThan">
      <formula>120</formula>
    </cfRule>
    <cfRule type="containsText" dxfId="2" priority="432" operator="between" text="库存为">
      <formula>NOT(ISERROR(SEARCH("库存为",AU650)))</formula>
    </cfRule>
  </conditionalFormatting>
  <conditionalFormatting sqref="AU651">
    <cfRule type="cellIs" dxfId="0" priority="2583" operator="lessThan">
      <formula>20</formula>
    </cfRule>
    <cfRule type="cellIs" dxfId="1" priority="1507" operator="greaterThan">
      <formula>120</formula>
    </cfRule>
    <cfRule type="containsText" dxfId="2" priority="431" operator="between" text="库存为">
      <formula>NOT(ISERROR(SEARCH("库存为",AU651)))</formula>
    </cfRule>
  </conditionalFormatting>
  <conditionalFormatting sqref="AU652">
    <cfRule type="cellIs" dxfId="0" priority="2582" operator="lessThan">
      <formula>20</formula>
    </cfRule>
    <cfRule type="cellIs" dxfId="1" priority="1506" operator="greaterThan">
      <formula>120</formula>
    </cfRule>
    <cfRule type="containsText" dxfId="2" priority="430" operator="between" text="库存为">
      <formula>NOT(ISERROR(SEARCH("库存为",AU652)))</formula>
    </cfRule>
  </conditionalFormatting>
  <conditionalFormatting sqref="AU653">
    <cfRule type="cellIs" dxfId="0" priority="2581" operator="lessThan">
      <formula>20</formula>
    </cfRule>
    <cfRule type="cellIs" dxfId="1" priority="1505" operator="greaterThan">
      <formula>120</formula>
    </cfRule>
    <cfRule type="containsText" dxfId="2" priority="429" operator="between" text="库存为">
      <formula>NOT(ISERROR(SEARCH("库存为",AU653)))</formula>
    </cfRule>
  </conditionalFormatting>
  <conditionalFormatting sqref="AU654">
    <cfRule type="cellIs" dxfId="0" priority="2580" operator="lessThan">
      <formula>20</formula>
    </cfRule>
    <cfRule type="cellIs" dxfId="1" priority="1504" operator="greaterThan">
      <formula>120</formula>
    </cfRule>
    <cfRule type="containsText" dxfId="2" priority="428" operator="between" text="库存为">
      <formula>NOT(ISERROR(SEARCH("库存为",AU654)))</formula>
    </cfRule>
  </conditionalFormatting>
  <conditionalFormatting sqref="AU655">
    <cfRule type="cellIs" dxfId="0" priority="2579" operator="lessThan">
      <formula>20</formula>
    </cfRule>
    <cfRule type="cellIs" dxfId="1" priority="1503" operator="greaterThan">
      <formula>120</formula>
    </cfRule>
    <cfRule type="containsText" dxfId="2" priority="427" operator="between" text="库存为">
      <formula>NOT(ISERROR(SEARCH("库存为",AU655)))</formula>
    </cfRule>
  </conditionalFormatting>
  <conditionalFormatting sqref="AU656">
    <cfRule type="cellIs" dxfId="0" priority="2578" operator="lessThan">
      <formula>20</formula>
    </cfRule>
    <cfRule type="cellIs" dxfId="1" priority="1502" operator="greaterThan">
      <formula>120</formula>
    </cfRule>
    <cfRule type="containsText" dxfId="2" priority="426" operator="between" text="库存为">
      <formula>NOT(ISERROR(SEARCH("库存为",AU656)))</formula>
    </cfRule>
  </conditionalFormatting>
  <conditionalFormatting sqref="AU657">
    <cfRule type="cellIs" dxfId="0" priority="2577" operator="lessThan">
      <formula>20</formula>
    </cfRule>
    <cfRule type="cellIs" dxfId="1" priority="1501" operator="greaterThan">
      <formula>120</formula>
    </cfRule>
    <cfRule type="containsText" dxfId="2" priority="425" operator="between" text="库存为">
      <formula>NOT(ISERROR(SEARCH("库存为",AU657)))</formula>
    </cfRule>
  </conditionalFormatting>
  <conditionalFormatting sqref="AU658">
    <cfRule type="cellIs" dxfId="0" priority="2576" operator="lessThan">
      <formula>20</formula>
    </cfRule>
    <cfRule type="cellIs" dxfId="1" priority="1500" operator="greaterThan">
      <formula>120</formula>
    </cfRule>
    <cfRule type="containsText" dxfId="2" priority="424" operator="between" text="库存为">
      <formula>NOT(ISERROR(SEARCH("库存为",AU658)))</formula>
    </cfRule>
  </conditionalFormatting>
  <conditionalFormatting sqref="AU659">
    <cfRule type="cellIs" dxfId="0" priority="2575" operator="lessThan">
      <formula>20</formula>
    </cfRule>
    <cfRule type="cellIs" dxfId="1" priority="1499" operator="greaterThan">
      <formula>120</formula>
    </cfRule>
    <cfRule type="containsText" dxfId="2" priority="423" operator="between" text="库存为">
      <formula>NOT(ISERROR(SEARCH("库存为",AU659)))</formula>
    </cfRule>
  </conditionalFormatting>
  <conditionalFormatting sqref="AU660">
    <cfRule type="cellIs" dxfId="0" priority="2574" operator="lessThan">
      <formula>20</formula>
    </cfRule>
    <cfRule type="cellIs" dxfId="1" priority="1498" operator="greaterThan">
      <formula>120</formula>
    </cfRule>
    <cfRule type="containsText" dxfId="2" priority="422" operator="between" text="库存为">
      <formula>NOT(ISERROR(SEARCH("库存为",AU660)))</formula>
    </cfRule>
  </conditionalFormatting>
  <conditionalFormatting sqref="AU661">
    <cfRule type="cellIs" dxfId="0" priority="2573" operator="lessThan">
      <formula>20</formula>
    </cfRule>
    <cfRule type="cellIs" dxfId="1" priority="1497" operator="greaterThan">
      <formula>120</formula>
    </cfRule>
    <cfRule type="containsText" dxfId="2" priority="421" operator="between" text="库存为">
      <formula>NOT(ISERROR(SEARCH("库存为",AU661)))</formula>
    </cfRule>
  </conditionalFormatting>
  <conditionalFormatting sqref="AU662">
    <cfRule type="cellIs" dxfId="0" priority="2572" operator="lessThan">
      <formula>20</formula>
    </cfRule>
    <cfRule type="cellIs" dxfId="1" priority="1496" operator="greaterThan">
      <formula>120</formula>
    </cfRule>
    <cfRule type="containsText" dxfId="2" priority="420" operator="between" text="库存为">
      <formula>NOT(ISERROR(SEARCH("库存为",AU662)))</formula>
    </cfRule>
  </conditionalFormatting>
  <conditionalFormatting sqref="AU663">
    <cfRule type="cellIs" dxfId="0" priority="2571" operator="lessThan">
      <formula>20</formula>
    </cfRule>
    <cfRule type="cellIs" dxfId="1" priority="1495" operator="greaterThan">
      <formula>120</formula>
    </cfRule>
    <cfRule type="containsText" dxfId="2" priority="419" operator="between" text="库存为">
      <formula>NOT(ISERROR(SEARCH("库存为",AU663)))</formula>
    </cfRule>
  </conditionalFormatting>
  <conditionalFormatting sqref="AU664">
    <cfRule type="cellIs" dxfId="0" priority="2570" operator="lessThan">
      <formula>20</formula>
    </cfRule>
    <cfRule type="cellIs" dxfId="1" priority="1494" operator="greaterThan">
      <formula>120</formula>
    </cfRule>
    <cfRule type="containsText" dxfId="2" priority="418" operator="between" text="库存为">
      <formula>NOT(ISERROR(SEARCH("库存为",AU664)))</formula>
    </cfRule>
  </conditionalFormatting>
  <conditionalFormatting sqref="AU665">
    <cfRule type="cellIs" dxfId="0" priority="2569" operator="lessThan">
      <formula>20</formula>
    </cfRule>
    <cfRule type="cellIs" dxfId="1" priority="1493" operator="greaterThan">
      <formula>120</formula>
    </cfRule>
    <cfRule type="containsText" dxfId="2" priority="417" operator="between" text="库存为">
      <formula>NOT(ISERROR(SEARCH("库存为",AU665)))</formula>
    </cfRule>
  </conditionalFormatting>
  <conditionalFormatting sqref="AU666">
    <cfRule type="cellIs" dxfId="0" priority="2568" operator="lessThan">
      <formula>20</formula>
    </cfRule>
    <cfRule type="cellIs" dxfId="1" priority="1492" operator="greaterThan">
      <formula>120</formula>
    </cfRule>
    <cfRule type="containsText" dxfId="2" priority="416" operator="between" text="库存为">
      <formula>NOT(ISERROR(SEARCH("库存为",AU666)))</formula>
    </cfRule>
  </conditionalFormatting>
  <conditionalFormatting sqref="AU667">
    <cfRule type="cellIs" dxfId="0" priority="2567" operator="lessThan">
      <formula>20</formula>
    </cfRule>
    <cfRule type="cellIs" dxfId="1" priority="1491" operator="greaterThan">
      <formula>120</formula>
    </cfRule>
    <cfRule type="containsText" dxfId="2" priority="415" operator="between" text="库存为">
      <formula>NOT(ISERROR(SEARCH("库存为",AU667)))</formula>
    </cfRule>
  </conditionalFormatting>
  <conditionalFormatting sqref="AU668">
    <cfRule type="cellIs" dxfId="0" priority="2566" operator="lessThan">
      <formula>20</formula>
    </cfRule>
    <cfRule type="cellIs" dxfId="1" priority="1490" operator="greaterThan">
      <formula>120</formula>
    </cfRule>
    <cfRule type="containsText" dxfId="2" priority="414" operator="between" text="库存为">
      <formula>NOT(ISERROR(SEARCH("库存为",AU668)))</formula>
    </cfRule>
  </conditionalFormatting>
  <conditionalFormatting sqref="AU669">
    <cfRule type="cellIs" dxfId="0" priority="2565" operator="lessThan">
      <formula>20</formula>
    </cfRule>
    <cfRule type="cellIs" dxfId="1" priority="1489" operator="greaterThan">
      <formula>120</formula>
    </cfRule>
    <cfRule type="containsText" dxfId="2" priority="413" operator="between" text="库存为">
      <formula>NOT(ISERROR(SEARCH("库存为",AU669)))</formula>
    </cfRule>
  </conditionalFormatting>
  <conditionalFormatting sqref="AU670">
    <cfRule type="cellIs" dxfId="0" priority="2564" operator="lessThan">
      <formula>20</formula>
    </cfRule>
    <cfRule type="cellIs" dxfId="1" priority="1488" operator="greaterThan">
      <formula>120</formula>
    </cfRule>
    <cfRule type="containsText" dxfId="2" priority="412" operator="between" text="库存为">
      <formula>NOT(ISERROR(SEARCH("库存为",AU670)))</formula>
    </cfRule>
  </conditionalFormatting>
  <conditionalFormatting sqref="AU671">
    <cfRule type="cellIs" dxfId="0" priority="2563" operator="lessThan">
      <formula>20</formula>
    </cfRule>
    <cfRule type="cellIs" dxfId="1" priority="1487" operator="greaterThan">
      <formula>120</formula>
    </cfRule>
    <cfRule type="containsText" dxfId="2" priority="411" operator="between" text="库存为">
      <formula>NOT(ISERROR(SEARCH("库存为",AU671)))</formula>
    </cfRule>
  </conditionalFormatting>
  <conditionalFormatting sqref="AU672">
    <cfRule type="cellIs" dxfId="0" priority="2562" operator="lessThan">
      <formula>20</formula>
    </cfRule>
    <cfRule type="cellIs" dxfId="1" priority="1486" operator="greaterThan">
      <formula>120</formula>
    </cfRule>
    <cfRule type="containsText" dxfId="2" priority="410" operator="between" text="库存为">
      <formula>NOT(ISERROR(SEARCH("库存为",AU672)))</formula>
    </cfRule>
  </conditionalFormatting>
  <conditionalFormatting sqref="AU673">
    <cfRule type="cellIs" dxfId="0" priority="2561" operator="lessThan">
      <formula>20</formula>
    </cfRule>
    <cfRule type="cellIs" dxfId="1" priority="1485" operator="greaterThan">
      <formula>120</formula>
    </cfRule>
    <cfRule type="containsText" dxfId="2" priority="409" operator="between" text="库存为">
      <formula>NOT(ISERROR(SEARCH("库存为",AU673)))</formula>
    </cfRule>
  </conditionalFormatting>
  <conditionalFormatting sqref="AU674">
    <cfRule type="cellIs" dxfId="0" priority="2560" operator="lessThan">
      <formula>20</formula>
    </cfRule>
    <cfRule type="cellIs" dxfId="1" priority="1484" operator="greaterThan">
      <formula>120</formula>
    </cfRule>
    <cfRule type="containsText" dxfId="2" priority="408" operator="between" text="库存为">
      <formula>NOT(ISERROR(SEARCH("库存为",AU674)))</formula>
    </cfRule>
  </conditionalFormatting>
  <conditionalFormatting sqref="AU675">
    <cfRule type="cellIs" dxfId="0" priority="2559" operator="lessThan">
      <formula>20</formula>
    </cfRule>
    <cfRule type="cellIs" dxfId="1" priority="1483" operator="greaterThan">
      <formula>120</formula>
    </cfRule>
    <cfRule type="containsText" dxfId="2" priority="407" operator="between" text="库存为">
      <formula>NOT(ISERROR(SEARCH("库存为",AU675)))</formula>
    </cfRule>
  </conditionalFormatting>
  <conditionalFormatting sqref="AU676">
    <cfRule type="cellIs" dxfId="0" priority="2558" operator="lessThan">
      <formula>20</formula>
    </cfRule>
    <cfRule type="cellIs" dxfId="1" priority="1482" operator="greaterThan">
      <formula>120</formula>
    </cfRule>
    <cfRule type="containsText" dxfId="2" priority="406" operator="between" text="库存为">
      <formula>NOT(ISERROR(SEARCH("库存为",AU676)))</formula>
    </cfRule>
  </conditionalFormatting>
  <conditionalFormatting sqref="AU677">
    <cfRule type="cellIs" dxfId="0" priority="2557" operator="lessThan">
      <formula>20</formula>
    </cfRule>
    <cfRule type="cellIs" dxfId="1" priority="1481" operator="greaterThan">
      <formula>120</formula>
    </cfRule>
    <cfRule type="containsText" dxfId="2" priority="405" operator="between" text="库存为">
      <formula>NOT(ISERROR(SEARCH("库存为",AU677)))</formula>
    </cfRule>
  </conditionalFormatting>
  <conditionalFormatting sqref="AU678">
    <cfRule type="cellIs" dxfId="0" priority="2556" operator="lessThan">
      <formula>20</formula>
    </cfRule>
    <cfRule type="cellIs" dxfId="1" priority="1480" operator="greaterThan">
      <formula>120</formula>
    </cfRule>
    <cfRule type="containsText" dxfId="2" priority="404" operator="between" text="库存为">
      <formula>NOT(ISERROR(SEARCH("库存为",AU678)))</formula>
    </cfRule>
  </conditionalFormatting>
  <conditionalFormatting sqref="AU679">
    <cfRule type="cellIs" dxfId="0" priority="2555" operator="lessThan">
      <formula>20</formula>
    </cfRule>
    <cfRule type="cellIs" dxfId="1" priority="1479" operator="greaterThan">
      <formula>120</formula>
    </cfRule>
    <cfRule type="containsText" dxfId="2" priority="403" operator="between" text="库存为">
      <formula>NOT(ISERROR(SEARCH("库存为",AU679)))</formula>
    </cfRule>
  </conditionalFormatting>
  <conditionalFormatting sqref="AU680">
    <cfRule type="cellIs" dxfId="0" priority="2554" operator="lessThan">
      <formula>20</formula>
    </cfRule>
    <cfRule type="cellIs" dxfId="1" priority="1478" operator="greaterThan">
      <formula>120</formula>
    </cfRule>
    <cfRule type="containsText" dxfId="2" priority="402" operator="between" text="库存为">
      <formula>NOT(ISERROR(SEARCH("库存为",AU680)))</formula>
    </cfRule>
  </conditionalFormatting>
  <conditionalFormatting sqref="AU681">
    <cfRule type="cellIs" dxfId="0" priority="2553" operator="lessThan">
      <formula>20</formula>
    </cfRule>
    <cfRule type="cellIs" dxfId="1" priority="1477" operator="greaterThan">
      <formula>120</formula>
    </cfRule>
    <cfRule type="containsText" dxfId="2" priority="401" operator="between" text="库存为">
      <formula>NOT(ISERROR(SEARCH("库存为",AU681)))</formula>
    </cfRule>
  </conditionalFormatting>
  <conditionalFormatting sqref="AU682">
    <cfRule type="cellIs" dxfId="0" priority="2552" operator="lessThan">
      <formula>20</formula>
    </cfRule>
    <cfRule type="cellIs" dxfId="1" priority="1476" operator="greaterThan">
      <formula>120</formula>
    </cfRule>
    <cfRule type="containsText" dxfId="2" priority="400" operator="between" text="库存为">
      <formula>NOT(ISERROR(SEARCH("库存为",AU682)))</formula>
    </cfRule>
  </conditionalFormatting>
  <conditionalFormatting sqref="AU683">
    <cfRule type="cellIs" dxfId="0" priority="2551" operator="lessThan">
      <formula>20</formula>
    </cfRule>
    <cfRule type="cellIs" dxfId="1" priority="1475" operator="greaterThan">
      <formula>120</formula>
    </cfRule>
    <cfRule type="containsText" dxfId="2" priority="399" operator="between" text="库存为">
      <formula>NOT(ISERROR(SEARCH("库存为",AU683)))</formula>
    </cfRule>
  </conditionalFormatting>
  <conditionalFormatting sqref="AU684">
    <cfRule type="cellIs" dxfId="0" priority="2550" operator="lessThan">
      <formula>20</formula>
    </cfRule>
    <cfRule type="cellIs" dxfId="1" priority="1474" operator="greaterThan">
      <formula>120</formula>
    </cfRule>
    <cfRule type="containsText" dxfId="2" priority="398" operator="between" text="库存为">
      <formula>NOT(ISERROR(SEARCH("库存为",AU684)))</formula>
    </cfRule>
  </conditionalFormatting>
  <conditionalFormatting sqref="AU685">
    <cfRule type="cellIs" dxfId="0" priority="2549" operator="lessThan">
      <formula>20</formula>
    </cfRule>
    <cfRule type="cellIs" dxfId="1" priority="1473" operator="greaterThan">
      <formula>120</formula>
    </cfRule>
    <cfRule type="containsText" dxfId="2" priority="397" operator="between" text="库存为">
      <formula>NOT(ISERROR(SEARCH("库存为",AU685)))</formula>
    </cfRule>
  </conditionalFormatting>
  <conditionalFormatting sqref="AU686">
    <cfRule type="cellIs" dxfId="0" priority="2548" operator="lessThan">
      <formula>20</formula>
    </cfRule>
    <cfRule type="cellIs" dxfId="1" priority="1472" operator="greaterThan">
      <formula>120</formula>
    </cfRule>
    <cfRule type="containsText" dxfId="2" priority="396" operator="between" text="库存为">
      <formula>NOT(ISERROR(SEARCH("库存为",AU686)))</formula>
    </cfRule>
  </conditionalFormatting>
  <conditionalFormatting sqref="AU687">
    <cfRule type="cellIs" dxfId="0" priority="2547" operator="lessThan">
      <formula>20</formula>
    </cfRule>
    <cfRule type="cellIs" dxfId="1" priority="1471" operator="greaterThan">
      <formula>120</formula>
    </cfRule>
    <cfRule type="containsText" dxfId="2" priority="395" operator="between" text="库存为">
      <formula>NOT(ISERROR(SEARCH("库存为",AU687)))</formula>
    </cfRule>
  </conditionalFormatting>
  <conditionalFormatting sqref="AU688">
    <cfRule type="cellIs" dxfId="0" priority="2546" operator="lessThan">
      <formula>20</formula>
    </cfRule>
    <cfRule type="cellIs" dxfId="1" priority="1470" operator="greaterThan">
      <formula>120</formula>
    </cfRule>
    <cfRule type="containsText" dxfId="2" priority="394" operator="between" text="库存为">
      <formula>NOT(ISERROR(SEARCH("库存为",AU688)))</formula>
    </cfRule>
  </conditionalFormatting>
  <conditionalFormatting sqref="AU689">
    <cfRule type="cellIs" dxfId="0" priority="2545" operator="lessThan">
      <formula>20</formula>
    </cfRule>
    <cfRule type="cellIs" dxfId="1" priority="1469" operator="greaterThan">
      <formula>120</formula>
    </cfRule>
    <cfRule type="containsText" dxfId="2" priority="393" operator="between" text="库存为">
      <formula>NOT(ISERROR(SEARCH("库存为",AU689)))</formula>
    </cfRule>
  </conditionalFormatting>
  <conditionalFormatting sqref="AU690">
    <cfRule type="cellIs" dxfId="0" priority="2544" operator="lessThan">
      <formula>20</formula>
    </cfRule>
    <cfRule type="cellIs" dxfId="1" priority="1468" operator="greaterThan">
      <formula>120</formula>
    </cfRule>
    <cfRule type="containsText" dxfId="2" priority="392" operator="between" text="库存为">
      <formula>NOT(ISERROR(SEARCH("库存为",AU690)))</formula>
    </cfRule>
  </conditionalFormatting>
  <conditionalFormatting sqref="AU691">
    <cfRule type="cellIs" dxfId="0" priority="2543" operator="lessThan">
      <formula>20</formula>
    </cfRule>
    <cfRule type="cellIs" dxfId="1" priority="1467" operator="greaterThan">
      <formula>120</formula>
    </cfRule>
    <cfRule type="containsText" dxfId="2" priority="391" operator="between" text="库存为">
      <formula>NOT(ISERROR(SEARCH("库存为",AU691)))</formula>
    </cfRule>
  </conditionalFormatting>
  <conditionalFormatting sqref="AU692">
    <cfRule type="cellIs" dxfId="0" priority="2542" operator="lessThan">
      <formula>20</formula>
    </cfRule>
    <cfRule type="cellIs" dxfId="1" priority="1466" operator="greaterThan">
      <formula>120</formula>
    </cfRule>
    <cfRule type="containsText" dxfId="2" priority="390" operator="between" text="库存为">
      <formula>NOT(ISERROR(SEARCH("库存为",AU692)))</formula>
    </cfRule>
  </conditionalFormatting>
  <conditionalFormatting sqref="AU693">
    <cfRule type="cellIs" dxfId="0" priority="2541" operator="lessThan">
      <formula>20</formula>
    </cfRule>
    <cfRule type="cellIs" dxfId="1" priority="1465" operator="greaterThan">
      <formula>120</formula>
    </cfRule>
    <cfRule type="containsText" dxfId="2" priority="389" operator="between" text="库存为">
      <formula>NOT(ISERROR(SEARCH("库存为",AU693)))</formula>
    </cfRule>
  </conditionalFormatting>
  <conditionalFormatting sqref="AU694">
    <cfRule type="cellIs" dxfId="0" priority="2540" operator="lessThan">
      <formula>20</formula>
    </cfRule>
    <cfRule type="cellIs" dxfId="1" priority="1464" operator="greaterThan">
      <formula>120</formula>
    </cfRule>
    <cfRule type="containsText" dxfId="2" priority="388" operator="between" text="库存为">
      <formula>NOT(ISERROR(SEARCH("库存为",AU694)))</formula>
    </cfRule>
  </conditionalFormatting>
  <conditionalFormatting sqref="AU695">
    <cfRule type="cellIs" dxfId="0" priority="2539" operator="lessThan">
      <formula>20</formula>
    </cfRule>
    <cfRule type="cellIs" dxfId="1" priority="1463" operator="greaterThan">
      <formula>120</formula>
    </cfRule>
    <cfRule type="containsText" dxfId="2" priority="387" operator="between" text="库存为">
      <formula>NOT(ISERROR(SEARCH("库存为",AU695)))</formula>
    </cfRule>
  </conditionalFormatting>
  <conditionalFormatting sqref="AU696">
    <cfRule type="cellIs" dxfId="0" priority="2538" operator="lessThan">
      <formula>20</formula>
    </cfRule>
    <cfRule type="cellIs" dxfId="1" priority="1462" operator="greaterThan">
      <formula>120</formula>
    </cfRule>
    <cfRule type="containsText" dxfId="2" priority="386" operator="between" text="库存为">
      <formula>NOT(ISERROR(SEARCH("库存为",AU696)))</formula>
    </cfRule>
  </conditionalFormatting>
  <conditionalFormatting sqref="AU697">
    <cfRule type="cellIs" dxfId="0" priority="2537" operator="lessThan">
      <formula>20</formula>
    </cfRule>
    <cfRule type="cellIs" dxfId="1" priority="1461" operator="greaterThan">
      <formula>120</formula>
    </cfRule>
    <cfRule type="containsText" dxfId="2" priority="385" operator="between" text="库存为">
      <formula>NOT(ISERROR(SEARCH("库存为",AU697)))</formula>
    </cfRule>
  </conditionalFormatting>
  <conditionalFormatting sqref="AU698">
    <cfRule type="cellIs" dxfId="0" priority="2536" operator="lessThan">
      <formula>20</formula>
    </cfRule>
    <cfRule type="cellIs" dxfId="1" priority="1460" operator="greaterThan">
      <formula>120</formula>
    </cfRule>
    <cfRule type="containsText" dxfId="2" priority="384" operator="between" text="库存为">
      <formula>NOT(ISERROR(SEARCH("库存为",AU698)))</formula>
    </cfRule>
  </conditionalFormatting>
  <conditionalFormatting sqref="AU699">
    <cfRule type="cellIs" dxfId="0" priority="2535" operator="lessThan">
      <formula>20</formula>
    </cfRule>
    <cfRule type="cellIs" dxfId="1" priority="1459" operator="greaterThan">
      <formula>120</formula>
    </cfRule>
    <cfRule type="containsText" dxfId="2" priority="383" operator="between" text="库存为">
      <formula>NOT(ISERROR(SEARCH("库存为",AU699)))</formula>
    </cfRule>
  </conditionalFormatting>
  <conditionalFormatting sqref="AU700">
    <cfRule type="cellIs" dxfId="0" priority="2534" operator="lessThan">
      <formula>20</formula>
    </cfRule>
    <cfRule type="cellIs" dxfId="1" priority="1458" operator="greaterThan">
      <formula>120</formula>
    </cfRule>
    <cfRule type="containsText" dxfId="2" priority="382" operator="between" text="库存为">
      <formula>NOT(ISERROR(SEARCH("库存为",AU700)))</formula>
    </cfRule>
  </conditionalFormatting>
  <conditionalFormatting sqref="AU701">
    <cfRule type="cellIs" dxfId="0" priority="2533" operator="lessThan">
      <formula>20</formula>
    </cfRule>
    <cfRule type="cellIs" dxfId="1" priority="1457" operator="greaterThan">
      <formula>120</formula>
    </cfRule>
    <cfRule type="containsText" dxfId="2" priority="381" operator="between" text="库存为">
      <formula>NOT(ISERROR(SEARCH("库存为",AU701)))</formula>
    </cfRule>
  </conditionalFormatting>
  <conditionalFormatting sqref="AU702">
    <cfRule type="cellIs" dxfId="0" priority="2532" operator="lessThan">
      <formula>20</formula>
    </cfRule>
    <cfRule type="cellIs" dxfId="1" priority="1456" operator="greaterThan">
      <formula>120</formula>
    </cfRule>
    <cfRule type="containsText" dxfId="2" priority="380" operator="between" text="库存为">
      <formula>NOT(ISERROR(SEARCH("库存为",AU702)))</formula>
    </cfRule>
  </conditionalFormatting>
  <conditionalFormatting sqref="AU703">
    <cfRule type="cellIs" dxfId="0" priority="2531" operator="lessThan">
      <formula>20</formula>
    </cfRule>
    <cfRule type="cellIs" dxfId="1" priority="1455" operator="greaterThan">
      <formula>120</formula>
    </cfRule>
    <cfRule type="containsText" dxfId="2" priority="379" operator="between" text="库存为">
      <formula>NOT(ISERROR(SEARCH("库存为",AU703)))</formula>
    </cfRule>
  </conditionalFormatting>
  <conditionalFormatting sqref="AU704">
    <cfRule type="cellIs" dxfId="0" priority="2530" operator="lessThan">
      <formula>20</formula>
    </cfRule>
    <cfRule type="cellIs" dxfId="1" priority="1454" operator="greaterThan">
      <formula>120</formula>
    </cfRule>
    <cfRule type="containsText" dxfId="2" priority="378" operator="between" text="库存为">
      <formula>NOT(ISERROR(SEARCH("库存为",AU704)))</formula>
    </cfRule>
  </conditionalFormatting>
  <conditionalFormatting sqref="AU705">
    <cfRule type="cellIs" dxfId="0" priority="2529" operator="lessThan">
      <formula>20</formula>
    </cfRule>
    <cfRule type="cellIs" dxfId="1" priority="1453" operator="greaterThan">
      <formula>120</formula>
    </cfRule>
    <cfRule type="containsText" dxfId="2" priority="377" operator="between" text="库存为">
      <formula>NOT(ISERROR(SEARCH("库存为",AU705)))</formula>
    </cfRule>
  </conditionalFormatting>
  <conditionalFormatting sqref="AU706">
    <cfRule type="cellIs" dxfId="0" priority="2528" operator="lessThan">
      <formula>20</formula>
    </cfRule>
    <cfRule type="cellIs" dxfId="1" priority="1452" operator="greaterThan">
      <formula>120</formula>
    </cfRule>
    <cfRule type="containsText" dxfId="2" priority="376" operator="between" text="库存为">
      <formula>NOT(ISERROR(SEARCH("库存为",AU706)))</formula>
    </cfRule>
  </conditionalFormatting>
  <conditionalFormatting sqref="AU707">
    <cfRule type="cellIs" dxfId="0" priority="2527" operator="lessThan">
      <formula>20</formula>
    </cfRule>
    <cfRule type="cellIs" dxfId="1" priority="1451" operator="greaterThan">
      <formula>120</formula>
    </cfRule>
    <cfRule type="containsText" dxfId="2" priority="375" operator="between" text="库存为">
      <formula>NOT(ISERROR(SEARCH("库存为",AU707)))</formula>
    </cfRule>
  </conditionalFormatting>
  <conditionalFormatting sqref="AU708">
    <cfRule type="cellIs" dxfId="0" priority="2526" operator="lessThan">
      <formula>20</formula>
    </cfRule>
    <cfRule type="cellIs" dxfId="1" priority="1450" operator="greaterThan">
      <formula>120</formula>
    </cfRule>
    <cfRule type="containsText" dxfId="2" priority="374" operator="between" text="库存为">
      <formula>NOT(ISERROR(SEARCH("库存为",AU708)))</formula>
    </cfRule>
  </conditionalFormatting>
  <conditionalFormatting sqref="AU709">
    <cfRule type="cellIs" dxfId="0" priority="2525" operator="lessThan">
      <formula>20</formula>
    </cfRule>
    <cfRule type="cellIs" dxfId="1" priority="1449" operator="greaterThan">
      <formula>120</formula>
    </cfRule>
    <cfRule type="containsText" dxfId="2" priority="373" operator="between" text="库存为">
      <formula>NOT(ISERROR(SEARCH("库存为",AU709)))</formula>
    </cfRule>
  </conditionalFormatting>
  <conditionalFormatting sqref="AU710">
    <cfRule type="cellIs" dxfId="0" priority="2524" operator="lessThan">
      <formula>20</formula>
    </cfRule>
    <cfRule type="cellIs" dxfId="1" priority="1448" operator="greaterThan">
      <formula>120</formula>
    </cfRule>
    <cfRule type="containsText" dxfId="2" priority="372" operator="between" text="库存为">
      <formula>NOT(ISERROR(SEARCH("库存为",AU710)))</formula>
    </cfRule>
  </conditionalFormatting>
  <conditionalFormatting sqref="AU711">
    <cfRule type="cellIs" dxfId="0" priority="2523" operator="lessThan">
      <formula>20</formula>
    </cfRule>
    <cfRule type="cellIs" dxfId="1" priority="1447" operator="greaterThan">
      <formula>120</formula>
    </cfRule>
    <cfRule type="containsText" dxfId="2" priority="371" operator="between" text="库存为">
      <formula>NOT(ISERROR(SEARCH("库存为",AU711)))</formula>
    </cfRule>
  </conditionalFormatting>
  <conditionalFormatting sqref="AU712">
    <cfRule type="cellIs" dxfId="0" priority="2522" operator="lessThan">
      <formula>20</formula>
    </cfRule>
    <cfRule type="cellIs" dxfId="1" priority="1446" operator="greaterThan">
      <formula>120</formula>
    </cfRule>
    <cfRule type="containsText" dxfId="2" priority="370" operator="between" text="库存为">
      <formula>NOT(ISERROR(SEARCH("库存为",AU712)))</formula>
    </cfRule>
  </conditionalFormatting>
  <conditionalFormatting sqref="AU713">
    <cfRule type="cellIs" dxfId="0" priority="2521" operator="lessThan">
      <formula>20</formula>
    </cfRule>
    <cfRule type="cellIs" dxfId="1" priority="1445" operator="greaterThan">
      <formula>120</formula>
    </cfRule>
    <cfRule type="containsText" dxfId="2" priority="369" operator="between" text="库存为">
      <formula>NOT(ISERROR(SEARCH("库存为",AU713)))</formula>
    </cfRule>
  </conditionalFormatting>
  <conditionalFormatting sqref="AU714">
    <cfRule type="cellIs" dxfId="0" priority="2520" operator="lessThan">
      <formula>20</formula>
    </cfRule>
    <cfRule type="cellIs" dxfId="1" priority="1444" operator="greaterThan">
      <formula>120</formula>
    </cfRule>
    <cfRule type="containsText" dxfId="2" priority="368" operator="between" text="库存为">
      <formula>NOT(ISERROR(SEARCH("库存为",AU714)))</formula>
    </cfRule>
  </conditionalFormatting>
  <conditionalFormatting sqref="AU715">
    <cfRule type="cellIs" dxfId="0" priority="2519" operator="lessThan">
      <formula>20</formula>
    </cfRule>
    <cfRule type="cellIs" dxfId="1" priority="1443" operator="greaterThan">
      <formula>120</formula>
    </cfRule>
    <cfRule type="containsText" dxfId="2" priority="367" operator="between" text="库存为">
      <formula>NOT(ISERROR(SEARCH("库存为",AU715)))</formula>
    </cfRule>
  </conditionalFormatting>
  <conditionalFormatting sqref="AU716">
    <cfRule type="cellIs" dxfId="0" priority="2518" operator="lessThan">
      <formula>20</formula>
    </cfRule>
    <cfRule type="cellIs" dxfId="1" priority="1442" operator="greaterThan">
      <formula>120</formula>
    </cfRule>
    <cfRule type="containsText" dxfId="2" priority="366" operator="between" text="库存为">
      <formula>NOT(ISERROR(SEARCH("库存为",AU716)))</formula>
    </cfRule>
  </conditionalFormatting>
  <conditionalFormatting sqref="AU717">
    <cfRule type="cellIs" dxfId="0" priority="2517" operator="lessThan">
      <formula>20</formula>
    </cfRule>
    <cfRule type="cellIs" dxfId="1" priority="1441" operator="greaterThan">
      <formula>120</formula>
    </cfRule>
    <cfRule type="containsText" dxfId="2" priority="365" operator="between" text="库存为">
      <formula>NOT(ISERROR(SEARCH("库存为",AU717)))</formula>
    </cfRule>
  </conditionalFormatting>
  <conditionalFormatting sqref="AU718">
    <cfRule type="cellIs" dxfId="0" priority="2516" operator="lessThan">
      <formula>20</formula>
    </cfRule>
    <cfRule type="cellIs" dxfId="1" priority="1440" operator="greaterThan">
      <formula>120</formula>
    </cfRule>
    <cfRule type="containsText" dxfId="2" priority="364" operator="between" text="库存为">
      <formula>NOT(ISERROR(SEARCH("库存为",AU718)))</formula>
    </cfRule>
  </conditionalFormatting>
  <conditionalFormatting sqref="AU719">
    <cfRule type="cellIs" dxfId="0" priority="2515" operator="lessThan">
      <formula>20</formula>
    </cfRule>
    <cfRule type="cellIs" dxfId="1" priority="1439" operator="greaterThan">
      <formula>120</formula>
    </cfRule>
    <cfRule type="containsText" dxfId="2" priority="363" operator="between" text="库存为">
      <formula>NOT(ISERROR(SEARCH("库存为",AU719)))</formula>
    </cfRule>
  </conditionalFormatting>
  <conditionalFormatting sqref="AU720">
    <cfRule type="cellIs" dxfId="0" priority="2514" operator="lessThan">
      <formula>20</formula>
    </cfRule>
    <cfRule type="cellIs" dxfId="1" priority="1438" operator="greaterThan">
      <formula>120</formula>
    </cfRule>
    <cfRule type="containsText" dxfId="2" priority="362" operator="between" text="库存为">
      <formula>NOT(ISERROR(SEARCH("库存为",AU720)))</formula>
    </cfRule>
  </conditionalFormatting>
  <conditionalFormatting sqref="AU721">
    <cfRule type="cellIs" dxfId="0" priority="2513" operator="lessThan">
      <formula>20</formula>
    </cfRule>
    <cfRule type="cellIs" dxfId="1" priority="1437" operator="greaterThan">
      <formula>120</formula>
    </cfRule>
    <cfRule type="containsText" dxfId="2" priority="361" operator="between" text="库存为">
      <formula>NOT(ISERROR(SEARCH("库存为",AU721)))</formula>
    </cfRule>
  </conditionalFormatting>
  <conditionalFormatting sqref="AU722">
    <cfRule type="cellIs" dxfId="0" priority="2512" operator="lessThan">
      <formula>20</formula>
    </cfRule>
    <cfRule type="cellIs" dxfId="1" priority="1436" operator="greaterThan">
      <formula>120</formula>
    </cfRule>
    <cfRule type="containsText" dxfId="2" priority="360" operator="between" text="库存为">
      <formula>NOT(ISERROR(SEARCH("库存为",AU722)))</formula>
    </cfRule>
  </conditionalFormatting>
  <conditionalFormatting sqref="AU723">
    <cfRule type="cellIs" dxfId="0" priority="2511" operator="lessThan">
      <formula>20</formula>
    </cfRule>
    <cfRule type="cellIs" dxfId="1" priority="1435" operator="greaterThan">
      <formula>120</formula>
    </cfRule>
    <cfRule type="containsText" dxfId="2" priority="359" operator="between" text="库存为">
      <formula>NOT(ISERROR(SEARCH("库存为",AU723)))</formula>
    </cfRule>
  </conditionalFormatting>
  <conditionalFormatting sqref="AU724">
    <cfRule type="cellIs" dxfId="0" priority="2510" operator="lessThan">
      <formula>20</formula>
    </cfRule>
    <cfRule type="cellIs" dxfId="1" priority="1434" operator="greaterThan">
      <formula>120</formula>
    </cfRule>
    <cfRule type="containsText" dxfId="2" priority="358" operator="between" text="库存为">
      <formula>NOT(ISERROR(SEARCH("库存为",AU724)))</formula>
    </cfRule>
  </conditionalFormatting>
  <conditionalFormatting sqref="AU725">
    <cfRule type="cellIs" dxfId="0" priority="2509" operator="lessThan">
      <formula>20</formula>
    </cfRule>
    <cfRule type="cellIs" dxfId="1" priority="1433" operator="greaterThan">
      <formula>120</formula>
    </cfRule>
    <cfRule type="containsText" dxfId="2" priority="357" operator="between" text="库存为">
      <formula>NOT(ISERROR(SEARCH("库存为",AU725)))</formula>
    </cfRule>
  </conditionalFormatting>
  <conditionalFormatting sqref="AU726">
    <cfRule type="cellIs" dxfId="0" priority="2508" operator="lessThan">
      <formula>20</formula>
    </cfRule>
    <cfRule type="cellIs" dxfId="1" priority="1432" operator="greaterThan">
      <formula>120</formula>
    </cfRule>
    <cfRule type="containsText" dxfId="2" priority="356" operator="between" text="库存为">
      <formula>NOT(ISERROR(SEARCH("库存为",AU726)))</formula>
    </cfRule>
  </conditionalFormatting>
  <conditionalFormatting sqref="AU727">
    <cfRule type="cellIs" dxfId="0" priority="2507" operator="lessThan">
      <formula>20</formula>
    </cfRule>
    <cfRule type="cellIs" dxfId="1" priority="1431" operator="greaterThan">
      <formula>120</formula>
    </cfRule>
    <cfRule type="containsText" dxfId="2" priority="355" operator="between" text="库存为">
      <formula>NOT(ISERROR(SEARCH("库存为",AU727)))</formula>
    </cfRule>
  </conditionalFormatting>
  <conditionalFormatting sqref="AU728">
    <cfRule type="cellIs" dxfId="0" priority="2506" operator="lessThan">
      <formula>20</formula>
    </cfRule>
    <cfRule type="cellIs" dxfId="1" priority="1430" operator="greaterThan">
      <formula>120</formula>
    </cfRule>
    <cfRule type="containsText" dxfId="2" priority="354" operator="between" text="库存为">
      <formula>NOT(ISERROR(SEARCH("库存为",AU728)))</formula>
    </cfRule>
  </conditionalFormatting>
  <conditionalFormatting sqref="AU729">
    <cfRule type="cellIs" dxfId="0" priority="2505" operator="lessThan">
      <formula>20</formula>
    </cfRule>
    <cfRule type="cellIs" dxfId="1" priority="1429" operator="greaterThan">
      <formula>120</formula>
    </cfRule>
    <cfRule type="containsText" dxfId="2" priority="353" operator="between" text="库存为">
      <formula>NOT(ISERROR(SEARCH("库存为",AU729)))</formula>
    </cfRule>
  </conditionalFormatting>
  <conditionalFormatting sqref="AU730">
    <cfRule type="cellIs" dxfId="0" priority="2504" operator="lessThan">
      <formula>20</formula>
    </cfRule>
    <cfRule type="cellIs" dxfId="1" priority="1428" operator="greaterThan">
      <formula>120</formula>
    </cfRule>
    <cfRule type="containsText" dxfId="2" priority="352" operator="between" text="库存为">
      <formula>NOT(ISERROR(SEARCH("库存为",AU730)))</formula>
    </cfRule>
  </conditionalFormatting>
  <conditionalFormatting sqref="AU731">
    <cfRule type="cellIs" dxfId="0" priority="2503" operator="lessThan">
      <formula>20</formula>
    </cfRule>
    <cfRule type="cellIs" dxfId="1" priority="1427" operator="greaterThan">
      <formula>120</formula>
    </cfRule>
    <cfRule type="containsText" dxfId="2" priority="351" operator="between" text="库存为">
      <formula>NOT(ISERROR(SEARCH("库存为",AU731)))</formula>
    </cfRule>
  </conditionalFormatting>
  <conditionalFormatting sqref="AU732">
    <cfRule type="cellIs" dxfId="0" priority="2502" operator="lessThan">
      <formula>20</formula>
    </cfRule>
    <cfRule type="cellIs" dxfId="1" priority="1426" operator="greaterThan">
      <formula>120</formula>
    </cfRule>
    <cfRule type="containsText" dxfId="2" priority="350" operator="between" text="库存为">
      <formula>NOT(ISERROR(SEARCH("库存为",AU732)))</formula>
    </cfRule>
  </conditionalFormatting>
  <conditionalFormatting sqref="AU733">
    <cfRule type="cellIs" dxfId="0" priority="2501" operator="lessThan">
      <formula>20</formula>
    </cfRule>
    <cfRule type="cellIs" dxfId="1" priority="1425" operator="greaterThan">
      <formula>120</formula>
    </cfRule>
    <cfRule type="containsText" dxfId="2" priority="349" operator="between" text="库存为">
      <formula>NOT(ISERROR(SEARCH("库存为",AU733)))</formula>
    </cfRule>
  </conditionalFormatting>
  <conditionalFormatting sqref="AU734">
    <cfRule type="cellIs" dxfId="0" priority="2500" operator="lessThan">
      <formula>20</formula>
    </cfRule>
    <cfRule type="cellIs" dxfId="1" priority="1424" operator="greaterThan">
      <formula>120</formula>
    </cfRule>
    <cfRule type="containsText" dxfId="2" priority="348" operator="between" text="库存为">
      <formula>NOT(ISERROR(SEARCH("库存为",AU734)))</formula>
    </cfRule>
  </conditionalFormatting>
  <conditionalFormatting sqref="AU735">
    <cfRule type="cellIs" dxfId="0" priority="2499" operator="lessThan">
      <formula>20</formula>
    </cfRule>
    <cfRule type="cellIs" dxfId="1" priority="1423" operator="greaterThan">
      <formula>120</formula>
    </cfRule>
    <cfRule type="containsText" dxfId="2" priority="347" operator="between" text="库存为">
      <formula>NOT(ISERROR(SEARCH("库存为",AU735)))</formula>
    </cfRule>
  </conditionalFormatting>
  <conditionalFormatting sqref="AU736">
    <cfRule type="cellIs" dxfId="0" priority="2498" operator="lessThan">
      <formula>20</formula>
    </cfRule>
    <cfRule type="cellIs" dxfId="1" priority="1422" operator="greaterThan">
      <formula>120</formula>
    </cfRule>
    <cfRule type="containsText" dxfId="2" priority="346" operator="between" text="库存为">
      <formula>NOT(ISERROR(SEARCH("库存为",AU736)))</formula>
    </cfRule>
  </conditionalFormatting>
  <conditionalFormatting sqref="AU737">
    <cfRule type="cellIs" dxfId="0" priority="2497" operator="lessThan">
      <formula>20</formula>
    </cfRule>
    <cfRule type="cellIs" dxfId="1" priority="1421" operator="greaterThan">
      <formula>120</formula>
    </cfRule>
    <cfRule type="containsText" dxfId="2" priority="345" operator="between" text="库存为">
      <formula>NOT(ISERROR(SEARCH("库存为",AU737)))</formula>
    </cfRule>
  </conditionalFormatting>
  <conditionalFormatting sqref="AU738">
    <cfRule type="cellIs" dxfId="0" priority="2496" operator="lessThan">
      <formula>20</formula>
    </cfRule>
    <cfRule type="cellIs" dxfId="1" priority="1420" operator="greaterThan">
      <formula>120</formula>
    </cfRule>
    <cfRule type="containsText" dxfId="2" priority="344" operator="between" text="库存为">
      <formula>NOT(ISERROR(SEARCH("库存为",AU738)))</formula>
    </cfRule>
  </conditionalFormatting>
  <conditionalFormatting sqref="AU739">
    <cfRule type="cellIs" dxfId="0" priority="2495" operator="lessThan">
      <formula>20</formula>
    </cfRule>
    <cfRule type="cellIs" dxfId="1" priority="1419" operator="greaterThan">
      <formula>120</formula>
    </cfRule>
    <cfRule type="containsText" dxfId="2" priority="343" operator="between" text="库存为">
      <formula>NOT(ISERROR(SEARCH("库存为",AU739)))</formula>
    </cfRule>
  </conditionalFormatting>
  <conditionalFormatting sqref="AU740">
    <cfRule type="cellIs" dxfId="0" priority="2494" operator="lessThan">
      <formula>20</formula>
    </cfRule>
    <cfRule type="cellIs" dxfId="1" priority="1418" operator="greaterThan">
      <formula>120</formula>
    </cfRule>
    <cfRule type="containsText" dxfId="2" priority="342" operator="between" text="库存为">
      <formula>NOT(ISERROR(SEARCH("库存为",AU740)))</formula>
    </cfRule>
  </conditionalFormatting>
  <conditionalFormatting sqref="AU741">
    <cfRule type="cellIs" dxfId="0" priority="2493" operator="lessThan">
      <formula>20</formula>
    </cfRule>
    <cfRule type="cellIs" dxfId="1" priority="1417" operator="greaterThan">
      <formula>120</formula>
    </cfRule>
    <cfRule type="containsText" dxfId="2" priority="341" operator="between" text="库存为">
      <formula>NOT(ISERROR(SEARCH("库存为",AU741)))</formula>
    </cfRule>
  </conditionalFormatting>
  <conditionalFormatting sqref="AU742">
    <cfRule type="cellIs" dxfId="0" priority="2492" operator="lessThan">
      <formula>20</formula>
    </cfRule>
    <cfRule type="cellIs" dxfId="1" priority="1416" operator="greaterThan">
      <formula>120</formula>
    </cfRule>
    <cfRule type="containsText" dxfId="2" priority="340" operator="between" text="库存为">
      <formula>NOT(ISERROR(SEARCH("库存为",AU742)))</formula>
    </cfRule>
  </conditionalFormatting>
  <conditionalFormatting sqref="AU743">
    <cfRule type="cellIs" dxfId="0" priority="2491" operator="lessThan">
      <formula>20</formula>
    </cfRule>
    <cfRule type="cellIs" dxfId="1" priority="1415" operator="greaterThan">
      <formula>120</formula>
    </cfRule>
    <cfRule type="containsText" dxfId="2" priority="339" operator="between" text="库存为">
      <formula>NOT(ISERROR(SEARCH("库存为",AU743)))</formula>
    </cfRule>
  </conditionalFormatting>
  <conditionalFormatting sqref="AU744">
    <cfRule type="cellIs" dxfId="0" priority="2490" operator="lessThan">
      <formula>20</formula>
    </cfRule>
    <cfRule type="cellIs" dxfId="1" priority="1414" operator="greaterThan">
      <formula>120</formula>
    </cfRule>
    <cfRule type="containsText" dxfId="2" priority="338" operator="between" text="库存为">
      <formula>NOT(ISERROR(SEARCH("库存为",AU744)))</formula>
    </cfRule>
  </conditionalFormatting>
  <conditionalFormatting sqref="AU745">
    <cfRule type="cellIs" dxfId="0" priority="2489" operator="lessThan">
      <formula>20</formula>
    </cfRule>
    <cfRule type="cellIs" dxfId="1" priority="1413" operator="greaterThan">
      <formula>120</formula>
    </cfRule>
    <cfRule type="containsText" dxfId="2" priority="337" operator="between" text="库存为">
      <formula>NOT(ISERROR(SEARCH("库存为",AU745)))</formula>
    </cfRule>
  </conditionalFormatting>
  <conditionalFormatting sqref="AU746">
    <cfRule type="cellIs" dxfId="0" priority="2488" operator="lessThan">
      <formula>20</formula>
    </cfRule>
    <cfRule type="cellIs" dxfId="1" priority="1412" operator="greaterThan">
      <formula>120</formula>
    </cfRule>
    <cfRule type="containsText" dxfId="2" priority="336" operator="between" text="库存为">
      <formula>NOT(ISERROR(SEARCH("库存为",AU746)))</formula>
    </cfRule>
  </conditionalFormatting>
  <conditionalFormatting sqref="AU747">
    <cfRule type="cellIs" dxfId="0" priority="2487" operator="lessThan">
      <formula>20</formula>
    </cfRule>
    <cfRule type="cellIs" dxfId="1" priority="1411" operator="greaterThan">
      <formula>120</formula>
    </cfRule>
    <cfRule type="containsText" dxfId="2" priority="335" operator="between" text="库存为">
      <formula>NOT(ISERROR(SEARCH("库存为",AU747)))</formula>
    </cfRule>
  </conditionalFormatting>
  <conditionalFormatting sqref="AU748">
    <cfRule type="cellIs" dxfId="0" priority="2486" operator="lessThan">
      <formula>20</formula>
    </cfRule>
    <cfRule type="cellIs" dxfId="1" priority="1410" operator="greaterThan">
      <formula>120</formula>
    </cfRule>
    <cfRule type="containsText" dxfId="2" priority="334" operator="between" text="库存为">
      <formula>NOT(ISERROR(SEARCH("库存为",AU748)))</formula>
    </cfRule>
  </conditionalFormatting>
  <conditionalFormatting sqref="AU749">
    <cfRule type="cellIs" dxfId="0" priority="2485" operator="lessThan">
      <formula>20</formula>
    </cfRule>
    <cfRule type="cellIs" dxfId="1" priority="1409" operator="greaterThan">
      <formula>120</formula>
    </cfRule>
    <cfRule type="containsText" dxfId="2" priority="333" operator="between" text="库存为">
      <formula>NOT(ISERROR(SEARCH("库存为",AU749)))</formula>
    </cfRule>
  </conditionalFormatting>
  <conditionalFormatting sqref="AU750">
    <cfRule type="cellIs" dxfId="0" priority="2484" operator="lessThan">
      <formula>20</formula>
    </cfRule>
    <cfRule type="cellIs" dxfId="1" priority="1408" operator="greaterThan">
      <formula>120</formula>
    </cfRule>
    <cfRule type="containsText" dxfId="2" priority="332" operator="between" text="库存为">
      <formula>NOT(ISERROR(SEARCH("库存为",AU750)))</formula>
    </cfRule>
  </conditionalFormatting>
  <conditionalFormatting sqref="AU751">
    <cfRule type="cellIs" dxfId="0" priority="2483" operator="lessThan">
      <formula>20</formula>
    </cfRule>
    <cfRule type="cellIs" dxfId="1" priority="1407" operator="greaterThan">
      <formula>120</formula>
    </cfRule>
    <cfRule type="containsText" dxfId="2" priority="331" operator="between" text="库存为">
      <formula>NOT(ISERROR(SEARCH("库存为",AU751)))</formula>
    </cfRule>
  </conditionalFormatting>
  <conditionalFormatting sqref="AU752">
    <cfRule type="cellIs" dxfId="0" priority="2482" operator="lessThan">
      <formula>20</formula>
    </cfRule>
    <cfRule type="cellIs" dxfId="1" priority="1406" operator="greaterThan">
      <formula>120</formula>
    </cfRule>
    <cfRule type="containsText" dxfId="2" priority="330" operator="between" text="库存为">
      <formula>NOT(ISERROR(SEARCH("库存为",AU752)))</formula>
    </cfRule>
  </conditionalFormatting>
  <conditionalFormatting sqref="AU753">
    <cfRule type="cellIs" dxfId="0" priority="2481" operator="lessThan">
      <formula>20</formula>
    </cfRule>
    <cfRule type="cellIs" dxfId="1" priority="1405" operator="greaterThan">
      <formula>120</formula>
    </cfRule>
    <cfRule type="containsText" dxfId="2" priority="329" operator="between" text="库存为">
      <formula>NOT(ISERROR(SEARCH("库存为",AU753)))</formula>
    </cfRule>
  </conditionalFormatting>
  <conditionalFormatting sqref="AU754">
    <cfRule type="cellIs" dxfId="0" priority="2480" operator="lessThan">
      <formula>20</formula>
    </cfRule>
    <cfRule type="cellIs" dxfId="1" priority="1404" operator="greaterThan">
      <formula>120</formula>
    </cfRule>
    <cfRule type="containsText" dxfId="2" priority="328" operator="between" text="库存为">
      <formula>NOT(ISERROR(SEARCH("库存为",AU754)))</formula>
    </cfRule>
  </conditionalFormatting>
  <conditionalFormatting sqref="AU755">
    <cfRule type="cellIs" dxfId="0" priority="2479" operator="lessThan">
      <formula>20</formula>
    </cfRule>
    <cfRule type="cellIs" dxfId="1" priority="1403" operator="greaterThan">
      <formula>120</formula>
    </cfRule>
    <cfRule type="containsText" dxfId="2" priority="327" operator="between" text="库存为">
      <formula>NOT(ISERROR(SEARCH("库存为",AU755)))</formula>
    </cfRule>
  </conditionalFormatting>
  <conditionalFormatting sqref="AU756">
    <cfRule type="cellIs" dxfId="0" priority="2478" operator="lessThan">
      <formula>20</formula>
    </cfRule>
    <cfRule type="cellIs" dxfId="1" priority="1402" operator="greaterThan">
      <formula>120</formula>
    </cfRule>
    <cfRule type="containsText" dxfId="2" priority="326" operator="between" text="库存为">
      <formula>NOT(ISERROR(SEARCH("库存为",AU756)))</formula>
    </cfRule>
  </conditionalFormatting>
  <conditionalFormatting sqref="AU757">
    <cfRule type="cellIs" dxfId="0" priority="2477" operator="lessThan">
      <formula>20</formula>
    </cfRule>
    <cfRule type="cellIs" dxfId="1" priority="1401" operator="greaterThan">
      <formula>120</formula>
    </cfRule>
    <cfRule type="containsText" dxfId="2" priority="325" operator="between" text="库存为">
      <formula>NOT(ISERROR(SEARCH("库存为",AU757)))</formula>
    </cfRule>
  </conditionalFormatting>
  <conditionalFormatting sqref="AU758">
    <cfRule type="cellIs" dxfId="0" priority="2476" operator="lessThan">
      <formula>20</formula>
    </cfRule>
    <cfRule type="cellIs" dxfId="1" priority="1400" operator="greaterThan">
      <formula>120</formula>
    </cfRule>
    <cfRule type="containsText" dxfId="2" priority="324" operator="between" text="库存为">
      <formula>NOT(ISERROR(SEARCH("库存为",AU758)))</formula>
    </cfRule>
  </conditionalFormatting>
  <conditionalFormatting sqref="AU759">
    <cfRule type="cellIs" dxfId="0" priority="2475" operator="lessThan">
      <formula>20</formula>
    </cfRule>
    <cfRule type="cellIs" dxfId="1" priority="1399" operator="greaterThan">
      <formula>120</formula>
    </cfRule>
    <cfRule type="containsText" dxfId="2" priority="323" operator="between" text="库存为">
      <formula>NOT(ISERROR(SEARCH("库存为",AU759)))</formula>
    </cfRule>
  </conditionalFormatting>
  <conditionalFormatting sqref="AU760">
    <cfRule type="cellIs" dxfId="0" priority="2474" operator="lessThan">
      <formula>20</formula>
    </cfRule>
    <cfRule type="cellIs" dxfId="1" priority="1398" operator="greaterThan">
      <formula>120</formula>
    </cfRule>
    <cfRule type="containsText" dxfId="2" priority="322" operator="between" text="库存为">
      <formula>NOT(ISERROR(SEARCH("库存为",AU760)))</formula>
    </cfRule>
  </conditionalFormatting>
  <conditionalFormatting sqref="AU761">
    <cfRule type="cellIs" dxfId="0" priority="2473" operator="lessThan">
      <formula>20</formula>
    </cfRule>
    <cfRule type="cellIs" dxfId="1" priority="1397" operator="greaterThan">
      <formula>120</formula>
    </cfRule>
    <cfRule type="containsText" dxfId="2" priority="321" operator="between" text="库存为">
      <formula>NOT(ISERROR(SEARCH("库存为",AU761)))</formula>
    </cfRule>
  </conditionalFormatting>
  <conditionalFormatting sqref="AU762">
    <cfRule type="cellIs" dxfId="0" priority="2472" operator="lessThan">
      <formula>20</formula>
    </cfRule>
    <cfRule type="cellIs" dxfId="1" priority="1396" operator="greaterThan">
      <formula>120</formula>
    </cfRule>
    <cfRule type="containsText" dxfId="2" priority="320" operator="between" text="库存为">
      <formula>NOT(ISERROR(SEARCH("库存为",AU762)))</formula>
    </cfRule>
  </conditionalFormatting>
  <conditionalFormatting sqref="AU763">
    <cfRule type="cellIs" dxfId="0" priority="2471" operator="lessThan">
      <formula>20</formula>
    </cfRule>
    <cfRule type="cellIs" dxfId="1" priority="1395" operator="greaterThan">
      <formula>120</formula>
    </cfRule>
    <cfRule type="containsText" dxfId="2" priority="319" operator="between" text="库存为">
      <formula>NOT(ISERROR(SEARCH("库存为",AU763)))</formula>
    </cfRule>
  </conditionalFormatting>
  <conditionalFormatting sqref="AU764">
    <cfRule type="cellIs" dxfId="0" priority="2470" operator="lessThan">
      <formula>20</formula>
    </cfRule>
    <cfRule type="cellIs" dxfId="1" priority="1394" operator="greaterThan">
      <formula>120</formula>
    </cfRule>
    <cfRule type="containsText" dxfId="2" priority="318" operator="between" text="库存为">
      <formula>NOT(ISERROR(SEARCH("库存为",AU764)))</formula>
    </cfRule>
  </conditionalFormatting>
  <conditionalFormatting sqref="AU765">
    <cfRule type="cellIs" dxfId="0" priority="2469" operator="lessThan">
      <formula>20</formula>
    </cfRule>
    <cfRule type="cellIs" dxfId="1" priority="1393" operator="greaterThan">
      <formula>120</formula>
    </cfRule>
    <cfRule type="containsText" dxfId="2" priority="317" operator="between" text="库存为">
      <formula>NOT(ISERROR(SEARCH("库存为",AU765)))</formula>
    </cfRule>
  </conditionalFormatting>
  <conditionalFormatting sqref="AU766">
    <cfRule type="cellIs" dxfId="0" priority="2468" operator="lessThan">
      <formula>20</formula>
    </cfRule>
    <cfRule type="cellIs" dxfId="1" priority="1392" operator="greaterThan">
      <formula>120</formula>
    </cfRule>
    <cfRule type="containsText" dxfId="2" priority="316" operator="between" text="库存为">
      <formula>NOT(ISERROR(SEARCH("库存为",AU766)))</formula>
    </cfRule>
  </conditionalFormatting>
  <conditionalFormatting sqref="AU767">
    <cfRule type="cellIs" dxfId="0" priority="2467" operator="lessThan">
      <formula>20</formula>
    </cfRule>
    <cfRule type="cellIs" dxfId="1" priority="1391" operator="greaterThan">
      <formula>120</formula>
    </cfRule>
    <cfRule type="containsText" dxfId="2" priority="315" operator="between" text="库存为">
      <formula>NOT(ISERROR(SEARCH("库存为",AU767)))</formula>
    </cfRule>
  </conditionalFormatting>
  <conditionalFormatting sqref="AU768">
    <cfRule type="cellIs" dxfId="0" priority="2466" operator="lessThan">
      <formula>20</formula>
    </cfRule>
    <cfRule type="cellIs" dxfId="1" priority="1390" operator="greaterThan">
      <formula>120</formula>
    </cfRule>
    <cfRule type="containsText" dxfId="2" priority="314" operator="between" text="库存为">
      <formula>NOT(ISERROR(SEARCH("库存为",AU768)))</formula>
    </cfRule>
  </conditionalFormatting>
  <conditionalFormatting sqref="AU769">
    <cfRule type="cellIs" dxfId="0" priority="2465" operator="lessThan">
      <formula>20</formula>
    </cfRule>
    <cfRule type="cellIs" dxfId="1" priority="1389" operator="greaterThan">
      <formula>120</formula>
    </cfRule>
    <cfRule type="containsText" dxfId="2" priority="313" operator="between" text="库存为">
      <formula>NOT(ISERROR(SEARCH("库存为",AU769)))</formula>
    </cfRule>
  </conditionalFormatting>
  <conditionalFormatting sqref="AU770">
    <cfRule type="cellIs" dxfId="0" priority="2464" operator="lessThan">
      <formula>20</formula>
    </cfRule>
    <cfRule type="cellIs" dxfId="1" priority="1388" operator="greaterThan">
      <formula>120</formula>
    </cfRule>
    <cfRule type="containsText" dxfId="2" priority="312" operator="between" text="库存为">
      <formula>NOT(ISERROR(SEARCH("库存为",AU770)))</formula>
    </cfRule>
  </conditionalFormatting>
  <conditionalFormatting sqref="AU771">
    <cfRule type="cellIs" dxfId="0" priority="2463" operator="lessThan">
      <formula>20</formula>
    </cfRule>
    <cfRule type="cellIs" dxfId="1" priority="1387" operator="greaterThan">
      <formula>120</formula>
    </cfRule>
    <cfRule type="containsText" dxfId="2" priority="311" operator="between" text="库存为">
      <formula>NOT(ISERROR(SEARCH("库存为",AU771)))</formula>
    </cfRule>
  </conditionalFormatting>
  <conditionalFormatting sqref="AU772">
    <cfRule type="cellIs" dxfId="0" priority="2462" operator="lessThan">
      <formula>20</formula>
    </cfRule>
    <cfRule type="cellIs" dxfId="1" priority="1386" operator="greaterThan">
      <formula>120</formula>
    </cfRule>
    <cfRule type="containsText" dxfId="2" priority="310" operator="between" text="库存为">
      <formula>NOT(ISERROR(SEARCH("库存为",AU772)))</formula>
    </cfRule>
  </conditionalFormatting>
  <conditionalFormatting sqref="AU773">
    <cfRule type="cellIs" dxfId="0" priority="2461" operator="lessThan">
      <formula>20</formula>
    </cfRule>
    <cfRule type="cellIs" dxfId="1" priority="1385" operator="greaterThan">
      <formula>120</formula>
    </cfRule>
    <cfRule type="containsText" dxfId="2" priority="309" operator="between" text="库存为">
      <formula>NOT(ISERROR(SEARCH("库存为",AU773)))</formula>
    </cfRule>
  </conditionalFormatting>
  <conditionalFormatting sqref="AU774">
    <cfRule type="cellIs" dxfId="0" priority="2460" operator="lessThan">
      <formula>20</formula>
    </cfRule>
    <cfRule type="cellIs" dxfId="1" priority="1384" operator="greaterThan">
      <formula>120</formula>
    </cfRule>
    <cfRule type="containsText" dxfId="2" priority="308" operator="between" text="库存为">
      <formula>NOT(ISERROR(SEARCH("库存为",AU774)))</formula>
    </cfRule>
  </conditionalFormatting>
  <conditionalFormatting sqref="AU775">
    <cfRule type="cellIs" dxfId="0" priority="2459" operator="lessThan">
      <formula>20</formula>
    </cfRule>
    <cfRule type="cellIs" dxfId="1" priority="1383" operator="greaterThan">
      <formula>120</formula>
    </cfRule>
    <cfRule type="containsText" dxfId="2" priority="307" operator="between" text="库存为">
      <formula>NOT(ISERROR(SEARCH("库存为",AU775)))</formula>
    </cfRule>
  </conditionalFormatting>
  <conditionalFormatting sqref="AU776">
    <cfRule type="cellIs" dxfId="0" priority="2458" operator="lessThan">
      <formula>20</formula>
    </cfRule>
    <cfRule type="cellIs" dxfId="1" priority="1382" operator="greaterThan">
      <formula>120</formula>
    </cfRule>
    <cfRule type="containsText" dxfId="2" priority="306" operator="between" text="库存为">
      <formula>NOT(ISERROR(SEARCH("库存为",AU776)))</formula>
    </cfRule>
  </conditionalFormatting>
  <conditionalFormatting sqref="AU777">
    <cfRule type="cellIs" dxfId="0" priority="2457" operator="lessThan">
      <formula>20</formula>
    </cfRule>
    <cfRule type="cellIs" dxfId="1" priority="1381" operator="greaterThan">
      <formula>120</formula>
    </cfRule>
    <cfRule type="containsText" dxfId="2" priority="305" operator="between" text="库存为">
      <formula>NOT(ISERROR(SEARCH("库存为",AU777)))</formula>
    </cfRule>
  </conditionalFormatting>
  <conditionalFormatting sqref="AU778">
    <cfRule type="cellIs" dxfId="0" priority="2456" operator="lessThan">
      <formula>20</formula>
    </cfRule>
    <cfRule type="cellIs" dxfId="1" priority="1380" operator="greaterThan">
      <formula>120</formula>
    </cfRule>
    <cfRule type="containsText" dxfId="2" priority="304" operator="between" text="库存为">
      <formula>NOT(ISERROR(SEARCH("库存为",AU778)))</formula>
    </cfRule>
  </conditionalFormatting>
  <conditionalFormatting sqref="AU779">
    <cfRule type="cellIs" dxfId="0" priority="2455" operator="lessThan">
      <formula>20</formula>
    </cfRule>
    <cfRule type="cellIs" dxfId="1" priority="1379" operator="greaterThan">
      <formula>120</formula>
    </cfRule>
    <cfRule type="containsText" dxfId="2" priority="303" operator="between" text="库存为">
      <formula>NOT(ISERROR(SEARCH("库存为",AU779)))</formula>
    </cfRule>
  </conditionalFormatting>
  <conditionalFormatting sqref="AU780">
    <cfRule type="cellIs" dxfId="0" priority="2454" operator="lessThan">
      <formula>20</formula>
    </cfRule>
    <cfRule type="cellIs" dxfId="1" priority="1378" operator="greaterThan">
      <formula>120</formula>
    </cfRule>
    <cfRule type="containsText" dxfId="2" priority="302" operator="between" text="库存为">
      <formula>NOT(ISERROR(SEARCH("库存为",AU780)))</formula>
    </cfRule>
  </conditionalFormatting>
  <conditionalFormatting sqref="AU781">
    <cfRule type="cellIs" dxfId="0" priority="2453" operator="lessThan">
      <formula>20</formula>
    </cfRule>
    <cfRule type="cellIs" dxfId="1" priority="1377" operator="greaterThan">
      <formula>120</formula>
    </cfRule>
    <cfRule type="containsText" dxfId="2" priority="301" operator="between" text="库存为">
      <formula>NOT(ISERROR(SEARCH("库存为",AU781)))</formula>
    </cfRule>
  </conditionalFormatting>
  <conditionalFormatting sqref="AU782">
    <cfRule type="cellIs" dxfId="0" priority="2452" operator="lessThan">
      <formula>20</formula>
    </cfRule>
    <cfRule type="cellIs" dxfId="1" priority="1376" operator="greaterThan">
      <formula>120</formula>
    </cfRule>
    <cfRule type="containsText" dxfId="2" priority="300" operator="between" text="库存为">
      <formula>NOT(ISERROR(SEARCH("库存为",AU782)))</formula>
    </cfRule>
  </conditionalFormatting>
  <conditionalFormatting sqref="AU783">
    <cfRule type="cellIs" dxfId="0" priority="2451" operator="lessThan">
      <formula>20</formula>
    </cfRule>
    <cfRule type="cellIs" dxfId="1" priority="1375" operator="greaterThan">
      <formula>120</formula>
    </cfRule>
    <cfRule type="containsText" dxfId="2" priority="299" operator="between" text="库存为">
      <formula>NOT(ISERROR(SEARCH("库存为",AU783)))</formula>
    </cfRule>
  </conditionalFormatting>
  <conditionalFormatting sqref="AU784">
    <cfRule type="cellIs" dxfId="0" priority="2450" operator="lessThan">
      <formula>20</formula>
    </cfRule>
    <cfRule type="cellIs" dxfId="1" priority="1374" operator="greaterThan">
      <formula>120</formula>
    </cfRule>
    <cfRule type="containsText" dxfId="2" priority="298" operator="between" text="库存为">
      <formula>NOT(ISERROR(SEARCH("库存为",AU784)))</formula>
    </cfRule>
  </conditionalFormatting>
  <conditionalFormatting sqref="AU785">
    <cfRule type="cellIs" dxfId="0" priority="2449" operator="lessThan">
      <formula>20</formula>
    </cfRule>
    <cfRule type="cellIs" dxfId="1" priority="1373" operator="greaterThan">
      <formula>120</formula>
    </cfRule>
    <cfRule type="containsText" dxfId="2" priority="297" operator="between" text="库存为">
      <formula>NOT(ISERROR(SEARCH("库存为",AU785)))</formula>
    </cfRule>
  </conditionalFormatting>
  <conditionalFormatting sqref="AU786">
    <cfRule type="cellIs" dxfId="0" priority="2448" operator="lessThan">
      <formula>20</formula>
    </cfRule>
    <cfRule type="cellIs" dxfId="1" priority="1372" operator="greaterThan">
      <formula>120</formula>
    </cfRule>
    <cfRule type="containsText" dxfId="2" priority="296" operator="between" text="库存为">
      <formula>NOT(ISERROR(SEARCH("库存为",AU786)))</formula>
    </cfRule>
  </conditionalFormatting>
  <conditionalFormatting sqref="AU787">
    <cfRule type="cellIs" dxfId="0" priority="2447" operator="lessThan">
      <formula>20</formula>
    </cfRule>
    <cfRule type="cellIs" dxfId="1" priority="1371" operator="greaterThan">
      <formula>120</formula>
    </cfRule>
    <cfRule type="containsText" dxfId="2" priority="295" operator="between" text="库存为">
      <formula>NOT(ISERROR(SEARCH("库存为",AU787)))</formula>
    </cfRule>
  </conditionalFormatting>
  <conditionalFormatting sqref="AU788">
    <cfRule type="cellIs" dxfId="0" priority="2446" operator="lessThan">
      <formula>20</formula>
    </cfRule>
    <cfRule type="cellIs" dxfId="1" priority="1370" operator="greaterThan">
      <formula>120</formula>
    </cfRule>
    <cfRule type="containsText" dxfId="2" priority="294" operator="between" text="库存为">
      <formula>NOT(ISERROR(SEARCH("库存为",AU788)))</formula>
    </cfRule>
  </conditionalFormatting>
  <conditionalFormatting sqref="AU789">
    <cfRule type="cellIs" dxfId="0" priority="2445" operator="lessThan">
      <formula>20</formula>
    </cfRule>
    <cfRule type="cellIs" dxfId="1" priority="1369" operator="greaterThan">
      <formula>120</formula>
    </cfRule>
    <cfRule type="containsText" dxfId="2" priority="293" operator="between" text="库存为">
      <formula>NOT(ISERROR(SEARCH("库存为",AU789)))</formula>
    </cfRule>
  </conditionalFormatting>
  <conditionalFormatting sqref="AU790">
    <cfRule type="cellIs" dxfId="0" priority="2444" operator="lessThan">
      <formula>20</formula>
    </cfRule>
    <cfRule type="cellIs" dxfId="1" priority="1368" operator="greaterThan">
      <formula>120</formula>
    </cfRule>
    <cfRule type="containsText" dxfId="2" priority="292" operator="between" text="库存为">
      <formula>NOT(ISERROR(SEARCH("库存为",AU790)))</formula>
    </cfRule>
  </conditionalFormatting>
  <conditionalFormatting sqref="AU791">
    <cfRule type="cellIs" dxfId="0" priority="2443" operator="lessThan">
      <formula>20</formula>
    </cfRule>
    <cfRule type="cellIs" dxfId="1" priority="1367" operator="greaterThan">
      <formula>120</formula>
    </cfRule>
    <cfRule type="containsText" dxfId="2" priority="291" operator="between" text="库存为">
      <formula>NOT(ISERROR(SEARCH("库存为",AU791)))</formula>
    </cfRule>
  </conditionalFormatting>
  <conditionalFormatting sqref="AU792">
    <cfRule type="cellIs" dxfId="0" priority="2442" operator="lessThan">
      <formula>20</formula>
    </cfRule>
    <cfRule type="cellIs" dxfId="1" priority="1366" operator="greaterThan">
      <formula>120</formula>
    </cfRule>
    <cfRule type="containsText" dxfId="2" priority="290" operator="between" text="库存为">
      <formula>NOT(ISERROR(SEARCH("库存为",AU792)))</formula>
    </cfRule>
  </conditionalFormatting>
  <conditionalFormatting sqref="AU793">
    <cfRule type="cellIs" dxfId="0" priority="2441" operator="lessThan">
      <formula>20</formula>
    </cfRule>
    <cfRule type="cellIs" dxfId="1" priority="1365" operator="greaterThan">
      <formula>120</formula>
    </cfRule>
    <cfRule type="containsText" dxfId="2" priority="289" operator="between" text="库存为">
      <formula>NOT(ISERROR(SEARCH("库存为",AU793)))</formula>
    </cfRule>
  </conditionalFormatting>
  <conditionalFormatting sqref="AU794">
    <cfRule type="cellIs" dxfId="0" priority="2440" operator="lessThan">
      <formula>20</formula>
    </cfRule>
    <cfRule type="cellIs" dxfId="1" priority="1364" operator="greaterThan">
      <formula>120</formula>
    </cfRule>
    <cfRule type="containsText" dxfId="2" priority="288" operator="between" text="库存为">
      <formula>NOT(ISERROR(SEARCH("库存为",AU794)))</formula>
    </cfRule>
  </conditionalFormatting>
  <conditionalFormatting sqref="AU795">
    <cfRule type="cellIs" dxfId="0" priority="2439" operator="lessThan">
      <formula>20</formula>
    </cfRule>
    <cfRule type="cellIs" dxfId="1" priority="1363" operator="greaterThan">
      <formula>120</formula>
    </cfRule>
    <cfRule type="containsText" dxfId="2" priority="287" operator="between" text="库存为">
      <formula>NOT(ISERROR(SEARCH("库存为",AU795)))</formula>
    </cfRule>
  </conditionalFormatting>
  <conditionalFormatting sqref="AU796">
    <cfRule type="cellIs" dxfId="0" priority="2438" operator="lessThan">
      <formula>20</formula>
    </cfRule>
    <cfRule type="cellIs" dxfId="1" priority="1362" operator="greaterThan">
      <formula>120</formula>
    </cfRule>
    <cfRule type="containsText" dxfId="2" priority="286" operator="between" text="库存为">
      <formula>NOT(ISERROR(SEARCH("库存为",AU796)))</formula>
    </cfRule>
  </conditionalFormatting>
  <conditionalFormatting sqref="AU797">
    <cfRule type="cellIs" dxfId="0" priority="2437" operator="lessThan">
      <formula>20</formula>
    </cfRule>
    <cfRule type="cellIs" dxfId="1" priority="1361" operator="greaterThan">
      <formula>120</formula>
    </cfRule>
    <cfRule type="containsText" dxfId="2" priority="285" operator="between" text="库存为">
      <formula>NOT(ISERROR(SEARCH("库存为",AU797)))</formula>
    </cfRule>
  </conditionalFormatting>
  <conditionalFormatting sqref="AU798">
    <cfRule type="cellIs" dxfId="0" priority="2436" operator="lessThan">
      <formula>20</formula>
    </cfRule>
    <cfRule type="cellIs" dxfId="1" priority="1360" operator="greaterThan">
      <formula>120</formula>
    </cfRule>
    <cfRule type="containsText" dxfId="2" priority="284" operator="between" text="库存为">
      <formula>NOT(ISERROR(SEARCH("库存为",AU798)))</formula>
    </cfRule>
  </conditionalFormatting>
  <conditionalFormatting sqref="AU799">
    <cfRule type="cellIs" dxfId="0" priority="2435" operator="lessThan">
      <formula>20</formula>
    </cfRule>
    <cfRule type="cellIs" dxfId="1" priority="1359" operator="greaterThan">
      <formula>120</formula>
    </cfRule>
    <cfRule type="containsText" dxfId="2" priority="283" operator="between" text="库存为">
      <formula>NOT(ISERROR(SEARCH("库存为",AU799)))</formula>
    </cfRule>
  </conditionalFormatting>
  <conditionalFormatting sqref="AU800">
    <cfRule type="cellIs" dxfId="0" priority="2434" operator="lessThan">
      <formula>20</formula>
    </cfRule>
    <cfRule type="cellIs" dxfId="1" priority="1358" operator="greaterThan">
      <formula>120</formula>
    </cfRule>
    <cfRule type="containsText" dxfId="2" priority="282" operator="between" text="库存为">
      <formula>NOT(ISERROR(SEARCH("库存为",AU800)))</formula>
    </cfRule>
  </conditionalFormatting>
  <conditionalFormatting sqref="AU801">
    <cfRule type="cellIs" dxfId="0" priority="2433" operator="lessThan">
      <formula>20</formula>
    </cfRule>
    <cfRule type="cellIs" dxfId="1" priority="1357" operator="greaterThan">
      <formula>120</formula>
    </cfRule>
    <cfRule type="containsText" dxfId="2" priority="281" operator="between" text="库存为">
      <formula>NOT(ISERROR(SEARCH("库存为",AU801)))</formula>
    </cfRule>
  </conditionalFormatting>
  <conditionalFormatting sqref="AU802">
    <cfRule type="cellIs" dxfId="0" priority="2432" operator="lessThan">
      <formula>20</formula>
    </cfRule>
    <cfRule type="cellIs" dxfId="1" priority="1356" operator="greaterThan">
      <formula>120</formula>
    </cfRule>
    <cfRule type="containsText" dxfId="2" priority="280" operator="between" text="库存为">
      <formula>NOT(ISERROR(SEARCH("库存为",AU802)))</formula>
    </cfRule>
  </conditionalFormatting>
  <conditionalFormatting sqref="AU803">
    <cfRule type="cellIs" dxfId="0" priority="2431" operator="lessThan">
      <formula>20</formula>
    </cfRule>
    <cfRule type="cellIs" dxfId="1" priority="1355" operator="greaterThan">
      <formula>120</formula>
    </cfRule>
    <cfRule type="containsText" dxfId="2" priority="279" operator="between" text="库存为">
      <formula>NOT(ISERROR(SEARCH("库存为",AU803)))</formula>
    </cfRule>
  </conditionalFormatting>
  <conditionalFormatting sqref="AU804">
    <cfRule type="cellIs" dxfId="0" priority="2430" operator="lessThan">
      <formula>20</formula>
    </cfRule>
    <cfRule type="cellIs" dxfId="1" priority="1354" operator="greaterThan">
      <formula>120</formula>
    </cfRule>
    <cfRule type="containsText" dxfId="2" priority="278" operator="between" text="库存为">
      <formula>NOT(ISERROR(SEARCH("库存为",AU804)))</formula>
    </cfRule>
  </conditionalFormatting>
  <conditionalFormatting sqref="AU805">
    <cfRule type="cellIs" dxfId="0" priority="2429" operator="lessThan">
      <formula>20</formula>
    </cfRule>
    <cfRule type="cellIs" dxfId="1" priority="1353" operator="greaterThan">
      <formula>120</formula>
    </cfRule>
    <cfRule type="containsText" dxfId="2" priority="277" operator="between" text="库存为">
      <formula>NOT(ISERROR(SEARCH("库存为",AU805)))</formula>
    </cfRule>
  </conditionalFormatting>
  <conditionalFormatting sqref="AU806">
    <cfRule type="cellIs" dxfId="0" priority="2428" operator="lessThan">
      <formula>20</formula>
    </cfRule>
    <cfRule type="cellIs" dxfId="1" priority="1352" operator="greaterThan">
      <formula>120</formula>
    </cfRule>
    <cfRule type="containsText" dxfId="2" priority="276" operator="between" text="库存为">
      <formula>NOT(ISERROR(SEARCH("库存为",AU806)))</formula>
    </cfRule>
  </conditionalFormatting>
  <conditionalFormatting sqref="AU807">
    <cfRule type="cellIs" dxfId="0" priority="2427" operator="lessThan">
      <formula>20</formula>
    </cfRule>
    <cfRule type="cellIs" dxfId="1" priority="1351" operator="greaterThan">
      <formula>120</formula>
    </cfRule>
    <cfRule type="containsText" dxfId="2" priority="275" operator="between" text="库存为">
      <formula>NOT(ISERROR(SEARCH("库存为",AU807)))</formula>
    </cfRule>
  </conditionalFormatting>
  <conditionalFormatting sqref="AU808">
    <cfRule type="cellIs" dxfId="0" priority="2426" operator="lessThan">
      <formula>20</formula>
    </cfRule>
    <cfRule type="cellIs" dxfId="1" priority="1350" operator="greaterThan">
      <formula>120</formula>
    </cfRule>
    <cfRule type="containsText" dxfId="2" priority="274" operator="between" text="库存为">
      <formula>NOT(ISERROR(SEARCH("库存为",AU808)))</formula>
    </cfRule>
  </conditionalFormatting>
  <conditionalFormatting sqref="AU809">
    <cfRule type="cellIs" dxfId="0" priority="2425" operator="lessThan">
      <formula>20</formula>
    </cfRule>
    <cfRule type="cellIs" dxfId="1" priority="1349" operator="greaterThan">
      <formula>120</formula>
    </cfRule>
    <cfRule type="containsText" dxfId="2" priority="273" operator="between" text="库存为">
      <formula>NOT(ISERROR(SEARCH("库存为",AU809)))</formula>
    </cfRule>
  </conditionalFormatting>
  <conditionalFormatting sqref="AU810">
    <cfRule type="cellIs" dxfId="0" priority="2424" operator="lessThan">
      <formula>20</formula>
    </cfRule>
    <cfRule type="cellIs" dxfId="1" priority="1348" operator="greaterThan">
      <formula>120</formula>
    </cfRule>
    <cfRule type="containsText" dxfId="2" priority="272" operator="between" text="库存为">
      <formula>NOT(ISERROR(SEARCH("库存为",AU810)))</formula>
    </cfRule>
  </conditionalFormatting>
  <conditionalFormatting sqref="AU811">
    <cfRule type="cellIs" dxfId="0" priority="2423" operator="lessThan">
      <formula>20</formula>
    </cfRule>
    <cfRule type="cellIs" dxfId="1" priority="1347" operator="greaterThan">
      <formula>120</formula>
    </cfRule>
    <cfRule type="containsText" dxfId="2" priority="271" operator="between" text="库存为">
      <formula>NOT(ISERROR(SEARCH("库存为",AU811)))</formula>
    </cfRule>
  </conditionalFormatting>
  <conditionalFormatting sqref="AU812">
    <cfRule type="cellIs" dxfId="0" priority="2422" operator="lessThan">
      <formula>20</formula>
    </cfRule>
    <cfRule type="cellIs" dxfId="1" priority="1346" operator="greaterThan">
      <formula>120</formula>
    </cfRule>
    <cfRule type="containsText" dxfId="2" priority="270" operator="between" text="库存为">
      <formula>NOT(ISERROR(SEARCH("库存为",AU812)))</formula>
    </cfRule>
  </conditionalFormatting>
  <conditionalFormatting sqref="AU813">
    <cfRule type="cellIs" dxfId="0" priority="2421" operator="lessThan">
      <formula>20</formula>
    </cfRule>
    <cfRule type="cellIs" dxfId="1" priority="1345" operator="greaterThan">
      <formula>120</formula>
    </cfRule>
    <cfRule type="containsText" dxfId="2" priority="269" operator="between" text="库存为">
      <formula>NOT(ISERROR(SEARCH("库存为",AU813)))</formula>
    </cfRule>
  </conditionalFormatting>
  <conditionalFormatting sqref="AU814">
    <cfRule type="cellIs" dxfId="0" priority="2420" operator="lessThan">
      <formula>20</formula>
    </cfRule>
    <cfRule type="cellIs" dxfId="1" priority="1344" operator="greaterThan">
      <formula>120</formula>
    </cfRule>
    <cfRule type="containsText" dxfId="2" priority="268" operator="between" text="库存为">
      <formula>NOT(ISERROR(SEARCH("库存为",AU814)))</formula>
    </cfRule>
  </conditionalFormatting>
  <conditionalFormatting sqref="AU815">
    <cfRule type="cellIs" dxfId="0" priority="2419" operator="lessThan">
      <formula>20</formula>
    </cfRule>
    <cfRule type="cellIs" dxfId="1" priority="1343" operator="greaterThan">
      <formula>120</formula>
    </cfRule>
    <cfRule type="containsText" dxfId="2" priority="267" operator="between" text="库存为">
      <formula>NOT(ISERROR(SEARCH("库存为",AU815)))</formula>
    </cfRule>
  </conditionalFormatting>
  <conditionalFormatting sqref="AU816">
    <cfRule type="cellIs" dxfId="0" priority="2418" operator="lessThan">
      <formula>20</formula>
    </cfRule>
    <cfRule type="cellIs" dxfId="1" priority="1342" operator="greaterThan">
      <formula>120</formula>
    </cfRule>
    <cfRule type="containsText" dxfId="2" priority="266" operator="between" text="库存为">
      <formula>NOT(ISERROR(SEARCH("库存为",AU816)))</formula>
    </cfRule>
  </conditionalFormatting>
  <conditionalFormatting sqref="AU817">
    <cfRule type="cellIs" dxfId="0" priority="2417" operator="lessThan">
      <formula>20</formula>
    </cfRule>
    <cfRule type="cellIs" dxfId="1" priority="1341" operator="greaterThan">
      <formula>120</formula>
    </cfRule>
    <cfRule type="containsText" dxfId="2" priority="265" operator="between" text="库存为">
      <formula>NOT(ISERROR(SEARCH("库存为",AU817)))</formula>
    </cfRule>
  </conditionalFormatting>
  <conditionalFormatting sqref="AU818">
    <cfRule type="cellIs" dxfId="0" priority="2416" operator="lessThan">
      <formula>20</formula>
    </cfRule>
    <cfRule type="cellIs" dxfId="1" priority="1340" operator="greaterThan">
      <formula>120</formula>
    </cfRule>
    <cfRule type="containsText" dxfId="2" priority="264" operator="between" text="库存为">
      <formula>NOT(ISERROR(SEARCH("库存为",AU818)))</formula>
    </cfRule>
  </conditionalFormatting>
  <conditionalFormatting sqref="AU819">
    <cfRule type="cellIs" dxfId="0" priority="2415" operator="lessThan">
      <formula>20</formula>
    </cfRule>
    <cfRule type="cellIs" dxfId="1" priority="1339" operator="greaterThan">
      <formula>120</formula>
    </cfRule>
    <cfRule type="containsText" dxfId="2" priority="263" operator="between" text="库存为">
      <formula>NOT(ISERROR(SEARCH("库存为",AU819)))</formula>
    </cfRule>
  </conditionalFormatting>
  <conditionalFormatting sqref="AU820">
    <cfRule type="cellIs" dxfId="0" priority="2414" operator="lessThan">
      <formula>20</formula>
    </cfRule>
    <cfRule type="cellIs" dxfId="1" priority="1338" operator="greaterThan">
      <formula>120</formula>
    </cfRule>
    <cfRule type="containsText" dxfId="2" priority="262" operator="between" text="库存为">
      <formula>NOT(ISERROR(SEARCH("库存为",AU820)))</formula>
    </cfRule>
  </conditionalFormatting>
  <conditionalFormatting sqref="AU821">
    <cfRule type="cellIs" dxfId="0" priority="2413" operator="lessThan">
      <formula>20</formula>
    </cfRule>
    <cfRule type="cellIs" dxfId="1" priority="1337" operator="greaterThan">
      <formula>120</formula>
    </cfRule>
    <cfRule type="containsText" dxfId="2" priority="261" operator="between" text="库存为">
      <formula>NOT(ISERROR(SEARCH("库存为",AU821)))</formula>
    </cfRule>
  </conditionalFormatting>
  <conditionalFormatting sqref="AU822">
    <cfRule type="cellIs" dxfId="0" priority="2412" operator="lessThan">
      <formula>20</formula>
    </cfRule>
    <cfRule type="cellIs" dxfId="1" priority="1336" operator="greaterThan">
      <formula>120</formula>
    </cfRule>
    <cfRule type="containsText" dxfId="2" priority="260" operator="between" text="库存为">
      <formula>NOT(ISERROR(SEARCH("库存为",AU822)))</formula>
    </cfRule>
  </conditionalFormatting>
  <conditionalFormatting sqref="AU823">
    <cfRule type="cellIs" dxfId="0" priority="2411" operator="lessThan">
      <formula>20</formula>
    </cfRule>
    <cfRule type="cellIs" dxfId="1" priority="1335" operator="greaterThan">
      <formula>120</formula>
    </cfRule>
    <cfRule type="containsText" dxfId="2" priority="259" operator="between" text="库存为">
      <formula>NOT(ISERROR(SEARCH("库存为",AU823)))</formula>
    </cfRule>
  </conditionalFormatting>
  <conditionalFormatting sqref="AU824">
    <cfRule type="cellIs" dxfId="0" priority="2410" operator="lessThan">
      <formula>20</formula>
    </cfRule>
    <cfRule type="cellIs" dxfId="1" priority="1334" operator="greaterThan">
      <formula>120</formula>
    </cfRule>
    <cfRule type="containsText" dxfId="2" priority="258" operator="between" text="库存为">
      <formula>NOT(ISERROR(SEARCH("库存为",AU824)))</formula>
    </cfRule>
  </conditionalFormatting>
  <conditionalFormatting sqref="AU825">
    <cfRule type="cellIs" dxfId="0" priority="2409" operator="lessThan">
      <formula>20</formula>
    </cfRule>
    <cfRule type="cellIs" dxfId="1" priority="1333" operator="greaterThan">
      <formula>120</formula>
    </cfRule>
    <cfRule type="containsText" dxfId="2" priority="257" operator="between" text="库存为">
      <formula>NOT(ISERROR(SEARCH("库存为",AU825)))</formula>
    </cfRule>
  </conditionalFormatting>
  <conditionalFormatting sqref="AU826">
    <cfRule type="cellIs" dxfId="0" priority="2408" operator="lessThan">
      <formula>20</formula>
    </cfRule>
    <cfRule type="cellIs" dxfId="1" priority="1332" operator="greaterThan">
      <formula>120</formula>
    </cfRule>
    <cfRule type="containsText" dxfId="2" priority="256" operator="between" text="库存为">
      <formula>NOT(ISERROR(SEARCH("库存为",AU826)))</formula>
    </cfRule>
  </conditionalFormatting>
  <conditionalFormatting sqref="AU827">
    <cfRule type="cellIs" dxfId="0" priority="2407" operator="lessThan">
      <formula>20</formula>
    </cfRule>
    <cfRule type="cellIs" dxfId="1" priority="1331" operator="greaterThan">
      <formula>120</formula>
    </cfRule>
    <cfRule type="containsText" dxfId="2" priority="255" operator="between" text="库存为">
      <formula>NOT(ISERROR(SEARCH("库存为",AU827)))</formula>
    </cfRule>
  </conditionalFormatting>
  <conditionalFormatting sqref="AU828">
    <cfRule type="cellIs" dxfId="0" priority="2406" operator="lessThan">
      <formula>20</formula>
    </cfRule>
    <cfRule type="cellIs" dxfId="1" priority="1330" operator="greaterThan">
      <formula>120</formula>
    </cfRule>
    <cfRule type="containsText" dxfId="2" priority="254" operator="between" text="库存为">
      <formula>NOT(ISERROR(SEARCH("库存为",AU828)))</formula>
    </cfRule>
  </conditionalFormatting>
  <conditionalFormatting sqref="AU829">
    <cfRule type="cellIs" dxfId="0" priority="2405" operator="lessThan">
      <formula>20</formula>
    </cfRule>
    <cfRule type="cellIs" dxfId="1" priority="1329" operator="greaterThan">
      <formula>120</formula>
    </cfRule>
    <cfRule type="containsText" dxfId="2" priority="253" operator="between" text="库存为">
      <formula>NOT(ISERROR(SEARCH("库存为",AU829)))</formula>
    </cfRule>
  </conditionalFormatting>
  <conditionalFormatting sqref="AU830">
    <cfRule type="cellIs" dxfId="0" priority="2404" operator="lessThan">
      <formula>20</formula>
    </cfRule>
    <cfRule type="cellIs" dxfId="1" priority="1328" operator="greaterThan">
      <formula>120</formula>
    </cfRule>
    <cfRule type="containsText" dxfId="2" priority="252" operator="between" text="库存为">
      <formula>NOT(ISERROR(SEARCH("库存为",AU830)))</formula>
    </cfRule>
  </conditionalFormatting>
  <conditionalFormatting sqref="AU831">
    <cfRule type="cellIs" dxfId="0" priority="2403" operator="lessThan">
      <formula>20</formula>
    </cfRule>
    <cfRule type="cellIs" dxfId="1" priority="1327" operator="greaterThan">
      <formula>120</formula>
    </cfRule>
    <cfRule type="containsText" dxfId="2" priority="251" operator="between" text="库存为">
      <formula>NOT(ISERROR(SEARCH("库存为",AU831)))</formula>
    </cfRule>
  </conditionalFormatting>
  <conditionalFormatting sqref="AU832">
    <cfRule type="cellIs" dxfId="0" priority="2402" operator="lessThan">
      <formula>20</formula>
    </cfRule>
    <cfRule type="cellIs" dxfId="1" priority="1326" operator="greaterThan">
      <formula>120</formula>
    </cfRule>
    <cfRule type="containsText" dxfId="2" priority="250" operator="between" text="库存为">
      <formula>NOT(ISERROR(SEARCH("库存为",AU832)))</formula>
    </cfRule>
  </conditionalFormatting>
  <conditionalFormatting sqref="AU833">
    <cfRule type="cellIs" dxfId="0" priority="2401" operator="lessThan">
      <formula>20</formula>
    </cfRule>
    <cfRule type="cellIs" dxfId="1" priority="1325" operator="greaterThan">
      <formula>120</formula>
    </cfRule>
    <cfRule type="containsText" dxfId="2" priority="249" operator="between" text="库存为">
      <formula>NOT(ISERROR(SEARCH("库存为",AU833)))</formula>
    </cfRule>
  </conditionalFormatting>
  <conditionalFormatting sqref="AU834">
    <cfRule type="cellIs" dxfId="0" priority="2400" operator="lessThan">
      <formula>20</formula>
    </cfRule>
    <cfRule type="cellIs" dxfId="1" priority="1324" operator="greaterThan">
      <formula>120</formula>
    </cfRule>
    <cfRule type="containsText" dxfId="2" priority="248" operator="between" text="库存为">
      <formula>NOT(ISERROR(SEARCH("库存为",AU834)))</formula>
    </cfRule>
  </conditionalFormatting>
  <conditionalFormatting sqref="AU835">
    <cfRule type="cellIs" dxfId="0" priority="2399" operator="lessThan">
      <formula>20</formula>
    </cfRule>
    <cfRule type="cellIs" dxfId="1" priority="1323" operator="greaterThan">
      <formula>120</formula>
    </cfRule>
    <cfRule type="containsText" dxfId="2" priority="247" operator="between" text="库存为">
      <formula>NOT(ISERROR(SEARCH("库存为",AU835)))</formula>
    </cfRule>
  </conditionalFormatting>
  <conditionalFormatting sqref="AU836">
    <cfRule type="cellIs" dxfId="0" priority="2398" operator="lessThan">
      <formula>20</formula>
    </cfRule>
    <cfRule type="cellIs" dxfId="1" priority="1322" operator="greaterThan">
      <formula>120</formula>
    </cfRule>
    <cfRule type="containsText" dxfId="2" priority="246" operator="between" text="库存为">
      <formula>NOT(ISERROR(SEARCH("库存为",AU836)))</formula>
    </cfRule>
  </conditionalFormatting>
  <conditionalFormatting sqref="AU837">
    <cfRule type="cellIs" dxfId="0" priority="2397" operator="lessThan">
      <formula>20</formula>
    </cfRule>
    <cfRule type="cellIs" dxfId="1" priority="1321" operator="greaterThan">
      <formula>120</formula>
    </cfRule>
    <cfRule type="containsText" dxfId="2" priority="245" operator="between" text="库存为">
      <formula>NOT(ISERROR(SEARCH("库存为",AU837)))</formula>
    </cfRule>
  </conditionalFormatting>
  <conditionalFormatting sqref="AU838">
    <cfRule type="cellIs" dxfId="0" priority="2396" operator="lessThan">
      <formula>20</formula>
    </cfRule>
    <cfRule type="cellIs" dxfId="1" priority="1320" operator="greaterThan">
      <formula>120</formula>
    </cfRule>
    <cfRule type="containsText" dxfId="2" priority="244" operator="between" text="库存为">
      <formula>NOT(ISERROR(SEARCH("库存为",AU838)))</formula>
    </cfRule>
  </conditionalFormatting>
  <conditionalFormatting sqref="AU839">
    <cfRule type="cellIs" dxfId="0" priority="2395" operator="lessThan">
      <formula>20</formula>
    </cfRule>
    <cfRule type="cellIs" dxfId="1" priority="1319" operator="greaterThan">
      <formula>120</formula>
    </cfRule>
    <cfRule type="containsText" dxfId="2" priority="243" operator="between" text="库存为">
      <formula>NOT(ISERROR(SEARCH("库存为",AU839)))</formula>
    </cfRule>
  </conditionalFormatting>
  <conditionalFormatting sqref="AU840">
    <cfRule type="cellIs" dxfId="0" priority="2394" operator="lessThan">
      <formula>20</formula>
    </cfRule>
    <cfRule type="cellIs" dxfId="1" priority="1318" operator="greaterThan">
      <formula>120</formula>
    </cfRule>
    <cfRule type="containsText" dxfId="2" priority="242" operator="between" text="库存为">
      <formula>NOT(ISERROR(SEARCH("库存为",AU840)))</formula>
    </cfRule>
  </conditionalFormatting>
  <conditionalFormatting sqref="AU841">
    <cfRule type="cellIs" dxfId="0" priority="2393" operator="lessThan">
      <formula>20</formula>
    </cfRule>
    <cfRule type="cellIs" dxfId="1" priority="1317" operator="greaterThan">
      <formula>120</formula>
    </cfRule>
    <cfRule type="containsText" dxfId="2" priority="241" operator="between" text="库存为">
      <formula>NOT(ISERROR(SEARCH("库存为",AU841)))</formula>
    </cfRule>
  </conditionalFormatting>
  <conditionalFormatting sqref="AU842">
    <cfRule type="cellIs" dxfId="0" priority="2392" operator="lessThan">
      <formula>20</formula>
    </cfRule>
    <cfRule type="cellIs" dxfId="1" priority="1316" operator="greaterThan">
      <formula>120</formula>
    </cfRule>
    <cfRule type="containsText" dxfId="2" priority="240" operator="between" text="库存为">
      <formula>NOT(ISERROR(SEARCH("库存为",AU842)))</formula>
    </cfRule>
  </conditionalFormatting>
  <conditionalFormatting sqref="AU843">
    <cfRule type="cellIs" dxfId="0" priority="2391" operator="lessThan">
      <formula>20</formula>
    </cfRule>
    <cfRule type="cellIs" dxfId="1" priority="1315" operator="greaterThan">
      <formula>120</formula>
    </cfRule>
    <cfRule type="containsText" dxfId="2" priority="239" operator="between" text="库存为">
      <formula>NOT(ISERROR(SEARCH("库存为",AU843)))</formula>
    </cfRule>
  </conditionalFormatting>
  <conditionalFormatting sqref="AU844">
    <cfRule type="cellIs" dxfId="0" priority="2390" operator="lessThan">
      <formula>20</formula>
    </cfRule>
    <cfRule type="cellIs" dxfId="1" priority="1314" operator="greaterThan">
      <formula>120</formula>
    </cfRule>
    <cfRule type="containsText" dxfId="2" priority="238" operator="between" text="库存为">
      <formula>NOT(ISERROR(SEARCH("库存为",AU844)))</formula>
    </cfRule>
  </conditionalFormatting>
  <conditionalFormatting sqref="AU845">
    <cfRule type="cellIs" dxfId="0" priority="2389" operator="lessThan">
      <formula>20</formula>
    </cfRule>
    <cfRule type="cellIs" dxfId="1" priority="1313" operator="greaterThan">
      <formula>120</formula>
    </cfRule>
    <cfRule type="containsText" dxfId="2" priority="237" operator="between" text="库存为">
      <formula>NOT(ISERROR(SEARCH("库存为",AU845)))</formula>
    </cfRule>
  </conditionalFormatting>
  <conditionalFormatting sqref="AU846">
    <cfRule type="cellIs" dxfId="0" priority="2388" operator="lessThan">
      <formula>20</formula>
    </cfRule>
    <cfRule type="cellIs" dxfId="1" priority="1312" operator="greaterThan">
      <formula>120</formula>
    </cfRule>
    <cfRule type="containsText" dxfId="2" priority="236" operator="between" text="库存为">
      <formula>NOT(ISERROR(SEARCH("库存为",AU846)))</formula>
    </cfRule>
  </conditionalFormatting>
  <conditionalFormatting sqref="AU847">
    <cfRule type="cellIs" dxfId="0" priority="2387" operator="lessThan">
      <formula>20</formula>
    </cfRule>
    <cfRule type="cellIs" dxfId="1" priority="1311" operator="greaterThan">
      <formula>120</formula>
    </cfRule>
    <cfRule type="containsText" dxfId="2" priority="235" operator="between" text="库存为">
      <formula>NOT(ISERROR(SEARCH("库存为",AU847)))</formula>
    </cfRule>
  </conditionalFormatting>
  <conditionalFormatting sqref="AU848">
    <cfRule type="cellIs" dxfId="0" priority="2386" operator="lessThan">
      <formula>20</formula>
    </cfRule>
    <cfRule type="cellIs" dxfId="1" priority="1310" operator="greaterThan">
      <formula>120</formula>
    </cfRule>
    <cfRule type="containsText" dxfId="2" priority="234" operator="between" text="库存为">
      <formula>NOT(ISERROR(SEARCH("库存为",AU848)))</formula>
    </cfRule>
  </conditionalFormatting>
  <conditionalFormatting sqref="AU849">
    <cfRule type="cellIs" dxfId="0" priority="2385" operator="lessThan">
      <formula>20</formula>
    </cfRule>
    <cfRule type="cellIs" dxfId="1" priority="1309" operator="greaterThan">
      <formula>120</formula>
    </cfRule>
    <cfRule type="containsText" dxfId="2" priority="233" operator="between" text="库存为">
      <formula>NOT(ISERROR(SEARCH("库存为",AU849)))</formula>
    </cfRule>
  </conditionalFormatting>
  <conditionalFormatting sqref="AU850">
    <cfRule type="cellIs" dxfId="0" priority="2384" operator="lessThan">
      <formula>20</formula>
    </cfRule>
    <cfRule type="cellIs" dxfId="1" priority="1308" operator="greaterThan">
      <formula>120</formula>
    </cfRule>
    <cfRule type="containsText" dxfId="2" priority="232" operator="between" text="库存为">
      <formula>NOT(ISERROR(SEARCH("库存为",AU850)))</formula>
    </cfRule>
  </conditionalFormatting>
  <conditionalFormatting sqref="AU851">
    <cfRule type="cellIs" dxfId="0" priority="2383" operator="lessThan">
      <formula>20</formula>
    </cfRule>
    <cfRule type="cellIs" dxfId="1" priority="1307" operator="greaterThan">
      <formula>120</formula>
    </cfRule>
    <cfRule type="containsText" dxfId="2" priority="231" operator="between" text="库存为">
      <formula>NOT(ISERROR(SEARCH("库存为",AU851)))</formula>
    </cfRule>
  </conditionalFormatting>
  <conditionalFormatting sqref="AU852">
    <cfRule type="cellIs" dxfId="0" priority="2382" operator="lessThan">
      <formula>20</formula>
    </cfRule>
    <cfRule type="cellIs" dxfId="1" priority="1306" operator="greaterThan">
      <formula>120</formula>
    </cfRule>
    <cfRule type="containsText" dxfId="2" priority="230" operator="between" text="库存为">
      <formula>NOT(ISERROR(SEARCH("库存为",AU852)))</formula>
    </cfRule>
  </conditionalFormatting>
  <conditionalFormatting sqref="AU853">
    <cfRule type="cellIs" dxfId="0" priority="2381" operator="lessThan">
      <formula>20</formula>
    </cfRule>
    <cfRule type="cellIs" dxfId="1" priority="1305" operator="greaterThan">
      <formula>120</formula>
    </cfRule>
    <cfRule type="containsText" dxfId="2" priority="229" operator="between" text="库存为">
      <formula>NOT(ISERROR(SEARCH("库存为",AU853)))</formula>
    </cfRule>
  </conditionalFormatting>
  <conditionalFormatting sqref="AU854">
    <cfRule type="cellIs" dxfId="0" priority="2380" operator="lessThan">
      <formula>20</formula>
    </cfRule>
    <cfRule type="cellIs" dxfId="1" priority="1304" operator="greaterThan">
      <formula>120</formula>
    </cfRule>
    <cfRule type="containsText" dxfId="2" priority="228" operator="between" text="库存为">
      <formula>NOT(ISERROR(SEARCH("库存为",AU854)))</formula>
    </cfRule>
  </conditionalFormatting>
  <conditionalFormatting sqref="AU855">
    <cfRule type="cellIs" dxfId="0" priority="2379" operator="lessThan">
      <formula>20</formula>
    </cfRule>
    <cfRule type="cellIs" dxfId="1" priority="1303" operator="greaterThan">
      <formula>120</formula>
    </cfRule>
    <cfRule type="containsText" dxfId="2" priority="227" operator="between" text="库存为">
      <formula>NOT(ISERROR(SEARCH("库存为",AU855)))</formula>
    </cfRule>
  </conditionalFormatting>
  <conditionalFormatting sqref="AU856">
    <cfRule type="cellIs" dxfId="0" priority="2378" operator="lessThan">
      <formula>20</formula>
    </cfRule>
    <cfRule type="cellIs" dxfId="1" priority="1302" operator="greaterThan">
      <formula>120</formula>
    </cfRule>
    <cfRule type="containsText" dxfId="2" priority="226" operator="between" text="库存为">
      <formula>NOT(ISERROR(SEARCH("库存为",AU856)))</formula>
    </cfRule>
  </conditionalFormatting>
  <conditionalFormatting sqref="AU857">
    <cfRule type="cellIs" dxfId="0" priority="2377" operator="lessThan">
      <formula>20</formula>
    </cfRule>
    <cfRule type="cellIs" dxfId="1" priority="1301" operator="greaterThan">
      <formula>120</formula>
    </cfRule>
    <cfRule type="containsText" dxfId="2" priority="225" operator="between" text="库存为">
      <formula>NOT(ISERROR(SEARCH("库存为",AU857)))</formula>
    </cfRule>
  </conditionalFormatting>
  <conditionalFormatting sqref="AU858">
    <cfRule type="cellIs" dxfId="0" priority="2376" operator="lessThan">
      <formula>20</formula>
    </cfRule>
    <cfRule type="cellIs" dxfId="1" priority="1300" operator="greaterThan">
      <formula>120</formula>
    </cfRule>
    <cfRule type="containsText" dxfId="2" priority="224" operator="between" text="库存为">
      <formula>NOT(ISERROR(SEARCH("库存为",AU858)))</formula>
    </cfRule>
  </conditionalFormatting>
  <conditionalFormatting sqref="AU859">
    <cfRule type="cellIs" dxfId="0" priority="2375" operator="lessThan">
      <formula>20</formula>
    </cfRule>
    <cfRule type="cellIs" dxfId="1" priority="1299" operator="greaterThan">
      <formula>120</formula>
    </cfRule>
    <cfRule type="containsText" dxfId="2" priority="223" operator="between" text="库存为">
      <formula>NOT(ISERROR(SEARCH("库存为",AU859)))</formula>
    </cfRule>
  </conditionalFormatting>
  <conditionalFormatting sqref="AU860">
    <cfRule type="cellIs" dxfId="0" priority="2374" operator="lessThan">
      <formula>20</formula>
    </cfRule>
    <cfRule type="cellIs" dxfId="1" priority="1298" operator="greaterThan">
      <formula>120</formula>
    </cfRule>
    <cfRule type="containsText" dxfId="2" priority="222" operator="between" text="库存为">
      <formula>NOT(ISERROR(SEARCH("库存为",AU860)))</formula>
    </cfRule>
  </conditionalFormatting>
  <conditionalFormatting sqref="AU861">
    <cfRule type="cellIs" dxfId="0" priority="2373" operator="lessThan">
      <formula>20</formula>
    </cfRule>
    <cfRule type="cellIs" dxfId="1" priority="1297" operator="greaterThan">
      <formula>120</formula>
    </cfRule>
    <cfRule type="containsText" dxfId="2" priority="221" operator="between" text="库存为">
      <formula>NOT(ISERROR(SEARCH("库存为",AU861)))</formula>
    </cfRule>
  </conditionalFormatting>
  <conditionalFormatting sqref="AU862">
    <cfRule type="cellIs" dxfId="0" priority="2372" operator="lessThan">
      <formula>20</formula>
    </cfRule>
    <cfRule type="cellIs" dxfId="1" priority="1296" operator="greaterThan">
      <formula>120</formula>
    </cfRule>
    <cfRule type="containsText" dxfId="2" priority="220" operator="between" text="库存为">
      <formula>NOT(ISERROR(SEARCH("库存为",AU862)))</formula>
    </cfRule>
  </conditionalFormatting>
  <conditionalFormatting sqref="AU863">
    <cfRule type="cellIs" dxfId="0" priority="2371" operator="lessThan">
      <formula>20</formula>
    </cfRule>
    <cfRule type="cellIs" dxfId="1" priority="1295" operator="greaterThan">
      <formula>120</formula>
    </cfRule>
    <cfRule type="containsText" dxfId="2" priority="219" operator="between" text="库存为">
      <formula>NOT(ISERROR(SEARCH("库存为",AU863)))</formula>
    </cfRule>
  </conditionalFormatting>
  <conditionalFormatting sqref="AU864">
    <cfRule type="cellIs" dxfId="0" priority="2370" operator="lessThan">
      <formula>20</formula>
    </cfRule>
    <cfRule type="cellIs" dxfId="1" priority="1294" operator="greaterThan">
      <formula>120</formula>
    </cfRule>
    <cfRule type="containsText" dxfId="2" priority="218" operator="between" text="库存为">
      <formula>NOT(ISERROR(SEARCH("库存为",AU864)))</formula>
    </cfRule>
  </conditionalFormatting>
  <conditionalFormatting sqref="AU865">
    <cfRule type="cellIs" dxfId="0" priority="2369" operator="lessThan">
      <formula>20</formula>
    </cfRule>
    <cfRule type="cellIs" dxfId="1" priority="1293" operator="greaterThan">
      <formula>120</formula>
    </cfRule>
    <cfRule type="containsText" dxfId="2" priority="217" operator="between" text="库存为">
      <formula>NOT(ISERROR(SEARCH("库存为",AU865)))</formula>
    </cfRule>
  </conditionalFormatting>
  <conditionalFormatting sqref="AU866">
    <cfRule type="cellIs" dxfId="0" priority="2368" operator="lessThan">
      <formula>20</formula>
    </cfRule>
    <cfRule type="cellIs" dxfId="1" priority="1292" operator="greaterThan">
      <formula>120</formula>
    </cfRule>
    <cfRule type="containsText" dxfId="2" priority="216" operator="between" text="库存为">
      <formula>NOT(ISERROR(SEARCH("库存为",AU866)))</formula>
    </cfRule>
  </conditionalFormatting>
  <conditionalFormatting sqref="AU867">
    <cfRule type="cellIs" dxfId="0" priority="2367" operator="lessThan">
      <formula>20</formula>
    </cfRule>
    <cfRule type="cellIs" dxfId="1" priority="1291" operator="greaterThan">
      <formula>120</formula>
    </cfRule>
    <cfRule type="containsText" dxfId="2" priority="215" operator="between" text="库存为">
      <formula>NOT(ISERROR(SEARCH("库存为",AU867)))</formula>
    </cfRule>
  </conditionalFormatting>
  <conditionalFormatting sqref="AU868">
    <cfRule type="cellIs" dxfId="0" priority="2366" operator="lessThan">
      <formula>20</formula>
    </cfRule>
    <cfRule type="cellIs" dxfId="1" priority="1290" operator="greaterThan">
      <formula>120</formula>
    </cfRule>
    <cfRule type="containsText" dxfId="2" priority="214" operator="between" text="库存为">
      <formula>NOT(ISERROR(SEARCH("库存为",AU868)))</formula>
    </cfRule>
  </conditionalFormatting>
  <conditionalFormatting sqref="AU869">
    <cfRule type="cellIs" dxfId="0" priority="2365" operator="lessThan">
      <formula>20</formula>
    </cfRule>
    <cfRule type="cellIs" dxfId="1" priority="1289" operator="greaterThan">
      <formula>120</formula>
    </cfRule>
    <cfRule type="containsText" dxfId="2" priority="213" operator="between" text="库存为">
      <formula>NOT(ISERROR(SEARCH("库存为",AU869)))</formula>
    </cfRule>
  </conditionalFormatting>
  <conditionalFormatting sqref="AU870">
    <cfRule type="cellIs" dxfId="0" priority="2364" operator="lessThan">
      <formula>20</formula>
    </cfRule>
    <cfRule type="cellIs" dxfId="1" priority="1288" operator="greaterThan">
      <formula>120</formula>
    </cfRule>
    <cfRule type="containsText" dxfId="2" priority="212" operator="between" text="库存为">
      <formula>NOT(ISERROR(SEARCH("库存为",AU870)))</formula>
    </cfRule>
  </conditionalFormatting>
  <conditionalFormatting sqref="AU871">
    <cfRule type="cellIs" dxfId="0" priority="2363" operator="lessThan">
      <formula>20</formula>
    </cfRule>
    <cfRule type="cellIs" dxfId="1" priority="1287" operator="greaterThan">
      <formula>120</formula>
    </cfRule>
    <cfRule type="containsText" dxfId="2" priority="211" operator="between" text="库存为">
      <formula>NOT(ISERROR(SEARCH("库存为",AU871)))</formula>
    </cfRule>
  </conditionalFormatting>
  <conditionalFormatting sqref="AU872">
    <cfRule type="cellIs" dxfId="0" priority="2362" operator="lessThan">
      <formula>20</formula>
    </cfRule>
    <cfRule type="cellIs" dxfId="1" priority="1286" operator="greaterThan">
      <formula>120</formula>
    </cfRule>
    <cfRule type="containsText" dxfId="2" priority="210" operator="between" text="库存为">
      <formula>NOT(ISERROR(SEARCH("库存为",AU872)))</formula>
    </cfRule>
  </conditionalFormatting>
  <conditionalFormatting sqref="AU873">
    <cfRule type="cellIs" dxfId="0" priority="2361" operator="lessThan">
      <formula>20</formula>
    </cfRule>
    <cfRule type="cellIs" dxfId="1" priority="1285" operator="greaterThan">
      <formula>120</formula>
    </cfRule>
    <cfRule type="containsText" dxfId="2" priority="209" operator="between" text="库存为">
      <formula>NOT(ISERROR(SEARCH("库存为",AU873)))</formula>
    </cfRule>
  </conditionalFormatting>
  <conditionalFormatting sqref="AU874">
    <cfRule type="cellIs" dxfId="0" priority="2360" operator="lessThan">
      <formula>20</formula>
    </cfRule>
    <cfRule type="cellIs" dxfId="1" priority="1284" operator="greaterThan">
      <formula>120</formula>
    </cfRule>
    <cfRule type="containsText" dxfId="2" priority="208" operator="between" text="库存为">
      <formula>NOT(ISERROR(SEARCH("库存为",AU874)))</formula>
    </cfRule>
  </conditionalFormatting>
  <conditionalFormatting sqref="AU875">
    <cfRule type="cellIs" dxfId="0" priority="2359" operator="lessThan">
      <formula>20</formula>
    </cfRule>
    <cfRule type="cellIs" dxfId="1" priority="1283" operator="greaterThan">
      <formula>120</formula>
    </cfRule>
    <cfRule type="containsText" dxfId="2" priority="207" operator="between" text="库存为">
      <formula>NOT(ISERROR(SEARCH("库存为",AU875)))</formula>
    </cfRule>
  </conditionalFormatting>
  <conditionalFormatting sqref="AU876">
    <cfRule type="cellIs" dxfId="0" priority="2358" operator="lessThan">
      <formula>20</formula>
    </cfRule>
    <cfRule type="cellIs" dxfId="1" priority="1282" operator="greaterThan">
      <formula>120</formula>
    </cfRule>
    <cfRule type="containsText" dxfId="2" priority="206" operator="between" text="库存为">
      <formula>NOT(ISERROR(SEARCH("库存为",AU876)))</formula>
    </cfRule>
  </conditionalFormatting>
  <conditionalFormatting sqref="AU877">
    <cfRule type="cellIs" dxfId="0" priority="2357" operator="lessThan">
      <formula>20</formula>
    </cfRule>
    <cfRule type="cellIs" dxfId="1" priority="1281" operator="greaterThan">
      <formula>120</formula>
    </cfRule>
    <cfRule type="containsText" dxfId="2" priority="205" operator="between" text="库存为">
      <formula>NOT(ISERROR(SEARCH("库存为",AU877)))</formula>
    </cfRule>
  </conditionalFormatting>
  <conditionalFormatting sqref="AU878">
    <cfRule type="cellIs" dxfId="0" priority="2356" operator="lessThan">
      <formula>20</formula>
    </cfRule>
    <cfRule type="cellIs" dxfId="1" priority="1280" operator="greaterThan">
      <formula>120</formula>
    </cfRule>
    <cfRule type="containsText" dxfId="2" priority="204" operator="between" text="库存为">
      <formula>NOT(ISERROR(SEARCH("库存为",AU878)))</formula>
    </cfRule>
  </conditionalFormatting>
  <conditionalFormatting sqref="AU879">
    <cfRule type="cellIs" dxfId="0" priority="2355" operator="lessThan">
      <formula>20</formula>
    </cfRule>
    <cfRule type="cellIs" dxfId="1" priority="1279" operator="greaterThan">
      <formula>120</formula>
    </cfRule>
    <cfRule type="containsText" dxfId="2" priority="203" operator="between" text="库存为">
      <formula>NOT(ISERROR(SEARCH("库存为",AU879)))</formula>
    </cfRule>
  </conditionalFormatting>
  <conditionalFormatting sqref="AU880">
    <cfRule type="cellIs" dxfId="0" priority="2354" operator="lessThan">
      <formula>20</formula>
    </cfRule>
    <cfRule type="cellIs" dxfId="1" priority="1278" operator="greaterThan">
      <formula>120</formula>
    </cfRule>
    <cfRule type="containsText" dxfId="2" priority="202" operator="between" text="库存为">
      <formula>NOT(ISERROR(SEARCH("库存为",AU880)))</formula>
    </cfRule>
  </conditionalFormatting>
  <conditionalFormatting sqref="AU881">
    <cfRule type="cellIs" dxfId="0" priority="2353" operator="lessThan">
      <formula>20</formula>
    </cfRule>
    <cfRule type="cellIs" dxfId="1" priority="1277" operator="greaterThan">
      <formula>120</formula>
    </cfRule>
    <cfRule type="containsText" dxfId="2" priority="201" operator="between" text="库存为">
      <formula>NOT(ISERROR(SEARCH("库存为",AU881)))</formula>
    </cfRule>
  </conditionalFormatting>
  <conditionalFormatting sqref="AU882">
    <cfRule type="cellIs" dxfId="0" priority="2352" operator="lessThan">
      <formula>20</formula>
    </cfRule>
    <cfRule type="cellIs" dxfId="1" priority="1276" operator="greaterThan">
      <formula>120</formula>
    </cfRule>
    <cfRule type="containsText" dxfId="2" priority="200" operator="between" text="库存为">
      <formula>NOT(ISERROR(SEARCH("库存为",AU882)))</formula>
    </cfRule>
  </conditionalFormatting>
  <conditionalFormatting sqref="AU883">
    <cfRule type="cellIs" dxfId="0" priority="2351" operator="lessThan">
      <formula>20</formula>
    </cfRule>
    <cfRule type="cellIs" dxfId="1" priority="1275" operator="greaterThan">
      <formula>120</formula>
    </cfRule>
    <cfRule type="containsText" dxfId="2" priority="199" operator="between" text="库存为">
      <formula>NOT(ISERROR(SEARCH("库存为",AU883)))</formula>
    </cfRule>
  </conditionalFormatting>
  <conditionalFormatting sqref="AU884">
    <cfRule type="cellIs" dxfId="0" priority="2350" operator="lessThan">
      <formula>20</formula>
    </cfRule>
    <cfRule type="cellIs" dxfId="1" priority="1274" operator="greaterThan">
      <formula>120</formula>
    </cfRule>
    <cfRule type="containsText" dxfId="2" priority="198" operator="between" text="库存为">
      <formula>NOT(ISERROR(SEARCH("库存为",AU884)))</formula>
    </cfRule>
  </conditionalFormatting>
  <conditionalFormatting sqref="AU885">
    <cfRule type="cellIs" dxfId="0" priority="2349" operator="lessThan">
      <formula>20</formula>
    </cfRule>
    <cfRule type="cellIs" dxfId="1" priority="1273" operator="greaterThan">
      <formula>120</formula>
    </cfRule>
    <cfRule type="containsText" dxfId="2" priority="197" operator="between" text="库存为">
      <formula>NOT(ISERROR(SEARCH("库存为",AU885)))</formula>
    </cfRule>
  </conditionalFormatting>
  <conditionalFormatting sqref="AU886">
    <cfRule type="cellIs" dxfId="0" priority="2348" operator="lessThan">
      <formula>20</formula>
    </cfRule>
    <cfRule type="cellIs" dxfId="1" priority="1272" operator="greaterThan">
      <formula>120</formula>
    </cfRule>
    <cfRule type="containsText" dxfId="2" priority="196" operator="between" text="库存为">
      <formula>NOT(ISERROR(SEARCH("库存为",AU886)))</formula>
    </cfRule>
  </conditionalFormatting>
  <conditionalFormatting sqref="AU887">
    <cfRule type="cellIs" dxfId="0" priority="2347" operator="lessThan">
      <formula>20</formula>
    </cfRule>
    <cfRule type="cellIs" dxfId="1" priority="1271" operator="greaterThan">
      <formula>120</formula>
    </cfRule>
    <cfRule type="containsText" dxfId="2" priority="195" operator="between" text="库存为">
      <formula>NOT(ISERROR(SEARCH("库存为",AU887)))</formula>
    </cfRule>
  </conditionalFormatting>
  <conditionalFormatting sqref="AU888">
    <cfRule type="cellIs" dxfId="0" priority="2346" operator="lessThan">
      <formula>20</formula>
    </cfRule>
    <cfRule type="cellIs" dxfId="1" priority="1270" operator="greaterThan">
      <formula>120</formula>
    </cfRule>
    <cfRule type="containsText" dxfId="2" priority="194" operator="between" text="库存为">
      <formula>NOT(ISERROR(SEARCH("库存为",AU888)))</formula>
    </cfRule>
  </conditionalFormatting>
  <conditionalFormatting sqref="AU889">
    <cfRule type="cellIs" dxfId="0" priority="2345" operator="lessThan">
      <formula>20</formula>
    </cfRule>
    <cfRule type="cellIs" dxfId="1" priority="1269" operator="greaterThan">
      <formula>120</formula>
    </cfRule>
    <cfRule type="containsText" dxfId="2" priority="193" operator="between" text="库存为">
      <formula>NOT(ISERROR(SEARCH("库存为",AU889)))</formula>
    </cfRule>
  </conditionalFormatting>
  <conditionalFormatting sqref="AU890">
    <cfRule type="cellIs" dxfId="0" priority="2344" operator="lessThan">
      <formula>20</formula>
    </cfRule>
    <cfRule type="cellIs" dxfId="1" priority="1268" operator="greaterThan">
      <formula>120</formula>
    </cfRule>
    <cfRule type="containsText" dxfId="2" priority="192" operator="between" text="库存为">
      <formula>NOT(ISERROR(SEARCH("库存为",AU890)))</formula>
    </cfRule>
  </conditionalFormatting>
  <conditionalFormatting sqref="AU891">
    <cfRule type="cellIs" dxfId="0" priority="2343" operator="lessThan">
      <formula>20</formula>
    </cfRule>
    <cfRule type="cellIs" dxfId="1" priority="1267" operator="greaterThan">
      <formula>120</formula>
    </cfRule>
    <cfRule type="containsText" dxfId="2" priority="191" operator="between" text="库存为">
      <formula>NOT(ISERROR(SEARCH("库存为",AU891)))</formula>
    </cfRule>
  </conditionalFormatting>
  <conditionalFormatting sqref="AU892">
    <cfRule type="cellIs" dxfId="0" priority="2342" operator="lessThan">
      <formula>20</formula>
    </cfRule>
    <cfRule type="cellIs" dxfId="1" priority="1266" operator="greaterThan">
      <formula>120</formula>
    </cfRule>
    <cfRule type="containsText" dxfId="2" priority="190" operator="between" text="库存为">
      <formula>NOT(ISERROR(SEARCH("库存为",AU892)))</formula>
    </cfRule>
  </conditionalFormatting>
  <conditionalFormatting sqref="AU893">
    <cfRule type="cellIs" dxfId="0" priority="2341" operator="lessThan">
      <formula>20</formula>
    </cfRule>
    <cfRule type="cellIs" dxfId="1" priority="1265" operator="greaterThan">
      <formula>120</formula>
    </cfRule>
    <cfRule type="containsText" dxfId="2" priority="189" operator="between" text="库存为">
      <formula>NOT(ISERROR(SEARCH("库存为",AU893)))</formula>
    </cfRule>
  </conditionalFormatting>
  <conditionalFormatting sqref="AU894">
    <cfRule type="cellIs" dxfId="0" priority="2340" operator="lessThan">
      <formula>20</formula>
    </cfRule>
    <cfRule type="cellIs" dxfId="1" priority="1264" operator="greaterThan">
      <formula>120</formula>
    </cfRule>
    <cfRule type="containsText" dxfId="2" priority="188" operator="between" text="库存为">
      <formula>NOT(ISERROR(SEARCH("库存为",AU894)))</formula>
    </cfRule>
  </conditionalFormatting>
  <conditionalFormatting sqref="AU895">
    <cfRule type="cellIs" dxfId="0" priority="2339" operator="lessThan">
      <formula>20</formula>
    </cfRule>
    <cfRule type="cellIs" dxfId="1" priority="1263" operator="greaterThan">
      <formula>120</formula>
    </cfRule>
    <cfRule type="containsText" dxfId="2" priority="187" operator="between" text="库存为">
      <formula>NOT(ISERROR(SEARCH("库存为",AU895)))</formula>
    </cfRule>
  </conditionalFormatting>
  <conditionalFormatting sqref="AU896">
    <cfRule type="cellIs" dxfId="0" priority="2338" operator="lessThan">
      <formula>20</formula>
    </cfRule>
    <cfRule type="cellIs" dxfId="1" priority="1262" operator="greaterThan">
      <formula>120</formula>
    </cfRule>
    <cfRule type="containsText" dxfId="2" priority="186" operator="between" text="库存为">
      <formula>NOT(ISERROR(SEARCH("库存为",AU896)))</formula>
    </cfRule>
  </conditionalFormatting>
  <conditionalFormatting sqref="AU897">
    <cfRule type="cellIs" dxfId="0" priority="2337" operator="lessThan">
      <formula>20</formula>
    </cfRule>
    <cfRule type="cellIs" dxfId="1" priority="1261" operator="greaterThan">
      <formula>120</formula>
    </cfRule>
    <cfRule type="containsText" dxfId="2" priority="185" operator="between" text="库存为">
      <formula>NOT(ISERROR(SEARCH("库存为",AU897)))</formula>
    </cfRule>
  </conditionalFormatting>
  <conditionalFormatting sqref="AU898">
    <cfRule type="cellIs" dxfId="0" priority="2336" operator="lessThan">
      <formula>20</formula>
    </cfRule>
    <cfRule type="cellIs" dxfId="1" priority="1260" operator="greaterThan">
      <formula>120</formula>
    </cfRule>
    <cfRule type="containsText" dxfId="2" priority="184" operator="between" text="库存为">
      <formula>NOT(ISERROR(SEARCH("库存为",AU898)))</formula>
    </cfRule>
  </conditionalFormatting>
  <conditionalFormatting sqref="AU899">
    <cfRule type="cellIs" dxfId="0" priority="2335" operator="lessThan">
      <formula>20</formula>
    </cfRule>
    <cfRule type="cellIs" dxfId="1" priority="1259" operator="greaterThan">
      <formula>120</formula>
    </cfRule>
    <cfRule type="containsText" dxfId="2" priority="183" operator="between" text="库存为">
      <formula>NOT(ISERROR(SEARCH("库存为",AU899)))</formula>
    </cfRule>
  </conditionalFormatting>
  <conditionalFormatting sqref="AU900">
    <cfRule type="cellIs" dxfId="0" priority="2334" operator="lessThan">
      <formula>20</formula>
    </cfRule>
    <cfRule type="cellIs" dxfId="1" priority="1258" operator="greaterThan">
      <formula>120</formula>
    </cfRule>
    <cfRule type="containsText" dxfId="2" priority="182" operator="between" text="库存为">
      <formula>NOT(ISERROR(SEARCH("库存为",AU900)))</formula>
    </cfRule>
  </conditionalFormatting>
  <conditionalFormatting sqref="AU901">
    <cfRule type="cellIs" dxfId="0" priority="2333" operator="lessThan">
      <formula>20</formula>
    </cfRule>
    <cfRule type="cellIs" dxfId="1" priority="1257" operator="greaterThan">
      <formula>120</formula>
    </cfRule>
    <cfRule type="containsText" dxfId="2" priority="181" operator="between" text="库存为">
      <formula>NOT(ISERROR(SEARCH("库存为",AU901)))</formula>
    </cfRule>
  </conditionalFormatting>
  <conditionalFormatting sqref="AU902">
    <cfRule type="cellIs" dxfId="0" priority="2332" operator="lessThan">
      <formula>20</formula>
    </cfRule>
    <cfRule type="cellIs" dxfId="1" priority="1256" operator="greaterThan">
      <formula>120</formula>
    </cfRule>
    <cfRule type="containsText" dxfId="2" priority="180" operator="between" text="库存为">
      <formula>NOT(ISERROR(SEARCH("库存为",AU902)))</formula>
    </cfRule>
  </conditionalFormatting>
  <conditionalFormatting sqref="AU903">
    <cfRule type="cellIs" dxfId="0" priority="2331" operator="lessThan">
      <formula>20</formula>
    </cfRule>
    <cfRule type="cellIs" dxfId="1" priority="1255" operator="greaterThan">
      <formula>120</formula>
    </cfRule>
    <cfRule type="containsText" dxfId="2" priority="179" operator="between" text="库存为">
      <formula>NOT(ISERROR(SEARCH("库存为",AU903)))</formula>
    </cfRule>
  </conditionalFormatting>
  <conditionalFormatting sqref="AU904">
    <cfRule type="cellIs" dxfId="0" priority="2330" operator="lessThan">
      <formula>20</formula>
    </cfRule>
    <cfRule type="cellIs" dxfId="1" priority="1254" operator="greaterThan">
      <formula>120</formula>
    </cfRule>
    <cfRule type="containsText" dxfId="2" priority="178" operator="between" text="库存为">
      <formula>NOT(ISERROR(SEARCH("库存为",AU904)))</formula>
    </cfRule>
  </conditionalFormatting>
  <conditionalFormatting sqref="AU905">
    <cfRule type="cellIs" dxfId="0" priority="2329" operator="lessThan">
      <formula>20</formula>
    </cfRule>
    <cfRule type="cellIs" dxfId="1" priority="1253" operator="greaterThan">
      <formula>120</formula>
    </cfRule>
    <cfRule type="containsText" dxfId="2" priority="177" operator="between" text="库存为">
      <formula>NOT(ISERROR(SEARCH("库存为",AU905)))</formula>
    </cfRule>
  </conditionalFormatting>
  <conditionalFormatting sqref="AU906">
    <cfRule type="cellIs" dxfId="0" priority="2328" operator="lessThan">
      <formula>20</formula>
    </cfRule>
    <cfRule type="cellIs" dxfId="1" priority="1252" operator="greaterThan">
      <formula>120</formula>
    </cfRule>
    <cfRule type="containsText" dxfId="2" priority="176" operator="between" text="库存为">
      <formula>NOT(ISERROR(SEARCH("库存为",AU906)))</formula>
    </cfRule>
  </conditionalFormatting>
  <conditionalFormatting sqref="AU907">
    <cfRule type="cellIs" dxfId="0" priority="2327" operator="lessThan">
      <formula>20</formula>
    </cfRule>
    <cfRule type="cellIs" dxfId="1" priority="1251" operator="greaterThan">
      <formula>120</formula>
    </cfRule>
    <cfRule type="containsText" dxfId="2" priority="175" operator="between" text="库存为">
      <formula>NOT(ISERROR(SEARCH("库存为",AU907)))</formula>
    </cfRule>
  </conditionalFormatting>
  <conditionalFormatting sqref="AU908">
    <cfRule type="cellIs" dxfId="0" priority="2326" operator="lessThan">
      <formula>20</formula>
    </cfRule>
    <cfRule type="cellIs" dxfId="1" priority="1250" operator="greaterThan">
      <formula>120</formula>
    </cfRule>
    <cfRule type="containsText" dxfId="2" priority="174" operator="between" text="库存为">
      <formula>NOT(ISERROR(SEARCH("库存为",AU908)))</formula>
    </cfRule>
  </conditionalFormatting>
  <conditionalFormatting sqref="AU909">
    <cfRule type="cellIs" dxfId="0" priority="2325" operator="lessThan">
      <formula>20</formula>
    </cfRule>
    <cfRule type="cellIs" dxfId="1" priority="1249" operator="greaterThan">
      <formula>120</formula>
    </cfRule>
    <cfRule type="containsText" dxfId="2" priority="173" operator="between" text="库存为">
      <formula>NOT(ISERROR(SEARCH("库存为",AU909)))</formula>
    </cfRule>
  </conditionalFormatting>
  <conditionalFormatting sqref="AU910">
    <cfRule type="cellIs" dxfId="0" priority="2324" operator="lessThan">
      <formula>20</formula>
    </cfRule>
    <cfRule type="cellIs" dxfId="1" priority="1248" operator="greaterThan">
      <formula>120</formula>
    </cfRule>
    <cfRule type="containsText" dxfId="2" priority="172" operator="between" text="库存为">
      <formula>NOT(ISERROR(SEARCH("库存为",AU910)))</formula>
    </cfRule>
  </conditionalFormatting>
  <conditionalFormatting sqref="AU911">
    <cfRule type="cellIs" dxfId="0" priority="2323" operator="lessThan">
      <formula>20</formula>
    </cfRule>
    <cfRule type="cellIs" dxfId="1" priority="1247" operator="greaterThan">
      <formula>120</formula>
    </cfRule>
    <cfRule type="containsText" dxfId="2" priority="171" operator="between" text="库存为">
      <formula>NOT(ISERROR(SEARCH("库存为",AU911)))</formula>
    </cfRule>
  </conditionalFormatting>
  <conditionalFormatting sqref="AU912">
    <cfRule type="cellIs" dxfId="0" priority="2322" operator="lessThan">
      <formula>20</formula>
    </cfRule>
    <cfRule type="cellIs" dxfId="1" priority="1246" operator="greaterThan">
      <formula>120</formula>
    </cfRule>
    <cfRule type="containsText" dxfId="2" priority="170" operator="between" text="库存为">
      <formula>NOT(ISERROR(SEARCH("库存为",AU912)))</formula>
    </cfRule>
  </conditionalFormatting>
  <conditionalFormatting sqref="AU913">
    <cfRule type="cellIs" dxfId="0" priority="2321" operator="lessThan">
      <formula>20</formula>
    </cfRule>
    <cfRule type="cellIs" dxfId="1" priority="1245" operator="greaterThan">
      <formula>120</formula>
    </cfRule>
    <cfRule type="containsText" dxfId="2" priority="169" operator="between" text="库存为">
      <formula>NOT(ISERROR(SEARCH("库存为",AU913)))</formula>
    </cfRule>
  </conditionalFormatting>
  <conditionalFormatting sqref="AU914">
    <cfRule type="cellIs" dxfId="0" priority="2320" operator="lessThan">
      <formula>20</formula>
    </cfRule>
    <cfRule type="cellIs" dxfId="1" priority="1244" operator="greaterThan">
      <formula>120</formula>
    </cfRule>
    <cfRule type="containsText" dxfId="2" priority="168" operator="between" text="库存为">
      <formula>NOT(ISERROR(SEARCH("库存为",AU914)))</formula>
    </cfRule>
  </conditionalFormatting>
  <conditionalFormatting sqref="AU915">
    <cfRule type="cellIs" dxfId="0" priority="2319" operator="lessThan">
      <formula>20</formula>
    </cfRule>
    <cfRule type="cellIs" dxfId="1" priority="1243" operator="greaterThan">
      <formula>120</formula>
    </cfRule>
    <cfRule type="containsText" dxfId="2" priority="167" operator="between" text="库存为">
      <formula>NOT(ISERROR(SEARCH("库存为",AU915)))</formula>
    </cfRule>
  </conditionalFormatting>
  <conditionalFormatting sqref="AU916">
    <cfRule type="cellIs" dxfId="0" priority="2318" operator="lessThan">
      <formula>20</formula>
    </cfRule>
    <cfRule type="cellIs" dxfId="1" priority="1242" operator="greaterThan">
      <formula>120</formula>
    </cfRule>
    <cfRule type="containsText" dxfId="2" priority="166" operator="between" text="库存为">
      <formula>NOT(ISERROR(SEARCH("库存为",AU916)))</formula>
    </cfRule>
  </conditionalFormatting>
  <conditionalFormatting sqref="AU917">
    <cfRule type="cellIs" dxfId="0" priority="2317" operator="lessThan">
      <formula>20</formula>
    </cfRule>
    <cfRule type="cellIs" dxfId="1" priority="1241" operator="greaterThan">
      <formula>120</formula>
    </cfRule>
    <cfRule type="containsText" dxfId="2" priority="165" operator="between" text="库存为">
      <formula>NOT(ISERROR(SEARCH("库存为",AU917)))</formula>
    </cfRule>
  </conditionalFormatting>
  <conditionalFormatting sqref="AU918">
    <cfRule type="cellIs" dxfId="0" priority="2316" operator="lessThan">
      <formula>20</formula>
    </cfRule>
    <cfRule type="cellIs" dxfId="1" priority="1240" operator="greaterThan">
      <formula>120</formula>
    </cfRule>
    <cfRule type="containsText" dxfId="2" priority="164" operator="between" text="库存为">
      <formula>NOT(ISERROR(SEARCH("库存为",AU918)))</formula>
    </cfRule>
  </conditionalFormatting>
  <conditionalFormatting sqref="AU919">
    <cfRule type="cellIs" dxfId="0" priority="2315" operator="lessThan">
      <formula>20</formula>
    </cfRule>
    <cfRule type="cellIs" dxfId="1" priority="1239" operator="greaterThan">
      <formula>120</formula>
    </cfRule>
    <cfRule type="containsText" dxfId="2" priority="163" operator="between" text="库存为">
      <formula>NOT(ISERROR(SEARCH("库存为",AU919)))</formula>
    </cfRule>
  </conditionalFormatting>
  <conditionalFormatting sqref="AU920">
    <cfRule type="cellIs" dxfId="0" priority="2314" operator="lessThan">
      <formula>20</formula>
    </cfRule>
    <cfRule type="cellIs" dxfId="1" priority="1238" operator="greaterThan">
      <formula>120</formula>
    </cfRule>
    <cfRule type="containsText" dxfId="2" priority="162" operator="between" text="库存为">
      <formula>NOT(ISERROR(SEARCH("库存为",AU920)))</formula>
    </cfRule>
  </conditionalFormatting>
  <conditionalFormatting sqref="AU921">
    <cfRule type="cellIs" dxfId="0" priority="2313" operator="lessThan">
      <formula>20</formula>
    </cfRule>
    <cfRule type="cellIs" dxfId="1" priority="1237" operator="greaterThan">
      <formula>120</formula>
    </cfRule>
    <cfRule type="containsText" dxfId="2" priority="161" operator="between" text="库存为">
      <formula>NOT(ISERROR(SEARCH("库存为",AU921)))</formula>
    </cfRule>
  </conditionalFormatting>
  <conditionalFormatting sqref="AU922">
    <cfRule type="cellIs" dxfId="0" priority="2312" operator="lessThan">
      <formula>20</formula>
    </cfRule>
    <cfRule type="cellIs" dxfId="1" priority="1236" operator="greaterThan">
      <formula>120</formula>
    </cfRule>
    <cfRule type="containsText" dxfId="2" priority="160" operator="between" text="库存为">
      <formula>NOT(ISERROR(SEARCH("库存为",AU922)))</formula>
    </cfRule>
  </conditionalFormatting>
  <conditionalFormatting sqref="AU923">
    <cfRule type="cellIs" dxfId="0" priority="2311" operator="lessThan">
      <formula>20</formula>
    </cfRule>
    <cfRule type="cellIs" dxfId="1" priority="1235" operator="greaterThan">
      <formula>120</formula>
    </cfRule>
    <cfRule type="containsText" dxfId="2" priority="159" operator="between" text="库存为">
      <formula>NOT(ISERROR(SEARCH("库存为",AU923)))</formula>
    </cfRule>
  </conditionalFormatting>
  <conditionalFormatting sqref="AU924">
    <cfRule type="cellIs" dxfId="0" priority="2310" operator="lessThan">
      <formula>20</formula>
    </cfRule>
    <cfRule type="cellIs" dxfId="1" priority="1234" operator="greaterThan">
      <formula>120</formula>
    </cfRule>
    <cfRule type="containsText" dxfId="2" priority="158" operator="between" text="库存为">
      <formula>NOT(ISERROR(SEARCH("库存为",AU924)))</formula>
    </cfRule>
  </conditionalFormatting>
  <conditionalFormatting sqref="AU925">
    <cfRule type="cellIs" dxfId="0" priority="2309" operator="lessThan">
      <formula>20</formula>
    </cfRule>
    <cfRule type="cellIs" dxfId="1" priority="1233" operator="greaterThan">
      <formula>120</formula>
    </cfRule>
    <cfRule type="containsText" dxfId="2" priority="157" operator="between" text="库存为">
      <formula>NOT(ISERROR(SEARCH("库存为",AU925)))</formula>
    </cfRule>
  </conditionalFormatting>
  <conditionalFormatting sqref="AU926">
    <cfRule type="cellIs" dxfId="0" priority="2308" operator="lessThan">
      <formula>20</formula>
    </cfRule>
    <cfRule type="cellIs" dxfId="1" priority="1232" operator="greaterThan">
      <formula>120</formula>
    </cfRule>
    <cfRule type="containsText" dxfId="2" priority="156" operator="between" text="库存为">
      <formula>NOT(ISERROR(SEARCH("库存为",AU926)))</formula>
    </cfRule>
  </conditionalFormatting>
  <conditionalFormatting sqref="AU927">
    <cfRule type="cellIs" dxfId="0" priority="2307" operator="lessThan">
      <formula>20</formula>
    </cfRule>
    <cfRule type="cellIs" dxfId="1" priority="1231" operator="greaterThan">
      <formula>120</formula>
    </cfRule>
    <cfRule type="containsText" dxfId="2" priority="155" operator="between" text="库存为">
      <formula>NOT(ISERROR(SEARCH("库存为",AU927)))</formula>
    </cfRule>
  </conditionalFormatting>
  <conditionalFormatting sqref="AU928">
    <cfRule type="cellIs" dxfId="0" priority="2306" operator="lessThan">
      <formula>20</formula>
    </cfRule>
    <cfRule type="cellIs" dxfId="1" priority="1230" operator="greaterThan">
      <formula>120</formula>
    </cfRule>
    <cfRule type="containsText" dxfId="2" priority="154" operator="between" text="库存为">
      <formula>NOT(ISERROR(SEARCH("库存为",AU928)))</formula>
    </cfRule>
  </conditionalFormatting>
  <conditionalFormatting sqref="AU929">
    <cfRule type="cellIs" dxfId="0" priority="2305" operator="lessThan">
      <formula>20</formula>
    </cfRule>
    <cfRule type="cellIs" dxfId="1" priority="1229" operator="greaterThan">
      <formula>120</formula>
    </cfRule>
    <cfRule type="containsText" dxfId="2" priority="153" operator="between" text="库存为">
      <formula>NOT(ISERROR(SEARCH("库存为",AU929)))</formula>
    </cfRule>
  </conditionalFormatting>
  <conditionalFormatting sqref="AU930">
    <cfRule type="cellIs" dxfId="0" priority="2304" operator="lessThan">
      <formula>20</formula>
    </cfRule>
    <cfRule type="cellIs" dxfId="1" priority="1228" operator="greaterThan">
      <formula>120</formula>
    </cfRule>
    <cfRule type="containsText" dxfId="2" priority="152" operator="between" text="库存为">
      <formula>NOT(ISERROR(SEARCH("库存为",AU930)))</formula>
    </cfRule>
  </conditionalFormatting>
  <conditionalFormatting sqref="AU931">
    <cfRule type="cellIs" dxfId="0" priority="2303" operator="lessThan">
      <formula>20</formula>
    </cfRule>
    <cfRule type="cellIs" dxfId="1" priority="1227" operator="greaterThan">
      <formula>120</formula>
    </cfRule>
    <cfRule type="containsText" dxfId="2" priority="151" operator="between" text="库存为">
      <formula>NOT(ISERROR(SEARCH("库存为",AU931)))</formula>
    </cfRule>
  </conditionalFormatting>
  <conditionalFormatting sqref="AU932">
    <cfRule type="cellIs" dxfId="0" priority="2302" operator="lessThan">
      <formula>20</formula>
    </cfRule>
    <cfRule type="cellIs" dxfId="1" priority="1226" operator="greaterThan">
      <formula>120</formula>
    </cfRule>
    <cfRule type="containsText" dxfId="2" priority="150" operator="between" text="库存为">
      <formula>NOT(ISERROR(SEARCH("库存为",AU932)))</formula>
    </cfRule>
  </conditionalFormatting>
  <conditionalFormatting sqref="AU933">
    <cfRule type="cellIs" dxfId="0" priority="2301" operator="lessThan">
      <formula>20</formula>
    </cfRule>
    <cfRule type="cellIs" dxfId="1" priority="1225" operator="greaterThan">
      <formula>120</formula>
    </cfRule>
    <cfRule type="containsText" dxfId="2" priority="149" operator="between" text="库存为">
      <formula>NOT(ISERROR(SEARCH("库存为",AU933)))</formula>
    </cfRule>
  </conditionalFormatting>
  <conditionalFormatting sqref="AU934">
    <cfRule type="cellIs" dxfId="0" priority="2300" operator="lessThan">
      <formula>20</formula>
    </cfRule>
    <cfRule type="cellIs" dxfId="1" priority="1224" operator="greaterThan">
      <formula>120</formula>
    </cfRule>
    <cfRule type="containsText" dxfId="2" priority="148" operator="between" text="库存为">
      <formula>NOT(ISERROR(SEARCH("库存为",AU934)))</formula>
    </cfRule>
  </conditionalFormatting>
  <conditionalFormatting sqref="AU935">
    <cfRule type="cellIs" dxfId="0" priority="2299" operator="lessThan">
      <formula>20</formula>
    </cfRule>
    <cfRule type="cellIs" dxfId="1" priority="1223" operator="greaterThan">
      <formula>120</formula>
    </cfRule>
    <cfRule type="containsText" dxfId="2" priority="147" operator="between" text="库存为">
      <formula>NOT(ISERROR(SEARCH("库存为",AU935)))</formula>
    </cfRule>
  </conditionalFormatting>
  <conditionalFormatting sqref="AU936">
    <cfRule type="cellIs" dxfId="0" priority="2298" operator="lessThan">
      <formula>20</formula>
    </cfRule>
    <cfRule type="cellIs" dxfId="1" priority="1222" operator="greaterThan">
      <formula>120</formula>
    </cfRule>
    <cfRule type="containsText" dxfId="2" priority="146" operator="between" text="库存为">
      <formula>NOT(ISERROR(SEARCH("库存为",AU936)))</formula>
    </cfRule>
  </conditionalFormatting>
  <conditionalFormatting sqref="AU937">
    <cfRule type="cellIs" dxfId="0" priority="2297" operator="lessThan">
      <formula>20</formula>
    </cfRule>
    <cfRule type="cellIs" dxfId="1" priority="1221" operator="greaterThan">
      <formula>120</formula>
    </cfRule>
    <cfRule type="containsText" dxfId="2" priority="145" operator="between" text="库存为">
      <formula>NOT(ISERROR(SEARCH("库存为",AU937)))</formula>
    </cfRule>
  </conditionalFormatting>
  <conditionalFormatting sqref="AU938">
    <cfRule type="cellIs" dxfId="0" priority="2296" operator="lessThan">
      <formula>20</formula>
    </cfRule>
    <cfRule type="cellIs" dxfId="1" priority="1220" operator="greaterThan">
      <formula>120</formula>
    </cfRule>
    <cfRule type="containsText" dxfId="2" priority="144" operator="between" text="库存为">
      <formula>NOT(ISERROR(SEARCH("库存为",AU938)))</formula>
    </cfRule>
  </conditionalFormatting>
  <conditionalFormatting sqref="AU939">
    <cfRule type="cellIs" dxfId="0" priority="2295" operator="lessThan">
      <formula>20</formula>
    </cfRule>
    <cfRule type="cellIs" dxfId="1" priority="1219" operator="greaterThan">
      <formula>120</formula>
    </cfRule>
    <cfRule type="containsText" dxfId="2" priority="143" operator="between" text="库存为">
      <formula>NOT(ISERROR(SEARCH("库存为",AU939)))</formula>
    </cfRule>
  </conditionalFormatting>
  <conditionalFormatting sqref="AU940">
    <cfRule type="cellIs" dxfId="0" priority="2294" operator="lessThan">
      <formula>20</formula>
    </cfRule>
    <cfRule type="cellIs" dxfId="1" priority="1218" operator="greaterThan">
      <formula>120</formula>
    </cfRule>
    <cfRule type="containsText" dxfId="2" priority="142" operator="between" text="库存为">
      <formula>NOT(ISERROR(SEARCH("库存为",AU940)))</formula>
    </cfRule>
  </conditionalFormatting>
  <conditionalFormatting sqref="AU941">
    <cfRule type="cellIs" dxfId="0" priority="2293" operator="lessThan">
      <formula>20</formula>
    </cfRule>
    <cfRule type="cellIs" dxfId="1" priority="1217" operator="greaterThan">
      <formula>120</formula>
    </cfRule>
    <cfRule type="containsText" dxfId="2" priority="141" operator="between" text="库存为">
      <formula>NOT(ISERROR(SEARCH("库存为",AU941)))</formula>
    </cfRule>
  </conditionalFormatting>
  <conditionalFormatting sqref="AU942">
    <cfRule type="cellIs" dxfId="0" priority="2292" operator="lessThan">
      <formula>20</formula>
    </cfRule>
    <cfRule type="cellIs" dxfId="1" priority="1216" operator="greaterThan">
      <formula>120</formula>
    </cfRule>
    <cfRule type="containsText" dxfId="2" priority="140" operator="between" text="库存为">
      <formula>NOT(ISERROR(SEARCH("库存为",AU942)))</formula>
    </cfRule>
  </conditionalFormatting>
  <conditionalFormatting sqref="AU943">
    <cfRule type="cellIs" dxfId="0" priority="2291" operator="lessThan">
      <formula>20</formula>
    </cfRule>
    <cfRule type="cellIs" dxfId="1" priority="1215" operator="greaterThan">
      <formula>120</formula>
    </cfRule>
    <cfRule type="containsText" dxfId="2" priority="139" operator="between" text="库存为">
      <formula>NOT(ISERROR(SEARCH("库存为",AU943)))</formula>
    </cfRule>
  </conditionalFormatting>
  <conditionalFormatting sqref="AU944">
    <cfRule type="cellIs" dxfId="0" priority="2290" operator="lessThan">
      <formula>20</formula>
    </cfRule>
    <cfRule type="cellIs" dxfId="1" priority="1214" operator="greaterThan">
      <formula>120</formula>
    </cfRule>
    <cfRule type="containsText" dxfId="2" priority="138" operator="between" text="库存为">
      <formula>NOT(ISERROR(SEARCH("库存为",AU944)))</formula>
    </cfRule>
  </conditionalFormatting>
  <conditionalFormatting sqref="AU945">
    <cfRule type="cellIs" dxfId="0" priority="2289" operator="lessThan">
      <formula>20</formula>
    </cfRule>
    <cfRule type="cellIs" dxfId="1" priority="1213" operator="greaterThan">
      <formula>120</formula>
    </cfRule>
    <cfRule type="containsText" dxfId="2" priority="137" operator="between" text="库存为">
      <formula>NOT(ISERROR(SEARCH("库存为",AU945)))</formula>
    </cfRule>
  </conditionalFormatting>
  <conditionalFormatting sqref="AU946">
    <cfRule type="cellIs" dxfId="0" priority="2288" operator="lessThan">
      <formula>20</formula>
    </cfRule>
    <cfRule type="cellIs" dxfId="1" priority="1212" operator="greaterThan">
      <formula>120</formula>
    </cfRule>
    <cfRule type="containsText" dxfId="2" priority="136" operator="between" text="库存为">
      <formula>NOT(ISERROR(SEARCH("库存为",AU946)))</formula>
    </cfRule>
  </conditionalFormatting>
  <conditionalFormatting sqref="AU947">
    <cfRule type="cellIs" dxfId="0" priority="2287" operator="lessThan">
      <formula>20</formula>
    </cfRule>
    <cfRule type="cellIs" dxfId="1" priority="1211" operator="greaterThan">
      <formula>120</formula>
    </cfRule>
    <cfRule type="containsText" dxfId="2" priority="135" operator="between" text="库存为">
      <formula>NOT(ISERROR(SEARCH("库存为",AU947)))</formula>
    </cfRule>
  </conditionalFormatting>
  <conditionalFormatting sqref="AU948">
    <cfRule type="cellIs" dxfId="0" priority="2286" operator="lessThan">
      <formula>20</formula>
    </cfRule>
    <cfRule type="cellIs" dxfId="1" priority="1210" operator="greaterThan">
      <formula>120</formula>
    </cfRule>
    <cfRule type="containsText" dxfId="2" priority="134" operator="between" text="库存为">
      <formula>NOT(ISERROR(SEARCH("库存为",AU948)))</formula>
    </cfRule>
  </conditionalFormatting>
  <conditionalFormatting sqref="AU949">
    <cfRule type="cellIs" dxfId="0" priority="2285" operator="lessThan">
      <formula>20</formula>
    </cfRule>
    <cfRule type="cellIs" dxfId="1" priority="1209" operator="greaterThan">
      <formula>120</formula>
    </cfRule>
    <cfRule type="containsText" dxfId="2" priority="133" operator="between" text="库存为">
      <formula>NOT(ISERROR(SEARCH("库存为",AU949)))</formula>
    </cfRule>
  </conditionalFormatting>
  <conditionalFormatting sqref="AU950">
    <cfRule type="cellIs" dxfId="0" priority="2284" operator="lessThan">
      <formula>20</formula>
    </cfRule>
    <cfRule type="cellIs" dxfId="1" priority="1208" operator="greaterThan">
      <formula>120</formula>
    </cfRule>
    <cfRule type="containsText" dxfId="2" priority="132" operator="between" text="库存为">
      <formula>NOT(ISERROR(SEARCH("库存为",AU950)))</formula>
    </cfRule>
  </conditionalFormatting>
  <conditionalFormatting sqref="AU951">
    <cfRule type="cellIs" dxfId="0" priority="2283" operator="lessThan">
      <formula>20</formula>
    </cfRule>
    <cfRule type="cellIs" dxfId="1" priority="1207" operator="greaterThan">
      <formula>120</formula>
    </cfRule>
    <cfRule type="containsText" dxfId="2" priority="131" operator="between" text="库存为">
      <formula>NOT(ISERROR(SEARCH("库存为",AU951)))</formula>
    </cfRule>
  </conditionalFormatting>
  <conditionalFormatting sqref="AU952">
    <cfRule type="cellIs" dxfId="0" priority="2282" operator="lessThan">
      <formula>20</formula>
    </cfRule>
    <cfRule type="cellIs" dxfId="1" priority="1206" operator="greaterThan">
      <formula>120</formula>
    </cfRule>
    <cfRule type="containsText" dxfId="2" priority="130" operator="between" text="库存为">
      <formula>NOT(ISERROR(SEARCH("库存为",AU952)))</formula>
    </cfRule>
  </conditionalFormatting>
  <conditionalFormatting sqref="AU953">
    <cfRule type="cellIs" dxfId="0" priority="2281" operator="lessThan">
      <formula>20</formula>
    </cfRule>
    <cfRule type="cellIs" dxfId="1" priority="1205" operator="greaterThan">
      <formula>120</formula>
    </cfRule>
    <cfRule type="containsText" dxfId="2" priority="129" operator="between" text="库存为">
      <formula>NOT(ISERROR(SEARCH("库存为",AU953)))</formula>
    </cfRule>
  </conditionalFormatting>
  <conditionalFormatting sqref="AU954">
    <cfRule type="cellIs" dxfId="0" priority="2280" operator="lessThan">
      <formula>20</formula>
    </cfRule>
    <cfRule type="cellIs" dxfId="1" priority="1204" operator="greaterThan">
      <formula>120</formula>
    </cfRule>
    <cfRule type="containsText" dxfId="2" priority="128" operator="between" text="库存为">
      <formula>NOT(ISERROR(SEARCH("库存为",AU954)))</formula>
    </cfRule>
  </conditionalFormatting>
  <conditionalFormatting sqref="AU955">
    <cfRule type="cellIs" dxfId="0" priority="2279" operator="lessThan">
      <formula>20</formula>
    </cfRule>
    <cfRule type="cellIs" dxfId="1" priority="1203" operator="greaterThan">
      <formula>120</formula>
    </cfRule>
    <cfRule type="containsText" dxfId="2" priority="127" operator="between" text="库存为">
      <formula>NOT(ISERROR(SEARCH("库存为",AU955)))</formula>
    </cfRule>
  </conditionalFormatting>
  <conditionalFormatting sqref="AU956">
    <cfRule type="cellIs" dxfId="0" priority="2278" operator="lessThan">
      <formula>20</formula>
    </cfRule>
    <cfRule type="cellIs" dxfId="1" priority="1202" operator="greaterThan">
      <formula>120</formula>
    </cfRule>
    <cfRule type="containsText" dxfId="2" priority="126" operator="between" text="库存为">
      <formula>NOT(ISERROR(SEARCH("库存为",AU956)))</formula>
    </cfRule>
  </conditionalFormatting>
  <conditionalFormatting sqref="AU957">
    <cfRule type="cellIs" dxfId="0" priority="2277" operator="lessThan">
      <formula>20</formula>
    </cfRule>
    <cfRule type="cellIs" dxfId="1" priority="1201" operator="greaterThan">
      <formula>120</formula>
    </cfRule>
    <cfRule type="containsText" dxfId="2" priority="125" operator="between" text="库存为">
      <formula>NOT(ISERROR(SEARCH("库存为",AU957)))</formula>
    </cfRule>
  </conditionalFormatting>
  <conditionalFormatting sqref="AU958">
    <cfRule type="cellIs" dxfId="0" priority="2276" operator="lessThan">
      <formula>20</formula>
    </cfRule>
    <cfRule type="cellIs" dxfId="1" priority="1200" operator="greaterThan">
      <formula>120</formula>
    </cfRule>
    <cfRule type="containsText" dxfId="2" priority="124" operator="between" text="库存为">
      <formula>NOT(ISERROR(SEARCH("库存为",AU958)))</formula>
    </cfRule>
  </conditionalFormatting>
  <conditionalFormatting sqref="AU959">
    <cfRule type="cellIs" dxfId="0" priority="2275" operator="lessThan">
      <formula>20</formula>
    </cfRule>
    <cfRule type="cellIs" dxfId="1" priority="1199" operator="greaterThan">
      <formula>120</formula>
    </cfRule>
    <cfRule type="containsText" dxfId="2" priority="123" operator="between" text="库存为">
      <formula>NOT(ISERROR(SEARCH("库存为",AU959)))</formula>
    </cfRule>
  </conditionalFormatting>
  <conditionalFormatting sqref="AU960">
    <cfRule type="cellIs" dxfId="0" priority="2274" operator="lessThan">
      <formula>20</formula>
    </cfRule>
    <cfRule type="cellIs" dxfId="1" priority="1198" operator="greaterThan">
      <formula>120</formula>
    </cfRule>
    <cfRule type="containsText" dxfId="2" priority="122" operator="between" text="库存为">
      <formula>NOT(ISERROR(SEARCH("库存为",AU960)))</formula>
    </cfRule>
  </conditionalFormatting>
  <conditionalFormatting sqref="AU961">
    <cfRule type="cellIs" dxfId="0" priority="2273" operator="lessThan">
      <formula>20</formula>
    </cfRule>
    <cfRule type="cellIs" dxfId="1" priority="1197" operator="greaterThan">
      <formula>120</formula>
    </cfRule>
    <cfRule type="containsText" dxfId="2" priority="121" operator="between" text="库存为">
      <formula>NOT(ISERROR(SEARCH("库存为",AU961)))</formula>
    </cfRule>
  </conditionalFormatting>
  <conditionalFormatting sqref="AU962">
    <cfRule type="cellIs" dxfId="0" priority="2272" operator="lessThan">
      <formula>20</formula>
    </cfRule>
    <cfRule type="cellIs" dxfId="1" priority="1196" operator="greaterThan">
      <formula>120</formula>
    </cfRule>
    <cfRule type="containsText" dxfId="2" priority="120" operator="between" text="库存为">
      <formula>NOT(ISERROR(SEARCH("库存为",AU962)))</formula>
    </cfRule>
  </conditionalFormatting>
  <conditionalFormatting sqref="AU963">
    <cfRule type="cellIs" dxfId="0" priority="2271" operator="lessThan">
      <formula>20</formula>
    </cfRule>
    <cfRule type="cellIs" dxfId="1" priority="1195" operator="greaterThan">
      <formula>120</formula>
    </cfRule>
    <cfRule type="containsText" dxfId="2" priority="119" operator="between" text="库存为">
      <formula>NOT(ISERROR(SEARCH("库存为",AU963)))</formula>
    </cfRule>
  </conditionalFormatting>
  <conditionalFormatting sqref="AU964">
    <cfRule type="cellIs" dxfId="0" priority="2270" operator="lessThan">
      <formula>20</formula>
    </cfRule>
    <cfRule type="cellIs" dxfId="1" priority="1194" operator="greaterThan">
      <formula>120</formula>
    </cfRule>
    <cfRule type="containsText" dxfId="2" priority="118" operator="between" text="库存为">
      <formula>NOT(ISERROR(SEARCH("库存为",AU964)))</formula>
    </cfRule>
  </conditionalFormatting>
  <conditionalFormatting sqref="AU965">
    <cfRule type="cellIs" dxfId="0" priority="2269" operator="lessThan">
      <formula>20</formula>
    </cfRule>
    <cfRule type="cellIs" dxfId="1" priority="1193" operator="greaterThan">
      <formula>120</formula>
    </cfRule>
    <cfRule type="containsText" dxfId="2" priority="117" operator="between" text="库存为">
      <formula>NOT(ISERROR(SEARCH("库存为",AU965)))</formula>
    </cfRule>
  </conditionalFormatting>
  <conditionalFormatting sqref="AU966">
    <cfRule type="cellIs" dxfId="0" priority="2268" operator="lessThan">
      <formula>20</formula>
    </cfRule>
    <cfRule type="cellIs" dxfId="1" priority="1192" operator="greaterThan">
      <formula>120</formula>
    </cfRule>
    <cfRule type="containsText" dxfId="2" priority="116" operator="between" text="库存为">
      <formula>NOT(ISERROR(SEARCH("库存为",AU966)))</formula>
    </cfRule>
  </conditionalFormatting>
  <conditionalFormatting sqref="AU967">
    <cfRule type="cellIs" dxfId="0" priority="2267" operator="lessThan">
      <formula>20</formula>
    </cfRule>
    <cfRule type="cellIs" dxfId="1" priority="1191" operator="greaterThan">
      <formula>120</formula>
    </cfRule>
    <cfRule type="containsText" dxfId="2" priority="115" operator="between" text="库存为">
      <formula>NOT(ISERROR(SEARCH("库存为",AU967)))</formula>
    </cfRule>
  </conditionalFormatting>
  <conditionalFormatting sqref="AU968">
    <cfRule type="cellIs" dxfId="0" priority="2266" operator="lessThan">
      <formula>20</formula>
    </cfRule>
    <cfRule type="cellIs" dxfId="1" priority="1190" operator="greaterThan">
      <formula>120</formula>
    </cfRule>
    <cfRule type="containsText" dxfId="2" priority="114" operator="between" text="库存为">
      <formula>NOT(ISERROR(SEARCH("库存为",AU968)))</formula>
    </cfRule>
  </conditionalFormatting>
  <conditionalFormatting sqref="AU969">
    <cfRule type="cellIs" dxfId="0" priority="2265" operator="lessThan">
      <formula>20</formula>
    </cfRule>
    <cfRule type="cellIs" dxfId="1" priority="1189" operator="greaterThan">
      <formula>120</formula>
    </cfRule>
    <cfRule type="containsText" dxfId="2" priority="113" operator="between" text="库存为">
      <formula>NOT(ISERROR(SEARCH("库存为",AU969)))</formula>
    </cfRule>
  </conditionalFormatting>
  <conditionalFormatting sqref="AU970">
    <cfRule type="cellIs" dxfId="0" priority="2264" operator="lessThan">
      <formula>20</formula>
    </cfRule>
    <cfRule type="cellIs" dxfId="1" priority="1188" operator="greaterThan">
      <formula>120</formula>
    </cfRule>
    <cfRule type="containsText" dxfId="2" priority="112" operator="between" text="库存为">
      <formula>NOT(ISERROR(SEARCH("库存为",AU970)))</formula>
    </cfRule>
  </conditionalFormatting>
  <conditionalFormatting sqref="AU971">
    <cfRule type="cellIs" dxfId="0" priority="2263" operator="lessThan">
      <formula>20</formula>
    </cfRule>
    <cfRule type="cellIs" dxfId="1" priority="1187" operator="greaterThan">
      <formula>120</formula>
    </cfRule>
    <cfRule type="containsText" dxfId="2" priority="111" operator="between" text="库存为">
      <formula>NOT(ISERROR(SEARCH("库存为",AU971)))</formula>
    </cfRule>
  </conditionalFormatting>
  <conditionalFormatting sqref="AU972">
    <cfRule type="cellIs" dxfId="0" priority="2262" operator="lessThan">
      <formula>20</formula>
    </cfRule>
    <cfRule type="cellIs" dxfId="1" priority="1186" operator="greaterThan">
      <formula>120</formula>
    </cfRule>
    <cfRule type="containsText" dxfId="2" priority="110" operator="between" text="库存为">
      <formula>NOT(ISERROR(SEARCH("库存为",AU972)))</formula>
    </cfRule>
  </conditionalFormatting>
  <conditionalFormatting sqref="AU973">
    <cfRule type="cellIs" dxfId="0" priority="2261" operator="lessThan">
      <formula>20</formula>
    </cfRule>
    <cfRule type="cellIs" dxfId="1" priority="1185" operator="greaterThan">
      <formula>120</formula>
    </cfRule>
    <cfRule type="containsText" dxfId="2" priority="109" operator="between" text="库存为">
      <formula>NOT(ISERROR(SEARCH("库存为",AU973)))</formula>
    </cfRule>
  </conditionalFormatting>
  <conditionalFormatting sqref="AU974">
    <cfRule type="cellIs" dxfId="0" priority="2260" operator="lessThan">
      <formula>20</formula>
    </cfRule>
    <cfRule type="cellIs" dxfId="1" priority="1184" operator="greaterThan">
      <formula>120</formula>
    </cfRule>
    <cfRule type="containsText" dxfId="2" priority="108" operator="between" text="库存为">
      <formula>NOT(ISERROR(SEARCH("库存为",AU974)))</formula>
    </cfRule>
  </conditionalFormatting>
  <conditionalFormatting sqref="AU975">
    <cfRule type="cellIs" dxfId="0" priority="2259" operator="lessThan">
      <formula>20</formula>
    </cfRule>
    <cfRule type="cellIs" dxfId="1" priority="1183" operator="greaterThan">
      <formula>120</formula>
    </cfRule>
    <cfRule type="containsText" dxfId="2" priority="107" operator="between" text="库存为">
      <formula>NOT(ISERROR(SEARCH("库存为",AU975)))</formula>
    </cfRule>
  </conditionalFormatting>
  <conditionalFormatting sqref="AU976">
    <cfRule type="cellIs" dxfId="0" priority="2258" operator="lessThan">
      <formula>20</formula>
    </cfRule>
    <cfRule type="cellIs" dxfId="1" priority="1182" operator="greaterThan">
      <formula>120</formula>
    </cfRule>
    <cfRule type="containsText" dxfId="2" priority="106" operator="between" text="库存为">
      <formula>NOT(ISERROR(SEARCH("库存为",AU976)))</formula>
    </cfRule>
  </conditionalFormatting>
  <conditionalFormatting sqref="AU977">
    <cfRule type="cellIs" dxfId="0" priority="2257" operator="lessThan">
      <formula>20</formula>
    </cfRule>
    <cfRule type="cellIs" dxfId="1" priority="1181" operator="greaterThan">
      <formula>120</formula>
    </cfRule>
    <cfRule type="containsText" dxfId="2" priority="105" operator="between" text="库存为">
      <formula>NOT(ISERROR(SEARCH("库存为",AU977)))</formula>
    </cfRule>
  </conditionalFormatting>
  <conditionalFormatting sqref="AU978">
    <cfRule type="cellIs" dxfId="0" priority="2256" operator="lessThan">
      <formula>20</formula>
    </cfRule>
    <cfRule type="cellIs" dxfId="1" priority="1180" operator="greaterThan">
      <formula>120</formula>
    </cfRule>
    <cfRule type="containsText" dxfId="2" priority="104" operator="between" text="库存为">
      <formula>NOT(ISERROR(SEARCH("库存为",AU978)))</formula>
    </cfRule>
  </conditionalFormatting>
  <conditionalFormatting sqref="AU979">
    <cfRule type="cellIs" dxfId="0" priority="2255" operator="lessThan">
      <formula>20</formula>
    </cfRule>
    <cfRule type="cellIs" dxfId="1" priority="1179" operator="greaterThan">
      <formula>120</formula>
    </cfRule>
    <cfRule type="containsText" dxfId="2" priority="103" operator="between" text="库存为">
      <formula>NOT(ISERROR(SEARCH("库存为",AU979)))</formula>
    </cfRule>
  </conditionalFormatting>
  <conditionalFormatting sqref="AU980">
    <cfRule type="cellIs" dxfId="0" priority="2254" operator="lessThan">
      <formula>20</formula>
    </cfRule>
    <cfRule type="cellIs" dxfId="1" priority="1178" operator="greaterThan">
      <formula>120</formula>
    </cfRule>
    <cfRule type="containsText" dxfId="2" priority="102" operator="between" text="库存为">
      <formula>NOT(ISERROR(SEARCH("库存为",AU980)))</formula>
    </cfRule>
  </conditionalFormatting>
  <conditionalFormatting sqref="AU981">
    <cfRule type="cellIs" dxfId="0" priority="2253" operator="lessThan">
      <formula>20</formula>
    </cfRule>
    <cfRule type="cellIs" dxfId="1" priority="1177" operator="greaterThan">
      <formula>120</formula>
    </cfRule>
    <cfRule type="containsText" dxfId="2" priority="101" operator="between" text="库存为">
      <formula>NOT(ISERROR(SEARCH("库存为",AU981)))</formula>
    </cfRule>
  </conditionalFormatting>
  <conditionalFormatting sqref="AU982">
    <cfRule type="cellIs" dxfId="0" priority="2252" operator="lessThan">
      <formula>20</formula>
    </cfRule>
    <cfRule type="cellIs" dxfId="1" priority="1176" operator="greaterThan">
      <formula>120</formula>
    </cfRule>
    <cfRule type="containsText" dxfId="2" priority="100" operator="between" text="库存为">
      <formula>NOT(ISERROR(SEARCH("库存为",AU982)))</formula>
    </cfRule>
  </conditionalFormatting>
  <conditionalFormatting sqref="AU983">
    <cfRule type="cellIs" dxfId="0" priority="2251" operator="lessThan">
      <formula>20</formula>
    </cfRule>
    <cfRule type="cellIs" dxfId="1" priority="1175" operator="greaterThan">
      <formula>120</formula>
    </cfRule>
    <cfRule type="containsText" dxfId="2" priority="99" operator="between" text="库存为">
      <formula>NOT(ISERROR(SEARCH("库存为",AU983)))</formula>
    </cfRule>
  </conditionalFormatting>
  <conditionalFormatting sqref="AU984">
    <cfRule type="cellIs" dxfId="0" priority="2250" operator="lessThan">
      <formula>20</formula>
    </cfRule>
    <cfRule type="cellIs" dxfId="1" priority="1174" operator="greaterThan">
      <formula>120</formula>
    </cfRule>
    <cfRule type="containsText" dxfId="2" priority="98" operator="between" text="库存为">
      <formula>NOT(ISERROR(SEARCH("库存为",AU984)))</formula>
    </cfRule>
  </conditionalFormatting>
  <conditionalFormatting sqref="AU985">
    <cfRule type="cellIs" dxfId="0" priority="2249" operator="lessThan">
      <formula>20</formula>
    </cfRule>
    <cfRule type="cellIs" dxfId="1" priority="1173" operator="greaterThan">
      <formula>120</formula>
    </cfRule>
    <cfRule type="containsText" dxfId="2" priority="97" operator="between" text="库存为">
      <formula>NOT(ISERROR(SEARCH("库存为",AU985)))</formula>
    </cfRule>
  </conditionalFormatting>
  <conditionalFormatting sqref="AU986">
    <cfRule type="cellIs" dxfId="0" priority="2248" operator="lessThan">
      <formula>20</formula>
    </cfRule>
    <cfRule type="cellIs" dxfId="1" priority="1172" operator="greaterThan">
      <formula>120</formula>
    </cfRule>
    <cfRule type="containsText" dxfId="2" priority="96" operator="between" text="库存为">
      <formula>NOT(ISERROR(SEARCH("库存为",AU986)))</formula>
    </cfRule>
  </conditionalFormatting>
  <conditionalFormatting sqref="AU987">
    <cfRule type="cellIs" dxfId="0" priority="2247" operator="lessThan">
      <formula>20</formula>
    </cfRule>
    <cfRule type="cellIs" dxfId="1" priority="1171" operator="greaterThan">
      <formula>120</formula>
    </cfRule>
    <cfRule type="containsText" dxfId="2" priority="95" operator="between" text="库存为">
      <formula>NOT(ISERROR(SEARCH("库存为",AU987)))</formula>
    </cfRule>
  </conditionalFormatting>
  <conditionalFormatting sqref="AU988">
    <cfRule type="cellIs" dxfId="0" priority="2246" operator="lessThan">
      <formula>20</formula>
    </cfRule>
    <cfRule type="cellIs" dxfId="1" priority="1170" operator="greaterThan">
      <formula>120</formula>
    </cfRule>
    <cfRule type="containsText" dxfId="2" priority="94" operator="between" text="库存为">
      <formula>NOT(ISERROR(SEARCH("库存为",AU988)))</formula>
    </cfRule>
  </conditionalFormatting>
  <conditionalFormatting sqref="AU989">
    <cfRule type="cellIs" dxfId="0" priority="2245" operator="lessThan">
      <formula>20</formula>
    </cfRule>
    <cfRule type="cellIs" dxfId="1" priority="1169" operator="greaterThan">
      <formula>120</formula>
    </cfRule>
    <cfRule type="containsText" dxfId="2" priority="93" operator="between" text="库存为">
      <formula>NOT(ISERROR(SEARCH("库存为",AU989)))</formula>
    </cfRule>
  </conditionalFormatting>
  <conditionalFormatting sqref="AU990">
    <cfRule type="cellIs" dxfId="0" priority="2244" operator="lessThan">
      <formula>20</formula>
    </cfRule>
    <cfRule type="cellIs" dxfId="1" priority="1168" operator="greaterThan">
      <formula>120</formula>
    </cfRule>
    <cfRule type="containsText" dxfId="2" priority="92" operator="between" text="库存为">
      <formula>NOT(ISERROR(SEARCH("库存为",AU990)))</formula>
    </cfRule>
  </conditionalFormatting>
  <conditionalFormatting sqref="AU991">
    <cfRule type="cellIs" dxfId="0" priority="2243" operator="lessThan">
      <formula>20</formula>
    </cfRule>
    <cfRule type="cellIs" dxfId="1" priority="1167" operator="greaterThan">
      <formula>120</formula>
    </cfRule>
    <cfRule type="containsText" dxfId="2" priority="91" operator="between" text="库存为">
      <formula>NOT(ISERROR(SEARCH("库存为",AU991)))</formula>
    </cfRule>
  </conditionalFormatting>
  <conditionalFormatting sqref="AU992">
    <cfRule type="cellIs" dxfId="0" priority="2242" operator="lessThan">
      <formula>20</formula>
    </cfRule>
    <cfRule type="cellIs" dxfId="1" priority="1166" operator="greaterThan">
      <formula>120</formula>
    </cfRule>
    <cfRule type="containsText" dxfId="2" priority="90" operator="between" text="库存为">
      <formula>NOT(ISERROR(SEARCH("库存为",AU992)))</formula>
    </cfRule>
  </conditionalFormatting>
  <conditionalFormatting sqref="AU993">
    <cfRule type="cellIs" dxfId="0" priority="2241" operator="lessThan">
      <formula>20</formula>
    </cfRule>
    <cfRule type="cellIs" dxfId="1" priority="1165" operator="greaterThan">
      <formula>120</formula>
    </cfRule>
    <cfRule type="containsText" dxfId="2" priority="89" operator="between" text="库存为">
      <formula>NOT(ISERROR(SEARCH("库存为",AU993)))</formula>
    </cfRule>
  </conditionalFormatting>
  <conditionalFormatting sqref="AU994">
    <cfRule type="cellIs" dxfId="0" priority="2240" operator="lessThan">
      <formula>20</formula>
    </cfRule>
    <cfRule type="cellIs" dxfId="1" priority="1164" operator="greaterThan">
      <formula>120</formula>
    </cfRule>
    <cfRule type="containsText" dxfId="2" priority="88" operator="between" text="库存为">
      <formula>NOT(ISERROR(SEARCH("库存为",AU994)))</formula>
    </cfRule>
  </conditionalFormatting>
  <conditionalFormatting sqref="AU995">
    <cfRule type="cellIs" dxfId="0" priority="2239" operator="lessThan">
      <formula>20</formula>
    </cfRule>
    <cfRule type="cellIs" dxfId="1" priority="1163" operator="greaterThan">
      <formula>120</formula>
    </cfRule>
    <cfRule type="containsText" dxfId="2" priority="87" operator="between" text="库存为">
      <formula>NOT(ISERROR(SEARCH("库存为",AU995)))</formula>
    </cfRule>
  </conditionalFormatting>
  <conditionalFormatting sqref="AU996">
    <cfRule type="cellIs" dxfId="0" priority="2238" operator="lessThan">
      <formula>20</formula>
    </cfRule>
    <cfRule type="cellIs" dxfId="1" priority="1162" operator="greaterThan">
      <formula>120</formula>
    </cfRule>
    <cfRule type="containsText" dxfId="2" priority="86" operator="between" text="库存为">
      <formula>NOT(ISERROR(SEARCH("库存为",AU996)))</formula>
    </cfRule>
  </conditionalFormatting>
  <conditionalFormatting sqref="AU997">
    <cfRule type="cellIs" dxfId="0" priority="2237" operator="lessThan">
      <formula>20</formula>
    </cfRule>
    <cfRule type="cellIs" dxfId="1" priority="1161" operator="greaterThan">
      <formula>120</formula>
    </cfRule>
    <cfRule type="containsText" dxfId="2" priority="85" operator="between" text="库存为">
      <formula>NOT(ISERROR(SEARCH("库存为",AU997)))</formula>
    </cfRule>
  </conditionalFormatting>
  <conditionalFormatting sqref="AU998">
    <cfRule type="cellIs" dxfId="0" priority="2236" operator="lessThan">
      <formula>20</formula>
    </cfRule>
    <cfRule type="cellIs" dxfId="1" priority="1160" operator="greaterThan">
      <formula>120</formula>
    </cfRule>
    <cfRule type="containsText" dxfId="2" priority="84" operator="between" text="库存为">
      <formula>NOT(ISERROR(SEARCH("库存为",AU998)))</formula>
    </cfRule>
  </conditionalFormatting>
  <conditionalFormatting sqref="AU999">
    <cfRule type="cellIs" dxfId="0" priority="2235" operator="lessThan">
      <formula>20</formula>
    </cfRule>
    <cfRule type="cellIs" dxfId="1" priority="1159" operator="greaterThan">
      <formula>120</formula>
    </cfRule>
    <cfRule type="containsText" dxfId="2" priority="83" operator="between" text="库存为">
      <formula>NOT(ISERROR(SEARCH("库存为",AU999)))</formula>
    </cfRule>
  </conditionalFormatting>
  <conditionalFormatting sqref="AU1000">
    <cfRule type="cellIs" dxfId="0" priority="2234" operator="lessThan">
      <formula>20</formula>
    </cfRule>
    <cfRule type="cellIs" dxfId="1" priority="1158" operator="greaterThan">
      <formula>120</formula>
    </cfRule>
    <cfRule type="containsText" dxfId="2" priority="82" operator="between" text="库存为">
      <formula>NOT(ISERROR(SEARCH("库存为",AU1000)))</formula>
    </cfRule>
  </conditionalFormatting>
  <conditionalFormatting sqref="AU1001">
    <cfRule type="cellIs" dxfId="0" priority="2233" operator="lessThan">
      <formula>20</formula>
    </cfRule>
    <cfRule type="cellIs" dxfId="1" priority="1157" operator="greaterThan">
      <formula>120</formula>
    </cfRule>
    <cfRule type="containsText" dxfId="2" priority="81" operator="between" text="库存为">
      <formula>NOT(ISERROR(SEARCH("库存为",AU1001)))</formula>
    </cfRule>
  </conditionalFormatting>
  <conditionalFormatting sqref="AU1002">
    <cfRule type="cellIs" dxfId="0" priority="2232" operator="lessThan">
      <formula>20</formula>
    </cfRule>
    <cfRule type="cellIs" dxfId="1" priority="1156" operator="greaterThan">
      <formula>120</formula>
    </cfRule>
    <cfRule type="containsText" dxfId="2" priority="80" operator="between" text="库存为">
      <formula>NOT(ISERROR(SEARCH("库存为",AU1002)))</formula>
    </cfRule>
  </conditionalFormatting>
  <conditionalFormatting sqref="AU1003">
    <cfRule type="cellIs" dxfId="0" priority="2231" operator="lessThan">
      <formula>20</formula>
    </cfRule>
    <cfRule type="cellIs" dxfId="1" priority="1155" operator="greaterThan">
      <formula>120</formula>
    </cfRule>
    <cfRule type="containsText" dxfId="2" priority="79" operator="between" text="库存为">
      <formula>NOT(ISERROR(SEARCH("库存为",AU1003)))</formula>
    </cfRule>
  </conditionalFormatting>
  <conditionalFormatting sqref="AU1004">
    <cfRule type="cellIs" dxfId="0" priority="2230" operator="lessThan">
      <formula>20</formula>
    </cfRule>
    <cfRule type="cellIs" dxfId="1" priority="1154" operator="greaterThan">
      <formula>120</formula>
    </cfRule>
    <cfRule type="containsText" dxfId="2" priority="78" operator="between" text="库存为">
      <formula>NOT(ISERROR(SEARCH("库存为",AU1004)))</formula>
    </cfRule>
  </conditionalFormatting>
  <conditionalFormatting sqref="AU1005">
    <cfRule type="cellIs" dxfId="0" priority="2229" operator="lessThan">
      <formula>20</formula>
    </cfRule>
    <cfRule type="cellIs" dxfId="1" priority="1153" operator="greaterThan">
      <formula>120</formula>
    </cfRule>
    <cfRule type="containsText" dxfId="2" priority="77" operator="between" text="库存为">
      <formula>NOT(ISERROR(SEARCH("库存为",AU1005)))</formula>
    </cfRule>
  </conditionalFormatting>
  <conditionalFormatting sqref="AU1006">
    <cfRule type="cellIs" dxfId="0" priority="2228" operator="lessThan">
      <formula>20</formula>
    </cfRule>
    <cfRule type="cellIs" dxfId="1" priority="1152" operator="greaterThan">
      <formula>120</formula>
    </cfRule>
    <cfRule type="containsText" dxfId="2" priority="76" operator="between" text="库存为">
      <formula>NOT(ISERROR(SEARCH("库存为",AU1006)))</formula>
    </cfRule>
  </conditionalFormatting>
  <conditionalFormatting sqref="AU1007">
    <cfRule type="cellIs" dxfId="0" priority="2227" operator="lessThan">
      <formula>20</formula>
    </cfRule>
    <cfRule type="cellIs" dxfId="1" priority="1151" operator="greaterThan">
      <formula>120</formula>
    </cfRule>
    <cfRule type="containsText" dxfId="2" priority="75" operator="between" text="库存为">
      <formula>NOT(ISERROR(SEARCH("库存为",AU1007)))</formula>
    </cfRule>
  </conditionalFormatting>
  <conditionalFormatting sqref="AU1008">
    <cfRule type="cellIs" dxfId="0" priority="2226" operator="lessThan">
      <formula>20</formula>
    </cfRule>
    <cfRule type="cellIs" dxfId="1" priority="1150" operator="greaterThan">
      <formula>120</formula>
    </cfRule>
    <cfRule type="containsText" dxfId="2" priority="74" operator="between" text="库存为">
      <formula>NOT(ISERROR(SEARCH("库存为",AU1008)))</formula>
    </cfRule>
  </conditionalFormatting>
  <conditionalFormatting sqref="AU1009">
    <cfRule type="cellIs" dxfId="0" priority="2225" operator="lessThan">
      <formula>20</formula>
    </cfRule>
    <cfRule type="cellIs" dxfId="1" priority="1149" operator="greaterThan">
      <formula>120</formula>
    </cfRule>
    <cfRule type="containsText" dxfId="2" priority="73" operator="between" text="库存为">
      <formula>NOT(ISERROR(SEARCH("库存为",AU1009)))</formula>
    </cfRule>
  </conditionalFormatting>
  <conditionalFormatting sqref="AU1010">
    <cfRule type="cellIs" dxfId="0" priority="2224" operator="lessThan">
      <formula>20</formula>
    </cfRule>
    <cfRule type="cellIs" dxfId="1" priority="1148" operator="greaterThan">
      <formula>120</formula>
    </cfRule>
    <cfRule type="containsText" dxfId="2" priority="72" operator="between" text="库存为">
      <formula>NOT(ISERROR(SEARCH("库存为",AU1010)))</formula>
    </cfRule>
  </conditionalFormatting>
  <conditionalFormatting sqref="AU1011">
    <cfRule type="cellIs" dxfId="0" priority="2223" operator="lessThan">
      <formula>20</formula>
    </cfRule>
    <cfRule type="cellIs" dxfId="1" priority="1147" operator="greaterThan">
      <formula>120</formula>
    </cfRule>
    <cfRule type="containsText" dxfId="2" priority="71" operator="between" text="库存为">
      <formula>NOT(ISERROR(SEARCH("库存为",AU1011)))</formula>
    </cfRule>
  </conditionalFormatting>
  <conditionalFormatting sqref="AU1012">
    <cfRule type="cellIs" dxfId="0" priority="2222" operator="lessThan">
      <formula>20</formula>
    </cfRule>
    <cfRule type="cellIs" dxfId="1" priority="1146" operator="greaterThan">
      <formula>120</formula>
    </cfRule>
    <cfRule type="containsText" dxfId="2" priority="70" operator="between" text="库存为">
      <formula>NOT(ISERROR(SEARCH("库存为",AU1012)))</formula>
    </cfRule>
  </conditionalFormatting>
  <conditionalFormatting sqref="AU1013">
    <cfRule type="cellIs" dxfId="0" priority="2221" operator="lessThan">
      <formula>20</formula>
    </cfRule>
    <cfRule type="cellIs" dxfId="1" priority="1145" operator="greaterThan">
      <formula>120</formula>
    </cfRule>
    <cfRule type="containsText" dxfId="2" priority="69" operator="between" text="库存为">
      <formula>NOT(ISERROR(SEARCH("库存为",AU1013)))</formula>
    </cfRule>
  </conditionalFormatting>
  <conditionalFormatting sqref="AU1014">
    <cfRule type="cellIs" dxfId="0" priority="2220" operator="lessThan">
      <formula>20</formula>
    </cfRule>
    <cfRule type="cellIs" dxfId="1" priority="1144" operator="greaterThan">
      <formula>120</formula>
    </cfRule>
    <cfRule type="containsText" dxfId="2" priority="68" operator="between" text="库存为">
      <formula>NOT(ISERROR(SEARCH("库存为",AU1014)))</formula>
    </cfRule>
  </conditionalFormatting>
  <conditionalFormatting sqref="AU1015">
    <cfRule type="cellIs" dxfId="0" priority="2219" operator="lessThan">
      <formula>20</formula>
    </cfRule>
    <cfRule type="cellIs" dxfId="1" priority="1143" operator="greaterThan">
      <formula>120</formula>
    </cfRule>
    <cfRule type="containsText" dxfId="2" priority="67" operator="between" text="库存为">
      <formula>NOT(ISERROR(SEARCH("库存为",AU1015)))</formula>
    </cfRule>
  </conditionalFormatting>
  <conditionalFormatting sqref="AU1016">
    <cfRule type="cellIs" dxfId="0" priority="2218" operator="lessThan">
      <formula>20</formula>
    </cfRule>
    <cfRule type="cellIs" dxfId="1" priority="1142" operator="greaterThan">
      <formula>120</formula>
    </cfRule>
    <cfRule type="containsText" dxfId="2" priority="66" operator="between" text="库存为">
      <formula>NOT(ISERROR(SEARCH("库存为",AU1016)))</formula>
    </cfRule>
  </conditionalFormatting>
  <conditionalFormatting sqref="AU1017">
    <cfRule type="cellIs" dxfId="0" priority="2217" operator="lessThan">
      <formula>20</formula>
    </cfRule>
    <cfRule type="cellIs" dxfId="1" priority="1141" operator="greaterThan">
      <formula>120</formula>
    </cfRule>
    <cfRule type="containsText" dxfId="2" priority="65" operator="between" text="库存为">
      <formula>NOT(ISERROR(SEARCH("库存为",AU1017)))</formula>
    </cfRule>
  </conditionalFormatting>
  <conditionalFormatting sqref="AU1018">
    <cfRule type="cellIs" dxfId="0" priority="2216" operator="lessThan">
      <formula>20</formula>
    </cfRule>
    <cfRule type="cellIs" dxfId="1" priority="1140" operator="greaterThan">
      <formula>120</formula>
    </cfRule>
    <cfRule type="containsText" dxfId="2" priority="64" operator="between" text="库存为">
      <formula>NOT(ISERROR(SEARCH("库存为",AU1018)))</formula>
    </cfRule>
  </conditionalFormatting>
  <conditionalFormatting sqref="AU1019">
    <cfRule type="cellIs" dxfId="0" priority="2215" operator="lessThan">
      <formula>20</formula>
    </cfRule>
    <cfRule type="cellIs" dxfId="1" priority="1139" operator="greaterThan">
      <formula>120</formula>
    </cfRule>
    <cfRule type="containsText" dxfId="2" priority="63" operator="between" text="库存为">
      <formula>NOT(ISERROR(SEARCH("库存为",AU1019)))</formula>
    </cfRule>
  </conditionalFormatting>
  <conditionalFormatting sqref="AU1020">
    <cfRule type="cellIs" dxfId="0" priority="2214" operator="lessThan">
      <formula>20</formula>
    </cfRule>
    <cfRule type="cellIs" dxfId="1" priority="1138" operator="greaterThan">
      <formula>120</formula>
    </cfRule>
    <cfRule type="containsText" dxfId="2" priority="62" operator="between" text="库存为">
      <formula>NOT(ISERROR(SEARCH("库存为",AU1020)))</formula>
    </cfRule>
  </conditionalFormatting>
  <conditionalFormatting sqref="AU1021">
    <cfRule type="cellIs" dxfId="0" priority="2213" operator="lessThan">
      <formula>20</formula>
    </cfRule>
    <cfRule type="cellIs" dxfId="1" priority="1137" operator="greaterThan">
      <formula>120</formula>
    </cfRule>
    <cfRule type="containsText" dxfId="2" priority="61" operator="between" text="库存为">
      <formula>NOT(ISERROR(SEARCH("库存为",AU1021)))</formula>
    </cfRule>
  </conditionalFormatting>
  <conditionalFormatting sqref="AU1022">
    <cfRule type="cellIs" dxfId="0" priority="2212" operator="lessThan">
      <formula>20</formula>
    </cfRule>
    <cfRule type="cellIs" dxfId="1" priority="1136" operator="greaterThan">
      <formula>120</formula>
    </cfRule>
    <cfRule type="containsText" dxfId="2" priority="60" operator="between" text="库存为">
      <formula>NOT(ISERROR(SEARCH("库存为",AU1022)))</formula>
    </cfRule>
  </conditionalFormatting>
  <conditionalFormatting sqref="AU1023">
    <cfRule type="cellIs" dxfId="0" priority="2211" operator="lessThan">
      <formula>20</formula>
    </cfRule>
    <cfRule type="cellIs" dxfId="1" priority="1135" operator="greaterThan">
      <formula>120</formula>
    </cfRule>
    <cfRule type="containsText" dxfId="2" priority="59" operator="between" text="库存为">
      <formula>NOT(ISERROR(SEARCH("库存为",AU1023)))</formula>
    </cfRule>
  </conditionalFormatting>
  <conditionalFormatting sqref="AU1024">
    <cfRule type="cellIs" dxfId="0" priority="2210" operator="lessThan">
      <formula>20</formula>
    </cfRule>
    <cfRule type="cellIs" dxfId="1" priority="1134" operator="greaterThan">
      <formula>120</formula>
    </cfRule>
    <cfRule type="containsText" dxfId="2" priority="58" operator="between" text="库存为">
      <formula>NOT(ISERROR(SEARCH("库存为",AU1024)))</formula>
    </cfRule>
  </conditionalFormatting>
  <conditionalFormatting sqref="AU1025">
    <cfRule type="cellIs" dxfId="0" priority="2209" operator="lessThan">
      <formula>20</formula>
    </cfRule>
    <cfRule type="cellIs" dxfId="1" priority="1133" operator="greaterThan">
      <formula>120</formula>
    </cfRule>
    <cfRule type="containsText" dxfId="2" priority="57" operator="between" text="库存为">
      <formula>NOT(ISERROR(SEARCH("库存为",AU1025)))</formula>
    </cfRule>
  </conditionalFormatting>
  <conditionalFormatting sqref="AU1026">
    <cfRule type="cellIs" dxfId="0" priority="2208" operator="lessThan">
      <formula>20</formula>
    </cfRule>
    <cfRule type="cellIs" dxfId="1" priority="1132" operator="greaterThan">
      <formula>120</formula>
    </cfRule>
    <cfRule type="containsText" dxfId="2" priority="56" operator="between" text="库存为">
      <formula>NOT(ISERROR(SEARCH("库存为",AU1026)))</formula>
    </cfRule>
  </conditionalFormatting>
  <conditionalFormatting sqref="AU1027">
    <cfRule type="cellIs" dxfId="0" priority="2207" operator="lessThan">
      <formula>20</formula>
    </cfRule>
    <cfRule type="cellIs" dxfId="1" priority="1131" operator="greaterThan">
      <formula>120</formula>
    </cfRule>
    <cfRule type="containsText" dxfId="2" priority="55" operator="between" text="库存为">
      <formula>NOT(ISERROR(SEARCH("库存为",AU1027)))</formula>
    </cfRule>
  </conditionalFormatting>
  <conditionalFormatting sqref="AU1028">
    <cfRule type="cellIs" dxfId="0" priority="2206" operator="lessThan">
      <formula>20</formula>
    </cfRule>
    <cfRule type="cellIs" dxfId="1" priority="1130" operator="greaterThan">
      <formula>120</formula>
    </cfRule>
    <cfRule type="containsText" dxfId="2" priority="54" operator="between" text="库存为">
      <formula>NOT(ISERROR(SEARCH("库存为",AU1028)))</formula>
    </cfRule>
  </conditionalFormatting>
  <conditionalFormatting sqref="AU1029">
    <cfRule type="cellIs" dxfId="0" priority="2205" operator="lessThan">
      <formula>20</formula>
    </cfRule>
    <cfRule type="cellIs" dxfId="1" priority="1129" operator="greaterThan">
      <formula>120</formula>
    </cfRule>
    <cfRule type="containsText" dxfId="2" priority="53" operator="between" text="库存为">
      <formula>NOT(ISERROR(SEARCH("库存为",AU1029)))</formula>
    </cfRule>
  </conditionalFormatting>
  <conditionalFormatting sqref="AU1030">
    <cfRule type="cellIs" dxfId="0" priority="2204" operator="lessThan">
      <formula>20</formula>
    </cfRule>
    <cfRule type="cellIs" dxfId="1" priority="1128" operator="greaterThan">
      <formula>120</formula>
    </cfRule>
    <cfRule type="containsText" dxfId="2" priority="52" operator="between" text="库存为">
      <formula>NOT(ISERROR(SEARCH("库存为",AU1030)))</formula>
    </cfRule>
  </conditionalFormatting>
  <conditionalFormatting sqref="AU1031">
    <cfRule type="cellIs" dxfId="0" priority="2203" operator="lessThan">
      <formula>20</formula>
    </cfRule>
    <cfRule type="cellIs" dxfId="1" priority="1127" operator="greaterThan">
      <formula>120</formula>
    </cfRule>
    <cfRule type="containsText" dxfId="2" priority="51" operator="between" text="库存为">
      <formula>NOT(ISERROR(SEARCH("库存为",AU1031)))</formula>
    </cfRule>
  </conditionalFormatting>
  <conditionalFormatting sqref="AU1032">
    <cfRule type="cellIs" dxfId="0" priority="2202" operator="lessThan">
      <formula>20</formula>
    </cfRule>
    <cfRule type="cellIs" dxfId="1" priority="1126" operator="greaterThan">
      <formula>120</formula>
    </cfRule>
    <cfRule type="containsText" dxfId="2" priority="50" operator="between" text="库存为">
      <formula>NOT(ISERROR(SEARCH("库存为",AU1032)))</formula>
    </cfRule>
  </conditionalFormatting>
  <conditionalFormatting sqref="AU1033">
    <cfRule type="cellIs" dxfId="0" priority="2201" operator="lessThan">
      <formula>20</formula>
    </cfRule>
    <cfRule type="cellIs" dxfId="1" priority="1125" operator="greaterThan">
      <formula>120</formula>
    </cfRule>
    <cfRule type="containsText" dxfId="2" priority="49" operator="between" text="库存为">
      <formula>NOT(ISERROR(SEARCH("库存为",AU1033)))</formula>
    </cfRule>
  </conditionalFormatting>
  <conditionalFormatting sqref="AU1034">
    <cfRule type="cellIs" dxfId="0" priority="2200" operator="lessThan">
      <formula>20</formula>
    </cfRule>
    <cfRule type="cellIs" dxfId="1" priority="1124" operator="greaterThan">
      <formula>120</formula>
    </cfRule>
    <cfRule type="containsText" dxfId="2" priority="48" operator="between" text="库存为">
      <formula>NOT(ISERROR(SEARCH("库存为",AU1034)))</formula>
    </cfRule>
  </conditionalFormatting>
  <conditionalFormatting sqref="AU1035">
    <cfRule type="cellIs" dxfId="0" priority="2199" operator="lessThan">
      <formula>20</formula>
    </cfRule>
    <cfRule type="cellIs" dxfId="1" priority="1123" operator="greaterThan">
      <formula>120</formula>
    </cfRule>
    <cfRule type="containsText" dxfId="2" priority="47" operator="between" text="库存为">
      <formula>NOT(ISERROR(SEARCH("库存为",AU1035)))</formula>
    </cfRule>
  </conditionalFormatting>
  <conditionalFormatting sqref="AU1036">
    <cfRule type="cellIs" dxfId="0" priority="2198" operator="lessThan">
      <formula>20</formula>
    </cfRule>
    <cfRule type="cellIs" dxfId="1" priority="1122" operator="greaterThan">
      <formula>120</formula>
    </cfRule>
    <cfRule type="containsText" dxfId="2" priority="46" operator="between" text="库存为">
      <formula>NOT(ISERROR(SEARCH("库存为",AU1036)))</formula>
    </cfRule>
  </conditionalFormatting>
  <conditionalFormatting sqref="AU1037">
    <cfRule type="cellIs" dxfId="0" priority="2197" operator="lessThan">
      <formula>20</formula>
    </cfRule>
    <cfRule type="cellIs" dxfId="1" priority="1121" operator="greaterThan">
      <formula>120</formula>
    </cfRule>
    <cfRule type="containsText" dxfId="2" priority="45" operator="between" text="库存为">
      <formula>NOT(ISERROR(SEARCH("库存为",AU1037)))</formula>
    </cfRule>
  </conditionalFormatting>
  <conditionalFormatting sqref="AU1038">
    <cfRule type="cellIs" dxfId="0" priority="2196" operator="lessThan">
      <formula>20</formula>
    </cfRule>
    <cfRule type="cellIs" dxfId="1" priority="1120" operator="greaterThan">
      <formula>120</formula>
    </cfRule>
    <cfRule type="containsText" dxfId="2" priority="44" operator="between" text="库存为">
      <formula>NOT(ISERROR(SEARCH("库存为",AU1038)))</formula>
    </cfRule>
  </conditionalFormatting>
  <conditionalFormatting sqref="AU1039">
    <cfRule type="cellIs" dxfId="0" priority="2195" operator="lessThan">
      <formula>20</formula>
    </cfRule>
    <cfRule type="cellIs" dxfId="1" priority="1119" operator="greaterThan">
      <formula>120</formula>
    </cfRule>
    <cfRule type="containsText" dxfId="2" priority="43" operator="between" text="库存为">
      <formula>NOT(ISERROR(SEARCH("库存为",AU1039)))</formula>
    </cfRule>
  </conditionalFormatting>
  <conditionalFormatting sqref="AU1040">
    <cfRule type="cellIs" dxfId="0" priority="2194" operator="lessThan">
      <formula>20</formula>
    </cfRule>
    <cfRule type="cellIs" dxfId="1" priority="1118" operator="greaterThan">
      <formula>120</formula>
    </cfRule>
    <cfRule type="containsText" dxfId="2" priority="42" operator="between" text="库存为">
      <formula>NOT(ISERROR(SEARCH("库存为",AU1040)))</formula>
    </cfRule>
  </conditionalFormatting>
  <conditionalFormatting sqref="AU1041">
    <cfRule type="cellIs" dxfId="0" priority="2193" operator="lessThan">
      <formula>20</formula>
    </cfRule>
    <cfRule type="cellIs" dxfId="1" priority="1117" operator="greaterThan">
      <formula>120</formula>
    </cfRule>
    <cfRule type="containsText" dxfId="2" priority="41" operator="between" text="库存为">
      <formula>NOT(ISERROR(SEARCH("库存为",AU1041)))</formula>
    </cfRule>
  </conditionalFormatting>
  <conditionalFormatting sqref="AU1042">
    <cfRule type="cellIs" dxfId="0" priority="2192" operator="lessThan">
      <formula>20</formula>
    </cfRule>
    <cfRule type="cellIs" dxfId="1" priority="1116" operator="greaterThan">
      <formula>120</formula>
    </cfRule>
    <cfRule type="containsText" dxfId="2" priority="40" operator="between" text="库存为">
      <formula>NOT(ISERROR(SEARCH("库存为",AU1042)))</formula>
    </cfRule>
  </conditionalFormatting>
  <conditionalFormatting sqref="AU1043">
    <cfRule type="cellIs" dxfId="0" priority="2191" operator="lessThan">
      <formula>20</formula>
    </cfRule>
    <cfRule type="cellIs" dxfId="1" priority="1115" operator="greaterThan">
      <formula>120</formula>
    </cfRule>
    <cfRule type="containsText" dxfId="2" priority="39" operator="between" text="库存为">
      <formula>NOT(ISERROR(SEARCH("库存为",AU1043)))</formula>
    </cfRule>
  </conditionalFormatting>
  <conditionalFormatting sqref="AU1044">
    <cfRule type="cellIs" dxfId="0" priority="2190" operator="lessThan">
      <formula>20</formula>
    </cfRule>
    <cfRule type="cellIs" dxfId="1" priority="1114" operator="greaterThan">
      <formula>120</formula>
    </cfRule>
    <cfRule type="containsText" dxfId="2" priority="38" operator="between" text="库存为">
      <formula>NOT(ISERROR(SEARCH("库存为",AU1044)))</formula>
    </cfRule>
  </conditionalFormatting>
  <conditionalFormatting sqref="AU1045">
    <cfRule type="cellIs" dxfId="0" priority="2189" operator="lessThan">
      <formula>20</formula>
    </cfRule>
    <cfRule type="cellIs" dxfId="1" priority="1113" operator="greaterThan">
      <formula>120</formula>
    </cfRule>
    <cfRule type="containsText" dxfId="2" priority="37" operator="between" text="库存为">
      <formula>NOT(ISERROR(SEARCH("库存为",AU1045)))</formula>
    </cfRule>
  </conditionalFormatting>
  <conditionalFormatting sqref="AU1046">
    <cfRule type="cellIs" dxfId="0" priority="2188" operator="lessThan">
      <formula>20</formula>
    </cfRule>
    <cfRule type="cellIs" dxfId="1" priority="1112" operator="greaterThan">
      <formula>120</formula>
    </cfRule>
    <cfRule type="containsText" dxfId="2" priority="36" operator="between" text="库存为">
      <formula>NOT(ISERROR(SEARCH("库存为",AU1046)))</formula>
    </cfRule>
  </conditionalFormatting>
  <conditionalFormatting sqref="AU1047">
    <cfRule type="cellIs" dxfId="0" priority="2187" operator="lessThan">
      <formula>20</formula>
    </cfRule>
    <cfRule type="cellIs" dxfId="1" priority="1111" operator="greaterThan">
      <formula>120</formula>
    </cfRule>
    <cfRule type="containsText" dxfId="2" priority="35" operator="between" text="库存为">
      <formula>NOT(ISERROR(SEARCH("库存为",AU1047)))</formula>
    </cfRule>
  </conditionalFormatting>
  <conditionalFormatting sqref="AU1048">
    <cfRule type="cellIs" dxfId="0" priority="2186" operator="lessThan">
      <formula>20</formula>
    </cfRule>
    <cfRule type="cellIs" dxfId="1" priority="1110" operator="greaterThan">
      <formula>120</formula>
    </cfRule>
    <cfRule type="containsText" dxfId="2" priority="34" operator="between" text="库存为">
      <formula>NOT(ISERROR(SEARCH("库存为",AU1048)))</formula>
    </cfRule>
  </conditionalFormatting>
  <conditionalFormatting sqref="AU1049">
    <cfRule type="cellIs" dxfId="0" priority="2185" operator="lessThan">
      <formula>20</formula>
    </cfRule>
    <cfRule type="cellIs" dxfId="1" priority="1109" operator="greaterThan">
      <formula>120</formula>
    </cfRule>
    <cfRule type="containsText" dxfId="2" priority="33" operator="between" text="库存为">
      <formula>NOT(ISERROR(SEARCH("库存为",AU1049)))</formula>
    </cfRule>
  </conditionalFormatting>
  <conditionalFormatting sqref="AU1050">
    <cfRule type="cellIs" dxfId="0" priority="2184" operator="lessThan">
      <formula>20</formula>
    </cfRule>
    <cfRule type="cellIs" dxfId="1" priority="1108" operator="greaterThan">
      <formula>120</formula>
    </cfRule>
    <cfRule type="containsText" dxfId="2" priority="32" operator="between" text="库存为">
      <formula>NOT(ISERROR(SEARCH("库存为",AU1050)))</formula>
    </cfRule>
  </conditionalFormatting>
  <conditionalFormatting sqref="AU1051">
    <cfRule type="cellIs" dxfId="0" priority="2183" operator="lessThan">
      <formula>20</formula>
    </cfRule>
    <cfRule type="cellIs" dxfId="1" priority="1107" operator="greaterThan">
      <formula>120</formula>
    </cfRule>
    <cfRule type="containsText" dxfId="2" priority="31" operator="between" text="库存为">
      <formula>NOT(ISERROR(SEARCH("库存为",AU1051)))</formula>
    </cfRule>
  </conditionalFormatting>
  <conditionalFormatting sqref="AU1052">
    <cfRule type="cellIs" dxfId="0" priority="2182" operator="lessThan">
      <formula>20</formula>
    </cfRule>
    <cfRule type="cellIs" dxfId="1" priority="1106" operator="greaterThan">
      <formula>120</formula>
    </cfRule>
    <cfRule type="containsText" dxfId="2" priority="30" operator="between" text="库存为">
      <formula>NOT(ISERROR(SEARCH("库存为",AU1052)))</formula>
    </cfRule>
  </conditionalFormatting>
  <conditionalFormatting sqref="AU1053">
    <cfRule type="cellIs" dxfId="0" priority="2181" operator="lessThan">
      <formula>20</formula>
    </cfRule>
    <cfRule type="cellIs" dxfId="1" priority="1105" operator="greaterThan">
      <formula>120</formula>
    </cfRule>
    <cfRule type="containsText" dxfId="2" priority="29" operator="between" text="库存为">
      <formula>NOT(ISERROR(SEARCH("库存为",AU1053)))</formula>
    </cfRule>
  </conditionalFormatting>
  <conditionalFormatting sqref="AU1054">
    <cfRule type="cellIs" dxfId="0" priority="2180" operator="lessThan">
      <formula>20</formula>
    </cfRule>
    <cfRule type="cellIs" dxfId="1" priority="1104" operator="greaterThan">
      <formula>120</formula>
    </cfRule>
    <cfRule type="containsText" dxfId="2" priority="28" operator="between" text="库存为">
      <formula>NOT(ISERROR(SEARCH("库存为",AU1054)))</formula>
    </cfRule>
  </conditionalFormatting>
  <conditionalFormatting sqref="AU1055">
    <cfRule type="cellIs" dxfId="0" priority="2179" operator="lessThan">
      <formula>20</formula>
    </cfRule>
    <cfRule type="cellIs" dxfId="1" priority="1103" operator="greaterThan">
      <formula>120</formula>
    </cfRule>
    <cfRule type="containsText" dxfId="2" priority="27" operator="between" text="库存为">
      <formula>NOT(ISERROR(SEARCH("库存为",AU1055)))</formula>
    </cfRule>
  </conditionalFormatting>
  <conditionalFormatting sqref="AU1056">
    <cfRule type="cellIs" dxfId="0" priority="2178" operator="lessThan">
      <formula>20</formula>
    </cfRule>
    <cfRule type="cellIs" dxfId="1" priority="1102" operator="greaterThan">
      <formula>120</formula>
    </cfRule>
    <cfRule type="containsText" dxfId="2" priority="26" operator="between" text="库存为">
      <formula>NOT(ISERROR(SEARCH("库存为",AU1056)))</formula>
    </cfRule>
  </conditionalFormatting>
  <conditionalFormatting sqref="AU1057">
    <cfRule type="cellIs" dxfId="0" priority="2177" operator="lessThan">
      <formula>20</formula>
    </cfRule>
    <cfRule type="cellIs" dxfId="1" priority="1101" operator="greaterThan">
      <formula>120</formula>
    </cfRule>
    <cfRule type="containsText" dxfId="2" priority="25" operator="between" text="库存为">
      <formula>NOT(ISERROR(SEARCH("库存为",AU1057)))</formula>
    </cfRule>
  </conditionalFormatting>
  <conditionalFormatting sqref="AU1058">
    <cfRule type="cellIs" dxfId="0" priority="2176" operator="lessThan">
      <formula>20</formula>
    </cfRule>
    <cfRule type="cellIs" dxfId="1" priority="1100" operator="greaterThan">
      <formula>120</formula>
    </cfRule>
    <cfRule type="containsText" dxfId="2" priority="24" operator="between" text="库存为">
      <formula>NOT(ISERROR(SEARCH("库存为",AU1058)))</formula>
    </cfRule>
  </conditionalFormatting>
  <conditionalFormatting sqref="AU1059">
    <cfRule type="cellIs" dxfId="0" priority="2175" operator="lessThan">
      <formula>20</formula>
    </cfRule>
    <cfRule type="cellIs" dxfId="1" priority="1099" operator="greaterThan">
      <formula>120</formula>
    </cfRule>
    <cfRule type="containsText" dxfId="2" priority="23" operator="between" text="库存为">
      <formula>NOT(ISERROR(SEARCH("库存为",AU1059)))</formula>
    </cfRule>
  </conditionalFormatting>
  <conditionalFormatting sqref="AU1060">
    <cfRule type="cellIs" dxfId="0" priority="2174" operator="lessThan">
      <formula>20</formula>
    </cfRule>
    <cfRule type="cellIs" dxfId="1" priority="1098" operator="greaterThan">
      <formula>120</formula>
    </cfRule>
    <cfRule type="containsText" dxfId="2" priority="22" operator="between" text="库存为">
      <formula>NOT(ISERROR(SEARCH("库存为",AU1060)))</formula>
    </cfRule>
  </conditionalFormatting>
  <conditionalFormatting sqref="AU1061">
    <cfRule type="cellIs" dxfId="0" priority="2173" operator="lessThan">
      <formula>20</formula>
    </cfRule>
    <cfRule type="cellIs" dxfId="1" priority="1097" operator="greaterThan">
      <formula>120</formula>
    </cfRule>
    <cfRule type="containsText" dxfId="2" priority="21" operator="between" text="库存为">
      <formula>NOT(ISERROR(SEARCH("库存为",AU1061)))</formula>
    </cfRule>
  </conditionalFormatting>
  <conditionalFormatting sqref="AU1062">
    <cfRule type="cellIs" dxfId="0" priority="2172" operator="lessThan">
      <formula>20</formula>
    </cfRule>
    <cfRule type="cellIs" dxfId="1" priority="1096" operator="greaterThan">
      <formula>120</formula>
    </cfRule>
    <cfRule type="containsText" dxfId="2" priority="20" operator="between" text="库存为">
      <formula>NOT(ISERROR(SEARCH("库存为",AU1062)))</formula>
    </cfRule>
  </conditionalFormatting>
  <conditionalFormatting sqref="AU1063">
    <cfRule type="cellIs" dxfId="0" priority="2171" operator="lessThan">
      <formula>20</formula>
    </cfRule>
    <cfRule type="cellIs" dxfId="1" priority="1095" operator="greaterThan">
      <formula>120</formula>
    </cfRule>
    <cfRule type="containsText" dxfId="2" priority="19" operator="between" text="库存为">
      <formula>NOT(ISERROR(SEARCH("库存为",AU1063)))</formula>
    </cfRule>
  </conditionalFormatting>
  <conditionalFormatting sqref="AU1064">
    <cfRule type="cellIs" dxfId="0" priority="2170" operator="lessThan">
      <formula>20</formula>
    </cfRule>
    <cfRule type="cellIs" dxfId="1" priority="1094" operator="greaterThan">
      <formula>120</formula>
    </cfRule>
    <cfRule type="containsText" dxfId="2" priority="18" operator="between" text="库存为">
      <formula>NOT(ISERROR(SEARCH("库存为",AU1064)))</formula>
    </cfRule>
  </conditionalFormatting>
  <conditionalFormatting sqref="AU1065">
    <cfRule type="cellIs" dxfId="0" priority="2169" operator="lessThan">
      <formula>20</formula>
    </cfRule>
    <cfRule type="cellIs" dxfId="1" priority="1093" operator="greaterThan">
      <formula>120</formula>
    </cfRule>
    <cfRule type="containsText" dxfId="2" priority="17" operator="between" text="库存为">
      <formula>NOT(ISERROR(SEARCH("库存为",AU1065)))</formula>
    </cfRule>
  </conditionalFormatting>
  <conditionalFormatting sqref="AU1066">
    <cfRule type="cellIs" dxfId="0" priority="2168" operator="lessThan">
      <formula>20</formula>
    </cfRule>
    <cfRule type="cellIs" dxfId="1" priority="1092" operator="greaterThan">
      <formula>120</formula>
    </cfRule>
    <cfRule type="containsText" dxfId="2" priority="16" operator="between" text="库存为">
      <formula>NOT(ISERROR(SEARCH("库存为",AU1066)))</formula>
    </cfRule>
  </conditionalFormatting>
  <conditionalFormatting sqref="AU1067">
    <cfRule type="cellIs" dxfId="0" priority="2167" operator="lessThan">
      <formula>20</formula>
    </cfRule>
    <cfRule type="cellIs" dxfId="1" priority="1091" operator="greaterThan">
      <formula>120</formula>
    </cfRule>
    <cfRule type="containsText" dxfId="2" priority="15" operator="between" text="库存为">
      <formula>NOT(ISERROR(SEARCH("库存为",AU1067)))</formula>
    </cfRule>
  </conditionalFormatting>
  <conditionalFormatting sqref="AU1068">
    <cfRule type="cellIs" dxfId="0" priority="2166" operator="lessThan">
      <formula>20</formula>
    </cfRule>
    <cfRule type="cellIs" dxfId="1" priority="1090" operator="greaterThan">
      <formula>120</formula>
    </cfRule>
    <cfRule type="containsText" dxfId="2" priority="14" operator="between" text="库存为">
      <formula>NOT(ISERROR(SEARCH("库存为",AU1068)))</formula>
    </cfRule>
  </conditionalFormatting>
  <conditionalFormatting sqref="AU1069">
    <cfRule type="cellIs" dxfId="0" priority="2165" operator="lessThan">
      <formula>20</formula>
    </cfRule>
    <cfRule type="cellIs" dxfId="1" priority="1089" operator="greaterThan">
      <formula>120</formula>
    </cfRule>
    <cfRule type="containsText" dxfId="2" priority="13" operator="between" text="库存为">
      <formula>NOT(ISERROR(SEARCH("库存为",AU1069)))</formula>
    </cfRule>
  </conditionalFormatting>
  <conditionalFormatting sqref="AU1070">
    <cfRule type="cellIs" dxfId="0" priority="2164" operator="lessThan">
      <formula>20</formula>
    </cfRule>
    <cfRule type="cellIs" dxfId="1" priority="1088" operator="greaterThan">
      <formula>120</formula>
    </cfRule>
    <cfRule type="containsText" dxfId="2" priority="12" operator="between" text="库存为">
      <formula>NOT(ISERROR(SEARCH("库存为",AU1070)))</formula>
    </cfRule>
  </conditionalFormatting>
  <conditionalFormatting sqref="AU1071">
    <cfRule type="cellIs" dxfId="0" priority="2163" operator="lessThan">
      <formula>20</formula>
    </cfRule>
    <cfRule type="cellIs" dxfId="1" priority="1087" operator="greaterThan">
      <formula>120</formula>
    </cfRule>
    <cfRule type="containsText" dxfId="2" priority="11" operator="between" text="库存为">
      <formula>NOT(ISERROR(SEARCH("库存为",AU1071)))</formula>
    </cfRule>
  </conditionalFormatting>
  <conditionalFormatting sqref="AU1072">
    <cfRule type="cellIs" dxfId="0" priority="2162" operator="lessThan">
      <formula>20</formula>
    </cfRule>
    <cfRule type="cellIs" dxfId="1" priority="1086" operator="greaterThan">
      <formula>120</formula>
    </cfRule>
    <cfRule type="containsText" dxfId="2" priority="10" operator="between" text="库存为">
      <formula>NOT(ISERROR(SEARCH("库存为",AU1072)))</formula>
    </cfRule>
  </conditionalFormatting>
  <conditionalFormatting sqref="AU1073">
    <cfRule type="cellIs" dxfId="0" priority="2161" operator="lessThan">
      <formula>20</formula>
    </cfRule>
    <cfRule type="cellIs" dxfId="1" priority="1085" operator="greaterThan">
      <formula>120</formula>
    </cfRule>
    <cfRule type="containsText" dxfId="2" priority="9" operator="between" text="库存为">
      <formula>NOT(ISERROR(SEARCH("库存为",AU1073)))</formula>
    </cfRule>
  </conditionalFormatting>
  <conditionalFormatting sqref="AU1074">
    <cfRule type="cellIs" dxfId="0" priority="2160" operator="lessThan">
      <formula>20</formula>
    </cfRule>
    <cfRule type="cellIs" dxfId="1" priority="1084" operator="greaterThan">
      <formula>120</formula>
    </cfRule>
    <cfRule type="containsText" dxfId="2" priority="8" operator="between" text="库存为">
      <formula>NOT(ISERROR(SEARCH("库存为",AU1074)))</formula>
    </cfRule>
  </conditionalFormatting>
  <conditionalFormatting sqref="AU1075">
    <cfRule type="cellIs" dxfId="0" priority="2159" operator="lessThan">
      <formula>20</formula>
    </cfRule>
    <cfRule type="cellIs" dxfId="1" priority="1083" operator="greaterThan">
      <formula>120</formula>
    </cfRule>
    <cfRule type="containsText" dxfId="2" priority="7" operator="between" text="库存为">
      <formula>NOT(ISERROR(SEARCH("库存为",AU1075)))</formula>
    </cfRule>
  </conditionalFormatting>
  <conditionalFormatting sqref="AU1076">
    <cfRule type="cellIs" dxfId="0" priority="2158" operator="lessThan">
      <formula>20</formula>
    </cfRule>
    <cfRule type="cellIs" dxfId="1" priority="1082" operator="greaterThan">
      <formula>120</formula>
    </cfRule>
    <cfRule type="containsText" dxfId="2" priority="6" operator="between" text="库存为">
      <formula>NOT(ISERROR(SEARCH("库存为",AU1076)))</formula>
    </cfRule>
  </conditionalFormatting>
  <conditionalFormatting sqref="AU1077">
    <cfRule type="cellIs" dxfId="0" priority="2157" operator="lessThan">
      <formula>20</formula>
    </cfRule>
    <cfRule type="cellIs" dxfId="1" priority="1081" operator="greaterThan">
      <formula>120</formula>
    </cfRule>
    <cfRule type="containsText" dxfId="2" priority="5" operator="between" text="库存为">
      <formula>NOT(ISERROR(SEARCH("库存为",AU1077)))</formula>
    </cfRule>
  </conditionalFormatting>
  <conditionalFormatting sqref="AU1078">
    <cfRule type="cellIs" dxfId="0" priority="2156" operator="lessThan">
      <formula>20</formula>
    </cfRule>
    <cfRule type="cellIs" dxfId="1" priority="1080" operator="greaterThan">
      <formula>120</formula>
    </cfRule>
    <cfRule type="containsText" dxfId="2" priority="4" operator="between" text="库存为">
      <formula>NOT(ISERROR(SEARCH("库存为",AU1078)))</formula>
    </cfRule>
  </conditionalFormatting>
  <conditionalFormatting sqref="AU1079">
    <cfRule type="cellIs" dxfId="0" priority="2155" operator="lessThan">
      <formula>20</formula>
    </cfRule>
    <cfRule type="cellIs" dxfId="1" priority="1079" operator="greaterThan">
      <formula>120</formula>
    </cfRule>
    <cfRule type="containsText" dxfId="2" priority="3" operator="between" text="库存为">
      <formula>NOT(ISERROR(SEARCH("库存为",AU1079)))</formula>
    </cfRule>
  </conditionalFormatting>
  <conditionalFormatting sqref="AU1080">
    <cfRule type="cellIs" dxfId="0" priority="2154" operator="lessThan">
      <formula>20</formula>
    </cfRule>
    <cfRule type="cellIs" dxfId="1" priority="1078" operator="greaterThan">
      <formula>120</formula>
    </cfRule>
    <cfRule type="containsText" dxfId="2" priority="2" operator="between" text="库存为">
      <formula>NOT(ISERROR(SEARCH("库存为",AU1080)))</formula>
    </cfRule>
  </conditionalFormatting>
  <conditionalFormatting sqref="AU1081">
    <cfRule type="cellIs" dxfId="0" priority="2153" operator="lessThan">
      <formula>20</formula>
    </cfRule>
    <cfRule type="cellIs" dxfId="1" priority="1077" operator="greaterThan">
      <formula>120</formula>
    </cfRule>
    <cfRule type="containsText" dxfId="2" priority="1" operator="between" text="库存为">
      <formula>NOT(ISERROR(SEARCH("库存为",AU1081)))</formula>
    </cfRule>
  </conditionalFormatting>
  <conditionalFormatting sqref="AU1082:AU2813">
    <cfRule type="containsText" dxfId="2" priority="32698" operator="between" text="库存为">
      <formula>NOT(ISERROR(SEARCH("库存为",AU1082)))</formula>
    </cfRule>
    <cfRule type="cellIs" dxfId="1" priority="32699" operator="greaterThan">
      <formula>120</formula>
    </cfRule>
    <cfRule type="cellIs" dxfId="0" priority="3270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14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2433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2434</v>
      </c>
      <c r="AI1" s="10"/>
      <c r="AJ1" s="10"/>
      <c r="AK1" s="10"/>
      <c r="AL1" s="10" t="s">
        <v>2435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43304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2018/8/13-2018/8/19</v>
      </c>
      <c r="C3" s="13" t="str">
        <f>TEXT(时间!$B$8,"yyyy/M/d")&amp;"-"&amp;TEXT(时间!$B$7,"yyyy/M/d")</f>
        <v>2018/8/6-2018/8/12</v>
      </c>
      <c r="D3" s="13" t="str">
        <f>TEXT(时间!$B$10,"yyyy/M/d")&amp;"-"&amp;TEXT(时间!$B$9,"yyyy/M/d")</f>
        <v>2018/7/30-2018/8/5</v>
      </c>
      <c r="E3" s="13" t="str">
        <f>TEXT(时间!$B$12,"yyyy/M/d")&amp;"-"&amp;TEXT(时间!$B$11,"yyyy/M/d")</f>
        <v>2018/7/23-2018/7/29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2436</v>
      </c>
      <c r="C4" s="5" t="s">
        <v>2437</v>
      </c>
      <c r="D4" s="5" t="s">
        <v>2438</v>
      </c>
      <c r="E4" s="5" t="s">
        <v>2439</v>
      </c>
      <c r="F4" s="6" t="s">
        <v>20</v>
      </c>
      <c r="G4" t="s">
        <v>21</v>
      </c>
      <c r="H4" t="s">
        <v>22</v>
      </c>
      <c r="I4" t="s">
        <v>2440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43325</v>
      </c>
      <c r="AE4" s="20">
        <f>时间!$B$7</f>
        <v>43324</v>
      </c>
      <c r="AF4" s="20">
        <f>时间!$B$8</f>
        <v>43318</v>
      </c>
      <c r="AG4" s="20">
        <f>时间!$B$9</f>
        <v>43317</v>
      </c>
      <c r="AH4" s="20">
        <f>时间!$B$6</f>
        <v>43325</v>
      </c>
      <c r="AI4" s="20">
        <f>时间!$B$7</f>
        <v>43324</v>
      </c>
      <c r="AJ4" s="20">
        <f>时间!$B$8</f>
        <v>43318</v>
      </c>
      <c r="AK4" s="20">
        <f>时间!$B$9</f>
        <v>43317</v>
      </c>
      <c r="AL4" s="20">
        <f>时间!$B$6</f>
        <v>43325</v>
      </c>
      <c r="AM4" s="20">
        <f>时间!$B$7</f>
        <v>43324</v>
      </c>
      <c r="AN4" s="20">
        <f>时间!$B$8</f>
        <v>43318</v>
      </c>
      <c r="AO4" s="20">
        <f>时间!$B$9</f>
        <v>43317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2579</v>
      </c>
      <c r="C5" s="16">
        <f t="shared" si="14"/>
        <v>1769</v>
      </c>
      <c r="D5" s="16">
        <f t="shared" si="14"/>
        <v>2014</v>
      </c>
      <c r="E5" s="16">
        <f t="shared" si="14"/>
        <v>1774</v>
      </c>
      <c r="F5" s="17"/>
      <c r="G5" s="4">
        <f t="shared" si="14"/>
        <v>7723</v>
      </c>
      <c r="H5" s="4">
        <f t="shared" si="14"/>
        <v>3628</v>
      </c>
      <c r="I5" s="4">
        <f t="shared" si="14"/>
        <v>622</v>
      </c>
      <c r="J5" s="4">
        <f t="shared" si="14"/>
        <v>778</v>
      </c>
      <c r="K5" s="4">
        <f t="shared" si="14"/>
        <v>12751</v>
      </c>
      <c r="L5" s="4">
        <f t="shared" si="14"/>
        <v>185</v>
      </c>
      <c r="M5" s="4">
        <f t="shared" si="14"/>
        <v>1759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1352.56</v>
      </c>
      <c r="AA5" s="4">
        <f>SUM(AA6:AA9998)</f>
        <v>1327.15</v>
      </c>
      <c r="AB5" s="4">
        <f>SUM(AB6:AB9998)</f>
        <v>1336.61</v>
      </c>
      <c r="AC5" s="4">
        <f>SUM(AC6:AC9998)</f>
        <v>1448.63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8</v>
      </c>
      <c r="AI6">
        <f>SUMIF('库存（子SKU）'!$C:$C,$A6,'库存（子SKU）'!AK:AK)</f>
        <v>11</v>
      </c>
      <c r="AJ6">
        <f>SUMIF('库存（子SKU）'!$C:$C,$A6,'库存（子SKU）'!AL:AL)</f>
        <v>7</v>
      </c>
      <c r="AK6">
        <f>SUMIF('库存（子SKU）'!$C:$C,$A6,'库存（子SKU）'!AM:AM)</f>
        <v>8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2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>
        <f t="shared" si="3"/>
        <v>0</v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16</v>
      </c>
      <c r="AI7">
        <f>SUMIF('库存（子SKU）'!$C:$C,$A7,'库存（子SKU）'!AK:AK)</f>
        <v>19</v>
      </c>
      <c r="AJ7">
        <f>SUMIF('库存（子SKU）'!$C:$C,$A7,'库存（子SKU）'!AL:AL)</f>
        <v>9</v>
      </c>
      <c r="AK7">
        <f>SUMIF('库存（子SKU）'!$C:$C,$A7,'库存（子SKU）'!AM:AM)</f>
        <v>17</v>
      </c>
      <c r="AL7" s="22">
        <f t="shared" si="6"/>
        <v>0</v>
      </c>
      <c r="AM7" s="22">
        <f t="shared" si="7"/>
        <v>0.105263157894737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19</v>
      </c>
      <c r="C9" s="5">
        <f>SUMIF('库存（子SKU）'!$C:$C,$A9,'库存（子SKU）'!E:E)</f>
        <v>5</v>
      </c>
      <c r="D9" s="5">
        <f>SUMIF('库存（子SKU）'!$C:$C,$A9,'库存（子SKU）'!F:F)</f>
        <v>5</v>
      </c>
      <c r="E9" s="5">
        <f>SUMIF('库存（子SKU）'!$C:$C,$A9,'库存（子SKU）'!G:G)</f>
        <v>9</v>
      </c>
      <c r="F9" s="6">
        <v>8.99315789473684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6</v>
      </c>
      <c r="N9">
        <f>SUMIF('库存（子SKU）'!$C:$C,$A9,'库存（子SKU）'!P:P)</f>
        <v>4003</v>
      </c>
      <c r="O9">
        <f>SUMIF('库存（子SKU）'!$C:$C,$A9,'库存（子SKU）'!Q:Q)</f>
        <v>19108</v>
      </c>
      <c r="P9">
        <f>SUMIF('库存（子SKU）'!$C:$C,$A9,'库存（子SKU）'!R:R)</f>
        <v>3925</v>
      </c>
      <c r="Q9">
        <f>SUMIF('库存（子SKU）'!$C:$C,$A9,'库存（子SKU）'!S:S)</f>
        <v>2164</v>
      </c>
      <c r="R9">
        <f>SUMIF('库存（子SKU）'!$C:$C,$A9,'库存（子SKU）'!T:T)</f>
        <v>31</v>
      </c>
      <c r="S9">
        <f>SUMIF('库存（子SKU）'!$C:$C,$A9,'库存（子SKU）'!U:U)</f>
        <v>91</v>
      </c>
      <c r="T9">
        <f>SUMIF('库存（子SKU）'!$C:$C,$A9,'库存（子SKU）'!V:V)</f>
        <v>21</v>
      </c>
      <c r="U9">
        <f>SUMIF('库存（子SKU）'!$C:$C,$A9,'库存（子SKU）'!W:W)</f>
        <v>17</v>
      </c>
      <c r="V9" s="22">
        <f t="shared" si="15"/>
        <v>0.00774419185610792</v>
      </c>
      <c r="W9" s="22">
        <f t="shared" si="16"/>
        <v>0.00476240318191333</v>
      </c>
      <c r="X9" s="22">
        <f t="shared" si="17"/>
        <v>0.00535031847133758</v>
      </c>
      <c r="Y9" s="22">
        <f t="shared" si="18"/>
        <v>0.00785582255083179</v>
      </c>
      <c r="Z9">
        <f>SUMIF('库存（子SKU）'!$C:$C,$A9,'库存（子SKU）'!AB:AB)</f>
        <v>16.64</v>
      </c>
      <c r="AA9">
        <f>SUMIF('库存（子SKU）'!$C:$C,$A9,'库存（子SKU）'!AC:AC)</f>
        <v>36.66</v>
      </c>
      <c r="AB9">
        <f>SUMIF('库存（子SKU）'!$C:$C,$A9,'库存（子SKU）'!AD:AD)</f>
        <v>10.23</v>
      </c>
      <c r="AC9">
        <f>SUMIF('库存（子SKU）'!$C:$C,$A9,'库存（子SKU）'!AE:AE)</f>
        <v>7.2</v>
      </c>
      <c r="AD9" s="22">
        <f t="shared" si="2"/>
        <v>0.0973839761221982</v>
      </c>
      <c r="AE9" s="22">
        <f t="shared" si="3"/>
        <v>0.815286475098028</v>
      </c>
      <c r="AF9" s="22">
        <f t="shared" si="4"/>
        <v>0.227506291332592</v>
      </c>
      <c r="AG9" s="22">
        <f t="shared" si="5"/>
        <v>0.0889565166500849</v>
      </c>
      <c r="AH9">
        <f>SUMIF('库存（子SKU）'!$C:$C,$A9,'库存（子SKU）'!AJ:AJ)</f>
        <v>202</v>
      </c>
      <c r="AI9">
        <f>SUMIF('库存（子SKU）'!$C:$C,$A9,'库存（子SKU）'!AK:AK)</f>
        <v>337</v>
      </c>
      <c r="AJ9">
        <f>SUMIF('库存（子SKU）'!$C:$C,$A9,'库存（子SKU）'!AL:AL)</f>
        <v>174</v>
      </c>
      <c r="AK9">
        <f>SUMIF('库存（子SKU）'!$C:$C,$A9,'库存（子SKU）'!AM:AM)</f>
        <v>382</v>
      </c>
      <c r="AL9" s="22">
        <f t="shared" si="6"/>
        <v>0.0940594059405941</v>
      </c>
      <c r="AM9" s="22">
        <f t="shared" si="7"/>
        <v>0.0148367952522255</v>
      </c>
      <c r="AN9" s="22">
        <f t="shared" si="8"/>
        <v>0.028735632183908</v>
      </c>
      <c r="AO9" s="22">
        <f t="shared" si="9"/>
        <v>0.0235602094240838</v>
      </c>
      <c r="AP9" s="7">
        <f t="shared" si="10"/>
        <v>2.71428571428571</v>
      </c>
      <c r="AQ9" s="7">
        <f t="shared" si="11"/>
        <v>162.857142857143</v>
      </c>
      <c r="AR9" s="7">
        <f t="shared" si="12"/>
        <v>-159.857142857143</v>
      </c>
      <c r="AS9">
        <f t="shared" si="13"/>
        <v>1</v>
      </c>
      <c r="AT9" s="2">
        <f>IFERROR(时间!$B$4+AS9,"上周无销量")</f>
        <v>43333</v>
      </c>
    </row>
    <row r="10" spans="1:46">
      <c r="A10" t="s">
        <v>73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39</v>
      </c>
      <c r="AI10">
        <f>SUMIF('库存（子SKU）'!$C:$C,$A10,'库存（子SKU）'!AK:AK)</f>
        <v>31</v>
      </c>
      <c r="AJ10">
        <f>SUMIF('库存（子SKU）'!$C:$C,$A10,'库存（子SKU）'!AL:AL)</f>
        <v>17</v>
      </c>
      <c r="AK10">
        <f>SUMIF('库存（子SKU）'!$C:$C,$A10,'库存（子SKU）'!AM:AM)</f>
        <v>16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104</v>
      </c>
      <c r="B11" s="5">
        <f>SUMIF('库存（子SKU）'!$C:$C,$A11,'库存（子SKU）'!D:D)</f>
        <v>2</v>
      </c>
      <c r="C11" s="5">
        <f>SUMIF('库存（子SKU）'!$C:$C,$A11,'库存（子SKU）'!E:E)</f>
        <v>1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0</v>
      </c>
      <c r="M11">
        <f>SUMIF('库存（子SKU）'!$C:$C,$A11,'库存（子SKU）'!O:O)</f>
        <v>4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16</v>
      </c>
      <c r="AI11">
        <f>SUMIF('库存（子SKU）'!$C:$C,$A11,'库存（子SKU）'!AK:AK)</f>
        <v>16</v>
      </c>
      <c r="AJ11">
        <f>SUMIF('库存（子SKU）'!$C:$C,$A11,'库存（子SKU）'!AL:AL)</f>
        <v>10</v>
      </c>
      <c r="AK11">
        <f>SUMIF('库存（子SKU）'!$C:$C,$A11,'库存（子SKU）'!AM:AM)</f>
        <v>7</v>
      </c>
      <c r="AL11" s="22">
        <f t="shared" si="6"/>
        <v>0.125</v>
      </c>
      <c r="AM11" s="22">
        <f t="shared" si="7"/>
        <v>0.0625</v>
      </c>
      <c r="AN11" s="22">
        <f t="shared" si="8"/>
        <v>0</v>
      </c>
      <c r="AO11" s="22">
        <f t="shared" si="9"/>
        <v>0</v>
      </c>
      <c r="AP11" s="7">
        <f t="shared" si="10"/>
        <v>0.285714285714286</v>
      </c>
      <c r="AQ11" s="7">
        <f t="shared" si="11"/>
        <v>17.1428571428571</v>
      </c>
      <c r="AR11" s="7">
        <f t="shared" si="12"/>
        <v>-14.1428571428571</v>
      </c>
      <c r="AS11">
        <f t="shared" si="13"/>
        <v>10</v>
      </c>
      <c r="AT11" s="2">
        <f>IFERROR(时间!$B$4+AS11,"上周无销量")</f>
        <v>43342</v>
      </c>
    </row>
    <row r="12" spans="1:46">
      <c r="A12" t="s">
        <v>111</v>
      </c>
      <c r="B12" s="5">
        <f>SUMIF('库存（子SKU）'!$C:$C,$A12,'库存（子SKU）'!D:D)</f>
        <v>8</v>
      </c>
      <c r="C12" s="5">
        <f>SUMIF('库存（子SKU）'!$C:$C,$A12,'库存（子SKU）'!E:E)</f>
        <v>1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>
        <v>1.11111111111111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94</v>
      </c>
      <c r="O12">
        <f>SUMIF('库存（子SKU）'!$C:$C,$A12,'库存（子SKU）'!Q:Q)</f>
        <v>1266</v>
      </c>
      <c r="P12">
        <f>SUMIF('库存（子SKU）'!$C:$C,$A12,'库存（子SKU）'!R:R)</f>
        <v>1080</v>
      </c>
      <c r="Q12">
        <f>SUMIF('库存（子SKU）'!$C:$C,$A12,'库存（子SKU）'!S:S)</f>
        <v>0</v>
      </c>
      <c r="R12">
        <f>SUMIF('库存（子SKU）'!$C:$C,$A12,'库存（子SKU）'!T:T)</f>
        <v>1</v>
      </c>
      <c r="S12">
        <f>SUMIF('库存（子SKU）'!$C:$C,$A12,'库存（子SKU）'!U:U)</f>
        <v>7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>
        <f t="shared" si="15"/>
        <v>0.0106382978723404</v>
      </c>
      <c r="W12" s="22">
        <f t="shared" si="16"/>
        <v>0.00552922590837283</v>
      </c>
      <c r="X12" s="22">
        <f t="shared" si="17"/>
        <v>0</v>
      </c>
      <c r="Y12" s="22" t="str">
        <f t="shared" si="18"/>
        <v/>
      </c>
      <c r="Z12">
        <f>SUMIF('库存（子SKU）'!$C:$C,$A12,'库存（子SKU）'!AB:AB)</f>
        <v>0.46</v>
      </c>
      <c r="AA12">
        <f>SUMIF('库存（子SKU）'!$C:$C,$A12,'库存（子SKU）'!AC:AC)</f>
        <v>4.34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>
        <f t="shared" si="2"/>
        <v>0.0517500000000001</v>
      </c>
      <c r="AE12" s="22">
        <f t="shared" si="3"/>
        <v>3.906</v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24</v>
      </c>
      <c r="AI12">
        <f>SUMIF('库存（子SKU）'!$C:$C,$A12,'库存（子SKU）'!AK:AK)</f>
        <v>31</v>
      </c>
      <c r="AJ12">
        <f>SUMIF('库存（子SKU）'!$C:$C,$A12,'库存（子SKU）'!AL:AL)</f>
        <v>19</v>
      </c>
      <c r="AK12">
        <f>SUMIF('库存（子SKU）'!$C:$C,$A12,'库存（子SKU）'!AM:AM)</f>
        <v>8</v>
      </c>
      <c r="AL12" s="22">
        <f t="shared" si="6"/>
        <v>0.333333333333333</v>
      </c>
      <c r="AM12" s="22">
        <f t="shared" si="7"/>
        <v>0.032258064516129</v>
      </c>
      <c r="AN12" s="22">
        <f t="shared" si="8"/>
        <v>0</v>
      </c>
      <c r="AO12" s="22">
        <f t="shared" si="9"/>
        <v>0</v>
      </c>
      <c r="AP12" s="7">
        <f t="shared" si="10"/>
        <v>1.14285714285714</v>
      </c>
      <c r="AQ12" s="7">
        <f t="shared" si="11"/>
        <v>68.5714285714286</v>
      </c>
      <c r="AR12" s="7">
        <f t="shared" si="12"/>
        <v>-62.5714285714286</v>
      </c>
      <c r="AS12">
        <f t="shared" si="13"/>
        <v>5</v>
      </c>
      <c r="AT12" s="2">
        <f>IFERROR(时间!$B$4+AS12,"上周无销量")</f>
        <v>43337</v>
      </c>
    </row>
    <row r="13" spans="1:46">
      <c r="A13" t="s">
        <v>118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123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0</v>
      </c>
      <c r="F14" s="6">
        <v>18.99</v>
      </c>
      <c r="G14">
        <f>SUMIF('库存（子SKU）'!$C:$C,$A14,'库存（子SKU）'!I:I)</f>
        <v>7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7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>
        <f t="shared" si="4"/>
        <v>0</v>
      </c>
      <c r="AG14" s="22" t="str">
        <f t="shared" si="5"/>
        <v/>
      </c>
      <c r="AH14">
        <f>SUMIF('库存（子SKU）'!$C:$C,$A14,'库存（子SKU）'!AJ:AJ)</f>
        <v>14</v>
      </c>
      <c r="AI14">
        <f>SUMIF('库存（子SKU）'!$C:$C,$A14,'库存（子SKU）'!AK:AK)</f>
        <v>18</v>
      </c>
      <c r="AJ14">
        <f>SUMIF('库存（子SKU）'!$C:$C,$A14,'库存（子SKU）'!AL:AL)</f>
        <v>4</v>
      </c>
      <c r="AK14">
        <f>SUMIF('库存（子SKU）'!$C:$C,$A14,'库存（子SKU）'!AM:AM)</f>
        <v>2</v>
      </c>
      <c r="AL14" s="22">
        <f t="shared" si="6"/>
        <v>0</v>
      </c>
      <c r="AM14" s="22">
        <f t="shared" si="7"/>
        <v>0</v>
      </c>
      <c r="AN14" s="22">
        <f t="shared" si="8"/>
        <v>0.25</v>
      </c>
      <c r="AO14" s="22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7</v>
      </c>
      <c r="AS14" t="str">
        <f t="shared" si="13"/>
        <v>库存为7</v>
      </c>
      <c r="AT14" s="2" t="str">
        <f>IFERROR(时间!$B$4+AS14,"上周无销量")</f>
        <v>上周无销量</v>
      </c>
    </row>
    <row r="15" spans="1:46">
      <c r="A15" t="s">
        <v>128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18</v>
      </c>
      <c r="AI15">
        <f>SUMIF('库存（子SKU）'!$C:$C,$A15,'库存（子SKU）'!AK:AK)</f>
        <v>23</v>
      </c>
      <c r="AJ15">
        <f>SUMIF('库存（子SKU）'!$C:$C,$A15,'库存（子SKU）'!AL:AL)</f>
        <v>0</v>
      </c>
      <c r="AK15">
        <f>SUMIF('库存（子SKU）'!$C:$C,$A15,'库存（子SKU）'!AM:AM)</f>
        <v>4</v>
      </c>
      <c r="AL15" s="22">
        <f t="shared" si="6"/>
        <v>0</v>
      </c>
      <c r="AM15" s="22">
        <f t="shared" si="7"/>
        <v>0</v>
      </c>
      <c r="AN15" s="22" t="str">
        <f t="shared" si="8"/>
        <v/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1</v>
      </c>
      <c r="AS15" t="str">
        <f t="shared" si="13"/>
        <v>库存为1</v>
      </c>
      <c r="AT15" s="2" t="str">
        <f>IFERROR(时间!$B$4+AS15,"上周无销量")</f>
        <v>上周无销量</v>
      </c>
    </row>
    <row r="16" spans="1:46">
      <c r="A16" t="s">
        <v>140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18</v>
      </c>
      <c r="AI16">
        <f>SUMIF('库存（子SKU）'!$C:$C,$A16,'库存（子SKU）'!AK:AK)</f>
        <v>23</v>
      </c>
      <c r="AJ16">
        <f>SUMIF('库存（子SKU）'!$C:$C,$A16,'库存（子SKU）'!AL:AL)</f>
        <v>0</v>
      </c>
      <c r="AK16">
        <f>SUMIF('库存（子SKU）'!$C:$C,$A16,'库存（子SKU）'!AM:AM)</f>
        <v>4</v>
      </c>
      <c r="AL16" s="22">
        <f t="shared" si="6"/>
        <v>0</v>
      </c>
      <c r="AM16" s="22">
        <f t="shared" si="7"/>
        <v>0</v>
      </c>
      <c r="AN16" s="22" t="str">
        <f t="shared" si="8"/>
        <v/>
      </c>
      <c r="AO16" s="22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146</v>
      </c>
      <c r="B17" s="5">
        <f>SUMIF('库存（子SKU）'!$C:$C,$A17,'库存（子SKU）'!D:D)</f>
        <v>57</v>
      </c>
      <c r="C17" s="5">
        <f>SUMIF('库存（子SKU）'!$C:$C,$A17,'库存（子SKU）'!E:E)</f>
        <v>6</v>
      </c>
      <c r="D17" s="5">
        <f>SUMIF('库存（子SKU）'!$C:$C,$A17,'库存（子SKU）'!F:F)</f>
        <v>4</v>
      </c>
      <c r="E17" s="5">
        <f>SUMIF('库存（子SKU）'!$C:$C,$A17,'库存（子SKU）'!G:G)</f>
        <v>1</v>
      </c>
      <c r="F17" s="6">
        <v>1.90985294117647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>
        <f t="shared" si="2"/>
        <v>0</v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10</v>
      </c>
      <c r="AI17">
        <f>SUMIF('库存（子SKU）'!$C:$C,$A17,'库存（子SKU）'!AK:AK)</f>
        <v>57</v>
      </c>
      <c r="AJ17">
        <f>SUMIF('库存（子SKU）'!$C:$C,$A17,'库存（子SKU）'!AL:AL)</f>
        <v>30</v>
      </c>
      <c r="AK17">
        <f>SUMIF('库存（子SKU）'!$C:$C,$A17,'库存（子SKU）'!AM:AM)</f>
        <v>22</v>
      </c>
      <c r="AL17" s="22">
        <f t="shared" si="6"/>
        <v>5.7</v>
      </c>
      <c r="AM17" s="22">
        <f t="shared" si="7"/>
        <v>0.105263157894737</v>
      </c>
      <c r="AN17" s="22">
        <f t="shared" si="8"/>
        <v>0.133333333333333</v>
      </c>
      <c r="AO17" s="22">
        <f t="shared" si="9"/>
        <v>0.0454545454545455</v>
      </c>
      <c r="AP17" s="7">
        <f t="shared" si="10"/>
        <v>8.14285714285714</v>
      </c>
      <c r="AQ17" s="7">
        <f t="shared" si="11"/>
        <v>488.571428571429</v>
      </c>
      <c r="AR17" s="7">
        <f t="shared" si="12"/>
        <v>-488.571428571429</v>
      </c>
      <c r="AS17">
        <f t="shared" si="13"/>
        <v>0</v>
      </c>
      <c r="AT17" s="2">
        <f>IFERROR(时间!$B$4+AS17,"上周无销量")</f>
        <v>43332</v>
      </c>
    </row>
    <row r="18" spans="1:46">
      <c r="A18" t="s">
        <v>150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31</v>
      </c>
      <c r="AJ18">
        <f>SUMIF('库存（子SKU）'!$C:$C,$A18,'库存（子SKU）'!AL:AL)</f>
        <v>13</v>
      </c>
      <c r="AK18">
        <f>SUMIF('库存（子SKU）'!$C:$C,$A18,'库存（子SKU）'!AM:AM)</f>
        <v>29</v>
      </c>
      <c r="AL18" s="22" t="str">
        <f t="shared" si="6"/>
        <v/>
      </c>
      <c r="AM18" s="22">
        <f t="shared" si="7"/>
        <v>0</v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169</v>
      </c>
      <c r="B19" s="5">
        <f>SUMIF('库存（子SKU）'!$C:$C,$A19,'库存（子SKU）'!D:D)</f>
        <v>0</v>
      </c>
      <c r="C19" s="5">
        <f>SUMIF('库存（子SKU）'!$C:$C,$A19,'库存（子SKU）'!E:E)</f>
        <v>1</v>
      </c>
      <c r="D19" s="5">
        <f>SUMIF('库存（子SKU）'!$C:$C,$A19,'库存（子SKU）'!F:F)</f>
        <v>1</v>
      </c>
      <c r="E19" s="5">
        <f>SUMIF('库存（子SKU）'!$C:$C,$A19,'库存（子SKU）'!G:G)</f>
        <v>2</v>
      </c>
      <c r="F19" s="6">
        <v>20.4875</v>
      </c>
      <c r="G19">
        <f>SUMIF('库存（子SKU）'!$C:$C,$A19,'库存（子SKU）'!I:I)</f>
        <v>95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95</v>
      </c>
      <c r="L19">
        <f>SUMIF('库存（子SKU）'!$C:$C,$A19,'库存（子SKU）'!N:N)</f>
        <v>0</v>
      </c>
      <c r="M19">
        <f>SUMIF('库存（子SKU）'!$C:$C,$A19,'库存（子SKU）'!O:O)</f>
        <v>94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98</v>
      </c>
      <c r="AI19">
        <f>SUMIF('库存（子SKU）'!$C:$C,$A19,'库存（子SKU）'!AK:AK)</f>
        <v>84</v>
      </c>
      <c r="AJ19">
        <f>SUMIF('库存（子SKU）'!$C:$C,$A19,'库存（子SKU）'!AL:AL)</f>
        <v>59</v>
      </c>
      <c r="AK19">
        <f>SUMIF('库存（子SKU）'!$C:$C,$A19,'库存（子SKU）'!AM:AM)</f>
        <v>46</v>
      </c>
      <c r="AL19" s="22">
        <f t="shared" si="6"/>
        <v>0</v>
      </c>
      <c r="AM19" s="22">
        <f t="shared" si="7"/>
        <v>0.0119047619047619</v>
      </c>
      <c r="AN19" s="22">
        <f t="shared" si="8"/>
        <v>0.0169491525423729</v>
      </c>
      <c r="AO19" s="22">
        <f t="shared" si="9"/>
        <v>0.0434782608695652</v>
      </c>
      <c r="AP19" s="7">
        <f t="shared" si="10"/>
        <v>0</v>
      </c>
      <c r="AQ19" s="7">
        <f t="shared" si="11"/>
        <v>0</v>
      </c>
      <c r="AR19" s="7">
        <f t="shared" si="12"/>
        <v>95</v>
      </c>
      <c r="AS19" t="str">
        <f t="shared" si="13"/>
        <v>库存为95</v>
      </c>
      <c r="AT19" s="2" t="str">
        <f>IFERROR(时间!$B$4+AS19,"上周无销量")</f>
        <v>上周无销量</v>
      </c>
    </row>
    <row r="20" spans="1:46">
      <c r="A20" t="s">
        <v>186</v>
      </c>
      <c r="B20" s="5">
        <f>SUMIF('库存（子SKU）'!$C:$C,$A20,'库存（子SKU）'!D:D)</f>
        <v>2</v>
      </c>
      <c r="C20" s="5">
        <f>SUMIF('库存（子SKU）'!$C:$C,$A20,'库存（子SKU）'!E:E)</f>
        <v>1</v>
      </c>
      <c r="D20" s="5">
        <f>SUMIF('库存（子SKU）'!$C:$C,$A20,'库存（子SKU）'!F:F)</f>
        <v>1</v>
      </c>
      <c r="E20" s="5">
        <f>SUMIF('库存（子SKU）'!$C:$C,$A20,'库存（子SKU）'!G:G)</f>
        <v>1</v>
      </c>
      <c r="F20" s="6">
        <v>18.79</v>
      </c>
      <c r="G20">
        <f>SUMIF('库存（子SKU）'!$C:$C,$A20,'库存（子SKU）'!I:I)</f>
        <v>123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0</v>
      </c>
      <c r="K20">
        <f t="shared" si="0"/>
        <v>124</v>
      </c>
      <c r="L20">
        <f>SUMIF('库存（子SKU）'!$C:$C,$A20,'库存（子SKU）'!N:N)</f>
        <v>1</v>
      </c>
      <c r="M20">
        <f>SUMIF('库存（子SKU）'!$C:$C,$A20,'库存（子SKU）'!O:O)</f>
        <v>105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232</v>
      </c>
      <c r="AI20">
        <f>SUMIF('库存（子SKU）'!$C:$C,$A20,'库存（子SKU）'!AK:AK)</f>
        <v>136</v>
      </c>
      <c r="AJ20">
        <f>SUMIF('库存（子SKU）'!$C:$C,$A20,'库存（子SKU）'!AL:AL)</f>
        <v>112</v>
      </c>
      <c r="AK20">
        <f>SUMIF('库存（子SKU）'!$C:$C,$A20,'库存（子SKU）'!AM:AM)</f>
        <v>100</v>
      </c>
      <c r="AL20" s="22">
        <f t="shared" si="6"/>
        <v>0.00862068965517241</v>
      </c>
      <c r="AM20" s="22">
        <f t="shared" si="7"/>
        <v>0.00735294117647059</v>
      </c>
      <c r="AN20" s="22">
        <f t="shared" si="8"/>
        <v>0.00892857142857143</v>
      </c>
      <c r="AO20" s="22">
        <f t="shared" si="9"/>
        <v>0.01</v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106.857142857143</v>
      </c>
      <c r="AS20">
        <f t="shared" si="13"/>
        <v>434</v>
      </c>
      <c r="AT20" s="2">
        <f>IFERROR(时间!$B$4+AS20,"上周无销量")</f>
        <v>43766</v>
      </c>
    </row>
    <row r="21" spans="1:46">
      <c r="A21" t="s">
        <v>203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238</v>
      </c>
      <c r="O21">
        <f>SUMIF('库存（子SKU）'!$C:$C,$A21,'库存（子SKU）'!Q:Q)</f>
        <v>98</v>
      </c>
      <c r="P21">
        <f>SUMIF('库存（子SKU）'!$C:$C,$A21,'库存（子SKU）'!R:R)</f>
        <v>117</v>
      </c>
      <c r="Q21">
        <f>SUMIF('库存（子SKU）'!$C:$C,$A21,'库存（子SKU）'!S:S)</f>
        <v>144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1</v>
      </c>
      <c r="V21" s="22">
        <f t="shared" si="15"/>
        <v>0</v>
      </c>
      <c r="W21" s="22">
        <f t="shared" si="16"/>
        <v>0</v>
      </c>
      <c r="X21" s="22">
        <f t="shared" si="17"/>
        <v>0</v>
      </c>
      <c r="Y21" s="22">
        <f t="shared" si="18"/>
        <v>0.00694444444444444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0.45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>无销量广告费为0.45</v>
      </c>
      <c r="AH21">
        <f>SUMIF('库存（子SKU）'!$C:$C,$A21,'库存（子SKU）'!AJ:AJ)</f>
        <v>11</v>
      </c>
      <c r="AI21">
        <f>SUMIF('库存（子SKU）'!$C:$C,$A21,'库存（子SKU）'!AK:AK)</f>
        <v>16</v>
      </c>
      <c r="AJ21">
        <f>SUMIF('库存（子SKU）'!$C:$C,$A21,'库存（子SKU）'!AL:AL)</f>
        <v>5</v>
      </c>
      <c r="AK21">
        <f>SUMIF('库存（子SKU）'!$C:$C,$A21,'库存（子SKU）'!AM:AM)</f>
        <v>7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211</v>
      </c>
      <c r="B22" s="5">
        <f>SUMIF('库存（子SKU）'!$C:$C,$A22,'库存（子SKU）'!D:D)</f>
        <v>3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71</v>
      </c>
      <c r="AJ22">
        <f>SUMIF('库存（子SKU）'!$C:$C,$A22,'库存（子SKU）'!AL:AL)</f>
        <v>27</v>
      </c>
      <c r="AK22">
        <f>SUMIF('库存（子SKU）'!$C:$C,$A22,'库存（子SKU）'!AM:AM)</f>
        <v>63</v>
      </c>
      <c r="AL22" s="22" t="str">
        <f t="shared" si="6"/>
        <v/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0.428571428571429</v>
      </c>
      <c r="AQ22" s="7">
        <f t="shared" si="11"/>
        <v>25.7142857142857</v>
      </c>
      <c r="AR22" s="7">
        <f t="shared" si="12"/>
        <v>-25.7142857142857</v>
      </c>
      <c r="AS22">
        <f t="shared" si="13"/>
        <v>0</v>
      </c>
      <c r="AT22" s="2">
        <f>IFERROR(时间!$B$4+AS22,"上周无销量")</f>
        <v>43332</v>
      </c>
    </row>
    <row r="23" spans="1:46">
      <c r="A23" t="s">
        <v>258</v>
      </c>
      <c r="B23" s="5">
        <f>SUMIF('库存（子SKU）'!$C:$C,$A23,'库存（子SKU）'!D:D)</f>
        <v>81</v>
      </c>
      <c r="C23" s="5">
        <f>SUMIF('库存（子SKU）'!$C:$C,$A23,'库存（子SKU）'!E:E)</f>
        <v>0</v>
      </c>
      <c r="D23" s="5">
        <f>SUMIF('库存（子SKU）'!$C:$C,$A23,'库存（子SKU）'!F:F)</f>
        <v>1</v>
      </c>
      <c r="E23" s="5">
        <f>SUMIF('库存（子SKU）'!$C:$C,$A23,'库存（子SKU）'!G:G)</f>
        <v>1</v>
      </c>
      <c r="F23" s="6">
        <v>0.216626506024096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 t="str">
        <f t="shared" si="3"/>
        <v/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2</v>
      </c>
      <c r="AI23">
        <f>SUMIF('库存（子SKU）'!$C:$C,$A23,'库存（子SKU）'!AK:AK)</f>
        <v>0</v>
      </c>
      <c r="AJ23">
        <f>SUMIF('库存（子SKU）'!$C:$C,$A23,'库存（子SKU）'!AL:AL)</f>
        <v>2</v>
      </c>
      <c r="AK23">
        <f>SUMIF('库存（子SKU）'!$C:$C,$A23,'库存（子SKU）'!AM:AM)</f>
        <v>5</v>
      </c>
      <c r="AL23" s="22">
        <f t="shared" si="6"/>
        <v>40.5</v>
      </c>
      <c r="AM23" s="22" t="str">
        <f t="shared" si="7"/>
        <v/>
      </c>
      <c r="AN23" s="22">
        <f t="shared" si="8"/>
        <v>0.5</v>
      </c>
      <c r="AO23" s="22">
        <f t="shared" si="9"/>
        <v>0.2</v>
      </c>
      <c r="AP23" s="7">
        <f t="shared" si="10"/>
        <v>11.5714285714286</v>
      </c>
      <c r="AQ23" s="7">
        <f t="shared" si="11"/>
        <v>694.285714285714</v>
      </c>
      <c r="AR23" s="7">
        <f t="shared" si="12"/>
        <v>-694.285714285714</v>
      </c>
      <c r="AS23">
        <f t="shared" si="13"/>
        <v>0</v>
      </c>
      <c r="AT23" s="2">
        <f>IFERROR(时间!$B$4+AS23,"上周无销量")</f>
        <v>43332</v>
      </c>
    </row>
    <row r="24" spans="1:46">
      <c r="A24" t="s">
        <v>262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271</v>
      </c>
      <c r="B25" s="5">
        <f>SUMIF('库存（子SKU）'!$C:$C,$A25,'库存（子SKU）'!D:D)</f>
        <v>19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0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3</v>
      </c>
      <c r="AI25">
        <f>SUMIF('库存（子SKU）'!$C:$C,$A25,'库存（子SKU）'!AK:AK)</f>
        <v>8</v>
      </c>
      <c r="AJ25">
        <f>SUMIF('库存（子SKU）'!$C:$C,$A25,'库存（子SKU）'!AL:AL)</f>
        <v>9</v>
      </c>
      <c r="AK25">
        <f>SUMIF('库存（子SKU）'!$C:$C,$A25,'库存（子SKU）'!AM:AM)</f>
        <v>11</v>
      </c>
      <c r="AL25" s="22">
        <f t="shared" si="6"/>
        <v>6.33333333333333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2.71428571428571</v>
      </c>
      <c r="AQ25" s="7">
        <f t="shared" si="11"/>
        <v>162.857142857143</v>
      </c>
      <c r="AR25" s="7">
        <f t="shared" si="12"/>
        <v>-162.857142857143</v>
      </c>
      <c r="AS25">
        <f t="shared" si="13"/>
        <v>0</v>
      </c>
      <c r="AT25" s="2">
        <f>IFERROR(时间!$B$4+AS25,"上周无销量")</f>
        <v>43332</v>
      </c>
    </row>
    <row r="26" spans="1:46">
      <c r="A26" t="s">
        <v>280</v>
      </c>
      <c r="B26" s="5">
        <f>SUMIF('库存（子SKU）'!$C:$C,$A26,'库存（子SKU）'!D:D)</f>
        <v>0</v>
      </c>
      <c r="C26" s="5">
        <f>SUMIF('库存（子SKU）'!$C:$C,$A26,'库存（子SKU）'!E:E)</f>
        <v>4</v>
      </c>
      <c r="D26" s="5">
        <f>SUMIF('库存（子SKU）'!$C:$C,$A26,'库存（子SKU）'!F:F)</f>
        <v>0</v>
      </c>
      <c r="E26" s="5">
        <f>SUMIF('库存（子SKU）'!$C:$C,$A26,'库存（子SKU）'!G:G)</f>
        <v>6</v>
      </c>
      <c r="F26" s="6">
        <v>22.03</v>
      </c>
      <c r="G26">
        <f>SUMIF('库存（子SKU）'!$C:$C,$A26,'库存（子SKU）'!I:I)</f>
        <v>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8</v>
      </c>
      <c r="L26">
        <f>SUMIF('库存（子SKU）'!$C:$C,$A26,'库存（子SKU）'!N:N)</f>
        <v>0</v>
      </c>
      <c r="M26">
        <f>SUMIF('库存（子SKU）'!$C:$C,$A26,'库存（子SKU）'!O:O)</f>
        <v>8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8684</v>
      </c>
      <c r="Q26">
        <f>SUMIF('库存（子SKU）'!$C:$C,$A26,'库存（子SKU）'!S:S)</f>
        <v>6443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49</v>
      </c>
      <c r="U26">
        <f>SUMIF('库存（子SKU）'!$C:$C,$A26,'库存（子SKU）'!W:W)</f>
        <v>24</v>
      </c>
      <c r="V26" s="22" t="str">
        <f t="shared" si="15"/>
        <v/>
      </c>
      <c r="W26" s="22" t="str">
        <f t="shared" si="16"/>
        <v/>
      </c>
      <c r="X26" s="22">
        <f t="shared" si="17"/>
        <v>0.00564256103178259</v>
      </c>
      <c r="Y26" s="22">
        <f t="shared" si="18"/>
        <v>0.00372497283873972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34.07</v>
      </c>
      <c r="AC26">
        <f>SUMIF('库存（子SKU）'!$C:$C,$A26,'库存（子SKU）'!AE:AE)</f>
        <v>15.09</v>
      </c>
      <c r="AD26" s="22" t="str">
        <f t="shared" si="2"/>
        <v/>
      </c>
      <c r="AE26" s="22">
        <f t="shared" si="3"/>
        <v>0</v>
      </c>
      <c r="AF26" s="22" t="str">
        <f t="shared" si="4"/>
        <v>无销量广告费为34.07</v>
      </c>
      <c r="AG26" s="22">
        <f t="shared" si="5"/>
        <v>0.114162505674081</v>
      </c>
      <c r="AH26">
        <f>SUMIF('库存（子SKU）'!$C:$C,$A26,'库存（子SKU）'!AJ:AJ)</f>
        <v>60</v>
      </c>
      <c r="AI26">
        <f>SUMIF('库存（子SKU）'!$C:$C,$A26,'库存（子SKU）'!AK:AK)</f>
        <v>81</v>
      </c>
      <c r="AJ26">
        <f>SUMIF('库存（子SKU）'!$C:$C,$A26,'库存（子SKU）'!AL:AL)</f>
        <v>78</v>
      </c>
      <c r="AK26">
        <f>SUMIF('库存（子SKU）'!$C:$C,$A26,'库存（子SKU）'!AM:AM)</f>
        <v>66</v>
      </c>
      <c r="AL26" s="22">
        <f t="shared" si="6"/>
        <v>0</v>
      </c>
      <c r="AM26" s="22">
        <f t="shared" si="7"/>
        <v>0.0493827160493827</v>
      </c>
      <c r="AN26" s="22">
        <f t="shared" si="8"/>
        <v>0</v>
      </c>
      <c r="AO26" s="22">
        <f t="shared" si="9"/>
        <v>0.0909090909090909</v>
      </c>
      <c r="AP26" s="7">
        <f t="shared" si="10"/>
        <v>0</v>
      </c>
      <c r="AQ26" s="7">
        <f t="shared" si="11"/>
        <v>0</v>
      </c>
      <c r="AR26" s="7">
        <f t="shared" si="12"/>
        <v>8</v>
      </c>
      <c r="AS26" t="str">
        <f t="shared" si="13"/>
        <v>库存为8</v>
      </c>
      <c r="AT26" s="2" t="str">
        <f>IFERROR(时间!$B$4+AS26,"上周无销量")</f>
        <v>上周无销量</v>
      </c>
    </row>
    <row r="27" spans="1:46">
      <c r="A27" t="s">
        <v>291</v>
      </c>
      <c r="B27" s="5">
        <f>SUMIF('库存（子SKU）'!$C:$C,$A27,'库存（子SKU）'!D:D)</f>
        <v>9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>
        <v>0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6</v>
      </c>
      <c r="AJ27">
        <f>SUMIF('库存（子SKU）'!$C:$C,$A27,'库存（子SKU）'!AL:AL)</f>
        <v>1</v>
      </c>
      <c r="AK27">
        <f>SUMIF('库存（子SKU）'!$C:$C,$A27,'库存（子SKU）'!AM:AM)</f>
        <v>3</v>
      </c>
      <c r="AL27" s="22" t="str">
        <f t="shared" si="6"/>
        <v/>
      </c>
      <c r="AM27" s="22">
        <f t="shared" si="7"/>
        <v>0</v>
      </c>
      <c r="AN27" s="22">
        <f t="shared" si="8"/>
        <v>0</v>
      </c>
      <c r="AO27" s="22">
        <f t="shared" si="9"/>
        <v>0</v>
      </c>
      <c r="AP27" s="7">
        <f t="shared" si="10"/>
        <v>1.28571428571429</v>
      </c>
      <c r="AQ27" s="7">
        <f t="shared" si="11"/>
        <v>77.1428571428572</v>
      </c>
      <c r="AR27" s="7">
        <f t="shared" si="12"/>
        <v>-77.1428571428572</v>
      </c>
      <c r="AS27">
        <f t="shared" si="13"/>
        <v>0</v>
      </c>
      <c r="AT27" s="2">
        <f>IFERROR(时间!$B$4+AS27,"上周无销量")</f>
        <v>43332</v>
      </c>
    </row>
    <row r="28" spans="1:46">
      <c r="A28" t="s">
        <v>295</v>
      </c>
      <c r="B28" s="5">
        <f>SUMIF('库存（子SKU）'!$C:$C,$A28,'库存（子SKU）'!D:D)</f>
        <v>13</v>
      </c>
      <c r="C28" s="5">
        <f>SUMIF('库存（子SKU）'!$C:$C,$A28,'库存（子SKU）'!E:E)</f>
        <v>2</v>
      </c>
      <c r="D28" s="5">
        <f>SUMIF('库存（子SKU）'!$C:$C,$A28,'库存（子SKU）'!F:F)</f>
        <v>1</v>
      </c>
      <c r="E28" s="5">
        <f>SUMIF('库存（子SKU）'!$C:$C,$A28,'库存（子SKU）'!G:G)</f>
        <v>3</v>
      </c>
      <c r="F28" s="6">
        <v>5.39947368421053</v>
      </c>
      <c r="G28">
        <f>SUMIF('库存（子SKU）'!$C:$C,$A28,'库存（子SKU）'!I:I)</f>
        <v>30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30</v>
      </c>
      <c r="L28">
        <f>SUMIF('库存（子SKU）'!$C:$C,$A28,'库存（子SKU）'!N:N)</f>
        <v>0</v>
      </c>
      <c r="M28">
        <f>SUMIF('库存（子SKU）'!$C:$C,$A28,'库存（子SKU）'!O:O)</f>
        <v>31</v>
      </c>
      <c r="N28">
        <f>SUMIF('库存（子SKU）'!$C:$C,$A28,'库存（子SKU）'!P:P)</f>
        <v>372</v>
      </c>
      <c r="O28">
        <f>SUMIF('库存（子SKU）'!$C:$C,$A28,'库存（子SKU）'!Q:Q)</f>
        <v>127</v>
      </c>
      <c r="P28">
        <f>SUMIF('库存（子SKU）'!$C:$C,$A28,'库存（子SKU）'!R:R)</f>
        <v>206</v>
      </c>
      <c r="Q28">
        <f>SUMIF('库存（子SKU）'!$C:$C,$A28,'库存（子SKU）'!S:S)</f>
        <v>144</v>
      </c>
      <c r="R28">
        <f>SUMIF('库存（子SKU）'!$C:$C,$A28,'库存（子SKU）'!T:T)</f>
        <v>7</v>
      </c>
      <c r="S28">
        <f>SUMIF('库存（子SKU）'!$C:$C,$A28,'库存（子SKU）'!U:U)</f>
        <v>1</v>
      </c>
      <c r="T28">
        <f>SUMIF('库存（子SKU）'!$C:$C,$A28,'库存（子SKU）'!V:V)</f>
        <v>1</v>
      </c>
      <c r="U28">
        <f>SUMIF('库存（子SKU）'!$C:$C,$A28,'库存（子SKU）'!W:W)</f>
        <v>3</v>
      </c>
      <c r="V28" s="22">
        <f t="shared" si="15"/>
        <v>0.0188172043010753</v>
      </c>
      <c r="W28" s="22">
        <f t="shared" si="16"/>
        <v>0.0078740157480315</v>
      </c>
      <c r="X28" s="22">
        <f t="shared" si="17"/>
        <v>0.00485436893203883</v>
      </c>
      <c r="Y28" s="22">
        <f t="shared" si="18"/>
        <v>0.0208333333333333</v>
      </c>
      <c r="Z28">
        <f>SUMIF('库存（子SKU）'!$C:$C,$A28,'库存（子SKU）'!AB:AB)</f>
        <v>5.44</v>
      </c>
      <c r="AA28">
        <f>SUMIF('库存（子SKU）'!$C:$C,$A28,'库存（子SKU）'!AC:AC)</f>
        <v>0.72</v>
      </c>
      <c r="AB28">
        <f>SUMIF('库存（子SKU）'!$C:$C,$A28,'库存（子SKU）'!AD:AD)</f>
        <v>0.78</v>
      </c>
      <c r="AC28">
        <f>SUMIF('库存（子SKU）'!$C:$C,$A28,'库存（子SKU）'!AE:AE)</f>
        <v>1.49</v>
      </c>
      <c r="AD28" s="22">
        <f t="shared" si="2"/>
        <v>0.0775004311411368</v>
      </c>
      <c r="AE28" s="22">
        <f t="shared" si="3"/>
        <v>0.0666731650258309</v>
      </c>
      <c r="AF28" s="22">
        <f t="shared" si="4"/>
        <v>0.144458524222634</v>
      </c>
      <c r="AG28" s="22">
        <f t="shared" si="5"/>
        <v>0.0919842739708223</v>
      </c>
      <c r="AH28">
        <f>SUMIF('库存（子SKU）'!$C:$C,$A28,'库存（子SKU）'!AJ:AJ)</f>
        <v>57</v>
      </c>
      <c r="AI28">
        <f>SUMIF('库存（子SKU）'!$C:$C,$A28,'库存（子SKU）'!AK:AK)</f>
        <v>62</v>
      </c>
      <c r="AJ28">
        <f>SUMIF('库存（子SKU）'!$C:$C,$A28,'库存（子SKU）'!AL:AL)</f>
        <v>16</v>
      </c>
      <c r="AK28">
        <f>SUMIF('库存（子SKU）'!$C:$C,$A28,'库存（子SKU）'!AM:AM)</f>
        <v>25</v>
      </c>
      <c r="AL28" s="22">
        <f t="shared" si="6"/>
        <v>0.228070175438596</v>
      </c>
      <c r="AM28" s="22">
        <f t="shared" si="7"/>
        <v>0.032258064516129</v>
      </c>
      <c r="AN28" s="22">
        <f t="shared" si="8"/>
        <v>0.0625</v>
      </c>
      <c r="AO28" s="22">
        <f t="shared" si="9"/>
        <v>0.12</v>
      </c>
      <c r="AP28" s="7">
        <f t="shared" si="10"/>
        <v>1.85714285714286</v>
      </c>
      <c r="AQ28" s="7">
        <f t="shared" si="11"/>
        <v>111.428571428571</v>
      </c>
      <c r="AR28" s="7">
        <f t="shared" si="12"/>
        <v>-81.4285714285714</v>
      </c>
      <c r="AS28">
        <f t="shared" si="13"/>
        <v>16</v>
      </c>
      <c r="AT28" s="2">
        <f>IFERROR(时间!$B$4+AS28,"上周无销量")</f>
        <v>43348</v>
      </c>
    </row>
    <row r="29" spans="1:46">
      <c r="A29" t="s">
        <v>311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1</v>
      </c>
      <c r="F29" s="6">
        <v>23.5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>
        <f t="shared" si="5"/>
        <v>0</v>
      </c>
      <c r="AH29">
        <f>SUMIF('库存（子SKU）'!$C:$C,$A29,'库存（子SKU）'!AJ:AJ)</f>
        <v>17</v>
      </c>
      <c r="AI29">
        <f>SUMIF('库存（子SKU）'!$C:$C,$A29,'库存（子SKU）'!AK:AK)</f>
        <v>39</v>
      </c>
      <c r="AJ29">
        <f>SUMIF('库存（子SKU）'!$C:$C,$A29,'库存（子SKU）'!AL:AL)</f>
        <v>15</v>
      </c>
      <c r="AK29">
        <f>SUMIF('库存（子SKU）'!$C:$C,$A29,'库存（子SKU）'!AM:AM)</f>
        <v>22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>
        <f t="shared" si="9"/>
        <v>0.0454545454545455</v>
      </c>
      <c r="AP29" s="7">
        <f t="shared" si="10"/>
        <v>0</v>
      </c>
      <c r="AQ29" s="7">
        <f t="shared" si="11"/>
        <v>0</v>
      </c>
      <c r="AR29" s="7">
        <f t="shared" si="12"/>
        <v>1</v>
      </c>
      <c r="AS29" t="str">
        <f t="shared" si="13"/>
        <v>库存为1</v>
      </c>
      <c r="AT29" s="2" t="str">
        <f>IFERROR(时间!$B$4+AS29,"上周无销量")</f>
        <v>上周无销量</v>
      </c>
    </row>
    <row r="30" spans="1:46">
      <c r="A30" t="s">
        <v>316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1</v>
      </c>
      <c r="F30" s="6">
        <v>37.99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>
        <f t="shared" si="5"/>
        <v>0</v>
      </c>
      <c r="AH30">
        <f>SUMIF('库存（子SKU）'!$C:$C,$A30,'库存（子SKU）'!AJ:AJ)</f>
        <v>1</v>
      </c>
      <c r="AI30">
        <f>SUMIF('库存（子SKU）'!$C:$C,$A30,'库存（子SKU）'!AK:AK)</f>
        <v>13</v>
      </c>
      <c r="AJ30">
        <f>SUMIF('库存（子SKU）'!$C:$C,$A30,'库存（子SKU）'!AL:AL)</f>
        <v>6</v>
      </c>
      <c r="AK30">
        <f>SUMIF('库存（子SKU）'!$C:$C,$A30,'库存（子SKU）'!AM:AM)</f>
        <v>7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0.142857142857143</v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321</v>
      </c>
      <c r="B31" s="5">
        <f>SUMIF('库存（子SKU）'!$C:$C,$A31,'库存（子SKU）'!D:D)</f>
        <v>4</v>
      </c>
      <c r="C31" s="5">
        <f>SUMIF('库存（子SKU）'!$C:$C,$A31,'库存（子SKU）'!E:E)</f>
        <v>1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>
        <v>6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97</v>
      </c>
      <c r="O31">
        <f>SUMIF('库存（子SKU）'!$C:$C,$A31,'库存（子SKU）'!Q:Q)</f>
        <v>1387</v>
      </c>
      <c r="P31">
        <f>SUMIF('库存（子SKU）'!$C:$C,$A31,'库存（子SKU）'!R:R)</f>
        <v>1014</v>
      </c>
      <c r="Q31">
        <f>SUMIF('库存（子SKU）'!$C:$C,$A31,'库存（子SKU）'!S:S)</f>
        <v>0</v>
      </c>
      <c r="R31">
        <f>SUMIF('库存（子SKU）'!$C:$C,$A31,'库存（子SKU）'!T:T)</f>
        <v>1</v>
      </c>
      <c r="S31">
        <f>SUMIF('库存（子SKU）'!$C:$C,$A31,'库存（子SKU）'!U:U)</f>
        <v>2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>
        <f t="shared" si="15"/>
        <v>0.0103092783505155</v>
      </c>
      <c r="W31" s="22">
        <f t="shared" si="16"/>
        <v>0.00144196106705119</v>
      </c>
      <c r="X31" s="22">
        <f t="shared" si="17"/>
        <v>0</v>
      </c>
      <c r="Y31" s="22" t="str">
        <f t="shared" si="18"/>
        <v/>
      </c>
      <c r="Z31">
        <f>SUMIF('库存（子SKU）'!$C:$C,$A31,'库存（子SKU）'!AB:AB)</f>
        <v>0.6</v>
      </c>
      <c r="AA31">
        <f>SUMIF('库存（子SKU）'!$C:$C,$A31,'库存（子SKU）'!AC:AC)</f>
        <v>0.73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>
        <f t="shared" si="2"/>
        <v>0.025</v>
      </c>
      <c r="AE31" s="22">
        <f t="shared" si="3"/>
        <v>0.121666666666667</v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7</v>
      </c>
      <c r="AJ31">
        <f>SUMIF('库存（子SKU）'!$C:$C,$A31,'库存（子SKU）'!AL:AL)</f>
        <v>2</v>
      </c>
      <c r="AK31">
        <f>SUMIF('库存（子SKU）'!$C:$C,$A31,'库存（子SKU）'!AM:AM)</f>
        <v>4</v>
      </c>
      <c r="AL31" s="22">
        <f t="shared" si="6"/>
        <v>4</v>
      </c>
      <c r="AM31" s="22">
        <f t="shared" si="7"/>
        <v>0.142857142857143</v>
      </c>
      <c r="AN31" s="22">
        <f t="shared" si="8"/>
        <v>0</v>
      </c>
      <c r="AO31" s="22">
        <f t="shared" si="9"/>
        <v>0</v>
      </c>
      <c r="AP31" s="7">
        <f t="shared" si="10"/>
        <v>0.571428571428571</v>
      </c>
      <c r="AQ31" s="7">
        <f t="shared" si="11"/>
        <v>34.2857142857143</v>
      </c>
      <c r="AR31" s="7">
        <f t="shared" si="12"/>
        <v>-34.2857142857143</v>
      </c>
      <c r="AS31">
        <f t="shared" si="13"/>
        <v>0</v>
      </c>
      <c r="AT31" s="2">
        <f>IFERROR(时间!$B$4+AS31,"上周无销量")</f>
        <v>43332</v>
      </c>
    </row>
    <row r="32" spans="1:46">
      <c r="A32" t="s">
        <v>324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327</v>
      </c>
      <c r="B33" s="5">
        <f>SUMIF('库存（子SKU）'!$C:$C,$A33,'库存（子SKU）'!D:D)</f>
        <v>32</v>
      </c>
      <c r="C33" s="5">
        <f>SUMIF('库存（子SKU）'!$C:$C,$A33,'库存（子SKU）'!E:E)</f>
        <v>10</v>
      </c>
      <c r="D33" s="5">
        <f>SUMIF('库存（子SKU）'!$C:$C,$A33,'库存（子SKU）'!F:F)</f>
        <v>19</v>
      </c>
      <c r="E33" s="5">
        <f>SUMIF('库存（子SKU）'!$C:$C,$A33,'库存（子SKU）'!G:G)</f>
        <v>24</v>
      </c>
      <c r="F33" s="6">
        <v>11.6632941176471</v>
      </c>
      <c r="G33">
        <f>SUMIF('库存（子SKU）'!$C:$C,$A33,'库存（子SKU）'!I:I)</f>
        <v>32</v>
      </c>
      <c r="H33">
        <f>SUMIF('库存（子SKU）'!$C:$C,$A33,'库存（子SKU）'!J:J)</f>
        <v>90</v>
      </c>
      <c r="I33">
        <f>SUMIF('库存（子SKU）'!$C:$C,$A33,'库存（子SKU）'!K:K)</f>
        <v>0</v>
      </c>
      <c r="J33">
        <f>SUMIF('库存（子SKU）'!$C:$C,$A33,'库存（子SKU）'!L:L)</f>
        <v>3</v>
      </c>
      <c r="K33">
        <f t="shared" si="0"/>
        <v>125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9</v>
      </c>
      <c r="O33">
        <f>SUMIF('库存（子SKU）'!$C:$C,$A33,'库存（子SKU）'!Q:Q)</f>
        <v>0</v>
      </c>
      <c r="P33">
        <f>SUMIF('库存（子SKU）'!$C:$C,$A33,'库存（子SKU）'!R:R)</f>
        <v>17</v>
      </c>
      <c r="Q33">
        <f>SUMIF('库存（子SKU）'!$C:$C,$A33,'库存（子SKU）'!S:S)</f>
        <v>6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1</v>
      </c>
      <c r="U33">
        <f>SUMIF('库存（子SKU）'!$C:$C,$A33,'库存（子SKU）'!W:W)</f>
        <v>0</v>
      </c>
      <c r="V33" s="22">
        <f t="shared" si="15"/>
        <v>0</v>
      </c>
      <c r="W33" s="22" t="str">
        <f t="shared" si="16"/>
        <v/>
      </c>
      <c r="X33" s="22">
        <f t="shared" si="17"/>
        <v>0.0588235294117647</v>
      </c>
      <c r="Y33" s="22">
        <f t="shared" si="18"/>
        <v>0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0.26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0.00117327149502394</v>
      </c>
      <c r="AG33" s="22">
        <f t="shared" si="5"/>
        <v>0</v>
      </c>
      <c r="AH33">
        <f>SUMIF('库存（子SKU）'!$C:$C,$A33,'库存（子SKU）'!AJ:AJ)</f>
        <v>137</v>
      </c>
      <c r="AI33">
        <f>SUMIF('库存（子SKU）'!$C:$C,$A33,'库存（子SKU）'!AK:AK)</f>
        <v>98</v>
      </c>
      <c r="AJ33">
        <f>SUMIF('库存（子SKU）'!$C:$C,$A33,'库存（子SKU）'!AL:AL)</f>
        <v>87</v>
      </c>
      <c r="AK33">
        <f>SUMIF('库存（子SKU）'!$C:$C,$A33,'库存（子SKU）'!AM:AM)</f>
        <v>108</v>
      </c>
      <c r="AL33" s="22">
        <f t="shared" si="6"/>
        <v>0.233576642335766</v>
      </c>
      <c r="AM33" s="22">
        <f t="shared" si="7"/>
        <v>0.102040816326531</v>
      </c>
      <c r="AN33" s="22">
        <f t="shared" si="8"/>
        <v>0.218390804597701</v>
      </c>
      <c r="AO33" s="22">
        <f t="shared" si="9"/>
        <v>0.222222222222222</v>
      </c>
      <c r="AP33" s="7">
        <f t="shared" si="10"/>
        <v>4.57142857142857</v>
      </c>
      <c r="AQ33" s="7">
        <f t="shared" si="11"/>
        <v>274.285714285714</v>
      </c>
      <c r="AR33" s="7">
        <f t="shared" si="12"/>
        <v>-149.285714285714</v>
      </c>
      <c r="AS33">
        <f t="shared" si="13"/>
        <v>27</v>
      </c>
      <c r="AT33" s="2">
        <f>IFERROR(时间!$B$4+AS33,"上周无销量")</f>
        <v>43359</v>
      </c>
    </row>
    <row r="34" spans="1:46">
      <c r="A34" t="s">
        <v>340</v>
      </c>
      <c r="B34" s="5">
        <f>SUMIF('库存（子SKU）'!$C:$C,$A34,'库存（子SKU）'!D:D)</f>
        <v>2</v>
      </c>
      <c r="C34" s="5">
        <f>SUMIF('库存（子SKU）'!$C:$C,$A34,'库存（子SKU）'!E:E)</f>
        <v>1</v>
      </c>
      <c r="D34" s="5">
        <f>SUMIF('库存（子SKU）'!$C:$C,$A34,'库存（子SKU）'!F:F)</f>
        <v>1</v>
      </c>
      <c r="E34" s="5">
        <f>SUMIF('库存（子SKU）'!$C:$C,$A34,'库存（子SKU）'!G:G)</f>
        <v>1</v>
      </c>
      <c r="F34" s="6">
        <v>19.188</v>
      </c>
      <c r="G34">
        <f>SUMIF('库存（子SKU）'!$C:$C,$A34,'库存（子SKU）'!I:I)</f>
        <v>19</v>
      </c>
      <c r="H34">
        <f>SUMIF('库存（子SKU）'!$C:$C,$A34,'库存（子SKU）'!J:J)</f>
        <v>20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39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54</v>
      </c>
      <c r="AI34">
        <f>SUMIF('库存（子SKU）'!$C:$C,$A34,'库存（子SKU）'!AK:AK)</f>
        <v>32</v>
      </c>
      <c r="AJ34">
        <f>SUMIF('库存（子SKU）'!$C:$C,$A34,'库存（子SKU）'!AL:AL)</f>
        <v>23</v>
      </c>
      <c r="AK34">
        <f>SUMIF('库存（子SKU）'!$C:$C,$A34,'库存（子SKU）'!AM:AM)</f>
        <v>18</v>
      </c>
      <c r="AL34" s="22">
        <f t="shared" si="6"/>
        <v>0.037037037037037</v>
      </c>
      <c r="AM34" s="22">
        <f t="shared" si="7"/>
        <v>0.03125</v>
      </c>
      <c r="AN34" s="22">
        <f t="shared" si="8"/>
        <v>0.0434782608695652</v>
      </c>
      <c r="AO34" s="22">
        <f t="shared" si="9"/>
        <v>0.0555555555555556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21.8571428571429</v>
      </c>
      <c r="AS34">
        <f t="shared" si="13"/>
        <v>136</v>
      </c>
      <c r="AT34" s="2">
        <f>IFERROR(时间!$B$4+AS34,"上周无销量")</f>
        <v>43468</v>
      </c>
    </row>
    <row r="35" spans="1:46">
      <c r="A35" t="s">
        <v>343</v>
      </c>
      <c r="B35" s="5">
        <f>SUMIF('库存（子SKU）'!$C:$C,$A35,'库存（子SKU）'!D:D)</f>
        <v>27</v>
      </c>
      <c r="C35" s="5">
        <f>SUMIF('库存（子SKU）'!$C:$C,$A35,'库存（子SKU）'!E:E)</f>
        <v>16</v>
      </c>
      <c r="D35" s="5">
        <f>SUMIF('库存（子SKU）'!$C:$C,$A35,'库存（子SKU）'!F:F)</f>
        <v>10</v>
      </c>
      <c r="E35" s="5">
        <f>SUMIF('库存（子SKU）'!$C:$C,$A35,'库存（子SKU）'!G:G)</f>
        <v>30</v>
      </c>
      <c r="F35" s="6">
        <v>10.9810843373494</v>
      </c>
      <c r="G35">
        <f>SUMIF('库存（子SKU）'!$C:$C,$A35,'库存（子SKU）'!I:I)</f>
        <v>66</v>
      </c>
      <c r="H35">
        <f>SUMIF('库存（子SKU）'!$C:$C,$A35,'库存（子SKU）'!J:J)</f>
        <v>45</v>
      </c>
      <c r="I35">
        <f>SUMIF('库存（子SKU）'!$C:$C,$A35,'库存（子SKU）'!K:K)</f>
        <v>0</v>
      </c>
      <c r="J35">
        <f>SUMIF('库存（子SKU）'!$C:$C,$A35,'库存（子SKU）'!L:L)</f>
        <v>1</v>
      </c>
      <c r="K35">
        <f t="shared" si="0"/>
        <v>112</v>
      </c>
      <c r="L35">
        <f>SUMIF('库存（子SKU）'!$C:$C,$A35,'库存（子SKU）'!N:N)</f>
        <v>2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>
        <f t="shared" si="2"/>
        <v>0</v>
      </c>
      <c r="AE35" s="22">
        <f t="shared" si="3"/>
        <v>0</v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42</v>
      </c>
      <c r="AI35">
        <f>SUMIF('库存（子SKU）'!$C:$C,$A35,'库存（子SKU）'!AK:AK)</f>
        <v>68</v>
      </c>
      <c r="AJ35">
        <f>SUMIF('库存（子SKU）'!$C:$C,$A35,'库存（子SKU）'!AL:AL)</f>
        <v>46</v>
      </c>
      <c r="AK35">
        <f>SUMIF('库存（子SKU）'!$C:$C,$A35,'库存（子SKU）'!AM:AM)</f>
        <v>56</v>
      </c>
      <c r="AL35" s="22">
        <f t="shared" si="6"/>
        <v>0.642857142857143</v>
      </c>
      <c r="AM35" s="22">
        <f t="shared" si="7"/>
        <v>0.235294117647059</v>
      </c>
      <c r="AN35" s="22">
        <f t="shared" si="8"/>
        <v>0.217391304347826</v>
      </c>
      <c r="AO35" s="22">
        <f t="shared" si="9"/>
        <v>0.535714285714286</v>
      </c>
      <c r="AP35" s="7">
        <f t="shared" si="10"/>
        <v>3.85714285714286</v>
      </c>
      <c r="AQ35" s="7">
        <f t="shared" si="11"/>
        <v>231.428571428571</v>
      </c>
      <c r="AR35" s="7">
        <f t="shared" si="12"/>
        <v>-119.428571428571</v>
      </c>
      <c r="AS35">
        <f t="shared" si="13"/>
        <v>29</v>
      </c>
      <c r="AT35" s="2">
        <f>IFERROR(时间!$B$4+AS35,"上周无销量")</f>
        <v>43361</v>
      </c>
    </row>
    <row r="36" spans="1:46">
      <c r="A36" t="s">
        <v>358</v>
      </c>
      <c r="B36" s="5">
        <f>SUMIF('库存（子SKU）'!$C:$C,$A36,'库存（子SKU）'!D:D)</f>
        <v>12</v>
      </c>
      <c r="C36" s="5">
        <f>SUMIF('库存（子SKU）'!$C:$C,$A36,'库存（子SKU）'!E:E)</f>
        <v>9</v>
      </c>
      <c r="D36" s="5">
        <f>SUMIF('库存（子SKU）'!$C:$C,$A36,'库存（子SKU）'!F:F)</f>
        <v>6</v>
      </c>
      <c r="E36" s="5">
        <f>SUMIF('库存（子SKU）'!$C:$C,$A36,'库存（子SKU）'!G:G)</f>
        <v>7</v>
      </c>
      <c r="F36" s="6">
        <v>13.1682352941176</v>
      </c>
      <c r="G36">
        <f>SUMIF('库存（子SKU）'!$C:$C,$A36,'库存（子SKU）'!I:I)</f>
        <v>49</v>
      </c>
      <c r="H36">
        <f>SUMIF('库存（子SKU）'!$C:$C,$A36,'库存（子SKU）'!J:J)</f>
        <v>87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136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17289</v>
      </c>
      <c r="O36">
        <f>SUMIF('库存（子SKU）'!$C:$C,$A36,'库存（子SKU）'!Q:Q)</f>
        <v>34791</v>
      </c>
      <c r="P36">
        <f>SUMIF('库存（子SKU）'!$C:$C,$A36,'库存（子SKU）'!R:R)</f>
        <v>20555</v>
      </c>
      <c r="Q36">
        <f>SUMIF('库存（子SKU）'!$C:$C,$A36,'库存（子SKU）'!S:S)</f>
        <v>15682</v>
      </c>
      <c r="R36">
        <f>SUMIF('库存（子SKU）'!$C:$C,$A36,'库存（子SKU）'!T:T)</f>
        <v>64</v>
      </c>
      <c r="S36">
        <f>SUMIF('库存（子SKU）'!$C:$C,$A36,'库存（子SKU）'!U:U)</f>
        <v>71</v>
      </c>
      <c r="T36">
        <f>SUMIF('库存（子SKU）'!$C:$C,$A36,'库存（子SKU）'!V:V)</f>
        <v>52</v>
      </c>
      <c r="U36">
        <f>SUMIF('库存（子SKU）'!$C:$C,$A36,'库存（子SKU）'!W:W)</f>
        <v>57</v>
      </c>
      <c r="V36" s="22">
        <f t="shared" si="15"/>
        <v>0.00370177569552895</v>
      </c>
      <c r="W36" s="22">
        <f t="shared" si="16"/>
        <v>0.00204075766721278</v>
      </c>
      <c r="X36" s="22">
        <f t="shared" si="17"/>
        <v>0.00252979810265142</v>
      </c>
      <c r="Y36" s="22">
        <f t="shared" si="18"/>
        <v>0.0036347404667772</v>
      </c>
      <c r="Z36">
        <f>SUMIF('库存（子SKU）'!$C:$C,$A36,'库存（子SKU）'!AB:AB)</f>
        <v>28.7</v>
      </c>
      <c r="AA36">
        <f>SUMIF('库存（子SKU）'!$C:$C,$A36,'库存（子SKU）'!AC:AC)</f>
        <v>34.61</v>
      </c>
      <c r="AB36">
        <f>SUMIF('库存（子SKU）'!$C:$C,$A36,'库存（子SKU）'!AD:AD)</f>
        <v>22.92</v>
      </c>
      <c r="AC36">
        <f>SUMIF('库存（子SKU）'!$C:$C,$A36,'库存（子SKU）'!AE:AE)</f>
        <v>24.25</v>
      </c>
      <c r="AD36" s="22">
        <f t="shared" si="2"/>
        <v>0.181623931623932</v>
      </c>
      <c r="AE36" s="22">
        <f t="shared" si="3"/>
        <v>0.292032718861988</v>
      </c>
      <c r="AF36" s="22">
        <f t="shared" si="4"/>
        <v>0.29009202179934</v>
      </c>
      <c r="AG36" s="22">
        <f t="shared" si="5"/>
        <v>0.263078965169558</v>
      </c>
      <c r="AH36">
        <f>SUMIF('库存（子SKU）'!$C:$C,$A36,'库存（子SKU）'!AJ:AJ)</f>
        <v>149</v>
      </c>
      <c r="AI36">
        <f>SUMIF('库存（子SKU）'!$C:$C,$A36,'库存（子SKU）'!AK:AK)</f>
        <v>114</v>
      </c>
      <c r="AJ36">
        <f>SUMIF('库存（子SKU）'!$C:$C,$A36,'库存（子SKU）'!AL:AL)</f>
        <v>85</v>
      </c>
      <c r="AK36">
        <f>SUMIF('库存（子SKU）'!$C:$C,$A36,'库存（子SKU）'!AM:AM)</f>
        <v>110</v>
      </c>
      <c r="AL36" s="22">
        <f t="shared" si="6"/>
        <v>0.0805369127516778</v>
      </c>
      <c r="AM36" s="22">
        <f t="shared" si="7"/>
        <v>0.0789473684210526</v>
      </c>
      <c r="AN36" s="22">
        <f t="shared" si="8"/>
        <v>0.0705882352941176</v>
      </c>
      <c r="AO36" s="22">
        <f t="shared" si="9"/>
        <v>0.0636363636363636</v>
      </c>
      <c r="AP36" s="7">
        <f t="shared" si="10"/>
        <v>1.71428571428571</v>
      </c>
      <c r="AQ36" s="7">
        <f t="shared" si="11"/>
        <v>102.857142857143</v>
      </c>
      <c r="AR36" s="7">
        <f t="shared" si="12"/>
        <v>33.1428571428572</v>
      </c>
      <c r="AS36">
        <f t="shared" si="13"/>
        <v>79</v>
      </c>
      <c r="AT36" s="2">
        <f>IFERROR(时间!$B$4+AS36,"上周无销量")</f>
        <v>43411</v>
      </c>
    </row>
    <row r="37" spans="1:46">
      <c r="A37" t="s">
        <v>370</v>
      </c>
      <c r="B37" s="5">
        <f>SUMIF('库存（子SKU）'!$C:$C,$A37,'库存（子SKU）'!D:D)</f>
        <v>14</v>
      </c>
      <c r="C37" s="5">
        <f>SUMIF('库存（子SKU）'!$C:$C,$A37,'库存（子SKU）'!E:E)</f>
        <v>13</v>
      </c>
      <c r="D37" s="5">
        <f>SUMIF('库存（子SKU）'!$C:$C,$A37,'库存（子SKU）'!F:F)</f>
        <v>20</v>
      </c>
      <c r="E37" s="5">
        <f>SUMIF('库存（子SKU）'!$C:$C,$A37,'库存（子SKU）'!G:G)</f>
        <v>22</v>
      </c>
      <c r="F37" s="6">
        <v>15.99</v>
      </c>
      <c r="G37">
        <f>SUMIF('库存（子SKU）'!$C:$C,$A37,'库存（子SKU）'!I:I)</f>
        <v>80</v>
      </c>
      <c r="H37">
        <f>SUMIF('库存（子SKU）'!$C:$C,$A37,'库存（子SKU）'!J:J)</f>
        <v>58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0"/>
        <v>139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162</v>
      </c>
      <c r="O37">
        <f>SUMIF('库存（子SKU）'!$C:$C,$A37,'库存（子SKU）'!Q:Q)</f>
        <v>174</v>
      </c>
      <c r="P37">
        <f>SUMIF('库存（子SKU）'!$C:$C,$A37,'库存（子SKU）'!R:R)</f>
        <v>147</v>
      </c>
      <c r="Q37">
        <f>SUMIF('库存（子SKU）'!$C:$C,$A37,'库存（子SKU）'!S:S)</f>
        <v>139</v>
      </c>
      <c r="R37">
        <f>SUMIF('库存（子SKU）'!$C:$C,$A37,'库存（子SKU）'!T:T)</f>
        <v>1</v>
      </c>
      <c r="S37">
        <f>SUMIF('库存（子SKU）'!$C:$C,$A37,'库存（子SKU）'!U:U)</f>
        <v>0</v>
      </c>
      <c r="T37">
        <f>SUMIF('库存（子SKU）'!$C:$C,$A37,'库存（子SKU）'!V:V)</f>
        <v>6</v>
      </c>
      <c r="U37">
        <f>SUMIF('库存（子SKU）'!$C:$C,$A37,'库存（子SKU）'!W:W)</f>
        <v>4</v>
      </c>
      <c r="V37" s="22">
        <f t="shared" si="15"/>
        <v>0.00617283950617284</v>
      </c>
      <c r="W37" s="22">
        <f t="shared" si="16"/>
        <v>0</v>
      </c>
      <c r="X37" s="22">
        <f t="shared" si="17"/>
        <v>0.0408163265306122</v>
      </c>
      <c r="Y37" s="22">
        <f t="shared" si="18"/>
        <v>0.0287769784172662</v>
      </c>
      <c r="Z37">
        <f>SUMIF('库存（子SKU）'!$C:$C,$A37,'库存（子SKU）'!AB:AB)</f>
        <v>0.15</v>
      </c>
      <c r="AA37">
        <f>SUMIF('库存（子SKU）'!$C:$C,$A37,'库存（子SKU）'!AC:AC)</f>
        <v>0</v>
      </c>
      <c r="AB37">
        <f>SUMIF('库存（子SKU）'!$C:$C,$A37,'库存（子SKU）'!AD:AD)</f>
        <v>0.86</v>
      </c>
      <c r="AC37">
        <f>SUMIF('库存（子SKU）'!$C:$C,$A37,'库存（子SKU）'!AE:AE)</f>
        <v>0.66</v>
      </c>
      <c r="AD37" s="22">
        <f t="shared" si="2"/>
        <v>0.000670061645671402</v>
      </c>
      <c r="AE37" s="22">
        <f t="shared" si="3"/>
        <v>0</v>
      </c>
      <c r="AF37" s="22">
        <f t="shared" si="4"/>
        <v>0.00268918073796123</v>
      </c>
      <c r="AG37" s="22">
        <f t="shared" si="5"/>
        <v>0.00187617260787992</v>
      </c>
      <c r="AH37">
        <f>SUMIF('库存（子SKU）'!$C:$C,$A37,'库存（子SKU）'!AJ:AJ)</f>
        <v>279</v>
      </c>
      <c r="AI37">
        <f>SUMIF('库存（子SKU）'!$C:$C,$A37,'库存（子SKU）'!AK:AK)</f>
        <v>148</v>
      </c>
      <c r="AJ37">
        <f>SUMIF('库存（子SKU）'!$C:$C,$A37,'库存（子SKU）'!AL:AL)</f>
        <v>123</v>
      </c>
      <c r="AK37">
        <f>SUMIF('库存（子SKU）'!$C:$C,$A37,'库存（子SKU）'!AM:AM)</f>
        <v>156</v>
      </c>
      <c r="AL37" s="22">
        <f t="shared" si="6"/>
        <v>0.0501792114695341</v>
      </c>
      <c r="AM37" s="22">
        <f t="shared" si="7"/>
        <v>0.0878378378378378</v>
      </c>
      <c r="AN37" s="22">
        <f t="shared" si="8"/>
        <v>0.16260162601626</v>
      </c>
      <c r="AO37" s="22">
        <f t="shared" si="9"/>
        <v>0.141025641025641</v>
      </c>
      <c r="AP37" s="7">
        <f t="shared" si="10"/>
        <v>2</v>
      </c>
      <c r="AQ37" s="7">
        <f t="shared" si="11"/>
        <v>120</v>
      </c>
      <c r="AR37" s="7">
        <f t="shared" si="12"/>
        <v>19</v>
      </c>
      <c r="AS37">
        <f t="shared" si="13"/>
        <v>69</v>
      </c>
      <c r="AT37" s="2">
        <f>IFERROR(时间!$B$4+AS37,"上周无销量")</f>
        <v>43401</v>
      </c>
    </row>
    <row r="38" spans="1:46">
      <c r="A38" t="s">
        <v>381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 t="str">
        <f t="shared" si="6"/>
        <v/>
      </c>
      <c r="AM38" s="22" t="str">
        <f t="shared" si="7"/>
        <v/>
      </c>
      <c r="AN38" s="22" t="str">
        <f t="shared" si="8"/>
        <v/>
      </c>
      <c r="AO38" s="22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388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393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 t="str">
        <f t="shared" si="6"/>
        <v/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406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 t="str">
        <f t="shared" si="6"/>
        <v/>
      </c>
      <c r="AM41" s="22" t="str">
        <f t="shared" si="7"/>
        <v/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413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422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427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430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437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440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 t="str">
        <f t="shared" si="6"/>
        <v/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445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448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1</v>
      </c>
      <c r="E49" s="5">
        <f>SUMIF('库存（子SKU）'!$C:$C,$A49,'库存（子SKU）'!G:G)</f>
        <v>1</v>
      </c>
      <c r="F49" s="6">
        <v>8.99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134</v>
      </c>
      <c r="O49">
        <f>SUMIF('库存（子SKU）'!$C:$C,$A49,'库存（子SKU）'!Q:Q)</f>
        <v>0</v>
      </c>
      <c r="P49">
        <f>SUMIF('库存（子SKU）'!$C:$C,$A49,'库存（子SKU）'!R:R)</f>
        <v>84</v>
      </c>
      <c r="Q49">
        <f>SUMIF('库存（子SKU）'!$C:$C,$A49,'库存（子SKU）'!S:S)</f>
        <v>148</v>
      </c>
      <c r="R49">
        <f>SUMIF('库存（子SKU）'!$C:$C,$A49,'库存（子SKU）'!T:T)</f>
        <v>1</v>
      </c>
      <c r="S49">
        <f>SUMIF('库存（子SKU）'!$C:$C,$A49,'库存（子SKU）'!U:U)</f>
        <v>0</v>
      </c>
      <c r="T49">
        <f>SUMIF('库存（子SKU）'!$C:$C,$A49,'库存（子SKU）'!V:V)</f>
        <v>1</v>
      </c>
      <c r="U49">
        <f>SUMIF('库存（子SKU）'!$C:$C,$A49,'库存（子SKU）'!W:W)</f>
        <v>3</v>
      </c>
      <c r="V49" s="22">
        <f t="shared" si="15"/>
        <v>0.00746268656716418</v>
      </c>
      <c r="W49" s="22" t="str">
        <f t="shared" si="16"/>
        <v/>
      </c>
      <c r="X49" s="22">
        <f t="shared" si="17"/>
        <v>0.0119047619047619</v>
      </c>
      <c r="Y49" s="22">
        <f t="shared" si="18"/>
        <v>0.0202702702702703</v>
      </c>
      <c r="Z49">
        <f>SUMIF('库存（子SKU）'!$C:$C,$A49,'库存（子SKU）'!AB:AB)</f>
        <v>0.08</v>
      </c>
      <c r="AA49">
        <f>SUMIF('库存（子SKU）'!$C:$C,$A49,'库存（子SKU）'!AC:AC)</f>
        <v>0</v>
      </c>
      <c r="AB49">
        <f>SUMIF('库存（子SKU）'!$C:$C,$A49,'库存（子SKU）'!AD:AD)</f>
        <v>0.14</v>
      </c>
      <c r="AC49">
        <f>SUMIF('库存（子SKU）'!$C:$C,$A49,'库存（子SKU）'!AE:AE)</f>
        <v>0.44</v>
      </c>
      <c r="AD49" s="22" t="str">
        <f t="shared" si="2"/>
        <v>无销量广告费为0.08</v>
      </c>
      <c r="AE49" s="22" t="str">
        <f t="shared" si="3"/>
        <v/>
      </c>
      <c r="AF49" s="22">
        <f t="shared" si="4"/>
        <v>0.0155728587319244</v>
      </c>
      <c r="AG49" s="22">
        <f t="shared" si="5"/>
        <v>0.0489432703003337</v>
      </c>
      <c r="AH49">
        <f>SUMIF('库存（子SKU）'!$C:$C,$A49,'库存（子SKU）'!AJ:AJ)</f>
        <v>6</v>
      </c>
      <c r="AI49">
        <f>SUMIF('库存（子SKU）'!$C:$C,$A49,'库存（子SKU）'!AK:AK)</f>
        <v>0</v>
      </c>
      <c r="AJ49">
        <f>SUMIF('库存（子SKU）'!$C:$C,$A49,'库存（子SKU）'!AL:AL)</f>
        <v>11</v>
      </c>
      <c r="AK49">
        <f>SUMIF('库存（子SKU）'!$C:$C,$A49,'库存（子SKU）'!AM:AM)</f>
        <v>15</v>
      </c>
      <c r="AL49" s="22">
        <f t="shared" si="6"/>
        <v>0</v>
      </c>
      <c r="AM49" s="22" t="str">
        <f t="shared" si="7"/>
        <v/>
      </c>
      <c r="AN49" s="22">
        <f t="shared" si="8"/>
        <v>0.0909090909090909</v>
      </c>
      <c r="AO49" s="22">
        <f t="shared" si="9"/>
        <v>0.0666666666666667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450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2</v>
      </c>
      <c r="AI50">
        <f>SUMIF('库存（子SKU）'!$C:$C,$A50,'库存（子SKU）'!AK:AK)</f>
        <v>6</v>
      </c>
      <c r="AJ50">
        <f>SUMIF('库存（子SKU）'!$C:$C,$A50,'库存（子SKU）'!AL:AL)</f>
        <v>1</v>
      </c>
      <c r="AK50">
        <f>SUMIF('库存（子SKU）'!$C:$C,$A50,'库存（子SKU）'!AM:AM)</f>
        <v>3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454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1</v>
      </c>
      <c r="E51" s="5">
        <f>SUMIF('库存（子SKU）'!$C:$C,$A51,'库存（子SKU）'!G:G)</f>
        <v>0</v>
      </c>
      <c r="F51" s="6">
        <v>17.9</v>
      </c>
      <c r="G51">
        <f>SUMIF('库存（子SKU）'!$C:$C,$A51,'库存（子SKU）'!I:I)</f>
        <v>43</v>
      </c>
      <c r="H51">
        <f>SUMIF('库存（子SKU）'!$C:$C,$A51,'库存（子SKU）'!J:J)</f>
        <v>0</v>
      </c>
      <c r="I51">
        <f>SUMIF('库存（子SKU）'!$C:$C,$A51,'库存（子SKU）'!K:K)</f>
        <v>1</v>
      </c>
      <c r="J51">
        <f>SUMIF('库存（子SKU）'!$C:$C,$A51,'库存（子SKU）'!L:L)</f>
        <v>0</v>
      </c>
      <c r="K51">
        <f t="shared" si="0"/>
        <v>44</v>
      </c>
      <c r="L51">
        <f>SUMIF('库存（子SKU）'!$C:$C,$A51,'库存（子SKU）'!N:N)</f>
        <v>0</v>
      </c>
      <c r="M51">
        <f>SUMIF('库存（子SKU）'!$C:$C,$A51,'库存（子SKU）'!O:O)</f>
        <v>17</v>
      </c>
      <c r="N51">
        <f>SUMIF('库存（子SKU）'!$C:$C,$A51,'库存（子SKU）'!P:P)</f>
        <v>1331</v>
      </c>
      <c r="O51">
        <f>SUMIF('库存（子SKU）'!$C:$C,$A51,'库存（子SKU）'!Q:Q)</f>
        <v>592</v>
      </c>
      <c r="P51">
        <f>SUMIF('库存（子SKU）'!$C:$C,$A51,'库存（子SKU）'!R:R)</f>
        <v>1181</v>
      </c>
      <c r="Q51">
        <f>SUMIF('库存（子SKU）'!$C:$C,$A51,'库存（子SKU）'!S:S)</f>
        <v>1108</v>
      </c>
      <c r="R51">
        <f>SUMIF('库存（子SKU）'!$C:$C,$A51,'库存（子SKU）'!T:T)</f>
        <v>7</v>
      </c>
      <c r="S51">
        <f>SUMIF('库存（子SKU）'!$C:$C,$A51,'库存（子SKU）'!U:U)</f>
        <v>1</v>
      </c>
      <c r="T51">
        <f>SUMIF('库存（子SKU）'!$C:$C,$A51,'库存（子SKU）'!V:V)</f>
        <v>4</v>
      </c>
      <c r="U51">
        <f>SUMIF('库存（子SKU）'!$C:$C,$A51,'库存（子SKU）'!W:W)</f>
        <v>3</v>
      </c>
      <c r="V51" s="22">
        <f t="shared" si="15"/>
        <v>0.00525920360631104</v>
      </c>
      <c r="W51" s="22">
        <f t="shared" si="16"/>
        <v>0.00168918918918919</v>
      </c>
      <c r="X51" s="22">
        <f t="shared" si="17"/>
        <v>0.00338696020321761</v>
      </c>
      <c r="Y51" s="22">
        <f t="shared" si="18"/>
        <v>0.00270758122743682</v>
      </c>
      <c r="Z51">
        <f>SUMIF('库存（子SKU）'!$C:$C,$A51,'库存（子SKU）'!AB:AB)</f>
        <v>4.34</v>
      </c>
      <c r="AA51">
        <f>SUMIF('库存（子SKU）'!$C:$C,$A51,'库存（子SKU）'!AC:AC)</f>
        <v>0.72</v>
      </c>
      <c r="AB51">
        <f>SUMIF('库存（子SKU）'!$C:$C,$A51,'库存（子SKU）'!AD:AD)</f>
        <v>1.75</v>
      </c>
      <c r="AC51">
        <f>SUMIF('库存（子SKU）'!$C:$C,$A51,'库存（子SKU）'!AE:AE)</f>
        <v>1.35</v>
      </c>
      <c r="AD51" s="22" t="str">
        <f t="shared" si="2"/>
        <v>无销量广告费为4.34</v>
      </c>
      <c r="AE51" s="22" t="str">
        <f t="shared" si="3"/>
        <v>无销量广告费为0.72</v>
      </c>
      <c r="AF51" s="22">
        <f t="shared" si="4"/>
        <v>0.0977653631284916</v>
      </c>
      <c r="AG51" s="22" t="str">
        <f t="shared" si="5"/>
        <v>无销量广告费为1.35</v>
      </c>
      <c r="AH51">
        <f>SUMIF('库存（子SKU）'!$C:$C,$A51,'库存（子SKU）'!AJ:AJ)</f>
        <v>53</v>
      </c>
      <c r="AI51">
        <f>SUMIF('库存（子SKU）'!$C:$C,$A51,'库存（子SKU）'!AK:AK)</f>
        <v>40</v>
      </c>
      <c r="AJ51">
        <f>SUMIF('库存（子SKU）'!$C:$C,$A51,'库存（子SKU）'!AL:AL)</f>
        <v>41</v>
      </c>
      <c r="AK51">
        <f>SUMIF('库存（子SKU）'!$C:$C,$A51,'库存（子SKU）'!AM:AM)</f>
        <v>33</v>
      </c>
      <c r="AL51" s="22">
        <f t="shared" si="6"/>
        <v>0</v>
      </c>
      <c r="AM51" s="22">
        <f t="shared" si="7"/>
        <v>0</v>
      </c>
      <c r="AN51" s="22">
        <f t="shared" si="8"/>
        <v>0.024390243902439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44</v>
      </c>
      <c r="AS51" t="str">
        <f t="shared" si="13"/>
        <v>库存为44</v>
      </c>
      <c r="AT51" s="2" t="str">
        <f>IFERROR(时间!$B$4+AS51,"上周无销量")</f>
        <v>上周无销量</v>
      </c>
    </row>
    <row r="52" spans="1:46">
      <c r="A52" t="s">
        <v>481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1</v>
      </c>
      <c r="F52" s="6">
        <v>23.9</v>
      </c>
      <c r="G52">
        <f>SUMIF('库存（子SKU）'!$C:$C,$A52,'库存（子SKU）'!I:I)</f>
        <v>24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24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25</v>
      </c>
      <c r="O52">
        <f>SUMIF('库存（子SKU）'!$C:$C,$A52,'库存（子SKU）'!Q:Q)</f>
        <v>38</v>
      </c>
      <c r="P52">
        <f>SUMIF('库存（子SKU）'!$C:$C,$A52,'库存（子SKU）'!R:R)</f>
        <v>71</v>
      </c>
      <c r="Q52">
        <f>SUMIF('库存（子SKU）'!$C:$C,$A52,'库存（子SKU）'!S:S)</f>
        <v>135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2</v>
      </c>
      <c r="U52">
        <f>SUMIF('库存（子SKU）'!$C:$C,$A52,'库存（子SKU）'!W:W)</f>
        <v>1</v>
      </c>
      <c r="V52" s="22">
        <f t="shared" si="15"/>
        <v>0</v>
      </c>
      <c r="W52" s="22">
        <f t="shared" si="16"/>
        <v>0</v>
      </c>
      <c r="X52" s="22">
        <f t="shared" si="17"/>
        <v>0.028169014084507</v>
      </c>
      <c r="Y52" s="22">
        <f t="shared" si="18"/>
        <v>0.00740740740740741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1.24</v>
      </c>
      <c r="AC52">
        <f>SUMIF('库存（子SKU）'!$C:$C,$A52,'库存（子SKU）'!AE:AE)</f>
        <v>0.41</v>
      </c>
      <c r="AD52" s="22" t="str">
        <f t="shared" si="2"/>
        <v/>
      </c>
      <c r="AE52" s="22" t="str">
        <f t="shared" si="3"/>
        <v/>
      </c>
      <c r="AF52" s="22" t="str">
        <f t="shared" si="4"/>
        <v>无销量广告费为1.24</v>
      </c>
      <c r="AG52" s="22">
        <f t="shared" si="5"/>
        <v>0.0171548117154812</v>
      </c>
      <c r="AH52">
        <f>SUMIF('库存（子SKU）'!$C:$C,$A52,'库存（子SKU）'!AJ:AJ)</f>
        <v>31</v>
      </c>
      <c r="AI52">
        <f>SUMIF('库存（子SKU）'!$C:$C,$A52,'库存（子SKU）'!AK:AK)</f>
        <v>41</v>
      </c>
      <c r="AJ52">
        <f>SUMIF('库存（子SKU）'!$C:$C,$A52,'库存（子SKU）'!AL:AL)</f>
        <v>30</v>
      </c>
      <c r="AK52">
        <f>SUMIF('库存（子SKU）'!$C:$C,$A52,'库存（子SKU）'!AM:AM)</f>
        <v>21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0.0476190476190476</v>
      </c>
      <c r="AP52" s="7">
        <f t="shared" si="10"/>
        <v>0</v>
      </c>
      <c r="AQ52" s="7">
        <f t="shared" si="11"/>
        <v>0</v>
      </c>
      <c r="AR52" s="7">
        <f t="shared" si="12"/>
        <v>24</v>
      </c>
      <c r="AS52" t="str">
        <f t="shared" si="13"/>
        <v>库存为24</v>
      </c>
      <c r="AT52" s="2" t="str">
        <f>IFERROR(时间!$B$4+AS52,"上周无销量")</f>
        <v>上周无销量</v>
      </c>
    </row>
    <row r="53" spans="1:46">
      <c r="A53" t="s">
        <v>502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12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10</v>
      </c>
      <c r="AI53">
        <f>SUMIF('库存（子SKU）'!$C:$C,$A53,'库存（子SKU）'!AK:AK)</f>
        <v>13</v>
      </c>
      <c r="AJ53">
        <f>SUMIF('库存（子SKU）'!$C:$C,$A53,'库存（子SKU）'!AL:AL)</f>
        <v>6</v>
      </c>
      <c r="AK53">
        <f>SUMIF('库存（子SKU）'!$C:$C,$A53,'库存（子SKU）'!AM:AM)</f>
        <v>13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12</v>
      </c>
      <c r="AS53" t="str">
        <f t="shared" si="13"/>
        <v>库存为12</v>
      </c>
      <c r="AT53" s="2" t="str">
        <f>IFERROR(时间!$B$4+AS53,"上周无销量")</f>
        <v>上周无销量</v>
      </c>
    </row>
    <row r="54" spans="1:46">
      <c r="A54" t="s">
        <v>511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 t="str">
        <f t="shared" si="6"/>
        <v/>
      </c>
      <c r="AM54" s="22" t="str">
        <f t="shared" si="7"/>
        <v/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516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6</v>
      </c>
      <c r="AI55">
        <f>SUMIF('库存（子SKU）'!$C:$C,$A55,'库存（子SKU）'!AK:AK)</f>
        <v>4</v>
      </c>
      <c r="AJ55">
        <f>SUMIF('库存（子SKU）'!$C:$C,$A55,'库存（子SKU）'!AL:AL)</f>
        <v>3</v>
      </c>
      <c r="AK55">
        <f>SUMIF('库存（子SKU）'!$C:$C,$A55,'库存（子SKU）'!AM:AM)</f>
        <v>4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</v>
      </c>
      <c r="AS55" t="str">
        <f t="shared" si="13"/>
        <v>库存为1</v>
      </c>
      <c r="AT55" s="2" t="str">
        <f>IFERROR(时间!$B$4+AS55,"上周无销量")</f>
        <v>上周无销量</v>
      </c>
    </row>
    <row r="56" spans="1:46">
      <c r="A56" t="s">
        <v>520</v>
      </c>
      <c r="B56" s="5">
        <f>SUMIF('库存（子SKU）'!$C:$C,$A56,'库存（子SKU）'!D:D)</f>
        <v>4</v>
      </c>
      <c r="C56" s="5">
        <f>SUMIF('库存（子SKU）'!$C:$C,$A56,'库存（子SKU）'!E:E)</f>
        <v>6</v>
      </c>
      <c r="D56" s="5">
        <f>SUMIF('库存（子SKU）'!$C:$C,$A56,'库存（子SKU）'!F:F)</f>
        <v>10</v>
      </c>
      <c r="E56" s="5">
        <f>SUMIF('库存（子SKU）'!$C:$C,$A56,'库存（子SKU）'!G:G)</f>
        <v>0</v>
      </c>
      <c r="F56" s="6">
        <v>9.7475</v>
      </c>
      <c r="G56">
        <f>SUMIF('库存（子SKU）'!$C:$C,$A56,'库存（子SKU）'!I:I)</f>
        <v>40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38</v>
      </c>
      <c r="K56">
        <f t="shared" si="0"/>
        <v>78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</v>
      </c>
      <c r="AE56" s="22">
        <f t="shared" si="3"/>
        <v>0</v>
      </c>
      <c r="AF56" s="22">
        <f t="shared" si="4"/>
        <v>0</v>
      </c>
      <c r="AG56" s="22" t="str">
        <f t="shared" si="5"/>
        <v/>
      </c>
      <c r="AH56">
        <f>SUMIF('库存（子SKU）'!$C:$C,$A56,'库存（子SKU）'!AJ:AJ)</f>
        <v>78</v>
      </c>
      <c r="AI56">
        <f>SUMIF('库存（子SKU）'!$C:$C,$A56,'库存（子SKU）'!AK:AK)</f>
        <v>58</v>
      </c>
      <c r="AJ56">
        <f>SUMIF('库存（子SKU）'!$C:$C,$A56,'库存（子SKU）'!AL:AL)</f>
        <v>30</v>
      </c>
      <c r="AK56">
        <f>SUMIF('库存（子SKU）'!$C:$C,$A56,'库存（子SKU）'!AM:AM)</f>
        <v>37</v>
      </c>
      <c r="AL56" s="22">
        <f t="shared" si="6"/>
        <v>0.0512820512820513</v>
      </c>
      <c r="AM56" s="22">
        <f t="shared" si="7"/>
        <v>0.103448275862069</v>
      </c>
      <c r="AN56" s="22">
        <f t="shared" si="8"/>
        <v>0.333333333333333</v>
      </c>
      <c r="AO56" s="22">
        <f t="shared" si="9"/>
        <v>0</v>
      </c>
      <c r="AP56" s="7">
        <f t="shared" si="10"/>
        <v>0.571428571428571</v>
      </c>
      <c r="AQ56" s="7">
        <f t="shared" si="11"/>
        <v>34.2857142857143</v>
      </c>
      <c r="AR56" s="7">
        <f t="shared" si="12"/>
        <v>43.7142857142857</v>
      </c>
      <c r="AS56">
        <f t="shared" si="13"/>
        <v>136</v>
      </c>
      <c r="AT56" s="2">
        <f>IFERROR(时间!$B$4+AS56,"上周无销量")</f>
        <v>43468</v>
      </c>
    </row>
    <row r="57" spans="1:46">
      <c r="A57" t="s">
        <v>523</v>
      </c>
      <c r="B57" s="5">
        <f>SUMIF('库存（子SKU）'!$C:$C,$A57,'库存（子SKU）'!D:D)</f>
        <v>5</v>
      </c>
      <c r="C57" s="5">
        <f>SUMIF('库存（子SKU）'!$C:$C,$A57,'库存（子SKU）'!E:E)</f>
        <v>0</v>
      </c>
      <c r="D57" s="5">
        <f>SUMIF('库存（子SKU）'!$C:$C,$A57,'库存（子SKU）'!F:F)</f>
        <v>7</v>
      </c>
      <c r="E57" s="5">
        <f>SUMIF('库存（子SKU）'!$C:$C,$A57,'库存（子SKU）'!G:G)</f>
        <v>2</v>
      </c>
      <c r="F57" s="6">
        <v>9.42285714285714</v>
      </c>
      <c r="G57">
        <f>SUMIF('库存（子SKU）'!$C:$C,$A57,'库存（子SKU）'!I:I)</f>
        <v>93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21</v>
      </c>
      <c r="K57">
        <f t="shared" si="0"/>
        <v>114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>
        <f t="shared" si="2"/>
        <v>0</v>
      </c>
      <c r="AE57" s="22" t="str">
        <f t="shared" si="3"/>
        <v/>
      </c>
      <c r="AF57" s="22">
        <f t="shared" si="4"/>
        <v>0</v>
      </c>
      <c r="AG57" s="22">
        <f t="shared" si="5"/>
        <v>0</v>
      </c>
      <c r="AH57">
        <f>SUMIF('库存（子SKU）'!$C:$C,$A57,'库存（子SKU）'!AJ:AJ)</f>
        <v>102</v>
      </c>
      <c r="AI57">
        <f>SUMIF('库存（子SKU）'!$C:$C,$A57,'库存（子SKU）'!AK:AK)</f>
        <v>128</v>
      </c>
      <c r="AJ57">
        <f>SUMIF('库存（子SKU）'!$C:$C,$A57,'库存（子SKU）'!AL:AL)</f>
        <v>83</v>
      </c>
      <c r="AK57">
        <f>SUMIF('库存（子SKU）'!$C:$C,$A57,'库存（子SKU）'!AM:AM)</f>
        <v>47</v>
      </c>
      <c r="AL57" s="22">
        <f t="shared" si="6"/>
        <v>0.0490196078431373</v>
      </c>
      <c r="AM57" s="22">
        <f t="shared" si="7"/>
        <v>0</v>
      </c>
      <c r="AN57" s="22">
        <f t="shared" si="8"/>
        <v>0.0843373493975904</v>
      </c>
      <c r="AO57" s="22">
        <f t="shared" si="9"/>
        <v>0.0425531914893617</v>
      </c>
      <c r="AP57" s="7">
        <f t="shared" si="10"/>
        <v>0.714285714285714</v>
      </c>
      <c r="AQ57" s="7">
        <f t="shared" si="11"/>
        <v>42.8571428571429</v>
      </c>
      <c r="AR57" s="7">
        <f t="shared" si="12"/>
        <v>71.1428571428571</v>
      </c>
      <c r="AS57">
        <f t="shared" si="13"/>
        <v>159</v>
      </c>
      <c r="AT57" s="2">
        <f>IFERROR(时间!$B$4+AS57,"上周无销量")</f>
        <v>43491</v>
      </c>
    </row>
    <row r="58" spans="1:46">
      <c r="A58" t="s">
        <v>532</v>
      </c>
      <c r="B58" s="5">
        <f>SUMIF('库存（子SKU）'!$C:$C,$A58,'库存（子SKU）'!D:D)</f>
        <v>0</v>
      </c>
      <c r="C58" s="5">
        <f>SUMIF('库存（子SKU）'!$C:$C,$A58,'库存（子SKU）'!E:E)</f>
        <v>3</v>
      </c>
      <c r="D58" s="5">
        <f>SUMIF('库存（子SKU）'!$C:$C,$A58,'库存（子SKU）'!F:F)</f>
        <v>1</v>
      </c>
      <c r="E58" s="5">
        <f>SUMIF('库存（子SKU）'!$C:$C,$A58,'库存（子SKU）'!G:G)</f>
        <v>0</v>
      </c>
      <c r="F58" s="6">
        <v>14.99</v>
      </c>
      <c r="G58">
        <f>SUMIF('库存（子SKU）'!$C:$C,$A58,'库存（子SKU）'!I:I)</f>
        <v>6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6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>
        <f t="shared" si="3"/>
        <v>0</v>
      </c>
      <c r="AF58" s="22">
        <f t="shared" si="4"/>
        <v>0</v>
      </c>
      <c r="AG58" s="22" t="str">
        <f t="shared" si="5"/>
        <v/>
      </c>
      <c r="AH58">
        <f>SUMIF('库存（子SKU）'!$C:$C,$A58,'库存（子SKU）'!AJ:AJ)</f>
        <v>25</v>
      </c>
      <c r="AI58">
        <f>SUMIF('库存（子SKU）'!$C:$C,$A58,'库存（子SKU）'!AK:AK)</f>
        <v>25</v>
      </c>
      <c r="AJ58">
        <f>SUMIF('库存（子SKU）'!$C:$C,$A58,'库存（子SKU）'!AL:AL)</f>
        <v>16</v>
      </c>
      <c r="AK58">
        <f>SUMIF('库存（子SKU）'!$C:$C,$A58,'库存（子SKU）'!AM:AM)</f>
        <v>15</v>
      </c>
      <c r="AL58" s="22">
        <f t="shared" si="6"/>
        <v>0</v>
      </c>
      <c r="AM58" s="22">
        <f t="shared" si="7"/>
        <v>0.12</v>
      </c>
      <c r="AN58" s="22">
        <f t="shared" si="8"/>
        <v>0.0625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6</v>
      </c>
      <c r="AS58" t="str">
        <f t="shared" si="13"/>
        <v>库存为6</v>
      </c>
      <c r="AT58" s="2" t="str">
        <f>IFERROR(时间!$B$4+AS58,"上周无销量")</f>
        <v>上周无销量</v>
      </c>
    </row>
    <row r="59" spans="1:46">
      <c r="A59" t="s">
        <v>535</v>
      </c>
      <c r="B59" s="5">
        <f>SUMIF('库存（子SKU）'!$C:$C,$A59,'库存（子SKU）'!D:D)</f>
        <v>2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>
        <v>14.99</v>
      </c>
      <c r="G59">
        <f>SUMIF('库存（子SKU）'!$C:$C,$A59,'库存（子SKU）'!I:I)</f>
        <v>13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13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>
        <f t="shared" si="2"/>
        <v>0</v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104</v>
      </c>
      <c r="AI59">
        <f>SUMIF('库存（子SKU）'!$C:$C,$A59,'库存（子SKU）'!AK:AK)</f>
        <v>53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>
        <f t="shared" si="6"/>
        <v>0.0192307692307692</v>
      </c>
      <c r="AM59" s="22">
        <f t="shared" si="7"/>
        <v>0</v>
      </c>
      <c r="AN59" s="22" t="str">
        <f t="shared" si="8"/>
        <v/>
      </c>
      <c r="AO59" s="22" t="str">
        <f t="shared" si="9"/>
        <v/>
      </c>
      <c r="AP59" s="7">
        <f t="shared" si="10"/>
        <v>0.285714285714286</v>
      </c>
      <c r="AQ59" s="7">
        <f t="shared" si="11"/>
        <v>17.1428571428571</v>
      </c>
      <c r="AR59" s="7">
        <f t="shared" si="12"/>
        <v>-4.14285714285714</v>
      </c>
      <c r="AS59">
        <f t="shared" si="13"/>
        <v>45</v>
      </c>
      <c r="AT59" s="2">
        <f>IFERROR(时间!$B$4+AS59,"上周无销量")</f>
        <v>43377</v>
      </c>
    </row>
    <row r="60" spans="1:46">
      <c r="A60" t="s">
        <v>546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549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558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52</v>
      </c>
      <c r="AI62">
        <f>SUMIF('库存（子SKU）'!$C:$C,$A62,'库存（子SKU）'!AK:AK)</f>
        <v>36</v>
      </c>
      <c r="AJ62">
        <f>SUMIF('库存（子SKU）'!$C:$C,$A62,'库存（子SKU）'!AL:AL)</f>
        <v>39</v>
      </c>
      <c r="AK62">
        <f>SUMIF('库存（子SKU）'!$C:$C,$A62,'库存（子SKU）'!AM:AM)</f>
        <v>0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9</v>
      </c>
      <c r="AS62" t="str">
        <f t="shared" si="13"/>
        <v>库存为9</v>
      </c>
      <c r="AT62" s="2" t="str">
        <f>IFERROR(时间!$B$4+AS62,"上周无销量")</f>
        <v>上周无销量</v>
      </c>
    </row>
    <row r="63" spans="1:46">
      <c r="A63" t="s">
        <v>565</v>
      </c>
      <c r="B63" s="5">
        <f>SUMIF('库存（子SKU）'!$C:$C,$A63,'库存（子SKU）'!D:D)</f>
        <v>7</v>
      </c>
      <c r="C63" s="5">
        <f>SUMIF('库存（子SKU）'!$C:$C,$A63,'库存（子SKU）'!E:E)</f>
        <v>13</v>
      </c>
      <c r="D63" s="5">
        <f>SUMIF('库存（子SKU）'!$C:$C,$A63,'库存（子SKU）'!F:F)</f>
        <v>29</v>
      </c>
      <c r="E63" s="5">
        <f>SUMIF('库存（子SKU）'!$C:$C,$A63,'库存（子SKU）'!G:G)</f>
        <v>6</v>
      </c>
      <c r="F63" s="6">
        <v>16.0990909090909</v>
      </c>
      <c r="G63">
        <f>SUMIF('库存（子SKU）'!$C:$C,$A63,'库存（子SKU）'!I:I)</f>
        <v>16</v>
      </c>
      <c r="H63">
        <f>SUMIF('库存（子SKU）'!$C:$C,$A63,'库存（子SKU）'!J:J)</f>
        <v>50</v>
      </c>
      <c r="I63">
        <f>SUMIF('库存（子SKU）'!$C:$C,$A63,'库存（子SKU）'!K:K)</f>
        <v>0</v>
      </c>
      <c r="J63">
        <f>SUMIF('库存（子SKU）'!$C:$C,$A63,'库存（子SKU）'!L:L)</f>
        <v>51</v>
      </c>
      <c r="K63">
        <f t="shared" si="0"/>
        <v>117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>
        <f t="shared" si="2"/>
        <v>0</v>
      </c>
      <c r="AE63" s="22">
        <f t="shared" si="3"/>
        <v>0</v>
      </c>
      <c r="AF63" s="22">
        <f t="shared" si="4"/>
        <v>0</v>
      </c>
      <c r="AG63" s="22">
        <f t="shared" si="5"/>
        <v>0</v>
      </c>
      <c r="AH63">
        <f>SUMIF('库存（子SKU）'!$C:$C,$A63,'库存（子SKU）'!AJ:AJ)</f>
        <v>194</v>
      </c>
      <c r="AI63">
        <f>SUMIF('库存（子SKU）'!$C:$C,$A63,'库存（子SKU）'!AK:AK)</f>
        <v>171</v>
      </c>
      <c r="AJ63">
        <f>SUMIF('库存（子SKU）'!$C:$C,$A63,'库存（子SKU）'!AL:AL)</f>
        <v>113</v>
      </c>
      <c r="AK63">
        <f>SUMIF('库存（子SKU）'!$C:$C,$A63,'库存（子SKU）'!AM:AM)</f>
        <v>85</v>
      </c>
      <c r="AL63" s="22">
        <f t="shared" si="6"/>
        <v>0.0360824742268041</v>
      </c>
      <c r="AM63" s="22">
        <f t="shared" si="7"/>
        <v>0.0760233918128655</v>
      </c>
      <c r="AN63" s="22">
        <f t="shared" si="8"/>
        <v>0.256637168141593</v>
      </c>
      <c r="AO63" s="22">
        <f t="shared" si="9"/>
        <v>0.0705882352941176</v>
      </c>
      <c r="AP63" s="7">
        <f t="shared" si="10"/>
        <v>1</v>
      </c>
      <c r="AQ63" s="7">
        <f t="shared" si="11"/>
        <v>60</v>
      </c>
      <c r="AR63" s="7">
        <f t="shared" si="12"/>
        <v>57</v>
      </c>
      <c r="AS63">
        <f t="shared" si="13"/>
        <v>117</v>
      </c>
      <c r="AT63" s="2">
        <f>IFERROR(时间!$B$4+AS63,"上周无销量")</f>
        <v>43449</v>
      </c>
    </row>
    <row r="64" spans="1:46">
      <c r="A64" t="s">
        <v>573</v>
      </c>
      <c r="B64" s="5">
        <f>SUMIF('库存（子SKU）'!$C:$C,$A64,'库存（子SKU）'!D:D)</f>
        <v>2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>
        <v>14.99</v>
      </c>
      <c r="G64">
        <f>SUMIF('库存（子SKU）'!$C:$C,$A64,'库存（子SKU）'!I:I)</f>
        <v>22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>
        <f t="shared" si="2"/>
        <v>0</v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52</v>
      </c>
      <c r="AI64">
        <f>SUMIF('库存（子SKU）'!$C:$C,$A64,'库存（子SKU）'!AK:AK)</f>
        <v>42</v>
      </c>
      <c r="AJ64">
        <f>SUMIF('库存（子SKU）'!$C:$C,$A64,'库存（子SKU）'!AL:AL)</f>
        <v>27</v>
      </c>
      <c r="AK64">
        <f>SUMIF('库存（子SKU）'!$C:$C,$A64,'库存（子SKU）'!AM:AM)</f>
        <v>0</v>
      </c>
      <c r="AL64" s="22">
        <f t="shared" si="6"/>
        <v>0.0384615384615385</v>
      </c>
      <c r="AM64" s="22">
        <f t="shared" si="7"/>
        <v>0</v>
      </c>
      <c r="AN64" s="22">
        <f t="shared" si="8"/>
        <v>0</v>
      </c>
      <c r="AO64" s="22" t="str">
        <f t="shared" si="9"/>
        <v/>
      </c>
      <c r="AP64" s="7">
        <f t="shared" si="10"/>
        <v>0.285714285714286</v>
      </c>
      <c r="AQ64" s="7">
        <f t="shared" si="11"/>
        <v>17.1428571428571</v>
      </c>
      <c r="AR64" s="7">
        <f t="shared" si="12"/>
        <v>4.85714285714286</v>
      </c>
      <c r="AS64">
        <f t="shared" si="13"/>
        <v>77</v>
      </c>
      <c r="AT64" s="2">
        <f>IFERROR(时间!$B$4+AS64,"上周无销量")</f>
        <v>43409</v>
      </c>
    </row>
    <row r="65" spans="1:46">
      <c r="A65" t="s">
        <v>580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30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48</v>
      </c>
      <c r="AI65">
        <f>SUMIF('库存（子SKU）'!$C:$C,$A65,'库存（子SKU）'!AK:AK)</f>
        <v>64</v>
      </c>
      <c r="AJ65">
        <f>SUMIF('库存（子SKU）'!$C:$C,$A65,'库存（子SKU）'!AL:AL)</f>
        <v>65</v>
      </c>
      <c r="AK65">
        <f>SUMIF('库存（子SKU）'!$C:$C,$A65,'库存（子SKU）'!AM:AM)</f>
        <v>24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30</v>
      </c>
      <c r="AS65" t="str">
        <f t="shared" si="13"/>
        <v>库存为30</v>
      </c>
      <c r="AT65" s="2" t="str">
        <f>IFERROR(时间!$B$4+AS65,"上周无销量")</f>
        <v>上周无销量</v>
      </c>
    </row>
    <row r="66" spans="1:46">
      <c r="A66" t="s">
        <v>591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12</v>
      </c>
      <c r="AJ66">
        <f>SUMIF('库存（子SKU）'!$C:$C,$A66,'库存（子SKU）'!AL:AL)</f>
        <v>5</v>
      </c>
      <c r="AK66">
        <f>SUMIF('库存（子SKU）'!$C:$C,$A66,'库存（子SKU）'!AM:AM)</f>
        <v>9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0</v>
      </c>
      <c r="AS66" t="str">
        <f t="shared" si="13"/>
        <v>库存为0</v>
      </c>
      <c r="AT66" s="2" t="str">
        <f>IFERROR(时间!$B$4+AS66,"上周无销量")</f>
        <v>上周无销量</v>
      </c>
    </row>
    <row r="67" spans="1:46">
      <c r="A67" t="s">
        <v>600</v>
      </c>
      <c r="B67" s="5">
        <f>SUMIF('库存（子SKU）'!$C:$C,$A67,'库存（子SKU）'!D:D)</f>
        <v>4</v>
      </c>
      <c r="C67" s="5">
        <f>SUMIF('库存（子SKU）'!$C:$C,$A67,'库存（子SKU）'!E:E)</f>
        <v>2</v>
      </c>
      <c r="D67" s="5">
        <f>SUMIF('库存（子SKU）'!$C:$C,$A67,'库存（子SKU）'!F:F)</f>
        <v>2</v>
      </c>
      <c r="E67" s="5">
        <f>SUMIF('库存（子SKU）'!$C:$C,$A67,'库存（子SKU）'!G:G)</f>
        <v>3</v>
      </c>
      <c r="F67" s="6">
        <v>9.9</v>
      </c>
      <c r="G67">
        <f>SUMIF('库存（子SKU）'!$C:$C,$A67,'库存（子SKU）'!I:I)</f>
        <v>5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</v>
      </c>
      <c r="L67">
        <f>SUMIF('库存（子SKU）'!$C:$C,$A67,'库存（子SKU）'!N:N)</f>
        <v>1</v>
      </c>
      <c r="M67">
        <f>SUMIF('库存（子SKU）'!$C:$C,$A67,'库存（子SKU）'!O:O)</f>
        <v>2</v>
      </c>
      <c r="N67">
        <f>SUMIF('库存（子SKU）'!$C:$C,$A67,'库存（子SKU）'!P:P)</f>
        <v>20497</v>
      </c>
      <c r="O67">
        <f>SUMIF('库存（子SKU）'!$C:$C,$A67,'库存（子SKU）'!Q:Q)</f>
        <v>4351</v>
      </c>
      <c r="P67">
        <f>SUMIF('库存（子SKU）'!$C:$C,$A67,'库存（子SKU）'!R:R)</f>
        <v>3208</v>
      </c>
      <c r="Q67">
        <f>SUMIF('库存（子SKU）'!$C:$C,$A67,'库存（子SKU）'!S:S)</f>
        <v>7917</v>
      </c>
      <c r="R67">
        <f>SUMIF('库存（子SKU）'!$C:$C,$A67,'库存（子SKU）'!T:T)</f>
        <v>39</v>
      </c>
      <c r="S67">
        <f>SUMIF('库存（子SKU）'!$C:$C,$A67,'库存（子SKU）'!U:U)</f>
        <v>11</v>
      </c>
      <c r="T67">
        <f>SUMIF('库存（子SKU）'!$C:$C,$A67,'库存（子SKU）'!V:V)</f>
        <v>11</v>
      </c>
      <c r="U67">
        <f>SUMIF('库存（子SKU）'!$C:$C,$A67,'库存（子SKU）'!W:W)</f>
        <v>21</v>
      </c>
      <c r="V67" s="22">
        <f t="shared" si="15"/>
        <v>0.00190271747084939</v>
      </c>
      <c r="W67" s="22">
        <f t="shared" si="16"/>
        <v>0.0025281544472535</v>
      </c>
      <c r="X67" s="22">
        <f t="shared" si="17"/>
        <v>0.003428927680798</v>
      </c>
      <c r="Y67" s="22">
        <f t="shared" si="18"/>
        <v>0.0026525198938992</v>
      </c>
      <c r="Z67">
        <f>SUMIF('库存（子SKU）'!$C:$C,$A67,'库存（子SKU）'!AB:AB)</f>
        <v>16.33</v>
      </c>
      <c r="AA67">
        <f>SUMIF('库存（子SKU）'!$C:$C,$A67,'库存（子SKU）'!AC:AC)</f>
        <v>3.72</v>
      </c>
      <c r="AB67">
        <f>SUMIF('库存（子SKU）'!$C:$C,$A67,'库存（子SKU）'!AD:AD)</f>
        <v>3.74</v>
      </c>
      <c r="AC67">
        <f>SUMIF('库存（子SKU）'!$C:$C,$A67,'库存（子SKU）'!AE:AE)</f>
        <v>6.66</v>
      </c>
      <c r="AD67" s="22">
        <f t="shared" si="2"/>
        <v>0.412373737373737</v>
      </c>
      <c r="AE67" s="22">
        <f t="shared" si="3"/>
        <v>0.187878787878788</v>
      </c>
      <c r="AF67" s="22">
        <f t="shared" si="4"/>
        <v>0.188888888888889</v>
      </c>
      <c r="AG67" s="22">
        <f t="shared" si="5"/>
        <v>0.224242424242424</v>
      </c>
      <c r="AH67">
        <f>SUMIF('库存（子SKU）'!$C:$C,$A67,'库存（子SKU）'!AJ:AJ)</f>
        <v>47</v>
      </c>
      <c r="AI67">
        <f>SUMIF('库存（子SKU）'!$C:$C,$A67,'库存（子SKU）'!AK:AK)</f>
        <v>19</v>
      </c>
      <c r="AJ67">
        <f>SUMIF('库存（子SKU）'!$C:$C,$A67,'库存（子SKU）'!AL:AL)</f>
        <v>2</v>
      </c>
      <c r="AK67">
        <f>SUMIF('库存（子SKU）'!$C:$C,$A67,'库存（子SKU）'!AM:AM)</f>
        <v>12</v>
      </c>
      <c r="AL67" s="22">
        <f t="shared" si="6"/>
        <v>0.0851063829787234</v>
      </c>
      <c r="AM67" s="22">
        <f t="shared" si="7"/>
        <v>0.105263157894737</v>
      </c>
      <c r="AN67" s="22">
        <f t="shared" si="8"/>
        <v>1</v>
      </c>
      <c r="AO67" s="22">
        <f t="shared" si="9"/>
        <v>0.25</v>
      </c>
      <c r="AP67" s="7">
        <f t="shared" si="10"/>
        <v>0.571428571428571</v>
      </c>
      <c r="AQ67" s="7">
        <f t="shared" si="11"/>
        <v>34.2857142857143</v>
      </c>
      <c r="AR67" s="7">
        <f t="shared" si="12"/>
        <v>-29.2857142857143</v>
      </c>
      <c r="AS67">
        <f t="shared" si="13"/>
        <v>8</v>
      </c>
      <c r="AT67" s="2">
        <f>IFERROR(时间!$B$4+AS67,"上周无销量")</f>
        <v>43340</v>
      </c>
    </row>
    <row r="68" spans="1:46">
      <c r="A68" t="s">
        <v>601</v>
      </c>
      <c r="B68" s="5">
        <f>SUMIF('库存（子SKU）'!$C:$C,$A68,'库存（子SKU）'!D:D)</f>
        <v>26</v>
      </c>
      <c r="C68" s="5">
        <f>SUMIF('库存（子SKU）'!$C:$C,$A68,'库存（子SKU）'!E:E)</f>
        <v>1</v>
      </c>
      <c r="D68" s="5">
        <f>SUMIF('库存（子SKU）'!$C:$C,$A68,'库存（子SKU）'!F:F)</f>
        <v>1</v>
      </c>
      <c r="E68" s="5">
        <f>SUMIF('库存（子SKU）'!$C:$C,$A68,'库存（子SKU）'!G:G)</f>
        <v>0</v>
      </c>
      <c r="F68" s="6">
        <v>0.713571428571429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>
        <f t="shared" si="2"/>
        <v>0</v>
      </c>
      <c r="AE68" s="22">
        <f t="shared" si="3"/>
        <v>0</v>
      </c>
      <c r="AF68" s="22">
        <f t="shared" si="4"/>
        <v>0</v>
      </c>
      <c r="AG68" s="22" t="str">
        <f t="shared" si="5"/>
        <v/>
      </c>
      <c r="AH68">
        <f>SUMIF('库存（子SKU）'!$C:$C,$A68,'库存（子SKU）'!AJ:AJ)</f>
        <v>9</v>
      </c>
      <c r="AI68">
        <f>SUMIF('库存（子SKU）'!$C:$C,$A68,'库存（子SKU）'!AK:AK)</f>
        <v>21</v>
      </c>
      <c r="AJ68">
        <f>SUMIF('库存（子SKU）'!$C:$C,$A68,'库存（子SKU）'!AL:AL)</f>
        <v>10</v>
      </c>
      <c r="AK68">
        <f>SUMIF('库存（子SKU）'!$C:$C,$A68,'库存（子SKU）'!AM:AM)</f>
        <v>10</v>
      </c>
      <c r="AL68" s="22">
        <f t="shared" si="6"/>
        <v>2.88888888888889</v>
      </c>
      <c r="AM68" s="22">
        <f t="shared" si="7"/>
        <v>0.0476190476190476</v>
      </c>
      <c r="AN68" s="22">
        <f t="shared" si="8"/>
        <v>0.1</v>
      </c>
      <c r="AO68" s="22">
        <f t="shared" si="9"/>
        <v>0</v>
      </c>
      <c r="AP68" s="7">
        <f t="shared" si="10"/>
        <v>3.71428571428571</v>
      </c>
      <c r="AQ68" s="7">
        <f t="shared" si="11"/>
        <v>222.857142857143</v>
      </c>
      <c r="AR68" s="7">
        <f t="shared" si="12"/>
        <v>-222.857142857143</v>
      </c>
      <c r="AS68">
        <f t="shared" si="13"/>
        <v>0</v>
      </c>
      <c r="AT68" s="2">
        <f>IFERROR(时间!$B$4+AS68,"上周无销量")</f>
        <v>43332</v>
      </c>
    </row>
    <row r="69" spans="1:46">
      <c r="A69" t="s">
        <v>605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32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32</v>
      </c>
      <c r="L69">
        <f>SUMIF('库存（子SKU）'!$C:$C,$A69,'库存（子SKU）'!N:N)</f>
        <v>0</v>
      </c>
      <c r="M69">
        <f>SUMIF('库存（子SKU）'!$C:$C,$A69,'库存（子SKU）'!O:O)</f>
        <v>32</v>
      </c>
      <c r="N69">
        <f>SUMIF('库存（子SKU）'!$C:$C,$A69,'库存（子SKU）'!P:P)</f>
        <v>150</v>
      </c>
      <c r="O69">
        <f>SUMIF('库存（子SKU）'!$C:$C,$A69,'库存（子SKU）'!Q:Q)</f>
        <v>167</v>
      </c>
      <c r="P69">
        <f>SUMIF('库存（子SKU）'!$C:$C,$A69,'库存（子SKU）'!R:R)</f>
        <v>190</v>
      </c>
      <c r="Q69">
        <f>SUMIF('库存（子SKU）'!$C:$C,$A69,'库存（子SKU）'!S:S)</f>
        <v>379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1</v>
      </c>
      <c r="V69" s="22">
        <f t="shared" si="15"/>
        <v>0</v>
      </c>
      <c r="W69" s="22">
        <f t="shared" si="16"/>
        <v>0</v>
      </c>
      <c r="X69" s="22">
        <f t="shared" si="17"/>
        <v>0</v>
      </c>
      <c r="Y69" s="22">
        <f t="shared" si="18"/>
        <v>0.00263852242744063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0.27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>无销量广告费为0.27</v>
      </c>
      <c r="AH69">
        <f>SUMIF('库存（子SKU）'!$C:$C,$A69,'库存（子SKU）'!AJ:AJ)</f>
        <v>6</v>
      </c>
      <c r="AI69">
        <f>SUMIF('库存（子SKU）'!$C:$C,$A69,'库存（子SKU）'!AK:AK)</f>
        <v>6</v>
      </c>
      <c r="AJ69">
        <f>SUMIF('库存（子SKU）'!$C:$C,$A69,'库存（子SKU）'!AL:AL)</f>
        <v>1</v>
      </c>
      <c r="AK69">
        <f>SUMIF('库存（子SKU）'!$C:$C,$A69,'库存（子SKU）'!AM:AM)</f>
        <v>6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32</v>
      </c>
      <c r="AS69" t="str">
        <f t="shared" ref="AS69:AS132" si="31">IF(AP69=0,"库存为"&amp;K69,INT(K69/AP69))</f>
        <v>库存为32</v>
      </c>
      <c r="AT69" s="2" t="str">
        <f>IFERROR(时间!$B$4+AS69,"上周无销量")</f>
        <v>上周无销量</v>
      </c>
    </row>
    <row r="70" spans="1:46">
      <c r="A70" t="s">
        <v>609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612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2" t="str">
        <f t="shared" si="24"/>
        <v/>
      </c>
      <c r="AM71" s="22" t="str">
        <f t="shared" si="25"/>
        <v/>
      </c>
      <c r="AN71" s="22" t="str">
        <f t="shared" si="26"/>
        <v/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1</v>
      </c>
      <c r="AS71" t="str">
        <f t="shared" si="31"/>
        <v>库存为1</v>
      </c>
      <c r="AT71" s="2" t="str">
        <f>IFERROR(时间!$B$4+AS71,"上周无销量")</f>
        <v>上周无销量</v>
      </c>
    </row>
    <row r="72" spans="1:46">
      <c r="A72" t="s">
        <v>615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18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18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6</v>
      </c>
      <c r="AI72">
        <f>SUMIF('库存（子SKU）'!$C:$C,$A72,'库存（子SKU）'!AK:AK)</f>
        <v>7</v>
      </c>
      <c r="AJ72">
        <f>SUMIF('库存（子SKU）'!$C:$C,$A72,'库存（子SKU）'!AL:AL)</f>
        <v>1</v>
      </c>
      <c r="AK72">
        <f>SUMIF('库存（子SKU）'!$C:$C,$A72,'库存（子SKU）'!AM:AM)</f>
        <v>5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18</v>
      </c>
      <c r="AS72" t="str">
        <f t="shared" si="31"/>
        <v>库存为18</v>
      </c>
      <c r="AT72" s="2" t="str">
        <f>IFERROR(时间!$B$4+AS72,"上周无销量")</f>
        <v>上周无销量</v>
      </c>
    </row>
    <row r="73" spans="1:46">
      <c r="A73" t="s">
        <v>618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6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6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8</v>
      </c>
      <c r="AI73">
        <f>SUMIF('库存（子SKU）'!$C:$C,$A73,'库存（子SKU）'!AK:AK)</f>
        <v>7</v>
      </c>
      <c r="AJ73">
        <f>SUMIF('库存（子SKU）'!$C:$C,$A73,'库存（子SKU）'!AL:AL)</f>
        <v>2</v>
      </c>
      <c r="AK73">
        <f>SUMIF('库存（子SKU）'!$C:$C,$A73,'库存（子SKU）'!AM:AM)</f>
        <v>4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6</v>
      </c>
      <c r="AS73" t="str">
        <f t="shared" si="31"/>
        <v>库存为6</v>
      </c>
      <c r="AT73" s="2" t="str">
        <f>IFERROR(时间!$B$4+AS73,"上周无销量")</f>
        <v>上周无销量</v>
      </c>
    </row>
    <row r="74" spans="1:46">
      <c r="A74" t="s">
        <v>625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</v>
      </c>
      <c r="L74">
        <f>SUMIF('库存（子SKU）'!$C:$C,$A74,'库存（子SKU）'!N:N)</f>
        <v>0</v>
      </c>
      <c r="M74">
        <f>SUMIF('库存（子SKU）'!$C:$C,$A74,'库存（子SKU）'!O:O)</f>
        <v>9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10</v>
      </c>
      <c r="AI74">
        <f>SUMIF('库存（子SKU）'!$C:$C,$A74,'库存（子SKU）'!AK:AK)</f>
        <v>6</v>
      </c>
      <c r="AJ74">
        <f>SUMIF('库存（子SKU）'!$C:$C,$A74,'库存（子SKU）'!AL:AL)</f>
        <v>4</v>
      </c>
      <c r="AK74">
        <f>SUMIF('库存（子SKU）'!$C:$C,$A74,'库存（子SKU）'!AM:AM)</f>
        <v>8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</v>
      </c>
      <c r="AS74" t="str">
        <f t="shared" si="31"/>
        <v>库存为9</v>
      </c>
      <c r="AT74" s="2" t="str">
        <f>IFERROR(时间!$B$4+AS74,"上周无销量")</f>
        <v>上周无销量</v>
      </c>
    </row>
    <row r="75" spans="1:46">
      <c r="A75" t="s">
        <v>632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19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19</v>
      </c>
      <c r="L75">
        <f>SUMIF('库存（子SKU）'!$C:$C,$A75,'库存（子SKU）'!N:N)</f>
        <v>0</v>
      </c>
      <c r="M75">
        <f>SUMIF('库存（子SKU）'!$C:$C,$A75,'库存（子SKU）'!O:O)</f>
        <v>19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8</v>
      </c>
      <c r="AI75">
        <f>SUMIF('库存（子SKU）'!$C:$C,$A75,'库存（子SKU）'!AK:AK)</f>
        <v>11</v>
      </c>
      <c r="AJ75">
        <f>SUMIF('库存（子SKU）'!$C:$C,$A75,'库存（子SKU）'!AL:AL)</f>
        <v>2</v>
      </c>
      <c r="AK75">
        <f>SUMIF('库存（子SKU）'!$C:$C,$A75,'库存（子SKU）'!AM:AM)</f>
        <v>8</v>
      </c>
      <c r="AL75" s="22">
        <f t="shared" si="24"/>
        <v>0</v>
      </c>
      <c r="AM75" s="22">
        <f t="shared" si="25"/>
        <v>0</v>
      </c>
      <c r="AN75" s="22">
        <f t="shared" si="26"/>
        <v>0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19</v>
      </c>
      <c r="AS75" t="str">
        <f t="shared" si="31"/>
        <v>库存为19</v>
      </c>
      <c r="AT75" s="2" t="str">
        <f>IFERROR(时间!$B$4+AS75,"上周无销量")</f>
        <v>上周无销量</v>
      </c>
    </row>
    <row r="76" spans="1:46">
      <c r="A76" t="s">
        <v>637</v>
      </c>
      <c r="B76" s="5">
        <f>SUMIF('库存（子SKU）'!$C:$C,$A76,'库存（子SKU）'!D:D)</f>
        <v>7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>
        <v>1.51285714285714</v>
      </c>
      <c r="G76">
        <f>SUMIF('库存（子SKU）'!$C:$C,$A76,'库存（子SKU）'!I:I)</f>
        <v>42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42</v>
      </c>
      <c r="L76">
        <f>SUMIF('库存（子SKU）'!$C:$C,$A76,'库存（子SKU）'!N:N)</f>
        <v>0</v>
      </c>
      <c r="M76">
        <f>SUMIF('库存（子SKU）'!$C:$C,$A76,'库存（子SKU）'!O:O)</f>
        <v>41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>
        <f t="shared" si="20"/>
        <v>0</v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57</v>
      </c>
      <c r="AI76">
        <f>SUMIF('库存（子SKU）'!$C:$C,$A76,'库存（子SKU）'!AK:AK)</f>
        <v>36</v>
      </c>
      <c r="AJ76">
        <f>SUMIF('库存（子SKU）'!$C:$C,$A76,'库存（子SKU）'!AL:AL)</f>
        <v>62</v>
      </c>
      <c r="AK76">
        <f>SUMIF('库存（子SKU）'!$C:$C,$A76,'库存（子SKU）'!AM:AM)</f>
        <v>97</v>
      </c>
      <c r="AL76" s="22">
        <f t="shared" si="24"/>
        <v>0.12280701754386</v>
      </c>
      <c r="AM76" s="22">
        <f t="shared" si="25"/>
        <v>0</v>
      </c>
      <c r="AN76" s="22">
        <f t="shared" si="26"/>
        <v>0</v>
      </c>
      <c r="AO76" s="22">
        <f t="shared" si="27"/>
        <v>0</v>
      </c>
      <c r="AP76" s="7">
        <f t="shared" si="28"/>
        <v>1</v>
      </c>
      <c r="AQ76" s="7">
        <f t="shared" si="29"/>
        <v>60</v>
      </c>
      <c r="AR76" s="7">
        <f t="shared" si="30"/>
        <v>-18</v>
      </c>
      <c r="AS76">
        <f t="shared" si="31"/>
        <v>42</v>
      </c>
      <c r="AT76" s="2">
        <f>IFERROR(时间!$B$4+AS76,"上周无销量")</f>
        <v>43374</v>
      </c>
    </row>
    <row r="77" spans="1:46">
      <c r="A77" t="s">
        <v>688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13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13</v>
      </c>
      <c r="L77">
        <f>SUMIF('库存（子SKU）'!$C:$C,$A77,'库存（子SKU）'!N:N)</f>
        <v>0</v>
      </c>
      <c r="M77">
        <f>SUMIF('库存（子SKU）'!$C:$C,$A77,'库存（子SKU）'!O:O)</f>
        <v>13</v>
      </c>
      <c r="N77">
        <f>SUMIF('库存（子SKU）'!$C:$C,$A77,'库存（子SKU）'!P:P)</f>
        <v>289</v>
      </c>
      <c r="O77">
        <f>SUMIF('库存（子SKU）'!$C:$C,$A77,'库存（子SKU）'!Q:Q)</f>
        <v>679</v>
      </c>
      <c r="P77">
        <f>SUMIF('库存（子SKU）'!$C:$C,$A77,'库存（子SKU）'!R:R)</f>
        <v>452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3</v>
      </c>
      <c r="T77">
        <f>SUMIF('库存（子SKU）'!$C:$C,$A77,'库存（子SKU）'!V:V)</f>
        <v>2</v>
      </c>
      <c r="U77">
        <f>SUMIF('库存（子SKU）'!$C:$C,$A77,'库存（子SKU）'!W:W)</f>
        <v>0</v>
      </c>
      <c r="V77" s="22">
        <f t="shared" si="32"/>
        <v>0</v>
      </c>
      <c r="W77" s="22">
        <f t="shared" si="33"/>
        <v>0.00441826215022091</v>
      </c>
      <c r="X77" s="22">
        <f t="shared" si="34"/>
        <v>0.00442477876106195</v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2.2</v>
      </c>
      <c r="AB77">
        <f>SUMIF('库存（子SKU）'!$C:$C,$A77,'库存（子SKU）'!AD:AD)</f>
        <v>1.18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>无销量广告费为2.2</v>
      </c>
      <c r="AF77" s="22" t="str">
        <f t="shared" si="22"/>
        <v>无销量广告费为1.18</v>
      </c>
      <c r="AG77" s="22" t="str">
        <f t="shared" si="23"/>
        <v/>
      </c>
      <c r="AH77">
        <f>SUMIF('库存（子SKU）'!$C:$C,$A77,'库存（子SKU）'!AJ:AJ)</f>
        <v>7</v>
      </c>
      <c r="AI77">
        <f>SUMIF('库存（子SKU）'!$C:$C,$A77,'库存（子SKU）'!AK:AK)</f>
        <v>7</v>
      </c>
      <c r="AJ77">
        <f>SUMIF('库存（子SKU）'!$C:$C,$A77,'库存（子SKU）'!AL:AL)</f>
        <v>1</v>
      </c>
      <c r="AK77">
        <f>SUMIF('库存（子SKU）'!$C:$C,$A77,'库存（子SKU）'!AM:AM)</f>
        <v>0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 t="str">
        <f t="shared" si="27"/>
        <v/>
      </c>
      <c r="AP77" s="7">
        <f t="shared" si="28"/>
        <v>0</v>
      </c>
      <c r="AQ77" s="7">
        <f t="shared" si="29"/>
        <v>0</v>
      </c>
      <c r="AR77" s="7">
        <f t="shared" si="30"/>
        <v>13</v>
      </c>
      <c r="AS77" t="str">
        <f t="shared" si="31"/>
        <v>库存为13</v>
      </c>
      <c r="AT77" s="2" t="str">
        <f>IFERROR(时间!$B$4+AS77,"上周无销量")</f>
        <v>上周无销量</v>
      </c>
    </row>
    <row r="78" spans="1:46">
      <c r="A78" t="s">
        <v>694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3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9</v>
      </c>
      <c r="AI78">
        <f>SUMIF('库存（子SKU）'!$C:$C,$A78,'库存（子SKU）'!AK:AK)</f>
        <v>9</v>
      </c>
      <c r="AJ78">
        <f>SUMIF('库存（子SKU）'!$C:$C,$A78,'库存（子SKU）'!AL:AL)</f>
        <v>2</v>
      </c>
      <c r="AK78">
        <f>SUMIF('库存（子SKU）'!$C:$C,$A78,'库存（子SKU）'!AM:AM)</f>
        <v>0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 t="str">
        <f t="shared" si="27"/>
        <v/>
      </c>
      <c r="AP78" s="7">
        <f t="shared" si="28"/>
        <v>0</v>
      </c>
      <c r="AQ78" s="7">
        <f t="shared" si="29"/>
        <v>0</v>
      </c>
      <c r="AR78" s="7">
        <f t="shared" si="30"/>
        <v>4</v>
      </c>
      <c r="AS78" t="str">
        <f t="shared" si="31"/>
        <v>库存为4</v>
      </c>
      <c r="AT78" s="2" t="str">
        <f>IFERROR(时间!$B$4+AS78,"上周无销量")</f>
        <v>上周无销量</v>
      </c>
    </row>
    <row r="79" spans="1:46">
      <c r="A79" t="s">
        <v>701</v>
      </c>
      <c r="B79" s="5">
        <f>SUMIF('库存（子SKU）'!$C:$C,$A79,'库存（子SKU）'!D:D)</f>
        <v>8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>
        <v>0</v>
      </c>
      <c r="G79">
        <f>SUMIF('库存（子SKU）'!$C:$C,$A79,'库存（子SKU）'!I:I)</f>
        <v>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</v>
      </c>
      <c r="L79">
        <f>SUMIF('库存（子SKU）'!$C:$C,$A79,'库存（子SKU）'!N:N)</f>
        <v>0</v>
      </c>
      <c r="M79">
        <f>SUMIF('库存（子SKU）'!$C:$C,$A79,'库存（子SKU）'!O:O)</f>
        <v>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4</v>
      </c>
      <c r="AI79">
        <f>SUMIF('库存（子SKU）'!$C:$C,$A79,'库存（子SKU）'!AK:AK)</f>
        <v>33</v>
      </c>
      <c r="AJ79">
        <f>SUMIF('库存（子SKU）'!$C:$C,$A79,'库存（子SKU）'!AL:AL)</f>
        <v>10</v>
      </c>
      <c r="AK79">
        <f>SUMIF('库存（子SKU）'!$C:$C,$A79,'库存（子SKU）'!AM:AM)</f>
        <v>31</v>
      </c>
      <c r="AL79" s="22">
        <f t="shared" si="24"/>
        <v>2</v>
      </c>
      <c r="AM79" s="22">
        <f t="shared" si="25"/>
        <v>0</v>
      </c>
      <c r="AN79" s="22">
        <f t="shared" si="26"/>
        <v>0</v>
      </c>
      <c r="AO79" s="22">
        <f t="shared" si="27"/>
        <v>0</v>
      </c>
      <c r="AP79" s="7">
        <f t="shared" si="28"/>
        <v>1.14285714285714</v>
      </c>
      <c r="AQ79" s="7">
        <f t="shared" si="29"/>
        <v>68.5714285714286</v>
      </c>
      <c r="AR79" s="7">
        <f t="shared" si="30"/>
        <v>-67.5714285714286</v>
      </c>
      <c r="AS79">
        <f t="shared" si="31"/>
        <v>0</v>
      </c>
      <c r="AT79" s="2">
        <f>IFERROR(时间!$B$4+AS79,"上周无销量")</f>
        <v>43332</v>
      </c>
    </row>
    <row r="80" spans="1:46">
      <c r="A80" t="s">
        <v>730</v>
      </c>
      <c r="B80" s="5">
        <f>SUMIF('库存（子SKU）'!$C:$C,$A80,'库存（子SKU）'!D:D)</f>
        <v>2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>
        <v>0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</v>
      </c>
      <c r="L80">
        <f>SUMIF('库存（子SKU）'!$C:$C,$A80,'库存（子SKU）'!N:N)</f>
        <v>0</v>
      </c>
      <c r="M80">
        <f>SUMIF('库存（子SKU）'!$C:$C,$A80,'库存（子SKU）'!O:O)</f>
        <v>3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6</v>
      </c>
      <c r="AI80">
        <f>SUMIF('库存（子SKU）'!$C:$C,$A80,'库存（子SKU）'!AK:AK)</f>
        <v>8</v>
      </c>
      <c r="AJ80">
        <f>SUMIF('库存（子SKU）'!$C:$C,$A80,'库存（子SKU）'!AL:AL)</f>
        <v>14</v>
      </c>
      <c r="AK80">
        <f>SUMIF('库存（子SKU）'!$C:$C,$A80,'库存（子SKU）'!AM:AM)</f>
        <v>19</v>
      </c>
      <c r="AL80" s="22">
        <f t="shared" si="24"/>
        <v>0.333333333333333</v>
      </c>
      <c r="AM80" s="22">
        <f t="shared" si="25"/>
        <v>0</v>
      </c>
      <c r="AN80" s="22">
        <f t="shared" si="26"/>
        <v>0</v>
      </c>
      <c r="AO80" s="22">
        <f t="shared" si="27"/>
        <v>0</v>
      </c>
      <c r="AP80" s="7">
        <f t="shared" si="28"/>
        <v>0.285714285714286</v>
      </c>
      <c r="AQ80" s="7">
        <f t="shared" si="29"/>
        <v>17.1428571428571</v>
      </c>
      <c r="AR80" s="7">
        <f t="shared" si="30"/>
        <v>-13.1428571428571</v>
      </c>
      <c r="AS80">
        <f t="shared" si="31"/>
        <v>14</v>
      </c>
      <c r="AT80" s="2">
        <f>IFERROR(时间!$B$4+AS80,"上周无销量")</f>
        <v>43346</v>
      </c>
    </row>
    <row r="81" spans="1:46">
      <c r="A81" t="s">
        <v>743</v>
      </c>
      <c r="B81" s="5">
        <f>SUMIF('库存（子SKU）'!$C:$C,$A81,'库存（子SKU）'!D:D)</f>
        <v>2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>
        <v>0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3</v>
      </c>
      <c r="AI81">
        <f>SUMIF('库存（子SKU）'!$C:$C,$A81,'库存（子SKU）'!AK:AK)</f>
        <v>20</v>
      </c>
      <c r="AJ81">
        <f>SUMIF('库存（子SKU）'!$C:$C,$A81,'库存（子SKU）'!AL:AL)</f>
        <v>9</v>
      </c>
      <c r="AK81">
        <f>SUMIF('库存（子SKU）'!$C:$C,$A81,'库存（子SKU）'!AM:AM)</f>
        <v>7</v>
      </c>
      <c r="AL81" s="22">
        <f t="shared" si="24"/>
        <v>0.666666666666667</v>
      </c>
      <c r="AM81" s="22">
        <f t="shared" si="25"/>
        <v>0</v>
      </c>
      <c r="AN81" s="22">
        <f t="shared" si="26"/>
        <v>0</v>
      </c>
      <c r="AO81" s="22">
        <f t="shared" si="27"/>
        <v>0</v>
      </c>
      <c r="AP81" s="7">
        <f t="shared" si="28"/>
        <v>0.285714285714286</v>
      </c>
      <c r="AQ81" s="7">
        <f t="shared" si="29"/>
        <v>17.1428571428571</v>
      </c>
      <c r="AR81" s="7">
        <f t="shared" si="30"/>
        <v>-17.1428571428571</v>
      </c>
      <c r="AS81">
        <f t="shared" si="31"/>
        <v>0</v>
      </c>
      <c r="AT81" s="2">
        <f>IFERROR(时间!$B$4+AS81,"上周无销量")</f>
        <v>43332</v>
      </c>
    </row>
    <row r="82" spans="1:46">
      <c r="A82" t="s">
        <v>746</v>
      </c>
      <c r="B82" s="5">
        <f>SUMIF('库存（子SKU）'!$C:$C,$A82,'库存（子SKU）'!D:D)</f>
        <v>1</v>
      </c>
      <c r="C82" s="5">
        <f>SUMIF('库存（子SKU）'!$C:$C,$A82,'库存（子SKU）'!E:E)</f>
        <v>0</v>
      </c>
      <c r="D82" s="5">
        <f>SUMIF('库存（子SKU）'!$C:$C,$A82,'库存（子SKU）'!F:F)</f>
        <v>6</v>
      </c>
      <c r="E82" s="5">
        <f>SUMIF('库存（子SKU）'!$C:$C,$A82,'库存（子SKU）'!G:G)</f>
        <v>2</v>
      </c>
      <c r="F82" s="6">
        <v>9.9</v>
      </c>
      <c r="G82">
        <f>SUMIF('库存（子SKU）'!$C:$C,$A82,'库存（子SKU）'!I:I)</f>
        <v>14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14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>
        <f t="shared" si="20"/>
        <v>0</v>
      </c>
      <c r="AE82" s="22" t="str">
        <f t="shared" si="21"/>
        <v/>
      </c>
      <c r="AF82" s="22">
        <f t="shared" si="22"/>
        <v>0</v>
      </c>
      <c r="AG82" s="22">
        <f t="shared" si="23"/>
        <v>0</v>
      </c>
      <c r="AH82">
        <f>SUMIF('库存（子SKU）'!$C:$C,$A82,'库存（子SKU）'!AJ:AJ)</f>
        <v>48</v>
      </c>
      <c r="AI82">
        <f>SUMIF('库存（子SKU）'!$C:$C,$A82,'库存（子SKU）'!AK:AK)</f>
        <v>49</v>
      </c>
      <c r="AJ82">
        <f>SUMIF('库存（子SKU）'!$C:$C,$A82,'库存（子SKU）'!AL:AL)</f>
        <v>28</v>
      </c>
      <c r="AK82">
        <f>SUMIF('库存（子SKU）'!$C:$C,$A82,'库存（子SKU）'!AM:AM)</f>
        <v>21</v>
      </c>
      <c r="AL82" s="22">
        <f t="shared" si="24"/>
        <v>0.0208333333333333</v>
      </c>
      <c r="AM82" s="22">
        <f t="shared" si="25"/>
        <v>0</v>
      </c>
      <c r="AN82" s="22">
        <f t="shared" si="26"/>
        <v>0.214285714285714</v>
      </c>
      <c r="AO82" s="22">
        <f t="shared" si="27"/>
        <v>0.0952380952380952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5.42857142857143</v>
      </c>
      <c r="AS82">
        <f t="shared" si="31"/>
        <v>98</v>
      </c>
      <c r="AT82" s="2">
        <f>IFERROR(时间!$B$4+AS82,"上周无销量")</f>
        <v>43430</v>
      </c>
    </row>
    <row r="83" spans="1:46">
      <c r="A83" t="s">
        <v>751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754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9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36</v>
      </c>
      <c r="AI84">
        <f>SUMIF('库存（子SKU）'!$C:$C,$A84,'库存（子SKU）'!AK:AK)</f>
        <v>31</v>
      </c>
      <c r="AJ84">
        <f>SUMIF('库存（子SKU）'!$C:$C,$A84,'库存（子SKU）'!AL:AL)</f>
        <v>34</v>
      </c>
      <c r="AK84">
        <f>SUMIF('库存（子SKU）'!$C:$C,$A84,'库存（子SKU）'!AM:AM)</f>
        <v>23</v>
      </c>
      <c r="AL84" s="22">
        <f t="shared" si="24"/>
        <v>0</v>
      </c>
      <c r="AM84" s="22">
        <f t="shared" si="25"/>
        <v>0</v>
      </c>
      <c r="AN84" s="22">
        <f t="shared" si="26"/>
        <v>0</v>
      </c>
      <c r="AO84" s="22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11</v>
      </c>
      <c r="AS84" t="str">
        <f t="shared" si="31"/>
        <v>库存为11</v>
      </c>
      <c r="AT84" s="2" t="str">
        <f>IFERROR(时间!$B$4+AS84,"上周无销量")</f>
        <v>上周无销量</v>
      </c>
    </row>
    <row r="85" spans="1:46">
      <c r="A85" t="s">
        <v>763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7</v>
      </c>
      <c r="L85">
        <f>SUMIF('库存（子SKU）'!$C:$C,$A85,'库存（子SKU）'!N:N)</f>
        <v>0</v>
      </c>
      <c r="M85">
        <f>SUMIF('库存（子SKU）'!$C:$C,$A85,'库存（子SKU）'!O:O)</f>
        <v>7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9</v>
      </c>
      <c r="AJ85">
        <f>SUMIF('库存（子SKU）'!$C:$C,$A85,'库存（子SKU）'!AL:AL)</f>
        <v>6</v>
      </c>
      <c r="AK85">
        <f>SUMIF('库存（子SKU）'!$C:$C,$A85,'库存（子SKU）'!AM:AM)</f>
        <v>5</v>
      </c>
      <c r="AL85" s="22" t="str">
        <f t="shared" si="24"/>
        <v/>
      </c>
      <c r="AM85" s="22">
        <f t="shared" si="25"/>
        <v>0</v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7</v>
      </c>
      <c r="AS85" t="str">
        <f t="shared" si="31"/>
        <v>库存为7</v>
      </c>
      <c r="AT85" s="2" t="str">
        <f>IFERROR(时间!$B$4+AS85,"上周无销量")</f>
        <v>上周无销量</v>
      </c>
    </row>
    <row r="86" spans="1:46">
      <c r="A86" t="s">
        <v>768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771</v>
      </c>
      <c r="B87" s="5">
        <f>SUMIF('库存（子SKU）'!$C:$C,$A87,'库存（子SKU）'!D:D)</f>
        <v>2</v>
      </c>
      <c r="C87" s="5">
        <f>SUMIF('库存（子SKU）'!$C:$C,$A87,'库存（子SKU）'!E:E)</f>
        <v>3</v>
      </c>
      <c r="D87" s="5">
        <f>SUMIF('库存（子SKU）'!$C:$C,$A87,'库存（子SKU）'!F:F)</f>
        <v>2</v>
      </c>
      <c r="E87" s="5">
        <f>SUMIF('库存（子SKU）'!$C:$C,$A87,'库存（子SKU）'!G:G)</f>
        <v>1</v>
      </c>
      <c r="F87" s="6">
        <v>19.8625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5</v>
      </c>
      <c r="L87">
        <f>SUMIF('库存（子SKU）'!$C:$C,$A87,'库存（子SKU）'!N:N)</f>
        <v>0</v>
      </c>
      <c r="M87">
        <f>SUMIF('库存（子SKU）'!$C:$C,$A87,'库存（子SKU）'!O:O)</f>
        <v>4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>
        <f t="shared" si="20"/>
        <v>0</v>
      </c>
      <c r="AE87" s="22">
        <f t="shared" si="21"/>
        <v>0</v>
      </c>
      <c r="AF87" s="22">
        <f t="shared" si="22"/>
        <v>0</v>
      </c>
      <c r="AG87" s="22">
        <f t="shared" si="23"/>
        <v>0</v>
      </c>
      <c r="AH87">
        <f>SUMIF('库存（子SKU）'!$C:$C,$A87,'库存（子SKU）'!AJ:AJ)</f>
        <v>10</v>
      </c>
      <c r="AI87">
        <f>SUMIF('库存（子SKU）'!$C:$C,$A87,'库存（子SKU）'!AK:AK)</f>
        <v>14</v>
      </c>
      <c r="AJ87">
        <f>SUMIF('库存（子SKU）'!$C:$C,$A87,'库存（子SKU）'!AL:AL)</f>
        <v>27</v>
      </c>
      <c r="AK87">
        <f>SUMIF('库存（子SKU）'!$C:$C,$A87,'库存（子SKU）'!AM:AM)</f>
        <v>38</v>
      </c>
      <c r="AL87" s="22">
        <f t="shared" si="24"/>
        <v>0.2</v>
      </c>
      <c r="AM87" s="22">
        <f t="shared" si="25"/>
        <v>0.214285714285714</v>
      </c>
      <c r="AN87" s="22">
        <f t="shared" si="26"/>
        <v>0.0740740740740741</v>
      </c>
      <c r="AO87" s="22">
        <f t="shared" si="27"/>
        <v>0.0263157894736842</v>
      </c>
      <c r="AP87" s="7">
        <f t="shared" si="28"/>
        <v>0.285714285714286</v>
      </c>
      <c r="AQ87" s="7">
        <f t="shared" si="29"/>
        <v>17.1428571428571</v>
      </c>
      <c r="AR87" s="7">
        <f t="shared" si="30"/>
        <v>-12.1428571428571</v>
      </c>
      <c r="AS87">
        <f t="shared" si="31"/>
        <v>17</v>
      </c>
      <c r="AT87" s="2">
        <f>IFERROR(时间!$B$4+AS87,"上周无销量")</f>
        <v>43349</v>
      </c>
    </row>
    <row r="88" spans="1:46">
      <c r="A88" t="s">
        <v>782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</v>
      </c>
      <c r="L88">
        <f>SUMIF('库存（子SKU）'!$C:$C,$A88,'库存（子SKU）'!N:N)</f>
        <v>0</v>
      </c>
      <c r="M88">
        <f>SUMIF('库存（子SKU）'!$C:$C,$A88,'库存（子SKU）'!O:O)</f>
        <v>4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10</v>
      </c>
      <c r="AI88">
        <f>SUMIF('库存（子SKU）'!$C:$C,$A88,'库存（子SKU）'!AK:AK)</f>
        <v>4</v>
      </c>
      <c r="AJ88">
        <f>SUMIF('库存（子SKU）'!$C:$C,$A88,'库存（子SKU）'!AL:AL)</f>
        <v>1</v>
      </c>
      <c r="AK88">
        <f>SUMIF('库存（子SKU）'!$C:$C,$A88,'库存（子SKU）'!AM:AM)</f>
        <v>4</v>
      </c>
      <c r="AL88" s="22">
        <f t="shared" si="24"/>
        <v>0</v>
      </c>
      <c r="AM88" s="22">
        <f t="shared" si="25"/>
        <v>0</v>
      </c>
      <c r="AN88" s="22">
        <f t="shared" si="26"/>
        <v>0</v>
      </c>
      <c r="AO88" s="22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4</v>
      </c>
      <c r="AS88" t="str">
        <f t="shared" si="31"/>
        <v>库存为4</v>
      </c>
      <c r="AT88" s="2" t="str">
        <f>IFERROR(时间!$B$4+AS88,"上周无销量")</f>
        <v>上周无销量</v>
      </c>
    </row>
    <row r="89" spans="1:46">
      <c r="A89" t="s">
        <v>784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1</v>
      </c>
      <c r="AI89">
        <f>SUMIF('库存（子SKU）'!$C:$C,$A89,'库存（子SKU）'!AK:AK)</f>
        <v>5</v>
      </c>
      <c r="AJ89">
        <f>SUMIF('库存（子SKU）'!$C:$C,$A89,'库存（子SKU）'!AL:AL)</f>
        <v>3</v>
      </c>
      <c r="AK89">
        <f>SUMIF('库存（子SKU）'!$C:$C,$A89,'库存（子SKU）'!AM:AM)</f>
        <v>5</v>
      </c>
      <c r="AL89" s="22">
        <f t="shared" si="24"/>
        <v>0</v>
      </c>
      <c r="AM89" s="22">
        <f t="shared" si="25"/>
        <v>0</v>
      </c>
      <c r="AN89" s="22">
        <f t="shared" si="26"/>
        <v>0</v>
      </c>
      <c r="AO89" s="22">
        <f t="shared" si="27"/>
        <v>0</v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788</v>
      </c>
      <c r="B90" s="5">
        <f>SUMIF('库存（子SKU）'!$C:$C,$A90,'库存（子SKU）'!D:D)</f>
        <v>4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>
        <v>0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3</v>
      </c>
      <c r="AI90">
        <f>SUMIF('库存（子SKU）'!$C:$C,$A90,'库存（子SKU）'!AK:AK)</f>
        <v>16</v>
      </c>
      <c r="AJ90">
        <f>SUMIF('库存（子SKU）'!$C:$C,$A90,'库存（子SKU）'!AL:AL)</f>
        <v>6</v>
      </c>
      <c r="AK90">
        <f>SUMIF('库存（子SKU）'!$C:$C,$A90,'库存（子SKU）'!AM:AM)</f>
        <v>5</v>
      </c>
      <c r="AL90" s="22">
        <f t="shared" si="24"/>
        <v>1.33333333333333</v>
      </c>
      <c r="AM90" s="22">
        <f t="shared" si="25"/>
        <v>0</v>
      </c>
      <c r="AN90" s="22">
        <f t="shared" si="26"/>
        <v>0</v>
      </c>
      <c r="AO90" s="22">
        <f t="shared" si="27"/>
        <v>0</v>
      </c>
      <c r="AP90" s="7">
        <f t="shared" si="28"/>
        <v>0.571428571428571</v>
      </c>
      <c r="AQ90" s="7">
        <f t="shared" si="29"/>
        <v>34.2857142857143</v>
      </c>
      <c r="AR90" s="7">
        <f t="shared" si="30"/>
        <v>-34.2857142857143</v>
      </c>
      <c r="AS90">
        <f t="shared" si="31"/>
        <v>0</v>
      </c>
      <c r="AT90" s="2">
        <f>IFERROR(时间!$B$4+AS90,"上周无销量")</f>
        <v>43332</v>
      </c>
    </row>
    <row r="91" spans="1:46">
      <c r="A91" t="s">
        <v>791</v>
      </c>
      <c r="B91" s="5">
        <f>SUMIF('库存（子SKU）'!$C:$C,$A91,'库存（子SKU）'!D:D)</f>
        <v>6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0</v>
      </c>
      <c r="G91">
        <f>SUMIF('库存（子SKU）'!$C:$C,$A91,'库存（子SKU）'!I:I)</f>
        <v>7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7</v>
      </c>
      <c r="L91">
        <f>SUMIF('库存（子SKU）'!$C:$C,$A91,'库存（子SKU）'!N:N)</f>
        <v>0</v>
      </c>
      <c r="M91">
        <f>SUMIF('库存（子SKU）'!$C:$C,$A91,'库存（子SKU）'!O:O)</f>
        <v>7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9</v>
      </c>
      <c r="AI91">
        <f>SUMIF('库存（子SKU）'!$C:$C,$A91,'库存（子SKU）'!AK:AK)</f>
        <v>20</v>
      </c>
      <c r="AJ91">
        <f>SUMIF('库存（子SKU）'!$C:$C,$A91,'库存（子SKU）'!AL:AL)</f>
        <v>11</v>
      </c>
      <c r="AK91">
        <f>SUMIF('库存（子SKU）'!$C:$C,$A91,'库存（子SKU）'!AM:AM)</f>
        <v>10</v>
      </c>
      <c r="AL91" s="22">
        <f t="shared" si="24"/>
        <v>0.666666666666667</v>
      </c>
      <c r="AM91" s="22">
        <f t="shared" si="25"/>
        <v>0</v>
      </c>
      <c r="AN91" s="22">
        <f t="shared" si="26"/>
        <v>0</v>
      </c>
      <c r="AO91" s="22">
        <f t="shared" si="27"/>
        <v>0</v>
      </c>
      <c r="AP91" s="7">
        <f t="shared" si="28"/>
        <v>0.857142857142857</v>
      </c>
      <c r="AQ91" s="7">
        <f t="shared" si="29"/>
        <v>51.4285714285714</v>
      </c>
      <c r="AR91" s="7">
        <f t="shared" si="30"/>
        <v>-44.4285714285714</v>
      </c>
      <c r="AS91">
        <f t="shared" si="31"/>
        <v>8</v>
      </c>
      <c r="AT91" s="2">
        <f>IFERROR(时间!$B$4+AS91,"上周无销量")</f>
        <v>43340</v>
      </c>
    </row>
    <row r="92" spans="1:46">
      <c r="A92" t="s">
        <v>796</v>
      </c>
      <c r="B92" s="5">
        <f>SUMIF('库存（子SKU）'!$C:$C,$A92,'库存（子SKU）'!D:D)</f>
        <v>1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v>22.9</v>
      </c>
      <c r="G92">
        <f>SUMIF('库存（子SKU）'!$C:$C,$A92,'库存（子SKU）'!I:I)</f>
        <v>88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88</v>
      </c>
      <c r="L92">
        <f>SUMIF('库存（子SKU）'!$C:$C,$A92,'库存（子SKU）'!N:N)</f>
        <v>0</v>
      </c>
      <c r="M92">
        <f>SUMIF('库存（子SKU）'!$C:$C,$A92,'库存（子SKU）'!O:O)</f>
        <v>87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>
        <f t="shared" si="20"/>
        <v>0</v>
      </c>
      <c r="AE92" s="22" t="str">
        <f t="shared" si="21"/>
        <v/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33</v>
      </c>
      <c r="AI92">
        <f>SUMIF('库存（子SKU）'!$C:$C,$A92,'库存（子SKU）'!AK:AK)</f>
        <v>36</v>
      </c>
      <c r="AJ92">
        <f>SUMIF('库存（子SKU）'!$C:$C,$A92,'库存（子SKU）'!AL:AL)</f>
        <v>19</v>
      </c>
      <c r="AK92">
        <f>SUMIF('库存（子SKU）'!$C:$C,$A92,'库存（子SKU）'!AM:AM)</f>
        <v>16</v>
      </c>
      <c r="AL92" s="22">
        <f t="shared" si="24"/>
        <v>0.0303030303030303</v>
      </c>
      <c r="AM92" s="22">
        <f t="shared" si="25"/>
        <v>0</v>
      </c>
      <c r="AN92" s="22">
        <f t="shared" si="26"/>
        <v>0</v>
      </c>
      <c r="AO92" s="22">
        <f t="shared" si="27"/>
        <v>0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79.4285714285714</v>
      </c>
      <c r="AS92">
        <f t="shared" si="31"/>
        <v>616</v>
      </c>
      <c r="AT92" s="2">
        <f>IFERROR(时间!$B$4+AS92,"上周无销量")</f>
        <v>43948</v>
      </c>
    </row>
    <row r="93" spans="1:46">
      <c r="A93" t="s">
        <v>807</v>
      </c>
      <c r="B93" s="5">
        <f>SUMIF('库存（子SKU）'!$C:$C,$A93,'库存（子SKU）'!D:D)</f>
        <v>0</v>
      </c>
      <c r="C93" s="5">
        <f>SUMIF('库存（子SKU）'!$C:$C,$A93,'库存（子SKU）'!E:E)</f>
        <v>1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>
        <v>22.7</v>
      </c>
      <c r="G93">
        <f>SUMIF('库存（子SKU）'!$C:$C,$A93,'库存（子SKU）'!I:I)</f>
        <v>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8</v>
      </c>
      <c r="L93">
        <f>SUMIF('库存（子SKU）'!$C:$C,$A93,'库存（子SKU）'!N:N)</f>
        <v>0</v>
      </c>
      <c r="M93">
        <f>SUMIF('库存（子SKU）'!$C:$C,$A93,'库存（子SKU）'!O:O)</f>
        <v>8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>
        <f t="shared" si="21"/>
        <v>0</v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6</v>
      </c>
      <c r="AI93">
        <f>SUMIF('库存（子SKU）'!$C:$C,$A93,'库存（子SKU）'!AK:AK)</f>
        <v>2</v>
      </c>
      <c r="AJ93">
        <f>SUMIF('库存（子SKU）'!$C:$C,$A93,'库存（子SKU）'!AL:AL)</f>
        <v>2</v>
      </c>
      <c r="AK93">
        <f>SUMIF('库存（子SKU）'!$C:$C,$A93,'库存（子SKU）'!AM:AM)</f>
        <v>5</v>
      </c>
      <c r="AL93" s="22">
        <f t="shared" si="24"/>
        <v>0</v>
      </c>
      <c r="AM93" s="22">
        <f t="shared" si="25"/>
        <v>0.5</v>
      </c>
      <c r="AN93" s="22">
        <f t="shared" si="26"/>
        <v>0</v>
      </c>
      <c r="AO93" s="22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8</v>
      </c>
      <c r="AS93" t="str">
        <f t="shared" si="31"/>
        <v>库存为8</v>
      </c>
      <c r="AT93" s="2" t="str">
        <f>IFERROR(时间!$B$4+AS93,"上周无销量")</f>
        <v>上周无销量</v>
      </c>
    </row>
    <row r="94" spans="1:46">
      <c r="A94" t="s">
        <v>810</v>
      </c>
      <c r="B94" s="5">
        <f>SUMIF('库存（子SKU）'!$C:$C,$A94,'库存（子SKU）'!D:D)</f>
        <v>2</v>
      </c>
      <c r="C94" s="5">
        <f>SUMIF('库存（子SKU）'!$C:$C,$A94,'库存（子SKU）'!E:E)</f>
        <v>2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>
        <v>7.795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>
        <f t="shared" si="20"/>
        <v>0</v>
      </c>
      <c r="AE94" s="22">
        <f t="shared" si="21"/>
        <v>0</v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1</v>
      </c>
      <c r="AI94">
        <f>SUMIF('库存（子SKU）'!$C:$C,$A94,'库存（子SKU）'!AK:AK)</f>
        <v>20</v>
      </c>
      <c r="AJ94">
        <f>SUMIF('库存（子SKU）'!$C:$C,$A94,'库存（子SKU）'!AL:AL)</f>
        <v>4</v>
      </c>
      <c r="AK94">
        <f>SUMIF('库存（子SKU）'!$C:$C,$A94,'库存（子SKU）'!AM:AM)</f>
        <v>6</v>
      </c>
      <c r="AL94" s="22">
        <f t="shared" si="24"/>
        <v>2</v>
      </c>
      <c r="AM94" s="22">
        <f t="shared" si="25"/>
        <v>0.1</v>
      </c>
      <c r="AN94" s="22">
        <f t="shared" si="26"/>
        <v>0</v>
      </c>
      <c r="AO94" s="22">
        <f t="shared" si="27"/>
        <v>0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-17.1428571428571</v>
      </c>
      <c r="AS94">
        <f t="shared" si="31"/>
        <v>0</v>
      </c>
      <c r="AT94" s="2">
        <f>IFERROR(时间!$B$4+AS94,"上周无销量")</f>
        <v>43332</v>
      </c>
    </row>
    <row r="95" spans="1:46">
      <c r="A95" t="s">
        <v>821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54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54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54</v>
      </c>
      <c r="AS95" t="str">
        <f t="shared" si="31"/>
        <v>库存为54</v>
      </c>
      <c r="AT95" s="2" t="str">
        <f>IFERROR(时间!$B$4+AS95,"上周无销量")</f>
        <v>上周无销量</v>
      </c>
    </row>
    <row r="96" spans="1:46">
      <c r="A96" t="s">
        <v>840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0</v>
      </c>
      <c r="H96">
        <f>SUMIF('库存（子SKU）'!$C:$C,$A96,'库存（子SKU）'!J:J)</f>
        <v>54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54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54</v>
      </c>
      <c r="AS96" t="str">
        <f t="shared" si="31"/>
        <v>库存为54</v>
      </c>
      <c r="AT96" s="2" t="str">
        <f>IFERROR(时间!$B$4+AS96,"上周无销量")</f>
        <v>上周无销量</v>
      </c>
    </row>
    <row r="97" spans="1:46">
      <c r="A97" t="s">
        <v>859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53</v>
      </c>
      <c r="H97">
        <f>SUMIF('库存（子SKU）'!$C:$C,$A97,'库存（子SKU）'!J:J)</f>
        <v>0</v>
      </c>
      <c r="I97">
        <f>SUMIF('库存（子SKU）'!$C:$C,$A97,'库存（子SKU）'!K:K)</f>
        <v>1</v>
      </c>
      <c r="J97">
        <f>SUMIF('库存（子SKU）'!$C:$C,$A97,'库存（子SKU）'!L:L)</f>
        <v>0</v>
      </c>
      <c r="K97">
        <f t="shared" si="19"/>
        <v>54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54</v>
      </c>
      <c r="AS97" t="str">
        <f t="shared" si="31"/>
        <v>库存为54</v>
      </c>
      <c r="AT97" s="2" t="str">
        <f>IFERROR(时间!$B$4+AS97,"上周无销量")</f>
        <v>上周无销量</v>
      </c>
    </row>
    <row r="98" spans="1:46">
      <c r="A98" t="s">
        <v>878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0</v>
      </c>
      <c r="H98">
        <f>SUMIF('库存（子SKU）'!$C:$C,$A98,'库存（子SKU）'!J:J)</f>
        <v>36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36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 t="str">
        <f t="shared" si="24"/>
        <v/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36</v>
      </c>
      <c r="AS98" t="str">
        <f t="shared" si="31"/>
        <v>库存为36</v>
      </c>
      <c r="AT98" s="2" t="str">
        <f>IFERROR(时间!$B$4+AS98,"上周无销量")</f>
        <v>上周无销量</v>
      </c>
    </row>
    <row r="99" spans="1:46">
      <c r="A99" t="s">
        <v>897</v>
      </c>
      <c r="B99" s="5">
        <f>SUMIF('库存（子SKU）'!$C:$C,$A99,'库存（子SKU）'!D:D)</f>
        <v>5</v>
      </c>
      <c r="C99" s="5">
        <f>SUMIF('库存（子SKU）'!$C:$C,$A99,'库存（子SKU）'!E:E)</f>
        <v>3</v>
      </c>
      <c r="D99" s="5">
        <f>SUMIF('库存（子SKU）'!$C:$C,$A99,'库存（子SKU）'!F:F)</f>
        <v>9</v>
      </c>
      <c r="E99" s="5">
        <f>SUMIF('库存（子SKU）'!$C:$C,$A99,'库存（子SKU）'!G:G)</f>
        <v>0</v>
      </c>
      <c r="F99" s="6">
        <v>15.99</v>
      </c>
      <c r="G99">
        <f>SUMIF('库存（子SKU）'!$C:$C,$A99,'库存（子SKU）'!I:I)</f>
        <v>88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88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309</v>
      </c>
      <c r="O99">
        <f>SUMIF('库存（子SKU）'!$C:$C,$A99,'库存（子SKU）'!Q:Q)</f>
        <v>0</v>
      </c>
      <c r="P99">
        <f>SUMIF('库存（子SKU）'!$C:$C,$A99,'库存（子SKU）'!R:R)</f>
        <v>909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2</v>
      </c>
      <c r="U99">
        <f>SUMIF('库存（子SKU）'!$C:$C,$A99,'库存（子SKU）'!W:W)</f>
        <v>0</v>
      </c>
      <c r="V99" s="22">
        <f t="shared" si="32"/>
        <v>0</v>
      </c>
      <c r="W99" s="22" t="str">
        <f t="shared" si="33"/>
        <v/>
      </c>
      <c r="X99" s="22">
        <f t="shared" si="34"/>
        <v>0.0022002200220022</v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0.74</v>
      </c>
      <c r="AC99">
        <f>SUMIF('库存（子SKU）'!$C:$C,$A99,'库存（子SKU）'!AE:AE)</f>
        <v>0</v>
      </c>
      <c r="AD99" s="22">
        <f t="shared" si="20"/>
        <v>0</v>
      </c>
      <c r="AE99" s="22">
        <f t="shared" si="21"/>
        <v>0</v>
      </c>
      <c r="AF99" s="22">
        <f t="shared" si="22"/>
        <v>0.00514210270307831</v>
      </c>
      <c r="AG99" s="22" t="str">
        <f t="shared" si="23"/>
        <v/>
      </c>
      <c r="AH99">
        <f>SUMIF('库存（子SKU）'!$C:$C,$A99,'库存（子SKU）'!AJ:AJ)</f>
        <v>33</v>
      </c>
      <c r="AI99">
        <f>SUMIF('库存（子SKU）'!$C:$C,$A99,'库存（子SKU）'!AK:AK)</f>
        <v>30</v>
      </c>
      <c r="AJ99">
        <f>SUMIF('库存（子SKU）'!$C:$C,$A99,'库存（子SKU）'!AL:AL)</f>
        <v>21</v>
      </c>
      <c r="AK99">
        <f>SUMIF('库存（子SKU）'!$C:$C,$A99,'库存（子SKU）'!AM:AM)</f>
        <v>4</v>
      </c>
      <c r="AL99" s="22">
        <f t="shared" si="24"/>
        <v>0.151515151515152</v>
      </c>
      <c r="AM99" s="22">
        <f t="shared" si="25"/>
        <v>0.1</v>
      </c>
      <c r="AN99" s="22">
        <f t="shared" si="26"/>
        <v>0.428571428571429</v>
      </c>
      <c r="AO99" s="22">
        <f t="shared" si="27"/>
        <v>0</v>
      </c>
      <c r="AP99" s="7">
        <f t="shared" si="28"/>
        <v>0.714285714285714</v>
      </c>
      <c r="AQ99" s="7">
        <f t="shared" si="29"/>
        <v>42.8571428571429</v>
      </c>
      <c r="AR99" s="7">
        <f t="shared" si="30"/>
        <v>45.1428571428571</v>
      </c>
      <c r="AS99">
        <f t="shared" si="31"/>
        <v>123</v>
      </c>
      <c r="AT99" s="2">
        <f>IFERROR(时间!$B$4+AS99,"上周无销量")</f>
        <v>43455</v>
      </c>
    </row>
    <row r="100" spans="1:46">
      <c r="A100" t="s">
        <v>910</v>
      </c>
      <c r="B100" s="5">
        <f>SUMIF('库存（子SKU）'!$C:$C,$A100,'库存（子SKU）'!D:D)</f>
        <v>0</v>
      </c>
      <c r="C100" s="5">
        <f>SUMIF('库存（子SKU）'!$C:$C,$A100,'库存（子SKU）'!E:E)</f>
        <v>1</v>
      </c>
      <c r="D100" s="5">
        <f>SUMIF('库存（子SKU）'!$C:$C,$A100,'库存（子SKU）'!F:F)</f>
        <v>3</v>
      </c>
      <c r="E100" s="5">
        <f>SUMIF('库存（子SKU）'!$C:$C,$A100,'库存（子SKU）'!G:G)</f>
        <v>0</v>
      </c>
      <c r="F100" s="6">
        <v>16.99</v>
      </c>
      <c r="G100">
        <f>SUMIF('库存（子SKU）'!$C:$C,$A100,'库存（子SKU）'!I:I)</f>
        <v>62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62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170</v>
      </c>
      <c r="O100">
        <f>SUMIF('库存（子SKU）'!$C:$C,$A100,'库存（子SKU）'!Q:Q)</f>
        <v>313</v>
      </c>
      <c r="P100">
        <f>SUMIF('库存（子SKU）'!$C:$C,$A100,'库存（子SKU）'!R:R)</f>
        <v>418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1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>
        <f t="shared" si="32"/>
        <v>0</v>
      </c>
      <c r="W100" s="22">
        <f t="shared" si="33"/>
        <v>0.00319488817891374</v>
      </c>
      <c r="X100" s="22">
        <f t="shared" si="34"/>
        <v>0</v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0.27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>
        <f t="shared" si="21"/>
        <v>0.0158917010005886</v>
      </c>
      <c r="AF100" s="22">
        <f t="shared" si="22"/>
        <v>0</v>
      </c>
      <c r="AG100" s="22" t="str">
        <f t="shared" si="23"/>
        <v/>
      </c>
      <c r="AH100">
        <f>SUMIF('库存（子SKU）'!$C:$C,$A100,'库存（子SKU）'!AJ:AJ)</f>
        <v>17</v>
      </c>
      <c r="AI100">
        <f>SUMIF('库存（子SKU）'!$C:$C,$A100,'库存（子SKU）'!AK:AK)</f>
        <v>26</v>
      </c>
      <c r="AJ100">
        <f>SUMIF('库存（子SKU）'!$C:$C,$A100,'库存（子SKU）'!AL:AL)</f>
        <v>13</v>
      </c>
      <c r="AK100">
        <f>SUMIF('库存（子SKU）'!$C:$C,$A100,'库存（子SKU）'!AM:AM)</f>
        <v>0</v>
      </c>
      <c r="AL100" s="22">
        <f t="shared" si="24"/>
        <v>0</v>
      </c>
      <c r="AM100" s="22">
        <f t="shared" si="25"/>
        <v>0.0384615384615385</v>
      </c>
      <c r="AN100" s="22">
        <f t="shared" si="26"/>
        <v>0.230769230769231</v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62</v>
      </c>
      <c r="AS100" t="str">
        <f t="shared" si="31"/>
        <v>库存为62</v>
      </c>
      <c r="AT100" s="2" t="str">
        <f>IFERROR(时间!$B$4+AS100,"上周无销量")</f>
        <v>上周无销量</v>
      </c>
    </row>
    <row r="101" spans="1:46">
      <c r="A101" t="s">
        <v>929</v>
      </c>
      <c r="B101" s="5">
        <f>SUMIF('库存（子SKU）'!$C:$C,$A101,'库存（子SKU）'!D:D)</f>
        <v>1</v>
      </c>
      <c r="C101" s="5">
        <f>SUMIF('库存（子SKU）'!$C:$C,$A101,'库存（子SKU）'!E:E)</f>
        <v>2</v>
      </c>
      <c r="D101" s="5">
        <f>SUMIF('库存（子SKU）'!$C:$C,$A101,'库存（子SKU）'!F:F)</f>
        <v>3</v>
      </c>
      <c r="E101" s="5">
        <f>SUMIF('库存（子SKU）'!$C:$C,$A101,'库存（子SKU）'!G:G)</f>
        <v>0</v>
      </c>
      <c r="F101" s="6">
        <v>15.99</v>
      </c>
      <c r="G101">
        <f>SUMIF('库存（子SKU）'!$C:$C,$A101,'库存（子SKU）'!I:I)</f>
        <v>59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59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835</v>
      </c>
      <c r="O101">
        <f>SUMIF('库存（子SKU）'!$C:$C,$A101,'库存（子SKU）'!Q:Q)</f>
        <v>2076</v>
      </c>
      <c r="P101">
        <f>SUMIF('库存（子SKU）'!$C:$C,$A101,'库存（子SKU）'!R:R)</f>
        <v>3581</v>
      </c>
      <c r="Q101">
        <f>SUMIF('库存（子SKU）'!$C:$C,$A101,'库存（子SKU）'!S:S)</f>
        <v>0</v>
      </c>
      <c r="R101">
        <f>SUMIF('库存（子SKU）'!$C:$C,$A101,'库存（子SKU）'!T:T)</f>
        <v>1</v>
      </c>
      <c r="S101">
        <f>SUMIF('库存（子SKU）'!$C:$C,$A101,'库存（子SKU）'!U:U)</f>
        <v>6</v>
      </c>
      <c r="T101">
        <f>SUMIF('库存（子SKU）'!$C:$C,$A101,'库存（子SKU）'!V:V)</f>
        <v>5</v>
      </c>
      <c r="U101">
        <f>SUMIF('库存（子SKU）'!$C:$C,$A101,'库存（子SKU）'!W:W)</f>
        <v>0</v>
      </c>
      <c r="V101" s="22">
        <f t="shared" si="32"/>
        <v>0.00119760479041916</v>
      </c>
      <c r="W101" s="22">
        <f t="shared" si="33"/>
        <v>0.00289017341040462</v>
      </c>
      <c r="X101" s="22">
        <f t="shared" si="34"/>
        <v>0.00139625802848366</v>
      </c>
      <c r="Y101" s="22" t="str">
        <f t="shared" si="35"/>
        <v/>
      </c>
      <c r="Z101">
        <f>SUMIF('库存（子SKU）'!$C:$C,$A101,'库存（子SKU）'!AB:AB)</f>
        <v>0.25</v>
      </c>
      <c r="AA101">
        <f>SUMIF('库存（子SKU）'!$C:$C,$A101,'库存（子SKU）'!AC:AC)</f>
        <v>2.31</v>
      </c>
      <c r="AB101">
        <f>SUMIF('库存（子SKU）'!$C:$C,$A101,'库存（子SKU）'!AD:AD)</f>
        <v>1.77</v>
      </c>
      <c r="AC101">
        <f>SUMIF('库存（子SKU）'!$C:$C,$A101,'库存（子SKU）'!AE:AE)</f>
        <v>0</v>
      </c>
      <c r="AD101" s="22">
        <f t="shared" si="20"/>
        <v>0.0156347717323327</v>
      </c>
      <c r="AE101" s="22">
        <f t="shared" si="21"/>
        <v>0.0722326454033771</v>
      </c>
      <c r="AF101" s="22">
        <f t="shared" si="22"/>
        <v>0.0368980612883052</v>
      </c>
      <c r="AG101" s="22" t="str">
        <f t="shared" si="23"/>
        <v/>
      </c>
      <c r="AH101">
        <f>SUMIF('库存（子SKU）'!$C:$C,$A101,'库存（子SKU）'!AJ:AJ)</f>
        <v>17</v>
      </c>
      <c r="AI101">
        <f>SUMIF('库存（子SKU）'!$C:$C,$A101,'库存（子SKU）'!AK:AK)</f>
        <v>30</v>
      </c>
      <c r="AJ101">
        <f>SUMIF('库存（子SKU）'!$C:$C,$A101,'库存（子SKU）'!AL:AL)</f>
        <v>13</v>
      </c>
      <c r="AK101">
        <f>SUMIF('库存（子SKU）'!$C:$C,$A101,'库存（子SKU）'!AM:AM)</f>
        <v>1</v>
      </c>
      <c r="AL101" s="22">
        <f t="shared" si="24"/>
        <v>0.0588235294117647</v>
      </c>
      <c r="AM101" s="22">
        <f t="shared" si="25"/>
        <v>0.0666666666666667</v>
      </c>
      <c r="AN101" s="22">
        <f t="shared" si="26"/>
        <v>0.230769230769231</v>
      </c>
      <c r="AO101" s="22">
        <f t="shared" si="27"/>
        <v>0</v>
      </c>
      <c r="AP101" s="7">
        <f t="shared" si="28"/>
        <v>0.142857142857143</v>
      </c>
      <c r="AQ101" s="7">
        <f t="shared" si="29"/>
        <v>8.57142857142857</v>
      </c>
      <c r="AR101" s="7">
        <f t="shared" si="30"/>
        <v>50.4285714285714</v>
      </c>
      <c r="AS101">
        <f t="shared" si="31"/>
        <v>413</v>
      </c>
      <c r="AT101" s="2">
        <f>IFERROR(时间!$B$4+AS101,"上周无销量")</f>
        <v>43745</v>
      </c>
    </row>
    <row r="102" spans="1:46">
      <c r="A102" t="s">
        <v>952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59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59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64</v>
      </c>
      <c r="O102">
        <f>SUMIF('库存（子SKU）'!$C:$C,$A102,'库存（子SKU）'!Q:Q)</f>
        <v>72</v>
      </c>
      <c r="P102">
        <f>SUMIF('库存（子SKU）'!$C:$C,$A102,'库存（子SKU）'!R:R)</f>
        <v>102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>
        <f t="shared" si="32"/>
        <v>0</v>
      </c>
      <c r="W102" s="22">
        <f t="shared" si="33"/>
        <v>0</v>
      </c>
      <c r="X102" s="22">
        <f t="shared" si="34"/>
        <v>0</v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18</v>
      </c>
      <c r="AI102">
        <f>SUMIF('库存（子SKU）'!$C:$C,$A102,'库存（子SKU）'!AK:AK)</f>
        <v>36</v>
      </c>
      <c r="AJ102">
        <f>SUMIF('库存（子SKU）'!$C:$C,$A102,'库存（子SKU）'!AL:AL)</f>
        <v>14</v>
      </c>
      <c r="AK102">
        <f>SUMIF('库存（子SKU）'!$C:$C,$A102,'库存（子SKU）'!AM:AM)</f>
        <v>0</v>
      </c>
      <c r="AL102" s="22">
        <f t="shared" si="24"/>
        <v>0</v>
      </c>
      <c r="AM102" s="22">
        <f t="shared" si="25"/>
        <v>0</v>
      </c>
      <c r="AN102" s="22">
        <f t="shared" si="26"/>
        <v>0</v>
      </c>
      <c r="AO102" s="22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59</v>
      </c>
      <c r="AS102" t="str">
        <f t="shared" si="31"/>
        <v>库存为59</v>
      </c>
      <c r="AT102" s="2" t="str">
        <f>IFERROR(时间!$B$4+AS102,"上周无销量")</f>
        <v>上周无销量</v>
      </c>
    </row>
    <row r="103" spans="1:46">
      <c r="A103" t="s">
        <v>977</v>
      </c>
      <c r="B103" s="5">
        <f>SUMIF('库存（子SKU）'!$C:$C,$A103,'库存（子SKU）'!D:D)</f>
        <v>1</v>
      </c>
      <c r="C103" s="5">
        <f>SUMIF('库存（子SKU）'!$C:$C,$A103,'库存（子SKU）'!E:E)</f>
        <v>1</v>
      </c>
      <c r="D103" s="5">
        <f>SUMIF('库存（子SKU）'!$C:$C,$A103,'库存（子SKU）'!F:F)</f>
        <v>1</v>
      </c>
      <c r="E103" s="5">
        <f>SUMIF('库存（子SKU）'!$C:$C,$A103,'库存（子SKU）'!G:G)</f>
        <v>0</v>
      </c>
      <c r="F103" s="6">
        <v>11.99</v>
      </c>
      <c r="G103">
        <f>SUMIF('库存（子SKU）'!$C:$C,$A103,'库存（子SKU）'!I:I)</f>
        <v>27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27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6</v>
      </c>
      <c r="O103">
        <f>SUMIF('库存（子SKU）'!$C:$C,$A103,'库存（子SKU）'!Q:Q)</f>
        <v>7</v>
      </c>
      <c r="P103">
        <f>SUMIF('库存（子SKU）'!$C:$C,$A103,'库存（子SKU）'!R:R)</f>
        <v>4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>
        <f t="shared" si="32"/>
        <v>0</v>
      </c>
      <c r="W103" s="22">
        <f t="shared" si="33"/>
        <v>0</v>
      </c>
      <c r="X103" s="22">
        <f t="shared" si="34"/>
        <v>0</v>
      </c>
      <c r="Y103" s="22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>
        <f t="shared" si="20"/>
        <v>0</v>
      </c>
      <c r="AE103" s="22">
        <f t="shared" si="21"/>
        <v>0</v>
      </c>
      <c r="AF103" s="22">
        <f t="shared" si="22"/>
        <v>0</v>
      </c>
      <c r="AG103" s="22" t="str">
        <f t="shared" si="23"/>
        <v/>
      </c>
      <c r="AH103">
        <f>SUMIF('库存（子SKU）'!$C:$C,$A103,'库存（子SKU）'!AJ:AJ)</f>
        <v>12</v>
      </c>
      <c r="AI103">
        <f>SUMIF('库存（子SKU）'!$C:$C,$A103,'库存（子SKU）'!AK:AK)</f>
        <v>28</v>
      </c>
      <c r="AJ103">
        <f>SUMIF('库存（子SKU）'!$C:$C,$A103,'库存（子SKU）'!AL:AL)</f>
        <v>11</v>
      </c>
      <c r="AK103">
        <f>SUMIF('库存（子SKU）'!$C:$C,$A103,'库存（子SKU）'!AM:AM)</f>
        <v>0</v>
      </c>
      <c r="AL103" s="22">
        <f t="shared" si="24"/>
        <v>0.0833333333333333</v>
      </c>
      <c r="AM103" s="22">
        <f t="shared" si="25"/>
        <v>0.0357142857142857</v>
      </c>
      <c r="AN103" s="22">
        <f t="shared" si="26"/>
        <v>0.0909090909090909</v>
      </c>
      <c r="AO103" s="22" t="str">
        <f t="shared" si="27"/>
        <v/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18.4285714285714</v>
      </c>
      <c r="AS103">
        <f t="shared" si="31"/>
        <v>189</v>
      </c>
      <c r="AT103" s="2">
        <f>IFERROR(时间!$B$4+AS103,"上周无销量")</f>
        <v>43521</v>
      </c>
    </row>
    <row r="104" spans="1:46">
      <c r="A104" t="s">
        <v>990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0</v>
      </c>
      <c r="H104">
        <f>SUMIF('库存（子SKU）'!$C:$C,$A104,'库存（子SKU）'!J:J)</f>
        <v>54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54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54</v>
      </c>
      <c r="AS104" t="str">
        <f t="shared" si="31"/>
        <v>库存为54</v>
      </c>
      <c r="AT104" s="2" t="str">
        <f>IFERROR(时间!$B$4+AS104,"上周无销量")</f>
        <v>上周无销量</v>
      </c>
    </row>
    <row r="105" spans="1:46">
      <c r="A105" t="s">
        <v>1009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0</v>
      </c>
      <c r="H105">
        <f>SUMIF('库存（子SKU）'!$C:$C,$A105,'库存（子SKU）'!J:J)</f>
        <v>54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54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 t="str">
        <f t="shared" si="24"/>
        <v/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54</v>
      </c>
      <c r="AS105" t="str">
        <f t="shared" si="31"/>
        <v>库存为54</v>
      </c>
      <c r="AT105" s="2" t="str">
        <f>IFERROR(时间!$B$4+AS105,"上周无销量")</f>
        <v>上周无销量</v>
      </c>
    </row>
    <row r="106" spans="1:46">
      <c r="A106" t="s">
        <v>1028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36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1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>
        <f t="shared" si="24"/>
        <v>0</v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36</v>
      </c>
      <c r="AS106" t="str">
        <f t="shared" si="31"/>
        <v>库存为36</v>
      </c>
      <c r="AT106" s="2" t="str">
        <f>IFERROR(时间!$B$4+AS106,"上周无销量")</f>
        <v>上周无销量</v>
      </c>
    </row>
    <row r="107" spans="1:46">
      <c r="A107" t="s">
        <v>1041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53</v>
      </c>
      <c r="G107">
        <f>SUMIF('库存（子SKU）'!$C:$C,$A107,'库存（子SKU）'!I:I)</f>
        <v>36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36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1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>
        <f t="shared" si="24"/>
        <v>0</v>
      </c>
      <c r="AM107" s="22" t="str">
        <f t="shared" si="25"/>
        <v/>
      </c>
      <c r="AN107" s="22" t="str">
        <f t="shared" si="26"/>
        <v/>
      </c>
      <c r="AO107" s="22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36</v>
      </c>
      <c r="AS107" t="str">
        <f t="shared" si="31"/>
        <v>库存为36</v>
      </c>
      <c r="AT107" s="2" t="str">
        <f>IFERROR(时间!$B$4+AS107,"上周无销量")</f>
        <v>上周无销量</v>
      </c>
    </row>
    <row r="108" spans="1:46">
      <c r="A108" t="s">
        <v>1054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53</v>
      </c>
      <c r="H108">
        <f>SUMIF('库存（子SKU）'!$C:$C,$A108,'库存（子SKU）'!J:J)</f>
        <v>0</v>
      </c>
      <c r="I108">
        <f>SUMIF('库存（子SKU）'!$C:$C,$A108,'库存（子SKU）'!K:K)</f>
        <v>1</v>
      </c>
      <c r="J108">
        <f>SUMIF('库存（子SKU）'!$C:$C,$A108,'库存（子SKU）'!L:L)</f>
        <v>0</v>
      </c>
      <c r="K108">
        <f t="shared" si="19"/>
        <v>54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3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>
        <f t="shared" si="24"/>
        <v>0</v>
      </c>
      <c r="AM108" s="22" t="str">
        <f t="shared" si="25"/>
        <v/>
      </c>
      <c r="AN108" s="22" t="str">
        <f t="shared" si="26"/>
        <v/>
      </c>
      <c r="AO108" s="22" t="str">
        <f t="shared" si="27"/>
        <v/>
      </c>
      <c r="AP108" s="7">
        <f t="shared" si="28"/>
        <v>0</v>
      </c>
      <c r="AQ108" s="7">
        <f t="shared" si="29"/>
        <v>0</v>
      </c>
      <c r="AR108" s="7">
        <f t="shared" si="30"/>
        <v>54</v>
      </c>
      <c r="AS108" t="str">
        <f t="shared" si="31"/>
        <v>库存为54</v>
      </c>
      <c r="AT108" s="2" t="str">
        <f>IFERROR(时间!$B$4+AS108,"上周无销量")</f>
        <v>上周无销量</v>
      </c>
    </row>
    <row r="109" spans="1:46">
      <c r="A109" t="s">
        <v>1073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">
        <v>53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 t="str">
        <f t="shared" si="24"/>
        <v/>
      </c>
      <c r="AM109" s="22" t="str">
        <f t="shared" si="25"/>
        <v/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1076</v>
      </c>
      <c r="B110" s="5">
        <f>SUMIF('库存（子SKU）'!$C:$C,$A110,'库存（子SKU）'!D:D)</f>
        <v>2</v>
      </c>
      <c r="C110" s="5">
        <f>SUMIF('库存（子SKU）'!$C:$C,$A110,'库存（子SKU）'!E:E)</f>
        <v>0</v>
      </c>
      <c r="D110" s="5">
        <f>SUMIF('库存（子SKU）'!$C:$C,$A110,'库存（子SKU）'!F:F)</f>
        <v>2</v>
      </c>
      <c r="E110" s="5">
        <f>SUMIF('库存（子SKU）'!$C:$C,$A110,'库存（子SKU）'!G:G)</f>
        <v>1</v>
      </c>
      <c r="F110" s="6">
        <v>24.04</v>
      </c>
      <c r="G110">
        <f>SUMIF('库存（子SKU）'!$C:$C,$A110,'库存（子SKU）'!I:I)</f>
        <v>34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34</v>
      </c>
      <c r="L110">
        <f>SUMIF('库存（子SKU）'!$C:$C,$A110,'库存（子SKU）'!N:N)</f>
        <v>0</v>
      </c>
      <c r="M110">
        <f>SUMIF('库存（子SKU）'!$C:$C,$A110,'库存（子SKU）'!O:O)</f>
        <v>7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 t="str">
        <f t="shared" si="21"/>
        <v/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173</v>
      </c>
      <c r="AI110">
        <f>SUMIF('库存（子SKU）'!$C:$C,$A110,'库存（子SKU）'!AK:AK)</f>
        <v>143</v>
      </c>
      <c r="AJ110">
        <f>SUMIF('库存（子SKU）'!$C:$C,$A110,'库存（子SKU）'!AL:AL)</f>
        <v>66</v>
      </c>
      <c r="AK110">
        <f>SUMIF('库存（子SKU）'!$C:$C,$A110,'库存（子SKU）'!AM:AM)</f>
        <v>86</v>
      </c>
      <c r="AL110" s="22">
        <f t="shared" si="24"/>
        <v>0.0115606936416185</v>
      </c>
      <c r="AM110" s="22">
        <f t="shared" si="25"/>
        <v>0</v>
      </c>
      <c r="AN110" s="22">
        <f t="shared" si="26"/>
        <v>0.0303030303030303</v>
      </c>
      <c r="AO110" s="22">
        <f t="shared" si="27"/>
        <v>0.0116279069767442</v>
      </c>
      <c r="AP110" s="7">
        <f t="shared" si="28"/>
        <v>0.285714285714286</v>
      </c>
      <c r="AQ110" s="7">
        <f t="shared" si="29"/>
        <v>17.1428571428571</v>
      </c>
      <c r="AR110" s="7">
        <f t="shared" si="30"/>
        <v>16.8571428571429</v>
      </c>
      <c r="AS110">
        <f t="shared" si="31"/>
        <v>119</v>
      </c>
      <c r="AT110" s="2">
        <f>IFERROR(时间!$B$4+AS110,"上周无销量")</f>
        <v>43451</v>
      </c>
    </row>
    <row r="111" spans="1:46">
      <c r="A111" t="s">
        <v>1085</v>
      </c>
      <c r="B111" s="5">
        <f>SUMIF('库存（子SKU）'!$C:$C,$A111,'库存（子SKU）'!D:D)</f>
        <v>4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0</v>
      </c>
      <c r="G111">
        <f>SUMIF('库存（子SKU）'!$C:$C,$A111,'库存（子SKU）'!I:I)</f>
        <v>21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21</v>
      </c>
      <c r="L111">
        <f>SUMIF('库存（子SKU）'!$C:$C,$A111,'库存（子SKU）'!N:N)</f>
        <v>0</v>
      </c>
      <c r="M111">
        <f>SUMIF('库存（子SKU）'!$C:$C,$A111,'库存（子SKU）'!O:O)</f>
        <v>21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39</v>
      </c>
      <c r="AI111">
        <f>SUMIF('库存（子SKU）'!$C:$C,$A111,'库存（子SKU）'!AK:AK)</f>
        <v>61</v>
      </c>
      <c r="AJ111">
        <f>SUMIF('库存（子SKU）'!$C:$C,$A111,'库存（子SKU）'!AL:AL)</f>
        <v>44</v>
      </c>
      <c r="AK111">
        <f>SUMIF('库存（子SKU）'!$C:$C,$A111,'库存（子SKU）'!AM:AM)</f>
        <v>31</v>
      </c>
      <c r="AL111" s="22">
        <f t="shared" si="24"/>
        <v>0.102564102564103</v>
      </c>
      <c r="AM111" s="22">
        <f t="shared" si="25"/>
        <v>0</v>
      </c>
      <c r="AN111" s="22">
        <f t="shared" si="26"/>
        <v>0</v>
      </c>
      <c r="AO111" s="22">
        <f t="shared" si="27"/>
        <v>0</v>
      </c>
      <c r="AP111" s="7">
        <f t="shared" si="28"/>
        <v>0.571428571428571</v>
      </c>
      <c r="AQ111" s="7">
        <f t="shared" si="29"/>
        <v>34.2857142857143</v>
      </c>
      <c r="AR111" s="7">
        <f t="shared" si="30"/>
        <v>-13.2857142857143</v>
      </c>
      <c r="AS111">
        <f t="shared" si="31"/>
        <v>36</v>
      </c>
      <c r="AT111" s="2">
        <f>IFERROR(时间!$B$4+AS111,"上周无销量")</f>
        <v>43368</v>
      </c>
    </row>
    <row r="112" spans="1:46">
      <c r="A112" t="s">
        <v>1100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1</v>
      </c>
      <c r="E112" s="5">
        <f>SUMIF('库存（子SKU）'!$C:$C,$A112,'库存（子SKU）'!G:G)</f>
        <v>0</v>
      </c>
      <c r="F112" s="6">
        <v>23.9</v>
      </c>
      <c r="G112">
        <f>SUMIF('库存（子SKU）'!$C:$C,$A112,'库存（子SKU）'!I:I)</f>
        <v>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>
        <f t="shared" si="22"/>
        <v>0</v>
      </c>
      <c r="AG112" s="22" t="str">
        <f t="shared" si="23"/>
        <v/>
      </c>
      <c r="AH112">
        <f>SUMIF('库存（子SKU）'!$C:$C,$A112,'库存（子SKU）'!AJ:AJ)</f>
        <v>7</v>
      </c>
      <c r="AI112">
        <f>SUMIF('库存（子SKU）'!$C:$C,$A112,'库存（子SKU）'!AK:AK)</f>
        <v>10</v>
      </c>
      <c r="AJ112">
        <f>SUMIF('库存（子SKU）'!$C:$C,$A112,'库存（子SKU）'!AL:AL)</f>
        <v>4</v>
      </c>
      <c r="AK112">
        <f>SUMIF('库存（子SKU）'!$C:$C,$A112,'库存（子SKU）'!AM:AM)</f>
        <v>12</v>
      </c>
      <c r="AL112" s="22">
        <f t="shared" si="24"/>
        <v>0</v>
      </c>
      <c r="AM112" s="22">
        <f t="shared" si="25"/>
        <v>0</v>
      </c>
      <c r="AN112" s="22">
        <f t="shared" si="26"/>
        <v>0.25</v>
      </c>
      <c r="AO112" s="22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2</v>
      </c>
      <c r="AS112" t="str">
        <f t="shared" si="31"/>
        <v>库存为2</v>
      </c>
      <c r="AT112" s="2" t="str">
        <f>IFERROR(时间!$B$4+AS112,"上周无销量")</f>
        <v>上周无销量</v>
      </c>
    </row>
    <row r="113" spans="1:46">
      <c r="A113" t="s">
        <v>1103</v>
      </c>
      <c r="B113" s="5">
        <f>SUMIF('库存（子SKU）'!$C:$C,$A113,'库存（子SKU）'!D:D)</f>
        <v>76</v>
      </c>
      <c r="C113" s="5">
        <f>SUMIF('库存（子SKU）'!$C:$C,$A113,'库存（子SKU）'!E:E)</f>
        <v>61</v>
      </c>
      <c r="D113" s="5">
        <f>SUMIF('库存（子SKU）'!$C:$C,$A113,'库存（子SKU）'!F:F)</f>
        <v>48</v>
      </c>
      <c r="E113" s="5">
        <f>SUMIF('库存（子SKU）'!$C:$C,$A113,'库存（子SKU）'!G:G)</f>
        <v>82</v>
      </c>
      <c r="F113" s="6">
        <v>17.5486891385768</v>
      </c>
      <c r="G113">
        <f>SUMIF('库存（子SKU）'!$C:$C,$A113,'库存（子SKU）'!I:I)</f>
        <v>198</v>
      </c>
      <c r="H113">
        <f>SUMIF('库存（子SKU）'!$C:$C,$A113,'库存（子SKU）'!J:J)</f>
        <v>16</v>
      </c>
      <c r="I113">
        <f>SUMIF('库存（子SKU）'!$C:$C,$A113,'库存（子SKU）'!K:K)</f>
        <v>0</v>
      </c>
      <c r="J113">
        <f>SUMIF('库存（子SKU）'!$C:$C,$A113,'库存（子SKU）'!L:L)</f>
        <v>62</v>
      </c>
      <c r="K113">
        <f t="shared" si="19"/>
        <v>276</v>
      </c>
      <c r="L113">
        <f>SUMIF('库存（子SKU）'!$C:$C,$A113,'库存（子SKU）'!N:N)</f>
        <v>1</v>
      </c>
      <c r="M113">
        <f>SUMIF('库存（子SKU）'!$C:$C,$A113,'库存（子SKU）'!O:O)</f>
        <v>41</v>
      </c>
      <c r="N113">
        <f>SUMIF('库存（子SKU）'!$C:$C,$A113,'库存（子SKU）'!P:P)</f>
        <v>20512</v>
      </c>
      <c r="O113">
        <f>SUMIF('库存（子SKU）'!$C:$C,$A113,'库存（子SKU）'!Q:Q)</f>
        <v>25512</v>
      </c>
      <c r="P113">
        <f>SUMIF('库存（子SKU）'!$C:$C,$A113,'库存（子SKU）'!R:R)</f>
        <v>31757</v>
      </c>
      <c r="Q113">
        <f>SUMIF('库存（子SKU）'!$C:$C,$A113,'库存（子SKU）'!S:S)</f>
        <v>63625</v>
      </c>
      <c r="R113">
        <f>SUMIF('库存（子SKU）'!$C:$C,$A113,'库存（子SKU）'!T:T)</f>
        <v>197</v>
      </c>
      <c r="S113">
        <f>SUMIF('库存（子SKU）'!$C:$C,$A113,'库存（子SKU）'!U:U)</f>
        <v>220</v>
      </c>
      <c r="T113">
        <f>SUMIF('库存（子SKU）'!$C:$C,$A113,'库存（子SKU）'!V:V)</f>
        <v>211</v>
      </c>
      <c r="U113">
        <f>SUMIF('库存（子SKU）'!$C:$C,$A113,'库存（子SKU）'!W:W)</f>
        <v>348</v>
      </c>
      <c r="V113" s="22">
        <f t="shared" si="32"/>
        <v>0.00960413416536661</v>
      </c>
      <c r="W113" s="22">
        <f t="shared" si="33"/>
        <v>0.00862339291313892</v>
      </c>
      <c r="X113" s="22">
        <f t="shared" si="34"/>
        <v>0.00664420442737034</v>
      </c>
      <c r="Y113" s="22">
        <f t="shared" si="35"/>
        <v>0.00546954813359529</v>
      </c>
      <c r="Z113">
        <f>SUMIF('库存（子SKU）'!$C:$C,$A113,'库存（子SKU）'!AB:AB)</f>
        <v>86.98</v>
      </c>
      <c r="AA113">
        <f>SUMIF('库存（子SKU）'!$C:$C,$A113,'库存（子SKU）'!AC:AC)</f>
        <v>93.48</v>
      </c>
      <c r="AB113">
        <f>SUMIF('库存（子SKU）'!$C:$C,$A113,'库存（子SKU）'!AD:AD)</f>
        <v>115.27</v>
      </c>
      <c r="AC113">
        <f>SUMIF('库存（子SKU）'!$C:$C,$A113,'库存（子SKU）'!AE:AE)</f>
        <v>175.37</v>
      </c>
      <c r="AD113" s="22">
        <f t="shared" si="20"/>
        <v>0.0652170469926817</v>
      </c>
      <c r="AE113" s="22">
        <f t="shared" si="21"/>
        <v>0.0873261247203177</v>
      </c>
      <c r="AF113" s="22">
        <f t="shared" si="22"/>
        <v>0.136845454060399</v>
      </c>
      <c r="AG113" s="22">
        <f t="shared" si="23"/>
        <v>0.121869988105494</v>
      </c>
      <c r="AH113">
        <f>SUMIF('库存（子SKU）'!$C:$C,$A113,'库存（子SKU）'!AJ:AJ)</f>
        <v>1435</v>
      </c>
      <c r="AI113">
        <f>SUMIF('库存（子SKU）'!$C:$C,$A113,'库存（子SKU）'!AK:AK)</f>
        <v>1332</v>
      </c>
      <c r="AJ113">
        <f>SUMIF('库存（子SKU）'!$C:$C,$A113,'库存（子SKU）'!AL:AL)</f>
        <v>793</v>
      </c>
      <c r="AK113">
        <f>SUMIF('库存（子SKU）'!$C:$C,$A113,'库存（子SKU）'!AM:AM)</f>
        <v>1096</v>
      </c>
      <c r="AL113" s="22">
        <f t="shared" si="24"/>
        <v>0.0529616724738676</v>
      </c>
      <c r="AM113" s="22">
        <f t="shared" si="25"/>
        <v>0.0457957957957958</v>
      </c>
      <c r="AN113" s="22">
        <f t="shared" si="26"/>
        <v>0.0605296343001261</v>
      </c>
      <c r="AO113" s="22">
        <f t="shared" si="27"/>
        <v>0.0748175182481752</v>
      </c>
      <c r="AP113" s="7">
        <f t="shared" si="28"/>
        <v>10.8571428571429</v>
      </c>
      <c r="AQ113" s="7">
        <f t="shared" si="29"/>
        <v>651.428571428571</v>
      </c>
      <c r="AR113" s="7">
        <f t="shared" si="30"/>
        <v>-375.428571428571</v>
      </c>
      <c r="AS113">
        <f t="shared" si="31"/>
        <v>25</v>
      </c>
      <c r="AT113" s="2">
        <f>IFERROR(时间!$B$4+AS113,"上周无销量")</f>
        <v>43357</v>
      </c>
    </row>
    <row r="114" spans="1:46">
      <c r="A114" t="s">
        <v>1138</v>
      </c>
      <c r="B114" s="5">
        <f>SUMIF('库存（子SKU）'!$C:$C,$A114,'库存（子SKU）'!D:D)</f>
        <v>11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>
        <v>0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1.57142857142857</v>
      </c>
      <c r="AQ114" s="7">
        <f t="shared" si="29"/>
        <v>94.2857142857143</v>
      </c>
      <c r="AR114" s="7">
        <f t="shared" si="30"/>
        <v>-94.2857142857143</v>
      </c>
      <c r="AS114">
        <f t="shared" si="31"/>
        <v>0</v>
      </c>
      <c r="AT114" s="2">
        <f>IFERROR(时间!$B$4+AS114,"上周无销量")</f>
        <v>43332</v>
      </c>
    </row>
    <row r="115" spans="1:46">
      <c r="A115" t="s">
        <v>1143</v>
      </c>
      <c r="B115" s="5">
        <f>SUMIF('库存（子SKU）'!$C:$C,$A115,'库存（子SKU）'!D:D)</f>
        <v>17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>
        <v>0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2.42857142857143</v>
      </c>
      <c r="AQ115" s="7">
        <f t="shared" si="29"/>
        <v>145.714285714286</v>
      </c>
      <c r="AR115" s="7">
        <f t="shared" si="30"/>
        <v>-145.714285714286</v>
      </c>
      <c r="AS115">
        <f t="shared" si="31"/>
        <v>0</v>
      </c>
      <c r="AT115" s="2">
        <f>IFERROR(时间!$B$4+AS115,"上周无销量")</f>
        <v>43332</v>
      </c>
    </row>
    <row r="116" spans="1:46">
      <c r="A116" t="s">
        <v>1150</v>
      </c>
      <c r="B116" s="5">
        <f>SUMIF('库存（子SKU）'!$C:$C,$A116,'库存（子SKU）'!D:D)</f>
        <v>139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>
        <v>0</v>
      </c>
      <c r="G116">
        <f>SUMIF('库存（子SKU）'!$C:$C,$A116,'库存（子SKU）'!I:I)</f>
        <v>62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62</v>
      </c>
      <c r="L116">
        <f>SUMIF('库存（子SKU）'!$C:$C,$A116,'库存（子SKU）'!N:N)</f>
        <v>0</v>
      </c>
      <c r="M116">
        <f>SUMIF('库存（子SKU）'!$C:$C,$A116,'库存（子SKU）'!O:O)</f>
        <v>62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19.8571428571429</v>
      </c>
      <c r="AQ116" s="7">
        <f t="shared" si="29"/>
        <v>1191.42857142857</v>
      </c>
      <c r="AR116" s="7">
        <f t="shared" si="30"/>
        <v>-1129.42857142857</v>
      </c>
      <c r="AS116">
        <f t="shared" si="31"/>
        <v>3</v>
      </c>
      <c r="AT116" s="2">
        <f>IFERROR(时间!$B$4+AS116,"上周无销量")</f>
        <v>43335</v>
      </c>
    </row>
    <row r="117" spans="1:46">
      <c r="A117" t="s">
        <v>1181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">
        <v>53</v>
      </c>
      <c r="G117">
        <f>SUMIF('库存（子SKU）'!$C:$C,$A117,'库存（子SKU）'!I:I)</f>
        <v>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2" t="str">
        <f t="shared" si="24"/>
        <v/>
      </c>
      <c r="AM117" s="22" t="str">
        <f t="shared" si="25"/>
        <v/>
      </c>
      <c r="AN117" s="22" t="str">
        <f t="shared" si="26"/>
        <v/>
      </c>
      <c r="AO117" s="22" t="str">
        <f t="shared" si="27"/>
        <v/>
      </c>
      <c r="AP117" s="7">
        <f t="shared" si="28"/>
        <v>0</v>
      </c>
      <c r="AQ117" s="7">
        <f t="shared" si="29"/>
        <v>0</v>
      </c>
      <c r="AR117" s="7">
        <f t="shared" si="30"/>
        <v>2</v>
      </c>
      <c r="AS117" t="str">
        <f t="shared" si="31"/>
        <v>库存为2</v>
      </c>
      <c r="AT117" s="2" t="str">
        <f>IFERROR(时间!$B$4+AS117,"上周无销量")</f>
        <v>上周无销量</v>
      </c>
    </row>
    <row r="118" spans="1:46">
      <c r="A118" t="s">
        <v>1184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34</v>
      </c>
      <c r="O118">
        <f>SUMIF('库存（子SKU）'!$C:$C,$A118,'库存（子SKU）'!Q:Q)</f>
        <v>1162</v>
      </c>
      <c r="P118">
        <f>SUMIF('库存（子SKU）'!$C:$C,$A118,'库存（子SKU）'!R:R)</f>
        <v>937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2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>
        <f t="shared" si="32"/>
        <v>0</v>
      </c>
      <c r="W118" s="22">
        <f t="shared" si="33"/>
        <v>0.00172117039586919</v>
      </c>
      <c r="X118" s="22">
        <f t="shared" si="34"/>
        <v>0</v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1.08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>无销量广告费为1.08</v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1</v>
      </c>
      <c r="AI118">
        <f>SUMIF('库存（子SKU）'!$C:$C,$A118,'库存（子SKU）'!AK:AK)</f>
        <v>6</v>
      </c>
      <c r="AJ118">
        <f>SUMIF('库存（子SKU）'!$C:$C,$A118,'库存（子SKU）'!AL:AL)</f>
        <v>2</v>
      </c>
      <c r="AK118">
        <f>SUMIF('库存（子SKU）'!$C:$C,$A118,'库存（子SKU）'!AM:AM)</f>
        <v>1</v>
      </c>
      <c r="AL118" s="22">
        <f t="shared" si="24"/>
        <v>0</v>
      </c>
      <c r="AM118" s="22">
        <f t="shared" si="25"/>
        <v>0</v>
      </c>
      <c r="AN118" s="22">
        <f t="shared" si="26"/>
        <v>0</v>
      </c>
      <c r="AO118" s="22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1188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53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6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1193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">
        <v>53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45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 t="str">
        <f t="shared" si="24"/>
        <v/>
      </c>
      <c r="AM120" s="22" t="str">
        <f t="shared" si="25"/>
        <v/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1202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53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 t="str">
        <f t="shared" si="24"/>
        <v/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0</v>
      </c>
      <c r="AS121" t="str">
        <f t="shared" si="31"/>
        <v>库存为0</v>
      </c>
      <c r="AT121" s="2" t="str">
        <f>IFERROR(时间!$B$4+AS121,"上周无销量")</f>
        <v>上周无销量</v>
      </c>
    </row>
    <row r="122" spans="1:46">
      <c r="A122" t="s">
        <v>1205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">
        <v>53</v>
      </c>
      <c r="G122">
        <f>SUMIF('库存（子SKU）'!$C:$C,$A122,'库存（子SKU）'!I:I)</f>
        <v>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13</v>
      </c>
      <c r="AI122">
        <f>SUMIF('库存（子SKU）'!$C:$C,$A122,'库存（子SKU）'!AK:AK)</f>
        <v>15</v>
      </c>
      <c r="AJ122">
        <f>SUMIF('库存（子SKU）'!$C:$C,$A122,'库存（子SKU）'!AL:AL)</f>
        <v>23</v>
      </c>
      <c r="AK122">
        <f>SUMIF('库存（子SKU）'!$C:$C,$A122,'库存（子SKU）'!AM:AM)</f>
        <v>15</v>
      </c>
      <c r="AL122" s="22">
        <f t="shared" si="24"/>
        <v>0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</v>
      </c>
      <c r="AQ122" s="7">
        <f t="shared" si="29"/>
        <v>0</v>
      </c>
      <c r="AR122" s="7">
        <f t="shared" si="30"/>
        <v>1</v>
      </c>
      <c r="AS122" t="str">
        <f t="shared" si="31"/>
        <v>库存为1</v>
      </c>
      <c r="AT122" s="2" t="str">
        <f>IFERROR(时间!$B$4+AS122,"上周无销量")</f>
        <v>上周无销量</v>
      </c>
    </row>
    <row r="123" spans="1:46">
      <c r="A123" t="s">
        <v>1208</v>
      </c>
      <c r="B123" s="5">
        <f>SUMIF('库存（子SKU）'!$C:$C,$A123,'库存（子SKU）'!D:D)</f>
        <v>1</v>
      </c>
      <c r="C123" s="5">
        <f>SUMIF('库存（子SKU）'!$C:$C,$A123,'库存（子SKU）'!E:E)</f>
        <v>1</v>
      </c>
      <c r="D123" s="5">
        <f>SUMIF('库存（子SKU）'!$C:$C,$A123,'库存（子SKU）'!F:F)</f>
        <v>4</v>
      </c>
      <c r="E123" s="5">
        <f>SUMIF('库存（子SKU）'!$C:$C,$A123,'库存（子SKU）'!G:G)</f>
        <v>5</v>
      </c>
      <c r="F123" s="6">
        <v>18.5327272727273</v>
      </c>
      <c r="G123">
        <f>SUMIF('库存（子SKU）'!$C:$C,$A123,'库存（子SKU）'!I:I)</f>
        <v>15</v>
      </c>
      <c r="H123">
        <f>SUMIF('库存（子SKU）'!$C:$C,$A123,'库存（子SKU）'!J:J)</f>
        <v>13</v>
      </c>
      <c r="I123">
        <f>SUMIF('库存（子SKU）'!$C:$C,$A123,'库存（子SKU）'!K:K)</f>
        <v>0</v>
      </c>
      <c r="J123">
        <f>SUMIF('库存（子SKU）'!$C:$C,$A123,'库存（子SKU）'!L:L)</f>
        <v>7</v>
      </c>
      <c r="K123">
        <f t="shared" si="19"/>
        <v>35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1652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3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>
        <f t="shared" si="32"/>
        <v>0.00181598062953995</v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0.78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>
        <f t="shared" si="20"/>
        <v>0.0420877072500735</v>
      </c>
      <c r="AE123" s="22">
        <f t="shared" si="21"/>
        <v>0</v>
      </c>
      <c r="AF123" s="22">
        <f t="shared" si="22"/>
        <v>0</v>
      </c>
      <c r="AG123" s="22">
        <f t="shared" si="23"/>
        <v>0</v>
      </c>
      <c r="AH123">
        <f>SUMIF('库存（子SKU）'!$C:$C,$A123,'库存（子SKU）'!AJ:AJ)</f>
        <v>64</v>
      </c>
      <c r="AI123">
        <f>SUMIF('库存（子SKU）'!$C:$C,$A123,'库存（子SKU）'!AK:AK)</f>
        <v>119</v>
      </c>
      <c r="AJ123">
        <f>SUMIF('库存（子SKU）'!$C:$C,$A123,'库存（子SKU）'!AL:AL)</f>
        <v>99</v>
      </c>
      <c r="AK123">
        <f>SUMIF('库存（子SKU）'!$C:$C,$A123,'库存（子SKU）'!AM:AM)</f>
        <v>50</v>
      </c>
      <c r="AL123" s="22">
        <f t="shared" si="24"/>
        <v>0.015625</v>
      </c>
      <c r="AM123" s="22">
        <f t="shared" si="25"/>
        <v>0.00840336134453781</v>
      </c>
      <c r="AN123" s="22">
        <f t="shared" si="26"/>
        <v>0.0404040404040404</v>
      </c>
      <c r="AO123" s="22">
        <f t="shared" si="27"/>
        <v>0.1</v>
      </c>
      <c r="AP123" s="7">
        <f t="shared" si="28"/>
        <v>0.142857142857143</v>
      </c>
      <c r="AQ123" s="7">
        <f t="shared" si="29"/>
        <v>8.57142857142857</v>
      </c>
      <c r="AR123" s="7">
        <f t="shared" si="30"/>
        <v>26.4285714285714</v>
      </c>
      <c r="AS123">
        <f t="shared" si="31"/>
        <v>245</v>
      </c>
      <c r="AT123" s="2">
        <f>IFERROR(时间!$B$4+AS123,"上周无销量")</f>
        <v>43577</v>
      </c>
    </row>
    <row r="124" spans="1:46">
      <c r="A124" t="s">
        <v>1215</v>
      </c>
      <c r="B124" s="5">
        <f>SUMIF('库存（子SKU）'!$C:$C,$A124,'库存（子SKU）'!D:D)</f>
        <v>1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2</v>
      </c>
      <c r="F124" s="6">
        <v>18.6533333333333</v>
      </c>
      <c r="G124">
        <f>SUMIF('库存（子SKU）'!$C:$C,$A124,'库存（子SKU）'!I:I)</f>
        <v>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6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>
        <f t="shared" si="20"/>
        <v>0</v>
      </c>
      <c r="AE124" s="22" t="str">
        <f t="shared" si="21"/>
        <v/>
      </c>
      <c r="AF124" s="22" t="str">
        <f t="shared" si="22"/>
        <v/>
      </c>
      <c r="AG124" s="22">
        <f t="shared" si="23"/>
        <v>0</v>
      </c>
      <c r="AH124">
        <f>SUMIF('库存（子SKU）'!$C:$C,$A124,'库存（子SKU）'!AJ:AJ)</f>
        <v>22</v>
      </c>
      <c r="AI124">
        <f>SUMIF('库存（子SKU）'!$C:$C,$A124,'库存（子SKU）'!AK:AK)</f>
        <v>21</v>
      </c>
      <c r="AJ124">
        <f>SUMIF('库存（子SKU）'!$C:$C,$A124,'库存（子SKU）'!AL:AL)</f>
        <v>21</v>
      </c>
      <c r="AK124">
        <f>SUMIF('库存（子SKU）'!$C:$C,$A124,'库存（子SKU）'!AM:AM)</f>
        <v>11</v>
      </c>
      <c r="AL124" s="22">
        <f t="shared" si="24"/>
        <v>0.0454545454545455</v>
      </c>
      <c r="AM124" s="22">
        <f t="shared" si="25"/>
        <v>0</v>
      </c>
      <c r="AN124" s="22">
        <f t="shared" si="26"/>
        <v>0</v>
      </c>
      <c r="AO124" s="22">
        <f t="shared" si="27"/>
        <v>0.181818181818182</v>
      </c>
      <c r="AP124" s="7">
        <f t="shared" si="28"/>
        <v>0.142857142857143</v>
      </c>
      <c r="AQ124" s="7">
        <f t="shared" si="29"/>
        <v>8.57142857142857</v>
      </c>
      <c r="AR124" s="7">
        <f t="shared" si="30"/>
        <v>-2.57142857142857</v>
      </c>
      <c r="AS124">
        <f t="shared" si="31"/>
        <v>42</v>
      </c>
      <c r="AT124" s="2">
        <f>IFERROR(时间!$B$4+AS124,"上周无销量")</f>
        <v>43374</v>
      </c>
    </row>
    <row r="125" spans="1:46">
      <c r="A125" t="s">
        <v>1218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53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 t="str">
        <f t="shared" si="20"/>
        <v/>
      </c>
      <c r="AE125" s="22" t="str">
        <f t="shared" si="21"/>
        <v/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2" t="str">
        <f t="shared" si="24"/>
        <v/>
      </c>
      <c r="AM125" s="22" t="str">
        <f t="shared" si="25"/>
        <v/>
      </c>
      <c r="AN125" s="22" t="str">
        <f t="shared" si="26"/>
        <v/>
      </c>
      <c r="AO125" s="22" t="str">
        <f t="shared" si="27"/>
        <v/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1221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1224</v>
      </c>
      <c r="B127" s="5">
        <f>SUMIF('库存（子SKU）'!$C:$C,$A127,'库存（子SKU）'!D:D)</f>
        <v>3</v>
      </c>
      <c r="C127" s="5">
        <f>SUMIF('库存（子SKU）'!$C:$C,$A127,'库存（子SKU）'!E:E)</f>
        <v>2</v>
      </c>
      <c r="D127" s="5">
        <f>SUMIF('库存（子SKU）'!$C:$C,$A127,'库存（子SKU）'!F:F)</f>
        <v>2</v>
      </c>
      <c r="E127" s="5">
        <f>SUMIF('库存（子SKU）'!$C:$C,$A127,'库存（子SKU）'!G:G)</f>
        <v>6</v>
      </c>
      <c r="F127" s="6">
        <v>24.99</v>
      </c>
      <c r="G127">
        <f>SUMIF('库存（子SKU）'!$C:$C,$A127,'库存（子SKU）'!I:I)</f>
        <v>14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14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95</v>
      </c>
      <c r="O127">
        <f>SUMIF('库存（子SKU）'!$C:$C,$A127,'库存（子SKU）'!Q:Q)</f>
        <v>83</v>
      </c>
      <c r="P127">
        <f>SUMIF('库存（子SKU）'!$C:$C,$A127,'库存（子SKU）'!R:R)</f>
        <v>477</v>
      </c>
      <c r="Q127">
        <f>SUMIF('库存（子SKU）'!$C:$C,$A127,'库存（子SKU）'!S:S)</f>
        <v>1083</v>
      </c>
      <c r="R127">
        <f>SUMIF('库存（子SKU）'!$C:$C,$A127,'库存（子SKU）'!T:T)</f>
        <v>2</v>
      </c>
      <c r="S127">
        <f>SUMIF('库存（子SKU）'!$C:$C,$A127,'库存（子SKU）'!U:U)</f>
        <v>0</v>
      </c>
      <c r="T127">
        <f>SUMIF('库存（子SKU）'!$C:$C,$A127,'库存（子SKU）'!V:V)</f>
        <v>2</v>
      </c>
      <c r="U127">
        <f>SUMIF('库存（子SKU）'!$C:$C,$A127,'库存（子SKU）'!W:W)</f>
        <v>8</v>
      </c>
      <c r="V127" s="22">
        <f t="shared" si="32"/>
        <v>0.0210526315789474</v>
      </c>
      <c r="W127" s="22">
        <f t="shared" si="33"/>
        <v>0</v>
      </c>
      <c r="X127" s="22">
        <f t="shared" si="34"/>
        <v>0.00419287211740042</v>
      </c>
      <c r="Y127" s="22">
        <f t="shared" si="35"/>
        <v>0.00738688827331487</v>
      </c>
      <c r="Z127">
        <f>SUMIF('库存（子SKU）'!$C:$C,$A127,'库存（子SKU）'!AB:AB)</f>
        <v>0.7</v>
      </c>
      <c r="AA127">
        <f>SUMIF('库存（子SKU）'!$C:$C,$A127,'库存（子SKU）'!AC:AC)</f>
        <v>0</v>
      </c>
      <c r="AB127">
        <f>SUMIF('库存（子SKU）'!$C:$C,$A127,'库存（子SKU）'!AD:AD)</f>
        <v>0.44</v>
      </c>
      <c r="AC127">
        <f>SUMIF('库存（子SKU）'!$C:$C,$A127,'库存（子SKU）'!AE:AE)</f>
        <v>4.03</v>
      </c>
      <c r="AD127" s="22">
        <f t="shared" si="20"/>
        <v>0.00933706816059757</v>
      </c>
      <c r="AE127" s="22">
        <f t="shared" si="21"/>
        <v>0</v>
      </c>
      <c r="AF127" s="22">
        <f t="shared" si="22"/>
        <v>0.00880352140856343</v>
      </c>
      <c r="AG127" s="22">
        <f t="shared" si="23"/>
        <v>0.0268774176337202</v>
      </c>
      <c r="AH127">
        <f>SUMIF('库存（子SKU）'!$C:$C,$A127,'库存（子SKU）'!AJ:AJ)</f>
        <v>207</v>
      </c>
      <c r="AI127">
        <f>SUMIF('库存（子SKU）'!$C:$C,$A127,'库存（子SKU）'!AK:AK)</f>
        <v>142</v>
      </c>
      <c r="AJ127">
        <f>SUMIF('库存（子SKU）'!$C:$C,$A127,'库存（子SKU）'!AL:AL)</f>
        <v>93</v>
      </c>
      <c r="AK127">
        <f>SUMIF('库存（子SKU）'!$C:$C,$A127,'库存（子SKU）'!AM:AM)</f>
        <v>93</v>
      </c>
      <c r="AL127" s="22">
        <f t="shared" si="24"/>
        <v>0.0144927536231884</v>
      </c>
      <c r="AM127" s="22">
        <f t="shared" si="25"/>
        <v>0.0140845070422535</v>
      </c>
      <c r="AN127" s="22">
        <f t="shared" si="26"/>
        <v>0.021505376344086</v>
      </c>
      <c r="AO127" s="22">
        <f t="shared" si="27"/>
        <v>0.0645161290322581</v>
      </c>
      <c r="AP127" s="7">
        <f t="shared" si="28"/>
        <v>0.428571428571429</v>
      </c>
      <c r="AQ127" s="7">
        <f t="shared" si="29"/>
        <v>25.7142857142857</v>
      </c>
      <c r="AR127" s="7">
        <f t="shared" si="30"/>
        <v>-11.7142857142857</v>
      </c>
      <c r="AS127">
        <f t="shared" si="31"/>
        <v>32</v>
      </c>
      <c r="AT127" s="2">
        <f>IFERROR(时间!$B$4+AS127,"上周无销量")</f>
        <v>43364</v>
      </c>
    </row>
    <row r="128" spans="1:46">
      <c r="A128" t="s">
        <v>1227</v>
      </c>
      <c r="B128" s="5">
        <f>SUMIF('库存（子SKU）'!$C:$C,$A128,'库存（子SKU）'!D:D)</f>
        <v>1</v>
      </c>
      <c r="C128" s="5">
        <f>SUMIF('库存（子SKU）'!$C:$C,$A128,'库存（子SKU）'!E:E)</f>
        <v>2</v>
      </c>
      <c r="D128" s="5">
        <f>SUMIF('库存（子SKU）'!$C:$C,$A128,'库存（子SKU）'!F:F)</f>
        <v>1</v>
      </c>
      <c r="E128" s="5">
        <f>SUMIF('库存（子SKU）'!$C:$C,$A128,'库存（子SKU）'!G:G)</f>
        <v>1</v>
      </c>
      <c r="F128" s="6">
        <v>13.26</v>
      </c>
      <c r="G128">
        <f>SUMIF('库存（子SKU）'!$C:$C,$A128,'库存（子SKU）'!I:I)</f>
        <v>20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20</v>
      </c>
      <c r="L128">
        <f>SUMIF('库存（子SKU）'!$C:$C,$A128,'库存（子SKU）'!N:N)</f>
        <v>1</v>
      </c>
      <c r="M128">
        <f>SUMIF('库存（子SKU）'!$C:$C,$A128,'库存（子SKU）'!O:O)</f>
        <v>20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>
        <f t="shared" si="20"/>
        <v>0</v>
      </c>
      <c r="AE128" s="22">
        <f t="shared" si="21"/>
        <v>0</v>
      </c>
      <c r="AF128" s="22">
        <f t="shared" si="22"/>
        <v>0</v>
      </c>
      <c r="AG128" s="22">
        <f t="shared" si="23"/>
        <v>0</v>
      </c>
      <c r="AH128">
        <f>SUMIF('库存（子SKU）'!$C:$C,$A128,'库存（子SKU）'!AJ:AJ)</f>
        <v>31</v>
      </c>
      <c r="AI128">
        <f>SUMIF('库存（子SKU）'!$C:$C,$A128,'库存（子SKU）'!AK:AK)</f>
        <v>35</v>
      </c>
      <c r="AJ128">
        <f>SUMIF('库存（子SKU）'!$C:$C,$A128,'库存（子SKU）'!AL:AL)</f>
        <v>8</v>
      </c>
      <c r="AK128">
        <f>SUMIF('库存（子SKU）'!$C:$C,$A128,'库存（子SKU）'!AM:AM)</f>
        <v>25</v>
      </c>
      <c r="AL128" s="22">
        <f t="shared" si="24"/>
        <v>0.032258064516129</v>
      </c>
      <c r="AM128" s="22">
        <f t="shared" si="25"/>
        <v>0.0571428571428571</v>
      </c>
      <c r="AN128" s="22">
        <f t="shared" si="26"/>
        <v>0.125</v>
      </c>
      <c r="AO128" s="22">
        <f t="shared" si="27"/>
        <v>0.04</v>
      </c>
      <c r="AP128" s="7">
        <f t="shared" si="28"/>
        <v>0.142857142857143</v>
      </c>
      <c r="AQ128" s="7">
        <f t="shared" si="29"/>
        <v>8.57142857142857</v>
      </c>
      <c r="AR128" s="7">
        <f t="shared" si="30"/>
        <v>11.4285714285714</v>
      </c>
      <c r="AS128">
        <f t="shared" si="31"/>
        <v>140</v>
      </c>
      <c r="AT128" s="2">
        <f>IFERROR(时间!$B$4+AS128,"上周无销量")</f>
        <v>43472</v>
      </c>
    </row>
    <row r="129" spans="1:46">
      <c r="A129" t="s">
        <v>1242</v>
      </c>
      <c r="B129" s="5">
        <f>SUMIF('库存（子SKU）'!$C:$C,$A129,'库存（子SKU）'!D:D)</f>
        <v>1</v>
      </c>
      <c r="C129" s="5">
        <f>SUMIF('库存（子SKU）'!$C:$C,$A129,'库存（子SKU）'!E:E)</f>
        <v>0</v>
      </c>
      <c r="D129" s="5">
        <f>SUMIF('库存（子SKU）'!$C:$C,$A129,'库存（子SKU）'!F:F)</f>
        <v>2</v>
      </c>
      <c r="E129" s="5">
        <f>SUMIF('库存（子SKU）'!$C:$C,$A129,'库存（子SKU）'!G:G)</f>
        <v>1</v>
      </c>
      <c r="F129" s="6">
        <v>8.99</v>
      </c>
      <c r="G129">
        <f>SUMIF('库存（子SKU）'!$C:$C,$A129,'库存（子SKU）'!I:I)</f>
        <v>20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20</v>
      </c>
      <c r="L129">
        <f>SUMIF('库存（子SKU）'!$C:$C,$A129,'库存（子SKU）'!N:N)</f>
        <v>0</v>
      </c>
      <c r="M129">
        <f>SUMIF('库存（子SKU）'!$C:$C,$A129,'库存（子SKU）'!O:O)</f>
        <v>16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56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1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>
        <f t="shared" si="35"/>
        <v>0.0178571428571429</v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0.08</v>
      </c>
      <c r="AD129" s="22">
        <f t="shared" si="20"/>
        <v>0</v>
      </c>
      <c r="AE129" s="22" t="str">
        <f t="shared" si="21"/>
        <v/>
      </c>
      <c r="AF129" s="22">
        <f t="shared" si="22"/>
        <v>0</v>
      </c>
      <c r="AG129" s="22">
        <f t="shared" si="23"/>
        <v>0.00889877641824249</v>
      </c>
      <c r="AH129">
        <f>SUMIF('库存（子SKU）'!$C:$C,$A129,'库存（子SKU）'!AJ:AJ)</f>
        <v>21</v>
      </c>
      <c r="AI129">
        <f>SUMIF('库存（子SKU）'!$C:$C,$A129,'库存（子SKU）'!AK:AK)</f>
        <v>49</v>
      </c>
      <c r="AJ129">
        <f>SUMIF('库存（子SKU）'!$C:$C,$A129,'库存（子SKU）'!AL:AL)</f>
        <v>17</v>
      </c>
      <c r="AK129">
        <f>SUMIF('库存（子SKU）'!$C:$C,$A129,'库存（子SKU）'!AM:AM)</f>
        <v>24</v>
      </c>
      <c r="AL129" s="22">
        <f t="shared" si="24"/>
        <v>0.0476190476190476</v>
      </c>
      <c r="AM129" s="22">
        <f t="shared" si="25"/>
        <v>0</v>
      </c>
      <c r="AN129" s="22">
        <f t="shared" si="26"/>
        <v>0.117647058823529</v>
      </c>
      <c r="AO129" s="22">
        <f t="shared" si="27"/>
        <v>0.0416666666666667</v>
      </c>
      <c r="AP129" s="7">
        <f t="shared" si="28"/>
        <v>0.142857142857143</v>
      </c>
      <c r="AQ129" s="7">
        <f t="shared" si="29"/>
        <v>8.57142857142857</v>
      </c>
      <c r="AR129" s="7">
        <f t="shared" si="30"/>
        <v>11.4285714285714</v>
      </c>
      <c r="AS129">
        <f t="shared" si="31"/>
        <v>140</v>
      </c>
      <c r="AT129" s="2">
        <f>IFERROR(时间!$B$4+AS129,"上周无销量")</f>
        <v>43472</v>
      </c>
    </row>
    <row r="130" spans="1:46">
      <c r="A130" t="s">
        <v>1251</v>
      </c>
      <c r="B130" s="5">
        <f>SUMIF('库存（子SKU）'!$C:$C,$A130,'库存（子SKU）'!D:D)</f>
        <v>9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>
        <v>0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1</v>
      </c>
      <c r="AI130">
        <f>SUMIF('库存（子SKU）'!$C:$C,$A130,'库存（子SKU）'!AK:AK)</f>
        <v>43</v>
      </c>
      <c r="AJ130">
        <f>SUMIF('库存（子SKU）'!$C:$C,$A130,'库存（子SKU）'!AL:AL)</f>
        <v>18</v>
      </c>
      <c r="AK130">
        <f>SUMIF('库存（子SKU）'!$C:$C,$A130,'库存（子SKU）'!AM:AM)</f>
        <v>35</v>
      </c>
      <c r="AL130" s="22">
        <f t="shared" si="24"/>
        <v>9</v>
      </c>
      <c r="AM130" s="22">
        <f t="shared" si="25"/>
        <v>0</v>
      </c>
      <c r="AN130" s="22">
        <f t="shared" si="26"/>
        <v>0</v>
      </c>
      <c r="AO130" s="22">
        <f t="shared" si="27"/>
        <v>0</v>
      </c>
      <c r="AP130" s="7">
        <f t="shared" si="28"/>
        <v>1.28571428571429</v>
      </c>
      <c r="AQ130" s="7">
        <f t="shared" si="29"/>
        <v>77.1428571428572</v>
      </c>
      <c r="AR130" s="7">
        <f t="shared" si="30"/>
        <v>-77.1428571428572</v>
      </c>
      <c r="AS130">
        <f t="shared" si="31"/>
        <v>0</v>
      </c>
      <c r="AT130" s="2">
        <f>IFERROR(时间!$B$4+AS130,"上周无销量")</f>
        <v>43332</v>
      </c>
    </row>
    <row r="131" spans="1:46">
      <c r="A131" t="s">
        <v>1270</v>
      </c>
      <c r="B131" s="5">
        <f>SUMIF('库存（子SKU）'!$C:$C,$A131,'库存（子SKU）'!D:D)</f>
        <v>1</v>
      </c>
      <c r="C131" s="5">
        <f>SUMIF('库存（子SKU）'!$C:$C,$A131,'库存（子SKU）'!E:E)</f>
        <v>1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>
        <v>4.9</v>
      </c>
      <c r="G131">
        <f>SUMIF('库存（子SKU）'!$C:$C,$A131,'库存（子SKU）'!I:I)</f>
        <v>1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1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>
        <f t="shared" si="20"/>
        <v>0</v>
      </c>
      <c r="AE131" s="22">
        <f t="shared" si="21"/>
        <v>0</v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16</v>
      </c>
      <c r="AI131">
        <f>SUMIF('库存（子SKU）'!$C:$C,$A131,'库存（子SKU）'!AK:AK)</f>
        <v>4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2">
        <f t="shared" si="24"/>
        <v>0.0625</v>
      </c>
      <c r="AM131" s="22">
        <f t="shared" si="25"/>
        <v>0.25</v>
      </c>
      <c r="AN131" s="22" t="str">
        <f t="shared" si="26"/>
        <v/>
      </c>
      <c r="AO131" s="22" t="str">
        <f t="shared" si="27"/>
        <v/>
      </c>
      <c r="AP131" s="7">
        <f t="shared" si="28"/>
        <v>0.142857142857143</v>
      </c>
      <c r="AQ131" s="7">
        <f t="shared" si="29"/>
        <v>8.57142857142857</v>
      </c>
      <c r="AR131" s="7">
        <f t="shared" si="30"/>
        <v>-7.57142857142857</v>
      </c>
      <c r="AS131">
        <f t="shared" si="31"/>
        <v>7</v>
      </c>
      <c r="AT131" s="2">
        <f>IFERROR(时间!$B$4+AS131,"上周无销量")</f>
        <v>43339</v>
      </c>
    </row>
    <row r="132" spans="1:46">
      <c r="A132" t="s">
        <v>1273</v>
      </c>
      <c r="B132" s="5">
        <f>SUMIF('库存（子SKU）'!$C:$C,$A132,'库存（子SKU）'!D:D)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 t="s">
        <v>53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 t="str">
        <f t="shared" si="21"/>
        <v/>
      </c>
      <c r="AF132" s="22" t="str">
        <f t="shared" si="22"/>
        <v/>
      </c>
      <c r="AG132" s="22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2" t="str">
        <f t="shared" si="24"/>
        <v/>
      </c>
      <c r="AM132" s="22" t="str">
        <f t="shared" si="25"/>
        <v/>
      </c>
      <c r="AN132" s="22" t="str">
        <f t="shared" si="26"/>
        <v/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1276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1285</v>
      </c>
      <c r="B134" s="5">
        <f>SUMIF('库存（子SKU）'!$C:$C,$A134,'库存（子SKU）'!D:D)</f>
        <v>22</v>
      </c>
      <c r="C134" s="5">
        <f>SUMIF('库存（子SKU）'!$C:$C,$A134,'库存（子SKU）'!E:E)</f>
        <v>2</v>
      </c>
      <c r="D134" s="5">
        <f>SUMIF('库存（子SKU）'!$C:$C,$A134,'库存（子SKU）'!F:F)</f>
        <v>3</v>
      </c>
      <c r="E134" s="5">
        <f>SUMIF('库存（子SKU）'!$C:$C,$A134,'库存（子SKU）'!G:G)</f>
        <v>2</v>
      </c>
      <c r="F134" s="6">
        <v>3.1351724137931</v>
      </c>
      <c r="G134">
        <f>SUMIF('库存（子SKU）'!$C:$C,$A134,'库存（子SKU）'!I:I)</f>
        <v>33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33</v>
      </c>
      <c r="L134">
        <f>SUMIF('库存（子SKU）'!$C:$C,$A134,'库存（子SKU）'!N:N)</f>
        <v>0</v>
      </c>
      <c r="M134">
        <f>SUMIF('库存（子SKU）'!$C:$C,$A134,'库存（子SKU）'!O:O)</f>
        <v>33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>
        <f t="shared" si="37"/>
        <v>0</v>
      </c>
      <c r="AE134" s="22">
        <f t="shared" si="38"/>
        <v>0</v>
      </c>
      <c r="AF134" s="22">
        <f t="shared" si="39"/>
        <v>0</v>
      </c>
      <c r="AG134" s="22">
        <f t="shared" si="40"/>
        <v>0</v>
      </c>
      <c r="AH134">
        <f>SUMIF('库存（子SKU）'!$C:$C,$A134,'库存（子SKU）'!AJ:AJ)</f>
        <v>73</v>
      </c>
      <c r="AI134">
        <f>SUMIF('库存（子SKU）'!$C:$C,$A134,'库存（子SKU）'!AK:AK)</f>
        <v>110</v>
      </c>
      <c r="AJ134">
        <f>SUMIF('库存（子SKU）'!$C:$C,$A134,'库存（子SKU）'!AL:AL)</f>
        <v>61</v>
      </c>
      <c r="AK134">
        <f>SUMIF('库存（子SKU）'!$C:$C,$A134,'库存（子SKU）'!AM:AM)</f>
        <v>83</v>
      </c>
      <c r="AL134" s="22">
        <f t="shared" si="41"/>
        <v>0.301369863013699</v>
      </c>
      <c r="AM134" s="22">
        <f t="shared" si="42"/>
        <v>0.0181818181818182</v>
      </c>
      <c r="AN134" s="22">
        <f t="shared" si="43"/>
        <v>0.0491803278688525</v>
      </c>
      <c r="AO134" s="22">
        <f t="shared" si="44"/>
        <v>0.0240963855421687</v>
      </c>
      <c r="AP134" s="7">
        <f t="shared" si="45"/>
        <v>3.14285714285714</v>
      </c>
      <c r="AQ134" s="7">
        <f t="shared" si="46"/>
        <v>188.571428571429</v>
      </c>
      <c r="AR134" s="7">
        <f t="shared" si="47"/>
        <v>-155.571428571429</v>
      </c>
      <c r="AS134">
        <f t="shared" si="48"/>
        <v>10</v>
      </c>
      <c r="AT134" s="2">
        <f>IFERROR(时间!$B$4+AS134,"上周无销量")</f>
        <v>43342</v>
      </c>
    </row>
    <row r="135" spans="1:46">
      <c r="A135" t="s">
        <v>1330</v>
      </c>
      <c r="B135" s="5">
        <f>SUMIF('库存（子SKU）'!$C:$C,$A135,'库存（子SKU）'!D:D)</f>
        <v>20</v>
      </c>
      <c r="C135" s="5">
        <f>SUMIF('库存（子SKU）'!$C:$C,$A135,'库存（子SKU）'!E:E)</f>
        <v>9</v>
      </c>
      <c r="D135" s="5">
        <f>SUMIF('库存（子SKU）'!$C:$C,$A135,'库存（子SKU）'!F:F)</f>
        <v>10</v>
      </c>
      <c r="E135" s="5">
        <f>SUMIF('库存（子SKU）'!$C:$C,$A135,'库存（子SKU）'!G:G)</f>
        <v>17</v>
      </c>
      <c r="F135" s="6">
        <v>10.7423214285714</v>
      </c>
      <c r="G135">
        <f>SUMIF('库存（子SKU）'!$C:$C,$A135,'库存（子SKU）'!I:I)</f>
        <v>105</v>
      </c>
      <c r="H135">
        <f>SUMIF('库存（子SKU）'!$C:$C,$A135,'库存（子SKU）'!J:J)</f>
        <v>10</v>
      </c>
      <c r="I135">
        <f>SUMIF('库存（子SKU）'!$C:$C,$A135,'库存（子SKU）'!K:K)</f>
        <v>0</v>
      </c>
      <c r="J135">
        <f>SUMIF('库存（子SKU）'!$C:$C,$A135,'库存（子SKU）'!L:L)</f>
        <v>15</v>
      </c>
      <c r="K135">
        <f t="shared" si="36"/>
        <v>130</v>
      </c>
      <c r="L135">
        <f>SUMIF('库存（子SKU）'!$C:$C,$A135,'库存（子SKU）'!N:N)</f>
        <v>9</v>
      </c>
      <c r="M135">
        <f>SUMIF('库存（子SKU）'!$C:$C,$A135,'库存（子SKU）'!O:O)</f>
        <v>9</v>
      </c>
      <c r="N135">
        <f>SUMIF('库存（子SKU）'!$C:$C,$A135,'库存（子SKU）'!P:P)</f>
        <v>451</v>
      </c>
      <c r="O135">
        <f>SUMIF('库存（子SKU）'!$C:$C,$A135,'库存（子SKU）'!Q:Q)</f>
        <v>382</v>
      </c>
      <c r="P135">
        <f>SUMIF('库存（子SKU）'!$C:$C,$A135,'库存（子SKU）'!R:R)</f>
        <v>351</v>
      </c>
      <c r="Q135">
        <f>SUMIF('库存（子SKU）'!$C:$C,$A135,'库存（子SKU）'!S:S)</f>
        <v>1217</v>
      </c>
      <c r="R135">
        <f>SUMIF('库存（子SKU）'!$C:$C,$A135,'库存（子SKU）'!T:T)</f>
        <v>5</v>
      </c>
      <c r="S135">
        <f>SUMIF('库存（子SKU）'!$C:$C,$A135,'库存（子SKU）'!U:U)</f>
        <v>5</v>
      </c>
      <c r="T135">
        <f>SUMIF('库存（子SKU）'!$C:$C,$A135,'库存（子SKU）'!V:V)</f>
        <v>4</v>
      </c>
      <c r="U135">
        <f>SUMIF('库存（子SKU）'!$C:$C,$A135,'库存（子SKU）'!W:W)</f>
        <v>2</v>
      </c>
      <c r="V135" s="22">
        <f t="shared" si="49"/>
        <v>0.0110864745011086</v>
      </c>
      <c r="W135" s="22">
        <f t="shared" si="50"/>
        <v>0.0130890052356021</v>
      </c>
      <c r="X135" s="22">
        <f t="shared" si="51"/>
        <v>0.0113960113960114</v>
      </c>
      <c r="Y135" s="22">
        <f t="shared" si="52"/>
        <v>0.00164338537387017</v>
      </c>
      <c r="Z135">
        <f>SUMIF('库存（子SKU）'!$C:$C,$A135,'库存（子SKU）'!AB:AB)</f>
        <v>0.81</v>
      </c>
      <c r="AA135">
        <f>SUMIF('库存（子SKU）'!$C:$C,$A135,'库存（子SKU）'!AC:AC)</f>
        <v>0.95</v>
      </c>
      <c r="AB135">
        <f>SUMIF('库存（子SKU）'!$C:$C,$A135,'库存（子SKU）'!AD:AD)</f>
        <v>0.76</v>
      </c>
      <c r="AC135">
        <f>SUMIF('库存（子SKU）'!$C:$C,$A135,'库存（子SKU）'!AE:AE)</f>
        <v>0.43</v>
      </c>
      <c r="AD135" s="22">
        <f t="shared" si="37"/>
        <v>0.00377013481390363</v>
      </c>
      <c r="AE135" s="22">
        <f t="shared" si="38"/>
        <v>0.00982614011854169</v>
      </c>
      <c r="AF135" s="22">
        <f t="shared" si="39"/>
        <v>0.00707482088535002</v>
      </c>
      <c r="AG135" s="22">
        <f t="shared" si="40"/>
        <v>0.00235462305007779</v>
      </c>
      <c r="AH135">
        <f>SUMIF('库存（子SKU）'!$C:$C,$A135,'库存（子SKU）'!AJ:AJ)</f>
        <v>96</v>
      </c>
      <c r="AI135">
        <f>SUMIF('库存（子SKU）'!$C:$C,$A135,'库存（子SKU）'!AK:AK)</f>
        <v>156</v>
      </c>
      <c r="AJ135">
        <f>SUMIF('库存（子SKU）'!$C:$C,$A135,'库存（子SKU）'!AL:AL)</f>
        <v>120</v>
      </c>
      <c r="AK135">
        <f>SUMIF('库存（子SKU）'!$C:$C,$A135,'库存（子SKU）'!AM:AM)</f>
        <v>175</v>
      </c>
      <c r="AL135" s="22">
        <f t="shared" si="41"/>
        <v>0.208333333333333</v>
      </c>
      <c r="AM135" s="22">
        <f t="shared" si="42"/>
        <v>0.0576923076923077</v>
      </c>
      <c r="AN135" s="22">
        <f t="shared" si="43"/>
        <v>0.0833333333333333</v>
      </c>
      <c r="AO135" s="22">
        <f t="shared" si="44"/>
        <v>0.0971428571428571</v>
      </c>
      <c r="AP135" s="7">
        <f t="shared" si="45"/>
        <v>2.85714285714286</v>
      </c>
      <c r="AQ135" s="7">
        <f t="shared" si="46"/>
        <v>171.428571428571</v>
      </c>
      <c r="AR135" s="7">
        <f t="shared" si="47"/>
        <v>-41.4285714285714</v>
      </c>
      <c r="AS135">
        <f t="shared" si="48"/>
        <v>45</v>
      </c>
      <c r="AT135" s="2">
        <f>IFERROR(时间!$B$4+AS135,"上周无销量")</f>
        <v>43377</v>
      </c>
    </row>
    <row r="136" spans="1:46">
      <c r="A136" t="s">
        <v>1351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53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4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2" t="str">
        <f t="shared" si="41"/>
        <v/>
      </c>
      <c r="AM136" s="22">
        <f t="shared" si="42"/>
        <v>0</v>
      </c>
      <c r="AN136" s="22" t="str">
        <f t="shared" si="43"/>
        <v/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1355</v>
      </c>
      <c r="B137" s="5">
        <f>SUMIF('库存（子SKU）'!$C:$C,$A137,'库存（子SKU）'!D:D)</f>
        <v>1082</v>
      </c>
      <c r="C137" s="5">
        <f>SUMIF('库存（子SKU）'!$C:$C,$A137,'库存（子SKU）'!E:E)</f>
        <v>1031</v>
      </c>
      <c r="D137" s="5">
        <f>SUMIF('库存（子SKU）'!$C:$C,$A137,'库存（子SKU）'!F:F)</f>
        <v>1302</v>
      </c>
      <c r="E137" s="5">
        <f>SUMIF('库存（子SKU）'!$C:$C,$A137,'库存（子SKU）'!G:G)</f>
        <v>1068</v>
      </c>
      <c r="F137" s="6">
        <v>23.1793642650013</v>
      </c>
      <c r="G137">
        <f>SUMIF('库存（子SKU）'!$C:$C,$A137,'库存（子SKU）'!I:I)</f>
        <v>1808</v>
      </c>
      <c r="H137">
        <f>SUMIF('库存（子SKU）'!$C:$C,$A137,'库存（子SKU）'!J:J)</f>
        <v>1795</v>
      </c>
      <c r="I137">
        <f>SUMIF('库存（子SKU）'!$C:$C,$A137,'库存（子SKU）'!K:K)</f>
        <v>543</v>
      </c>
      <c r="J137">
        <f>SUMIF('库存（子SKU）'!$C:$C,$A137,'库存（子SKU）'!L:L)</f>
        <v>431</v>
      </c>
      <c r="K137">
        <f t="shared" si="36"/>
        <v>4577</v>
      </c>
      <c r="L137">
        <f>SUMIF('库存（子SKU）'!$C:$C,$A137,'库存（子SKU）'!N:N)</f>
        <v>41</v>
      </c>
      <c r="M137">
        <f>SUMIF('库存（子SKU）'!$C:$C,$A137,'库存（子SKU）'!O:O)</f>
        <v>0</v>
      </c>
      <c r="N137">
        <f>SUMIF('库存（子SKU）'!$C:$C,$A137,'库存（子SKU）'!P:P)</f>
        <v>355304</v>
      </c>
      <c r="O137">
        <f>SUMIF('库存（子SKU）'!$C:$C,$A137,'库存（子SKU）'!Q:Q)</f>
        <v>357097</v>
      </c>
      <c r="P137">
        <f>SUMIF('库存（子SKU）'!$C:$C,$A137,'库存（子SKU）'!R:R)</f>
        <v>325089</v>
      </c>
      <c r="Q137">
        <f>SUMIF('库存（子SKU）'!$C:$C,$A137,'库存（子SKU）'!S:S)</f>
        <v>227346</v>
      </c>
      <c r="R137">
        <f>SUMIF('库存（子SKU）'!$C:$C,$A137,'库存（子SKU）'!T:T)</f>
        <v>961</v>
      </c>
      <c r="S137">
        <f>SUMIF('库存（子SKU）'!$C:$C,$A137,'库存（子SKU）'!U:U)</f>
        <v>945</v>
      </c>
      <c r="T137">
        <f>SUMIF('库存（子SKU）'!$C:$C,$A137,'库存（子SKU）'!V:V)</f>
        <v>985</v>
      </c>
      <c r="U137">
        <f>SUMIF('库存（子SKU）'!$C:$C,$A137,'库存（子SKU）'!W:W)</f>
        <v>789</v>
      </c>
      <c r="V137" s="22">
        <f t="shared" si="49"/>
        <v>0.0027047260937113</v>
      </c>
      <c r="W137" s="22">
        <f t="shared" si="50"/>
        <v>0.00264633979002904</v>
      </c>
      <c r="X137" s="22">
        <f t="shared" si="51"/>
        <v>0.00302993949349255</v>
      </c>
      <c r="Y137" s="22">
        <f t="shared" si="52"/>
        <v>0.00347048111688792</v>
      </c>
      <c r="Z137">
        <f>SUMIF('库存（子SKU）'!$C:$C,$A137,'库存（子SKU）'!AB:AB)</f>
        <v>466.75</v>
      </c>
      <c r="AA137">
        <f>SUMIF('库存（子SKU）'!$C:$C,$A137,'库存（子SKU）'!AC:AC)</f>
        <v>470.56</v>
      </c>
      <c r="AB137">
        <f>SUMIF('库存（子SKU）'!$C:$C,$A137,'库存（子SKU）'!AD:AD)</f>
        <v>536.81</v>
      </c>
      <c r="AC137">
        <f>SUMIF('库存（子SKU）'!$C:$C,$A137,'库存（子SKU）'!AE:AE)</f>
        <v>474.02</v>
      </c>
      <c r="AD137" s="22">
        <f t="shared" si="37"/>
        <v>0.018610393044031</v>
      </c>
      <c r="AE137" s="22">
        <f t="shared" si="38"/>
        <v>0.0196904128169535</v>
      </c>
      <c r="AF137" s="22">
        <f t="shared" si="39"/>
        <v>0.0177872206614577</v>
      </c>
      <c r="AG137" s="22">
        <f t="shared" si="40"/>
        <v>0.0191480208963719</v>
      </c>
      <c r="AH137">
        <f>SUMIF('库存（子SKU）'!$C:$C,$A137,'库存（子SKU）'!AJ:AJ)</f>
        <v>17600</v>
      </c>
      <c r="AI137">
        <f>SUMIF('库存（子SKU）'!$C:$C,$A137,'库存（子SKU）'!AK:AK)</f>
        <v>15159</v>
      </c>
      <c r="AJ137">
        <f>SUMIF('库存（子SKU）'!$C:$C,$A137,'库存（子SKU）'!AL:AL)</f>
        <v>12232</v>
      </c>
      <c r="AK137">
        <f>SUMIF('库存（子SKU）'!$C:$C,$A137,'库存（子SKU）'!AM:AM)</f>
        <v>12722</v>
      </c>
      <c r="AL137" s="22">
        <f t="shared" si="41"/>
        <v>0.0614772727272727</v>
      </c>
      <c r="AM137" s="22">
        <f t="shared" si="42"/>
        <v>0.0680124018734745</v>
      </c>
      <c r="AN137" s="22">
        <f t="shared" si="43"/>
        <v>0.106442119032047</v>
      </c>
      <c r="AO137" s="22">
        <f t="shared" si="44"/>
        <v>0.0839490646124823</v>
      </c>
      <c r="AP137" s="7">
        <f t="shared" si="45"/>
        <v>154.571428571429</v>
      </c>
      <c r="AQ137" s="7">
        <f t="shared" si="46"/>
        <v>9274.28571428572</v>
      </c>
      <c r="AR137" s="7">
        <f t="shared" si="47"/>
        <v>-4697.28571428572</v>
      </c>
      <c r="AS137">
        <f t="shared" si="48"/>
        <v>29</v>
      </c>
      <c r="AT137" s="2">
        <f>IFERROR(时间!$B$4+AS137,"上周无销量")</f>
        <v>43361</v>
      </c>
    </row>
    <row r="138" spans="1:46">
      <c r="A138" t="s">
        <v>1380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1</v>
      </c>
      <c r="F138" s="6">
        <v>25</v>
      </c>
      <c r="G138">
        <f>SUMIF('库存（子SKU）'!$C:$C,$A138,'库存（子SKU）'!I:I)</f>
        <v>20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20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197</v>
      </c>
      <c r="O138">
        <f>SUMIF('库存（子SKU）'!$C:$C,$A138,'库存（子SKU）'!Q:Q)</f>
        <v>223</v>
      </c>
      <c r="P138">
        <f>SUMIF('库存（子SKU）'!$C:$C,$A138,'库存（子SKU）'!R:R)</f>
        <v>373</v>
      </c>
      <c r="Q138">
        <f>SUMIF('库存（子SKU）'!$C:$C,$A138,'库存（子SKU）'!S:S)</f>
        <v>1128</v>
      </c>
      <c r="R138">
        <f>SUMIF('库存（子SKU）'!$C:$C,$A138,'库存（子SKU）'!T:T)</f>
        <v>2</v>
      </c>
      <c r="S138">
        <f>SUMIF('库存（子SKU）'!$C:$C,$A138,'库存（子SKU）'!U:U)</f>
        <v>0</v>
      </c>
      <c r="T138">
        <f>SUMIF('库存（子SKU）'!$C:$C,$A138,'库存（子SKU）'!V:V)</f>
        <v>1</v>
      </c>
      <c r="U138">
        <f>SUMIF('库存（子SKU）'!$C:$C,$A138,'库存（子SKU）'!W:W)</f>
        <v>5</v>
      </c>
      <c r="V138" s="22">
        <f t="shared" si="49"/>
        <v>0.0101522842639594</v>
      </c>
      <c r="W138" s="22">
        <f t="shared" si="50"/>
        <v>0</v>
      </c>
      <c r="X138" s="22">
        <f t="shared" si="51"/>
        <v>0.00268096514745308</v>
      </c>
      <c r="Y138" s="22">
        <f t="shared" si="52"/>
        <v>0.00443262411347518</v>
      </c>
      <c r="Z138">
        <f>SUMIF('库存（子SKU）'!$C:$C,$A138,'库存（子SKU）'!AB:AB)</f>
        <v>0.29</v>
      </c>
      <c r="AA138">
        <f>SUMIF('库存（子SKU）'!$C:$C,$A138,'库存（子SKU）'!AC:AC)</f>
        <v>0</v>
      </c>
      <c r="AB138">
        <f>SUMIF('库存（子SKU）'!$C:$C,$A138,'库存（子SKU）'!AD:AD)</f>
        <v>0.23</v>
      </c>
      <c r="AC138">
        <f>SUMIF('库存（子SKU）'!$C:$C,$A138,'库存（子SKU）'!AE:AE)</f>
        <v>2.07</v>
      </c>
      <c r="AD138" s="22" t="str">
        <f t="shared" si="37"/>
        <v>无销量广告费为0.29</v>
      </c>
      <c r="AE138" s="22" t="str">
        <f t="shared" si="38"/>
        <v/>
      </c>
      <c r="AF138" s="22" t="str">
        <f t="shared" si="39"/>
        <v>无销量广告费为0.23</v>
      </c>
      <c r="AG138" s="22">
        <f t="shared" si="40"/>
        <v>0.0828</v>
      </c>
      <c r="AH138">
        <f>SUMIF('库存（子SKU）'!$C:$C,$A138,'库存（子SKU）'!AJ:AJ)</f>
        <v>194</v>
      </c>
      <c r="AI138">
        <f>SUMIF('库存（子SKU）'!$C:$C,$A138,'库存（子SKU）'!AK:AK)</f>
        <v>161</v>
      </c>
      <c r="AJ138">
        <f>SUMIF('库存（子SKU）'!$C:$C,$A138,'库存（子SKU）'!AL:AL)</f>
        <v>146</v>
      </c>
      <c r="AK138">
        <f>SUMIF('库存（子SKU）'!$C:$C,$A138,'库存（子SKU）'!AM:AM)</f>
        <v>96</v>
      </c>
      <c r="AL138" s="22">
        <f t="shared" si="41"/>
        <v>0</v>
      </c>
      <c r="AM138" s="22">
        <f t="shared" si="42"/>
        <v>0</v>
      </c>
      <c r="AN138" s="22">
        <f t="shared" si="43"/>
        <v>0</v>
      </c>
      <c r="AO138" s="22">
        <f t="shared" si="44"/>
        <v>0.0104166666666667</v>
      </c>
      <c r="AP138" s="7">
        <f t="shared" si="45"/>
        <v>0</v>
      </c>
      <c r="AQ138" s="7">
        <f t="shared" si="46"/>
        <v>0</v>
      </c>
      <c r="AR138" s="7">
        <f t="shared" si="47"/>
        <v>20</v>
      </c>
      <c r="AS138" t="str">
        <f t="shared" si="48"/>
        <v>库存为20</v>
      </c>
      <c r="AT138" s="2" t="str">
        <f>IFERROR(时间!$B$4+AS138,"上周无销量")</f>
        <v>上周无销量</v>
      </c>
    </row>
    <row r="139" spans="1:46">
      <c r="A139" t="s">
        <v>1390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2" t="str">
        <f t="shared" si="41"/>
        <v/>
      </c>
      <c r="AM139" s="22" t="str">
        <f t="shared" si="42"/>
        <v/>
      </c>
      <c r="AN139" s="22" t="str">
        <f t="shared" si="43"/>
        <v/>
      </c>
      <c r="AO139" s="22" t="str">
        <f t="shared" si="44"/>
        <v/>
      </c>
      <c r="AP139" s="7">
        <f t="shared" si="45"/>
        <v>0</v>
      </c>
      <c r="AQ139" s="7">
        <f t="shared" si="46"/>
        <v>0</v>
      </c>
      <c r="AR139" s="7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1393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1396</v>
      </c>
      <c r="B141" s="5">
        <f>SUMIF('库存（子SKU）'!$C:$C,$A141,'库存（子SKU）'!D:D)</f>
        <v>1</v>
      </c>
      <c r="C141" s="5">
        <f>SUMIF('库存（子SKU）'!$C:$C,$A141,'库存（子SKU）'!E:E)</f>
        <v>2</v>
      </c>
      <c r="D141" s="5">
        <f>SUMIF('库存（子SKU）'!$C:$C,$A141,'库存（子SKU）'!F:F)</f>
        <v>6</v>
      </c>
      <c r="E141" s="5">
        <f>SUMIF('库存（子SKU）'!$C:$C,$A141,'库存（子SKU）'!G:G)</f>
        <v>4</v>
      </c>
      <c r="F141" s="6">
        <v>16.0669230769231</v>
      </c>
      <c r="G141">
        <f>SUMIF('库存（子SKU）'!$C:$C,$A141,'库存（子SKU）'!I:I)</f>
        <v>52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52</v>
      </c>
      <c r="L141">
        <f>SUMIF('库存（子SKU）'!$C:$C,$A141,'库存（子SKU）'!N:N)</f>
        <v>1</v>
      </c>
      <c r="M141">
        <f>SUMIF('库存（子SKU）'!$C:$C,$A141,'库存（子SKU）'!O:O)</f>
        <v>26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>
        <f t="shared" si="38"/>
        <v>0</v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67</v>
      </c>
      <c r="AI141">
        <f>SUMIF('库存（子SKU）'!$C:$C,$A141,'库存（子SKU）'!AK:AK)</f>
        <v>65</v>
      </c>
      <c r="AJ141">
        <f>SUMIF('库存（子SKU）'!$C:$C,$A141,'库存（子SKU）'!AL:AL)</f>
        <v>26</v>
      </c>
      <c r="AK141">
        <f>SUMIF('库存（子SKU）'!$C:$C,$A141,'库存（子SKU）'!AM:AM)</f>
        <v>30</v>
      </c>
      <c r="AL141" s="22">
        <f t="shared" si="41"/>
        <v>0.0149253731343284</v>
      </c>
      <c r="AM141" s="22">
        <f t="shared" si="42"/>
        <v>0.0307692307692308</v>
      </c>
      <c r="AN141" s="22">
        <f t="shared" si="43"/>
        <v>0.230769230769231</v>
      </c>
      <c r="AO141" s="22">
        <f t="shared" si="44"/>
        <v>0.133333333333333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43.4285714285714</v>
      </c>
      <c r="AS141">
        <f t="shared" si="48"/>
        <v>364</v>
      </c>
      <c r="AT141" s="2">
        <f>IFERROR(时间!$B$4+AS141,"上周无销量")</f>
        <v>43696</v>
      </c>
    </row>
    <row r="142" spans="1:46">
      <c r="A142" t="s">
        <v>1431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 t="s">
        <v>53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2" t="str">
        <f t="shared" si="41"/>
        <v/>
      </c>
      <c r="AM142" s="22" t="str">
        <f t="shared" si="42"/>
        <v/>
      </c>
      <c r="AN142" s="22" t="str">
        <f t="shared" si="43"/>
        <v/>
      </c>
      <c r="AO142" s="22" t="str">
        <f t="shared" si="44"/>
        <v/>
      </c>
      <c r="AP142" s="7">
        <f t="shared" si="45"/>
        <v>0</v>
      </c>
      <c r="AQ142" s="7">
        <f t="shared" si="46"/>
        <v>0</v>
      </c>
      <c r="AR142" s="7">
        <f t="shared" si="47"/>
        <v>0</v>
      </c>
      <c r="AS142" t="str">
        <f t="shared" si="48"/>
        <v>库存为0</v>
      </c>
      <c r="AT142" s="2" t="str">
        <f>IFERROR(时间!$B$4+AS142,"上周无销量")</f>
        <v>上周无销量</v>
      </c>
    </row>
    <row r="143" spans="1:46">
      <c r="A143" t="s">
        <v>1439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">
        <v>53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1445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2" t="str">
        <f t="shared" si="41"/>
        <v/>
      </c>
      <c r="AM144" s="22" t="str">
        <f t="shared" si="42"/>
        <v/>
      </c>
      <c r="AN144" s="22" t="str">
        <f t="shared" si="43"/>
        <v/>
      </c>
      <c r="AO144" s="22" t="str">
        <f t="shared" si="44"/>
        <v/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1448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 t="s">
        <v>53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 t="str">
        <f t="shared" si="41"/>
        <v/>
      </c>
      <c r="AM145" s="22" t="str">
        <f t="shared" si="42"/>
        <v/>
      </c>
      <c r="AN145" s="22" t="str">
        <f t="shared" si="43"/>
        <v/>
      </c>
      <c r="AO145" s="22" t="str">
        <f t="shared" si="44"/>
        <v/>
      </c>
      <c r="AP145" s="7">
        <f t="shared" si="45"/>
        <v>0</v>
      </c>
      <c r="AQ145" s="7">
        <f t="shared" si="46"/>
        <v>0</v>
      </c>
      <c r="AR145" s="7">
        <f t="shared" si="47"/>
        <v>0</v>
      </c>
      <c r="AS145" t="str">
        <f t="shared" si="48"/>
        <v>库存为0</v>
      </c>
      <c r="AT145" s="2" t="str">
        <f>IFERROR(时间!$B$4+AS145,"上周无销量")</f>
        <v>上周无销量</v>
      </c>
    </row>
    <row r="146" spans="1:46">
      <c r="A146" t="s">
        <v>1451</v>
      </c>
      <c r="B146" s="5">
        <f>SUMIF('库存（子SKU）'!$C:$C,$A146,'库存（子SKU）'!D:D)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 t="s">
        <v>53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2" t="str">
        <f t="shared" si="41"/>
        <v/>
      </c>
      <c r="AM146" s="22" t="str">
        <f t="shared" si="42"/>
        <v/>
      </c>
      <c r="AN146" s="22" t="str">
        <f t="shared" si="43"/>
        <v/>
      </c>
      <c r="AO146" s="22" t="str">
        <f t="shared" si="44"/>
        <v/>
      </c>
      <c r="AP146" s="7">
        <f t="shared" si="45"/>
        <v>0</v>
      </c>
      <c r="AQ146" s="7">
        <f t="shared" si="46"/>
        <v>0</v>
      </c>
      <c r="AR146" s="7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1454</v>
      </c>
      <c r="B147" s="5">
        <f>SUMIF('库存（子SKU）'!$C:$C,$A147,'库存（子SKU）'!D:D)</f>
        <v>39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>
        <v>0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73</v>
      </c>
      <c r="AJ147">
        <f>SUMIF('库存（子SKU）'!$C:$C,$A147,'库存（子SKU）'!AL:AL)</f>
        <v>16</v>
      </c>
      <c r="AK147">
        <f>SUMIF('库存（子SKU）'!$C:$C,$A147,'库存（子SKU）'!AM:AM)</f>
        <v>44</v>
      </c>
      <c r="AL147" s="22">
        <f t="shared" si="41"/>
        <v>9.75</v>
      </c>
      <c r="AM147" s="22">
        <f t="shared" si="42"/>
        <v>0</v>
      </c>
      <c r="AN147" s="22">
        <f t="shared" si="43"/>
        <v>0</v>
      </c>
      <c r="AO147" s="22">
        <f t="shared" si="44"/>
        <v>0</v>
      </c>
      <c r="AP147" s="7">
        <f t="shared" si="45"/>
        <v>5.57142857142857</v>
      </c>
      <c r="AQ147" s="7">
        <f t="shared" si="46"/>
        <v>334.285714285714</v>
      </c>
      <c r="AR147" s="7">
        <f t="shared" si="47"/>
        <v>-334.285714285714</v>
      </c>
      <c r="AS147">
        <f t="shared" si="48"/>
        <v>0</v>
      </c>
      <c r="AT147" s="2">
        <f>IFERROR(时间!$B$4+AS147,"上周无销量")</f>
        <v>43332</v>
      </c>
    </row>
    <row r="148" spans="1:46">
      <c r="A148" t="s">
        <v>1487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53</v>
      </c>
      <c r="G148">
        <f>SUMIF('库存（子SKU）'!$C:$C,$A148,'库存（子SKU）'!I:I)</f>
        <v>142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142</v>
      </c>
      <c r="L148">
        <f>SUMIF('库存（子SKU）'!$C:$C,$A148,'库存（子SKU）'!N:N)</f>
        <v>0</v>
      </c>
      <c r="M148">
        <f>SUMIF('库存（子SKU）'!$C:$C,$A148,'库存（子SKU）'!O:O)</f>
        <v>142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 t="str">
        <f t="shared" si="37"/>
        <v/>
      </c>
      <c r="AE148" s="22" t="str">
        <f t="shared" si="38"/>
        <v/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75</v>
      </c>
      <c r="AI148">
        <f>SUMIF('库存（子SKU）'!$C:$C,$A148,'库存（子SKU）'!AK:AK)</f>
        <v>74</v>
      </c>
      <c r="AJ148">
        <f>SUMIF('库存（子SKU）'!$C:$C,$A148,'库存（子SKU）'!AL:AL)</f>
        <v>49</v>
      </c>
      <c r="AK148">
        <f>SUMIF('库存（子SKU）'!$C:$C,$A148,'库存（子SKU）'!AM:AM)</f>
        <v>39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142</v>
      </c>
      <c r="AS148" t="str">
        <f t="shared" si="48"/>
        <v>库存为142</v>
      </c>
      <c r="AT148" s="2" t="str">
        <f>IFERROR(时间!$B$4+AS148,"上周无销量")</f>
        <v>上周无销量</v>
      </c>
    </row>
    <row r="149" spans="1:46">
      <c r="A149" t="s">
        <v>1560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">
        <v>53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2" t="str">
        <f t="shared" si="41"/>
        <v/>
      </c>
      <c r="AM149" s="22" t="str">
        <f t="shared" si="42"/>
        <v/>
      </c>
      <c r="AN149" s="22" t="str">
        <f t="shared" si="43"/>
        <v/>
      </c>
      <c r="AO149" s="22" t="str">
        <f t="shared" si="44"/>
        <v/>
      </c>
      <c r="AP149" s="7">
        <f t="shared" si="45"/>
        <v>0</v>
      </c>
      <c r="AQ149" s="7">
        <f t="shared" si="46"/>
        <v>0</v>
      </c>
      <c r="AR149" s="7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1565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1</v>
      </c>
      <c r="F150" s="6">
        <v>15.99</v>
      </c>
      <c r="G150">
        <f>SUMIF('库存（子SKU）'!$C:$C,$A150,'库存（子SKU）'!I:I)</f>
        <v>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6</v>
      </c>
      <c r="L150">
        <f>SUMIF('库存（子SKU）'!$C:$C,$A150,'库存（子SKU）'!N:N)</f>
        <v>0</v>
      </c>
      <c r="M150">
        <f>SUMIF('库存（子SKU）'!$C:$C,$A150,'库存（子SKU）'!O:O)</f>
        <v>1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>
        <f t="shared" si="40"/>
        <v>0</v>
      </c>
      <c r="AH150">
        <f>SUMIF('库存（子SKU）'!$C:$C,$A150,'库存（子SKU）'!AJ:AJ)</f>
        <v>18</v>
      </c>
      <c r="AI150">
        <f>SUMIF('库存（子SKU）'!$C:$C,$A150,'库存（子SKU）'!AK:AK)</f>
        <v>10</v>
      </c>
      <c r="AJ150">
        <f>SUMIF('库存（子SKU）'!$C:$C,$A150,'库存（子SKU）'!AL:AL)</f>
        <v>17</v>
      </c>
      <c r="AK150">
        <f>SUMIF('库存（子SKU）'!$C:$C,$A150,'库存（子SKU）'!AM:AM)</f>
        <v>10</v>
      </c>
      <c r="AL150" s="22">
        <f t="shared" si="41"/>
        <v>0</v>
      </c>
      <c r="AM150" s="22">
        <f t="shared" si="42"/>
        <v>0</v>
      </c>
      <c r="AN150" s="22">
        <f t="shared" si="43"/>
        <v>0</v>
      </c>
      <c r="AO150" s="22">
        <f t="shared" si="44"/>
        <v>0.1</v>
      </c>
      <c r="AP150" s="7">
        <f t="shared" si="45"/>
        <v>0</v>
      </c>
      <c r="AQ150" s="7">
        <f t="shared" si="46"/>
        <v>0</v>
      </c>
      <c r="AR150" s="7">
        <f t="shared" si="47"/>
        <v>6</v>
      </c>
      <c r="AS150" t="str">
        <f t="shared" si="48"/>
        <v>库存为6</v>
      </c>
      <c r="AT150" s="2" t="str">
        <f>IFERROR(时间!$B$4+AS150,"上周无销量")</f>
        <v>上周无销量</v>
      </c>
    </row>
    <row r="151" spans="1:46">
      <c r="A151" t="s">
        <v>1570</v>
      </c>
      <c r="B151" s="5">
        <f>SUMIF('库存（子SKU）'!$C:$C,$A151,'库存（子SKU）'!D:D)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6" t="s">
        <v>53</v>
      </c>
      <c r="G151">
        <f>SUMIF('库存（子SKU）'!$C:$C,$A151,'库存（子SKU）'!I:I)</f>
        <v>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 t="str">
        <f t="shared" si="51"/>
        <v/>
      </c>
      <c r="Y151" s="22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 t="str">
        <f t="shared" si="37"/>
        <v/>
      </c>
      <c r="AE151" s="22" t="str">
        <f t="shared" si="38"/>
        <v/>
      </c>
      <c r="AF151" s="22" t="str">
        <f t="shared" si="39"/>
        <v/>
      </c>
      <c r="AG151" s="22" t="str">
        <f t="shared" si="40"/>
        <v/>
      </c>
      <c r="AH151">
        <f>SUMIF('库存（子SKU）'!$C:$C,$A151,'库存（子SKU）'!AJ:AJ)</f>
        <v>2</v>
      </c>
      <c r="AI151">
        <f>SUMIF('库存（子SKU）'!$C:$C,$A151,'库存（子SKU）'!AK:AK)</f>
        <v>7</v>
      </c>
      <c r="AJ151">
        <f>SUMIF('库存（子SKU）'!$C:$C,$A151,'库存（子SKU）'!AL:AL)</f>
        <v>2</v>
      </c>
      <c r="AK151">
        <f>SUMIF('库存（子SKU）'!$C:$C,$A151,'库存（子SKU）'!AM:AM)</f>
        <v>4</v>
      </c>
      <c r="AL151" s="22">
        <f t="shared" si="41"/>
        <v>0</v>
      </c>
      <c r="AM151" s="22">
        <f t="shared" si="42"/>
        <v>0</v>
      </c>
      <c r="AN151" s="22">
        <f t="shared" si="43"/>
        <v>0</v>
      </c>
      <c r="AO151" s="22">
        <f t="shared" si="44"/>
        <v>0</v>
      </c>
      <c r="AP151" s="7">
        <f t="shared" si="45"/>
        <v>0</v>
      </c>
      <c r="AQ151" s="7">
        <f t="shared" si="46"/>
        <v>0</v>
      </c>
      <c r="AR151" s="7">
        <f t="shared" si="47"/>
        <v>1</v>
      </c>
      <c r="AS151" t="str">
        <f t="shared" si="48"/>
        <v>库存为1</v>
      </c>
      <c r="AT151" s="2" t="str">
        <f>IFERROR(时间!$B$4+AS151,"上周无销量")</f>
        <v>上周无销量</v>
      </c>
    </row>
    <row r="152" spans="1:46">
      <c r="A152" t="s">
        <v>1585</v>
      </c>
      <c r="B152" s="5">
        <f>SUMIF('库存（子SKU）'!$C:$C,$A152,'库存（子SKU）'!D:D)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 t="s">
        <v>53</v>
      </c>
      <c r="G152">
        <f>SUMIF('库存（子SKU）'!$C:$C,$A152,'库存（子SKU）'!I:I)</f>
        <v>5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5</v>
      </c>
      <c r="L152">
        <f>SUMIF('库存（子SKU）'!$C:$C,$A152,'库存（子SKU）'!N:N)</f>
        <v>0</v>
      </c>
      <c r="M152">
        <f>SUMIF('库存（子SKU）'!$C:$C,$A152,'库存（子SKU）'!O:O)</f>
        <v>3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 t="str">
        <f t="shared" si="38"/>
        <v/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6</v>
      </c>
      <c r="AI152">
        <f>SUMIF('库存（子SKU）'!$C:$C,$A152,'库存（子SKU）'!AK:AK)</f>
        <v>7</v>
      </c>
      <c r="AJ152">
        <f>SUMIF('库存（子SKU）'!$C:$C,$A152,'库存（子SKU）'!AL:AL)</f>
        <v>2</v>
      </c>
      <c r="AK152">
        <f>SUMIF('库存（子SKU）'!$C:$C,$A152,'库存（子SKU）'!AM:AM)</f>
        <v>9</v>
      </c>
      <c r="AL152" s="22">
        <f t="shared" si="41"/>
        <v>0</v>
      </c>
      <c r="AM152" s="22">
        <f t="shared" si="42"/>
        <v>0</v>
      </c>
      <c r="AN152" s="22">
        <f t="shared" si="43"/>
        <v>0</v>
      </c>
      <c r="AO152" s="22">
        <f t="shared" si="44"/>
        <v>0</v>
      </c>
      <c r="AP152" s="7">
        <f t="shared" si="45"/>
        <v>0</v>
      </c>
      <c r="AQ152" s="7">
        <f t="shared" si="46"/>
        <v>0</v>
      </c>
      <c r="AR152" s="7">
        <f t="shared" si="47"/>
        <v>5</v>
      </c>
      <c r="AS152" t="str">
        <f t="shared" si="48"/>
        <v>库存为5</v>
      </c>
      <c r="AT152" s="2" t="str">
        <f>IFERROR(时间!$B$4+AS152,"上周无销量")</f>
        <v>上周无销量</v>
      </c>
    </row>
    <row r="153" spans="1:46">
      <c r="A153" t="s">
        <v>1592</v>
      </c>
      <c r="B153" s="5">
        <f>SUMIF('库存（子SKU）'!$C:$C,$A153,'库存（子SKU）'!D:D)</f>
        <v>10</v>
      </c>
      <c r="C153" s="5">
        <f>SUMIF('库存（子SKU）'!$C:$C,$A153,'库存（子SKU）'!E:E)</f>
        <v>11</v>
      </c>
      <c r="D153" s="5">
        <f>SUMIF('库存（子SKU）'!$C:$C,$A153,'库存（子SKU）'!F:F)</f>
        <v>19</v>
      </c>
      <c r="E153" s="5">
        <f>SUMIF('库存（子SKU）'!$C:$C,$A153,'库存（子SKU）'!G:G)</f>
        <v>25</v>
      </c>
      <c r="F153" s="6">
        <v>15.99</v>
      </c>
      <c r="G153">
        <f>SUMIF('库存（子SKU）'!$C:$C,$A153,'库存（子SKU）'!I:I)</f>
        <v>45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1</v>
      </c>
      <c r="K153">
        <f t="shared" si="36"/>
        <v>46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41607</v>
      </c>
      <c r="O153">
        <f>SUMIF('库存（子SKU）'!$C:$C,$A153,'库存（子SKU）'!Q:Q)</f>
        <v>19697</v>
      </c>
      <c r="P153">
        <f>SUMIF('库存（子SKU）'!$C:$C,$A153,'库存（子SKU）'!R:R)</f>
        <v>47161</v>
      </c>
      <c r="Q153">
        <f>SUMIF('库存（子SKU）'!$C:$C,$A153,'库存（子SKU）'!S:S)</f>
        <v>24213</v>
      </c>
      <c r="R153">
        <f>SUMIF('库存（子SKU）'!$C:$C,$A153,'库存（子SKU）'!T:T)</f>
        <v>157</v>
      </c>
      <c r="S153">
        <f>SUMIF('库存（子SKU）'!$C:$C,$A153,'库存（子SKU）'!U:U)</f>
        <v>81</v>
      </c>
      <c r="T153">
        <f>SUMIF('库存（子SKU）'!$C:$C,$A153,'库存（子SKU）'!V:V)</f>
        <v>171</v>
      </c>
      <c r="U153">
        <f>SUMIF('库存（子SKU）'!$C:$C,$A153,'库存（子SKU）'!W:W)</f>
        <v>102</v>
      </c>
      <c r="V153" s="22">
        <f t="shared" si="49"/>
        <v>0.00377340351383181</v>
      </c>
      <c r="W153" s="22">
        <f t="shared" si="50"/>
        <v>0.00411230136569021</v>
      </c>
      <c r="X153" s="22">
        <f t="shared" si="51"/>
        <v>0.00362587731388223</v>
      </c>
      <c r="Y153" s="22">
        <f t="shared" si="52"/>
        <v>0.00421261305910048</v>
      </c>
      <c r="Z153">
        <f>SUMIF('库存（子SKU）'!$C:$C,$A153,'库存（子SKU）'!AB:AB)</f>
        <v>75.38</v>
      </c>
      <c r="AA153">
        <f>SUMIF('库存（子SKU）'!$C:$C,$A153,'库存（子SKU）'!AC:AC)</f>
        <v>39.55</v>
      </c>
      <c r="AB153">
        <f>SUMIF('库存（子SKU）'!$C:$C,$A153,'库存（子SKU）'!AD:AD)</f>
        <v>78.6</v>
      </c>
      <c r="AC153">
        <f>SUMIF('库存（子SKU）'!$C:$C,$A153,'库存（子SKU）'!AE:AE)</f>
        <v>37.77</v>
      </c>
      <c r="AD153" s="22">
        <f t="shared" si="37"/>
        <v>0.471419637273296</v>
      </c>
      <c r="AE153" s="22">
        <f t="shared" si="38"/>
        <v>0.224856444368639</v>
      </c>
      <c r="AF153" s="22">
        <f t="shared" si="39"/>
        <v>0.258714328033969</v>
      </c>
      <c r="AG153" s="22">
        <f t="shared" si="40"/>
        <v>0.094484052532833</v>
      </c>
      <c r="AH153">
        <f>SUMIF('库存（子SKU）'!$C:$C,$A153,'库存（子SKU）'!AJ:AJ)</f>
        <v>198</v>
      </c>
      <c r="AI153">
        <f>SUMIF('库存（子SKU）'!$C:$C,$A153,'库存（子SKU）'!AK:AK)</f>
        <v>145</v>
      </c>
      <c r="AJ153">
        <f>SUMIF('库存（子SKU）'!$C:$C,$A153,'库存（子SKU）'!AL:AL)</f>
        <v>135</v>
      </c>
      <c r="AK153">
        <f>SUMIF('库存（子SKU）'!$C:$C,$A153,'库存（子SKU）'!AM:AM)</f>
        <v>137</v>
      </c>
      <c r="AL153" s="22">
        <f t="shared" si="41"/>
        <v>0.0505050505050505</v>
      </c>
      <c r="AM153" s="22">
        <f t="shared" si="42"/>
        <v>0.0758620689655172</v>
      </c>
      <c r="AN153" s="22">
        <f t="shared" si="43"/>
        <v>0.140740740740741</v>
      </c>
      <c r="AO153" s="22">
        <f t="shared" si="44"/>
        <v>0.182481751824818</v>
      </c>
      <c r="AP153" s="7">
        <f t="shared" si="45"/>
        <v>1.42857142857143</v>
      </c>
      <c r="AQ153" s="7">
        <f t="shared" si="46"/>
        <v>85.7142857142857</v>
      </c>
      <c r="AR153" s="7">
        <f t="shared" si="47"/>
        <v>-39.7142857142857</v>
      </c>
      <c r="AS153">
        <f t="shared" si="48"/>
        <v>32</v>
      </c>
      <c r="AT153" s="2">
        <f>IFERROR(时间!$B$4+AS153,"上周无销量")</f>
        <v>43364</v>
      </c>
    </row>
    <row r="154" spans="1:46">
      <c r="A154" t="s">
        <v>1604</v>
      </c>
      <c r="B154" s="5">
        <f>SUMIF('库存（子SKU）'!$C:$C,$A154,'库存（子SKU）'!D:D)</f>
        <v>65</v>
      </c>
      <c r="C154" s="5">
        <f>SUMIF('库存（子SKU）'!$C:$C,$A154,'库存（子SKU）'!E:E)</f>
        <v>1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>
        <v>0.151363636363636</v>
      </c>
      <c r="G154">
        <f>SUMIF('库存（子SKU）'!$C:$C,$A154,'库存（子SKU）'!I:I)</f>
        <v>11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11</v>
      </c>
      <c r="L154">
        <f>SUMIF('库存（子SKU）'!$C:$C,$A154,'库存（子SKU）'!N:N)</f>
        <v>0</v>
      </c>
      <c r="M154">
        <f>SUMIF('库存（子SKU）'!$C:$C,$A154,'库存（子SKU）'!O:O)</f>
        <v>11</v>
      </c>
      <c r="N154">
        <f>SUMIF('库存（子SKU）'!$C:$C,$A154,'库存（子SKU）'!P:P)</f>
        <v>490</v>
      </c>
      <c r="O154">
        <f>SUMIF('库存（子SKU）'!$C:$C,$A154,'库存（子SKU）'!Q:Q)</f>
        <v>2118</v>
      </c>
      <c r="P154">
        <f>SUMIF('库存（子SKU）'!$C:$C,$A154,'库存（子SKU）'!R:R)</f>
        <v>1479</v>
      </c>
      <c r="Q154">
        <f>SUMIF('库存（子SKU）'!$C:$C,$A154,'库存（子SKU）'!S:S)</f>
        <v>0</v>
      </c>
      <c r="R154">
        <f>SUMIF('库存（子SKU）'!$C:$C,$A154,'库存（子SKU）'!T:T)</f>
        <v>2</v>
      </c>
      <c r="S154">
        <f>SUMIF('库存（子SKU）'!$C:$C,$A154,'库存（子SKU）'!U:U)</f>
        <v>3</v>
      </c>
      <c r="T154">
        <f>SUMIF('库存（子SKU）'!$C:$C,$A154,'库存（子SKU）'!V:V)</f>
        <v>2</v>
      </c>
      <c r="U154">
        <f>SUMIF('库存（子SKU）'!$C:$C,$A154,'库存（子SKU）'!W:W)</f>
        <v>0</v>
      </c>
      <c r="V154" s="22">
        <f t="shared" si="49"/>
        <v>0.00408163265306122</v>
      </c>
      <c r="W154" s="22">
        <f t="shared" si="50"/>
        <v>0.00141643059490085</v>
      </c>
      <c r="X154" s="22">
        <f t="shared" si="51"/>
        <v>0.00135226504394861</v>
      </c>
      <c r="Y154" s="22" t="str">
        <f t="shared" si="52"/>
        <v/>
      </c>
      <c r="Z154">
        <f>SUMIF('库存（子SKU）'!$C:$C,$A154,'库存（子SKU）'!AB:AB)</f>
        <v>0.89</v>
      </c>
      <c r="AA154">
        <f>SUMIF('库存（子SKU）'!$C:$C,$A154,'库存（子SKU）'!AC:AC)</f>
        <v>1.22</v>
      </c>
      <c r="AB154">
        <f>SUMIF('库存（子SKU）'!$C:$C,$A154,'库存（子SKU）'!AD:AD)</f>
        <v>0.57</v>
      </c>
      <c r="AC154">
        <f>SUMIF('库存（子SKU）'!$C:$C,$A154,'库存（子SKU）'!AE:AE)</f>
        <v>0</v>
      </c>
      <c r="AD154" s="22">
        <f t="shared" si="37"/>
        <v>0.0904596904596907</v>
      </c>
      <c r="AE154" s="22">
        <f t="shared" si="38"/>
        <v>8.06006006006008</v>
      </c>
      <c r="AF154" s="22" t="str">
        <f t="shared" si="39"/>
        <v>无销量广告费为0.57</v>
      </c>
      <c r="AG154" s="22" t="str">
        <f t="shared" si="40"/>
        <v/>
      </c>
      <c r="AH154">
        <f>SUMIF('库存（子SKU）'!$C:$C,$A154,'库存（子SKU）'!AJ:AJ)</f>
        <v>18</v>
      </c>
      <c r="AI154">
        <f>SUMIF('库存（子SKU）'!$C:$C,$A154,'库存（子SKU）'!AK:AK)</f>
        <v>131</v>
      </c>
      <c r="AJ154">
        <f>SUMIF('库存（子SKU）'!$C:$C,$A154,'库存（子SKU）'!AL:AL)</f>
        <v>35</v>
      </c>
      <c r="AK154">
        <f>SUMIF('库存（子SKU）'!$C:$C,$A154,'库存（子SKU）'!AM:AM)</f>
        <v>73</v>
      </c>
      <c r="AL154" s="22">
        <f t="shared" si="41"/>
        <v>3.61111111111111</v>
      </c>
      <c r="AM154" s="22">
        <f t="shared" si="42"/>
        <v>0.00763358778625954</v>
      </c>
      <c r="AN154" s="22">
        <f t="shared" si="43"/>
        <v>0</v>
      </c>
      <c r="AO154" s="22">
        <f t="shared" si="44"/>
        <v>0</v>
      </c>
      <c r="AP154" s="7">
        <f t="shared" si="45"/>
        <v>9.28571428571429</v>
      </c>
      <c r="AQ154" s="7">
        <f t="shared" si="46"/>
        <v>557.142857142857</v>
      </c>
      <c r="AR154" s="7">
        <f t="shared" si="47"/>
        <v>-546.142857142857</v>
      </c>
      <c r="AS154">
        <f t="shared" si="48"/>
        <v>1</v>
      </c>
      <c r="AT154" s="2">
        <f>IFERROR(时间!$B$4+AS154,"上周无销量")</f>
        <v>43333</v>
      </c>
    </row>
    <row r="155" spans="1:46">
      <c r="A155" t="s">
        <v>1674</v>
      </c>
      <c r="B155" s="5">
        <f>SUMIF('库存（子SKU）'!$C:$C,$A155,'库存（子SKU）'!D:D)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6" t="s">
        <v>53</v>
      </c>
      <c r="G155">
        <f>SUMIF('库存（子SKU）'!$C:$C,$A155,'库存（子SKU）'!I:I)</f>
        <v>1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</v>
      </c>
      <c r="L155">
        <f>SUMIF('库存（子SKU）'!$C:$C,$A155,'库存（子SKU）'!N:N)</f>
        <v>0</v>
      </c>
      <c r="M155">
        <f>SUMIF('库存（子SKU）'!$C:$C,$A155,'库存（子SKU）'!O:O)</f>
        <v>1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 t="str">
        <f t="shared" si="49"/>
        <v/>
      </c>
      <c r="W155" s="22" t="str">
        <f t="shared" si="50"/>
        <v/>
      </c>
      <c r="X155" s="22" t="str">
        <f t="shared" si="51"/>
        <v/>
      </c>
      <c r="Y155" s="22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 t="str">
        <f t="shared" si="37"/>
        <v/>
      </c>
      <c r="AE155" s="22" t="str">
        <f t="shared" si="38"/>
        <v/>
      </c>
      <c r="AF155" s="22" t="str">
        <f t="shared" si="39"/>
        <v/>
      </c>
      <c r="AG155" s="22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2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2" t="str">
        <f t="shared" si="41"/>
        <v/>
      </c>
      <c r="AM155" s="22">
        <f t="shared" si="42"/>
        <v>0</v>
      </c>
      <c r="AN155" s="22" t="str">
        <f t="shared" si="43"/>
        <v/>
      </c>
      <c r="AO155" s="22" t="str">
        <f t="shared" si="44"/>
        <v/>
      </c>
      <c r="AP155" s="7">
        <f t="shared" si="45"/>
        <v>0</v>
      </c>
      <c r="AQ155" s="7">
        <f t="shared" si="46"/>
        <v>0</v>
      </c>
      <c r="AR155" s="7">
        <f t="shared" si="47"/>
        <v>1</v>
      </c>
      <c r="AS155" t="str">
        <f t="shared" si="48"/>
        <v>库存为1</v>
      </c>
      <c r="AT155" s="2" t="str">
        <f>IFERROR(时间!$B$4+AS155,"上周无销量")</f>
        <v>上周无销量</v>
      </c>
    </row>
    <row r="156" spans="1:46">
      <c r="A156" t="s">
        <v>1679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1</v>
      </c>
      <c r="E156" s="5">
        <f>SUMIF('库存（子SKU）'!$C:$C,$A156,'库存（子SKU）'!G:G)</f>
        <v>0</v>
      </c>
      <c r="F156" s="6">
        <v>16.9</v>
      </c>
      <c r="G156">
        <f>SUMIF('库存（子SKU）'!$C:$C,$A156,'库存（子SKU）'!I:I)</f>
        <v>5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5</v>
      </c>
      <c r="L156">
        <f>SUMIF('库存（子SKU）'!$C:$C,$A156,'库存（子SKU）'!N:N)</f>
        <v>0</v>
      </c>
      <c r="M156">
        <f>SUMIF('库存（子SKU）'!$C:$C,$A156,'库存（子SKU）'!O:O)</f>
        <v>5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 t="str">
        <f t="shared" si="37"/>
        <v/>
      </c>
      <c r="AE156" s="22" t="str">
        <f t="shared" si="38"/>
        <v/>
      </c>
      <c r="AF156" s="22">
        <f t="shared" si="39"/>
        <v>0</v>
      </c>
      <c r="AG156" s="22" t="str">
        <f t="shared" si="40"/>
        <v/>
      </c>
      <c r="AH156">
        <f>SUMIF('库存（子SKU）'!$C:$C,$A156,'库存（子SKU）'!AJ:AJ)</f>
        <v>28</v>
      </c>
      <c r="AI156">
        <f>SUMIF('库存（子SKU）'!$C:$C,$A156,'库存（子SKU）'!AK:AK)</f>
        <v>57</v>
      </c>
      <c r="AJ156">
        <f>SUMIF('库存（子SKU）'!$C:$C,$A156,'库存（子SKU）'!AL:AL)</f>
        <v>28</v>
      </c>
      <c r="AK156">
        <f>SUMIF('库存（子SKU）'!$C:$C,$A156,'库存（子SKU）'!AM:AM)</f>
        <v>39</v>
      </c>
      <c r="AL156" s="22">
        <f t="shared" si="41"/>
        <v>0</v>
      </c>
      <c r="AM156" s="22">
        <f t="shared" si="42"/>
        <v>0</v>
      </c>
      <c r="AN156" s="22">
        <f t="shared" si="43"/>
        <v>0.0357142857142857</v>
      </c>
      <c r="AO156" s="22">
        <f t="shared" si="44"/>
        <v>0</v>
      </c>
      <c r="AP156" s="7">
        <f t="shared" si="45"/>
        <v>0</v>
      </c>
      <c r="AQ156" s="7">
        <f t="shared" si="46"/>
        <v>0</v>
      </c>
      <c r="AR156" s="7">
        <f t="shared" si="47"/>
        <v>5</v>
      </c>
      <c r="AS156" t="str">
        <f t="shared" si="48"/>
        <v>库存为5</v>
      </c>
      <c r="AT156" s="2" t="str">
        <f>IFERROR(时间!$B$4+AS156,"上周无销量")</f>
        <v>上周无销量</v>
      </c>
    </row>
    <row r="157" spans="1:46">
      <c r="A157" t="s">
        <v>1688</v>
      </c>
      <c r="B157" s="5">
        <f>SUMIF('库存（子SKU）'!$C:$C,$A157,'库存（子SKU）'!D:D)</f>
        <v>4</v>
      </c>
      <c r="C157" s="5">
        <f>SUMIF('库存（子SKU）'!$C:$C,$A157,'库存（子SKU）'!E:E)</f>
        <v>3</v>
      </c>
      <c r="D157" s="5">
        <f>SUMIF('库存（子SKU）'!$C:$C,$A157,'库存（子SKU）'!F:F)</f>
        <v>5</v>
      </c>
      <c r="E157" s="5">
        <f>SUMIF('库存（子SKU）'!$C:$C,$A157,'库存（子SKU）'!G:G)</f>
        <v>6</v>
      </c>
      <c r="F157" s="6">
        <v>16.7511111111111</v>
      </c>
      <c r="G157">
        <f>SUMIF('库存（子SKU）'!$C:$C,$A157,'库存（子SKU）'!I:I)</f>
        <v>66</v>
      </c>
      <c r="H157">
        <f>SUMIF('库存（子SKU）'!$C:$C,$A157,'库存（子SKU）'!J:J)</f>
        <v>25</v>
      </c>
      <c r="I157">
        <f>SUMIF('库存（子SKU）'!$C:$C,$A157,'库存（子SKU）'!K:K)</f>
        <v>0</v>
      </c>
      <c r="J157">
        <f>SUMIF('库存（子SKU）'!$C:$C,$A157,'库存（子SKU）'!L:L)</f>
        <v>6</v>
      </c>
      <c r="K157">
        <f t="shared" si="36"/>
        <v>97</v>
      </c>
      <c r="L157">
        <f>SUMIF('库存（子SKU）'!$C:$C,$A157,'库存（子SKU）'!N:N)</f>
        <v>0</v>
      </c>
      <c r="M157">
        <f>SUMIF('库存（子SKU）'!$C:$C,$A157,'库存（子SKU）'!O:O)</f>
        <v>38</v>
      </c>
      <c r="N157">
        <f>SUMIF('库存（子SKU）'!$C:$C,$A157,'库存（子SKU）'!P:P)</f>
        <v>68</v>
      </c>
      <c r="O157">
        <f>SUMIF('库存（子SKU）'!$C:$C,$A157,'库存（子SKU）'!Q:Q)</f>
        <v>114</v>
      </c>
      <c r="P157">
        <f>SUMIF('库存（子SKU）'!$C:$C,$A157,'库存（子SKU）'!R:R)</f>
        <v>96</v>
      </c>
      <c r="Q157">
        <f>SUMIF('库存（子SKU）'!$C:$C,$A157,'库存（子SKU）'!S:S)</f>
        <v>112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1</v>
      </c>
      <c r="V157" s="22">
        <f t="shared" si="49"/>
        <v>0</v>
      </c>
      <c r="W157" s="22">
        <f t="shared" si="50"/>
        <v>0</v>
      </c>
      <c r="X157" s="22">
        <f t="shared" si="51"/>
        <v>0</v>
      </c>
      <c r="Y157" s="22">
        <f t="shared" si="52"/>
        <v>0.00892857142857143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0.21</v>
      </c>
      <c r="AD157" s="22">
        <f t="shared" si="37"/>
        <v>0</v>
      </c>
      <c r="AE157" s="22">
        <f t="shared" si="38"/>
        <v>0</v>
      </c>
      <c r="AF157" s="22">
        <f t="shared" si="39"/>
        <v>0</v>
      </c>
      <c r="AG157" s="22">
        <f t="shared" si="40"/>
        <v>0.00208941363756965</v>
      </c>
      <c r="AH157">
        <f>SUMIF('库存（子SKU）'!$C:$C,$A157,'库存（子SKU）'!AJ:AJ)</f>
        <v>277</v>
      </c>
      <c r="AI157">
        <f>SUMIF('库存（子SKU）'!$C:$C,$A157,'库存（子SKU）'!AK:AK)</f>
        <v>250</v>
      </c>
      <c r="AJ157">
        <f>SUMIF('库存（子SKU）'!$C:$C,$A157,'库存（子SKU）'!AL:AL)</f>
        <v>130</v>
      </c>
      <c r="AK157">
        <f>SUMIF('库存（子SKU）'!$C:$C,$A157,'库存（子SKU）'!AM:AM)</f>
        <v>159</v>
      </c>
      <c r="AL157" s="22">
        <f t="shared" si="41"/>
        <v>0.0144404332129964</v>
      </c>
      <c r="AM157" s="22">
        <f t="shared" si="42"/>
        <v>0.012</v>
      </c>
      <c r="AN157" s="22">
        <f t="shared" si="43"/>
        <v>0.0384615384615385</v>
      </c>
      <c r="AO157" s="22">
        <f t="shared" si="44"/>
        <v>0.0377358490566038</v>
      </c>
      <c r="AP157" s="7">
        <f t="shared" si="45"/>
        <v>0.571428571428571</v>
      </c>
      <c r="AQ157" s="7">
        <f t="shared" si="46"/>
        <v>34.2857142857143</v>
      </c>
      <c r="AR157" s="7">
        <f t="shared" si="47"/>
        <v>62.7142857142857</v>
      </c>
      <c r="AS157">
        <f t="shared" si="48"/>
        <v>169</v>
      </c>
      <c r="AT157" s="2">
        <f>IFERROR(时间!$B$4+AS157,"上周无销量")</f>
        <v>43501</v>
      </c>
    </row>
    <row r="158" spans="1:46">
      <c r="A158" t="s">
        <v>1707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15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15</v>
      </c>
      <c r="L158">
        <f>SUMIF('库存（子SKU）'!$C:$C,$A158,'库存（子SKU）'!N:N)</f>
        <v>0</v>
      </c>
      <c r="M158">
        <f>SUMIF('库存（子SKU）'!$C:$C,$A158,'库存（子SKU）'!O:O)</f>
        <v>13</v>
      </c>
      <c r="N158">
        <f>SUMIF('库存（子SKU）'!$C:$C,$A158,'库存（子SKU）'!P:P)</f>
        <v>201</v>
      </c>
      <c r="O158">
        <f>SUMIF('库存（子SKU）'!$C:$C,$A158,'库存（子SKU）'!Q:Q)</f>
        <v>251</v>
      </c>
      <c r="P158">
        <f>SUMIF('库存（子SKU）'!$C:$C,$A158,'库存（子SKU）'!R:R)</f>
        <v>203</v>
      </c>
      <c r="Q158">
        <f>SUMIF('库存（子SKU）'!$C:$C,$A158,'库存（子SKU）'!S:S)</f>
        <v>167</v>
      </c>
      <c r="R158">
        <f>SUMIF('库存（子SKU）'!$C:$C,$A158,'库存（子SKU）'!T:T)</f>
        <v>2</v>
      </c>
      <c r="S158">
        <f>SUMIF('库存（子SKU）'!$C:$C,$A158,'库存（子SKU）'!U:U)</f>
        <v>1</v>
      </c>
      <c r="T158">
        <f>SUMIF('库存（子SKU）'!$C:$C,$A158,'库存（子SKU）'!V:V)</f>
        <v>2</v>
      </c>
      <c r="U158">
        <f>SUMIF('库存（子SKU）'!$C:$C,$A158,'库存（子SKU）'!W:W)</f>
        <v>1</v>
      </c>
      <c r="V158" s="22">
        <f t="shared" si="49"/>
        <v>0.00995024875621891</v>
      </c>
      <c r="W158" s="22">
        <f t="shared" si="50"/>
        <v>0.00398406374501992</v>
      </c>
      <c r="X158" s="22">
        <f t="shared" si="51"/>
        <v>0.00985221674876847</v>
      </c>
      <c r="Y158" s="22">
        <f t="shared" si="52"/>
        <v>0.00598802395209581</v>
      </c>
      <c r="Z158">
        <f>SUMIF('库存（子SKU）'!$C:$C,$A158,'库存（子SKU）'!AB:AB)</f>
        <v>1.16</v>
      </c>
      <c r="AA158">
        <f>SUMIF('库存（子SKU）'!$C:$C,$A158,'库存（子SKU）'!AC:AC)</f>
        <v>0.72</v>
      </c>
      <c r="AB158">
        <f>SUMIF('库存（子SKU）'!$C:$C,$A158,'库存（子SKU）'!AD:AD)</f>
        <v>0.96</v>
      </c>
      <c r="AC158">
        <f>SUMIF('库存（子SKU）'!$C:$C,$A158,'库存（子SKU）'!AE:AE)</f>
        <v>0.02</v>
      </c>
      <c r="AD158" s="22" t="str">
        <f t="shared" si="37"/>
        <v>无销量广告费为1.16</v>
      </c>
      <c r="AE158" s="22" t="str">
        <f t="shared" si="38"/>
        <v>无销量广告费为0.72</v>
      </c>
      <c r="AF158" s="22" t="str">
        <f t="shared" si="39"/>
        <v>无销量广告费为0.96</v>
      </c>
      <c r="AG158" s="22" t="str">
        <f t="shared" si="40"/>
        <v>无销量广告费为0.02</v>
      </c>
      <c r="AH158">
        <f>SUMIF('库存（子SKU）'!$C:$C,$A158,'库存（子SKU）'!AJ:AJ)</f>
        <v>21</v>
      </c>
      <c r="AI158">
        <f>SUMIF('库存（子SKU）'!$C:$C,$A158,'库存（子SKU）'!AK:AK)</f>
        <v>19</v>
      </c>
      <c r="AJ158">
        <f>SUMIF('库存（子SKU）'!$C:$C,$A158,'库存（子SKU）'!AL:AL)</f>
        <v>10</v>
      </c>
      <c r="AK158">
        <f>SUMIF('库存（子SKU）'!$C:$C,$A158,'库存（子SKU）'!AM:AM)</f>
        <v>7</v>
      </c>
      <c r="AL158" s="22">
        <f t="shared" si="41"/>
        <v>0</v>
      </c>
      <c r="AM158" s="22">
        <f t="shared" si="42"/>
        <v>0</v>
      </c>
      <c r="AN158" s="22">
        <f t="shared" si="43"/>
        <v>0</v>
      </c>
      <c r="AO158" s="22">
        <f t="shared" si="44"/>
        <v>0</v>
      </c>
      <c r="AP158" s="7">
        <f t="shared" si="45"/>
        <v>0</v>
      </c>
      <c r="AQ158" s="7">
        <f t="shared" si="46"/>
        <v>0</v>
      </c>
      <c r="AR158" s="7">
        <f t="shared" si="47"/>
        <v>15</v>
      </c>
      <c r="AS158" t="str">
        <f t="shared" si="48"/>
        <v>库存为15</v>
      </c>
      <c r="AT158" s="2" t="str">
        <f>IFERROR(时间!$B$4+AS158,"上周无销量")</f>
        <v>上周无销量</v>
      </c>
    </row>
    <row r="159" spans="1:46">
      <c r="A159" t="s">
        <v>1719</v>
      </c>
      <c r="B159" s="5">
        <f>SUMIF('库存（子SKU）'!$C:$C,$A159,'库存（子SKU）'!D:D)</f>
        <v>26</v>
      </c>
      <c r="C159" s="5">
        <f>SUMIF('库存（子SKU）'!$C:$C,$A159,'库存（子SKU）'!E:E)</f>
        <v>11</v>
      </c>
      <c r="D159" s="5">
        <f>SUMIF('库存（子SKU）'!$C:$C,$A159,'库存（子SKU）'!F:F)</f>
        <v>13</v>
      </c>
      <c r="E159" s="5">
        <f>SUMIF('库存（子SKU）'!$C:$C,$A159,'库存（子SKU）'!G:G)</f>
        <v>16</v>
      </c>
      <c r="F159" s="6">
        <v>15.5471212121212</v>
      </c>
      <c r="G159">
        <f>SUMIF('库存（子SKU）'!$C:$C,$A159,'库存（子SKU）'!I:I)</f>
        <v>97</v>
      </c>
      <c r="H159">
        <f>SUMIF('库存（子SKU）'!$C:$C,$A159,'库存（子SKU）'!J:J)</f>
        <v>63</v>
      </c>
      <c r="I159">
        <f>SUMIF('库存（子SKU）'!$C:$C,$A159,'库存（子SKU）'!K:K)</f>
        <v>7</v>
      </c>
      <c r="J159">
        <f>SUMIF('库存（子SKU）'!$C:$C,$A159,'库存（子SKU）'!L:L)</f>
        <v>11</v>
      </c>
      <c r="K159">
        <f t="shared" si="36"/>
        <v>178</v>
      </c>
      <c r="L159">
        <f>SUMIF('库存（子SKU）'!$C:$C,$A159,'库存（子SKU）'!N:N)</f>
        <v>0</v>
      </c>
      <c r="M159">
        <f>SUMIF('库存（子SKU）'!$C:$C,$A159,'库存（子SKU）'!O:O)</f>
        <v>52</v>
      </c>
      <c r="N159">
        <f>SUMIF('库存（子SKU）'!$C:$C,$A159,'库存（子SKU）'!P:P)</f>
        <v>81</v>
      </c>
      <c r="O159">
        <f>SUMIF('库存（子SKU）'!$C:$C,$A159,'库存（子SKU）'!Q:Q)</f>
        <v>98</v>
      </c>
      <c r="P159">
        <f>SUMIF('库存（子SKU）'!$C:$C,$A159,'库存（子SKU）'!R:R)</f>
        <v>88</v>
      </c>
      <c r="Q159">
        <f>SUMIF('库存（子SKU）'!$C:$C,$A159,'库存（子SKU）'!S:S)</f>
        <v>70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1</v>
      </c>
      <c r="V159" s="22">
        <f t="shared" si="49"/>
        <v>0</v>
      </c>
      <c r="W159" s="22">
        <f t="shared" si="50"/>
        <v>0</v>
      </c>
      <c r="X159" s="22">
        <f t="shared" si="51"/>
        <v>0</v>
      </c>
      <c r="Y159" s="22">
        <f t="shared" si="52"/>
        <v>0.0142857142857143</v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0.3</v>
      </c>
      <c r="AD159" s="22">
        <f t="shared" si="37"/>
        <v>0</v>
      </c>
      <c r="AE159" s="22">
        <f t="shared" si="38"/>
        <v>0</v>
      </c>
      <c r="AF159" s="22">
        <f t="shared" si="39"/>
        <v>0</v>
      </c>
      <c r="AG159" s="22">
        <f t="shared" si="40"/>
        <v>0.00120601105144673</v>
      </c>
      <c r="AH159">
        <f>SUMIF('库存（子SKU）'!$C:$C,$A159,'库存（子SKU）'!AJ:AJ)</f>
        <v>615</v>
      </c>
      <c r="AI159">
        <f>SUMIF('库存（子SKU）'!$C:$C,$A159,'库存（子SKU）'!AK:AK)</f>
        <v>462</v>
      </c>
      <c r="AJ159">
        <f>SUMIF('库存（子SKU）'!$C:$C,$A159,'库存（子SKU）'!AL:AL)</f>
        <v>313</v>
      </c>
      <c r="AK159">
        <f>SUMIF('库存（子SKU）'!$C:$C,$A159,'库存（子SKU）'!AM:AM)</f>
        <v>338</v>
      </c>
      <c r="AL159" s="22">
        <f t="shared" si="41"/>
        <v>0.0422764227642276</v>
      </c>
      <c r="AM159" s="22">
        <f t="shared" si="42"/>
        <v>0.0238095238095238</v>
      </c>
      <c r="AN159" s="22">
        <f t="shared" si="43"/>
        <v>0.0415335463258786</v>
      </c>
      <c r="AO159" s="22">
        <f t="shared" si="44"/>
        <v>0.0473372781065089</v>
      </c>
      <c r="AP159" s="7">
        <f t="shared" si="45"/>
        <v>3.71428571428571</v>
      </c>
      <c r="AQ159" s="7">
        <f t="shared" si="46"/>
        <v>222.857142857143</v>
      </c>
      <c r="AR159" s="7">
        <f t="shared" si="47"/>
        <v>-44.8571428571429</v>
      </c>
      <c r="AS159">
        <f t="shared" si="48"/>
        <v>47</v>
      </c>
      <c r="AT159" s="2">
        <f>IFERROR(时间!$B$4+AS159,"上周无销量")</f>
        <v>43379</v>
      </c>
    </row>
    <row r="160" spans="1:46">
      <c r="A160" t="s">
        <v>1752</v>
      </c>
      <c r="B160" s="5">
        <f>SUMIF('库存（子SKU）'!$C:$C,$A160,'库存（子SKU）'!D:D)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6" t="s">
        <v>53</v>
      </c>
      <c r="G160">
        <f>SUMIF('库存（子SKU）'!$C:$C,$A160,'库存（子SKU）'!I:I)</f>
        <v>8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8</v>
      </c>
      <c r="L160">
        <f>SUMIF('库存（子SKU）'!$C:$C,$A160,'库存（子SKU）'!N:N)</f>
        <v>0</v>
      </c>
      <c r="M160">
        <f>SUMIF('库存（子SKU）'!$C:$C,$A160,'库存（子SKU）'!O:O)</f>
        <v>8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 t="str">
        <f t="shared" si="37"/>
        <v/>
      </c>
      <c r="AE160" s="22" t="str">
        <f t="shared" si="38"/>
        <v/>
      </c>
      <c r="AF160" s="22" t="str">
        <f t="shared" si="39"/>
        <v/>
      </c>
      <c r="AG160" s="22" t="str">
        <f t="shared" si="40"/>
        <v/>
      </c>
      <c r="AH160">
        <f>SUMIF('库存（子SKU）'!$C:$C,$A160,'库存（子SKU）'!AJ:AJ)</f>
        <v>5</v>
      </c>
      <c r="AI160">
        <f>SUMIF('库存（子SKU）'!$C:$C,$A160,'库存（子SKU）'!AK:AK)</f>
        <v>25</v>
      </c>
      <c r="AJ160">
        <f>SUMIF('库存（子SKU）'!$C:$C,$A160,'库存（子SKU）'!AL:AL)</f>
        <v>8</v>
      </c>
      <c r="AK160">
        <f>SUMIF('库存（子SKU）'!$C:$C,$A160,'库存（子SKU）'!AM:AM)</f>
        <v>13</v>
      </c>
      <c r="AL160" s="22">
        <f t="shared" si="41"/>
        <v>0</v>
      </c>
      <c r="AM160" s="22">
        <f t="shared" si="42"/>
        <v>0</v>
      </c>
      <c r="AN160" s="22">
        <f t="shared" si="43"/>
        <v>0</v>
      </c>
      <c r="AO160" s="22">
        <f t="shared" si="44"/>
        <v>0</v>
      </c>
      <c r="AP160" s="7">
        <f t="shared" si="45"/>
        <v>0</v>
      </c>
      <c r="AQ160" s="7">
        <f t="shared" si="46"/>
        <v>0</v>
      </c>
      <c r="AR160" s="7">
        <f t="shared" si="47"/>
        <v>8</v>
      </c>
      <c r="AS160" t="str">
        <f t="shared" si="48"/>
        <v>库存为8</v>
      </c>
      <c r="AT160" s="2" t="str">
        <f>IFERROR(时间!$B$4+AS160,"上周无销量")</f>
        <v>上周无销量</v>
      </c>
    </row>
    <row r="161" spans="1:46">
      <c r="A161" t="s">
        <v>1759</v>
      </c>
      <c r="B161" s="5">
        <f>SUMIF('库存（子SKU）'!$C:$C,$A161,'库存（子SKU）'!D:D)</f>
        <v>34</v>
      </c>
      <c r="C161" s="5">
        <f>SUMIF('库存（子SKU）'!$C:$C,$A161,'库存（子SKU）'!E:E)</f>
        <v>43</v>
      </c>
      <c r="D161" s="5">
        <f>SUMIF('库存（子SKU）'!$C:$C,$A161,'库存（子SKU）'!F:F)</f>
        <v>24</v>
      </c>
      <c r="E161" s="5">
        <f>SUMIF('库存（子SKU）'!$C:$C,$A161,'库存（子SKU）'!G:G)</f>
        <v>25</v>
      </c>
      <c r="F161" s="6">
        <v>19.3070634920635</v>
      </c>
      <c r="G161">
        <f>SUMIF('库存（子SKU）'!$C:$C,$A161,'库存（子SKU）'!I:I)</f>
        <v>454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10</v>
      </c>
      <c r="K161">
        <f t="shared" si="36"/>
        <v>464</v>
      </c>
      <c r="L161">
        <f>SUMIF('库存（子SKU）'!$C:$C,$A161,'库存（子SKU）'!N:N)</f>
        <v>3</v>
      </c>
      <c r="M161">
        <f>SUMIF('库存（子SKU）'!$C:$C,$A161,'库存（子SKU）'!O:O)</f>
        <v>240</v>
      </c>
      <c r="N161">
        <f>SUMIF('库存（子SKU）'!$C:$C,$A161,'库存（子SKU）'!P:P)</f>
        <v>8581</v>
      </c>
      <c r="O161">
        <f>SUMIF('库存（子SKU）'!$C:$C,$A161,'库存（子SKU）'!Q:Q)</f>
        <v>9349</v>
      </c>
      <c r="P161">
        <f>SUMIF('库存（子SKU）'!$C:$C,$A161,'库存（子SKU）'!R:R)</f>
        <v>4297</v>
      </c>
      <c r="Q161">
        <f>SUMIF('库存（子SKU）'!$C:$C,$A161,'库存（子SKU）'!S:S)</f>
        <v>3494</v>
      </c>
      <c r="R161">
        <f>SUMIF('库存（子SKU）'!$C:$C,$A161,'库存（子SKU）'!T:T)</f>
        <v>76</v>
      </c>
      <c r="S161">
        <f>SUMIF('库存（子SKU）'!$C:$C,$A161,'库存（子SKU）'!U:U)</f>
        <v>113</v>
      </c>
      <c r="T161">
        <f>SUMIF('库存（子SKU）'!$C:$C,$A161,'库存（子SKU）'!V:V)</f>
        <v>54</v>
      </c>
      <c r="U161">
        <f>SUMIF('库存（子SKU）'!$C:$C,$A161,'库存（子SKU）'!W:W)</f>
        <v>37</v>
      </c>
      <c r="V161" s="22">
        <f t="shared" si="49"/>
        <v>0.00885677659946393</v>
      </c>
      <c r="W161" s="22">
        <f t="shared" si="50"/>
        <v>0.0120868542090063</v>
      </c>
      <c r="X161" s="22">
        <f t="shared" si="51"/>
        <v>0.0125669071445194</v>
      </c>
      <c r="Y161" s="22">
        <f t="shared" si="52"/>
        <v>0.0105895821408128</v>
      </c>
      <c r="Z161">
        <f>SUMIF('库存（子SKU）'!$C:$C,$A161,'库存（子SKU）'!AB:AB)</f>
        <v>28.88</v>
      </c>
      <c r="AA161">
        <f>SUMIF('库存（子SKU）'!$C:$C,$A161,'库存（子SKU）'!AC:AC)</f>
        <v>39.48</v>
      </c>
      <c r="AB161">
        <f>SUMIF('库存（子SKU）'!$C:$C,$A161,'库存（子SKU）'!AD:AD)</f>
        <v>14.48</v>
      </c>
      <c r="AC161">
        <f>SUMIF('库存（子SKU）'!$C:$C,$A161,'库存（子SKU）'!AE:AE)</f>
        <v>5.6</v>
      </c>
      <c r="AD161" s="22">
        <f t="shared" si="37"/>
        <v>0.0439948708437742</v>
      </c>
      <c r="AE161" s="22">
        <f t="shared" si="38"/>
        <v>0.0475545924040255</v>
      </c>
      <c r="AF161" s="22">
        <f t="shared" si="39"/>
        <v>0.0312493577069006</v>
      </c>
      <c r="AG161" s="22">
        <f t="shared" si="40"/>
        <v>0.011601971480131</v>
      </c>
      <c r="AH161">
        <f>SUMIF('库存（子SKU）'!$C:$C,$A161,'库存（子SKU）'!AJ:AJ)</f>
        <v>1611</v>
      </c>
      <c r="AI161">
        <f>SUMIF('库存（子SKU）'!$C:$C,$A161,'库存（子SKU）'!AK:AK)</f>
        <v>1179</v>
      </c>
      <c r="AJ161">
        <f>SUMIF('库存（子SKU）'!$C:$C,$A161,'库存（子SKU）'!AL:AL)</f>
        <v>685</v>
      </c>
      <c r="AK161">
        <f>SUMIF('库存（子SKU）'!$C:$C,$A161,'库存（子SKU）'!AM:AM)</f>
        <v>657</v>
      </c>
      <c r="AL161" s="22">
        <f t="shared" si="41"/>
        <v>0.021104903786468</v>
      </c>
      <c r="AM161" s="22">
        <f t="shared" si="42"/>
        <v>0.0364715860899067</v>
      </c>
      <c r="AN161" s="22">
        <f t="shared" si="43"/>
        <v>0.035036496350365</v>
      </c>
      <c r="AO161" s="22">
        <f t="shared" si="44"/>
        <v>0.0380517503805175</v>
      </c>
      <c r="AP161" s="7">
        <f t="shared" si="45"/>
        <v>4.85714285714286</v>
      </c>
      <c r="AQ161" s="7">
        <f t="shared" si="46"/>
        <v>291.428571428571</v>
      </c>
      <c r="AR161" s="7">
        <f t="shared" si="47"/>
        <v>172.571428571429</v>
      </c>
      <c r="AS161">
        <f t="shared" si="48"/>
        <v>95</v>
      </c>
      <c r="AT161" s="2">
        <f>IFERROR(时间!$B$4+AS161,"上周无销量")</f>
        <v>43427</v>
      </c>
    </row>
    <row r="162" spans="1:46">
      <c r="A162" t="s">
        <v>1849</v>
      </c>
      <c r="B162" s="5">
        <f>SUMIF('库存（子SKU）'!$C:$C,$A162,'库存（子SKU）'!D:D)</f>
        <v>3</v>
      </c>
      <c r="C162" s="5">
        <f>SUMIF('库存（子SKU）'!$C:$C,$A162,'库存（子SKU）'!E:E)</f>
        <v>1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6">
        <v>4.975</v>
      </c>
      <c r="G162">
        <f>SUMIF('库存（子SKU）'!$C:$C,$A162,'库存（子SKU）'!I:I)</f>
        <v>15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15</v>
      </c>
      <c r="L162">
        <f>SUMIF('库存（子SKU）'!$C:$C,$A162,'库存（子SKU）'!N:N)</f>
        <v>0</v>
      </c>
      <c r="M162">
        <f>SUMIF('库存（子SKU）'!$C:$C,$A162,'库存（子SKU）'!O:O)</f>
        <v>15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>
        <f t="shared" si="37"/>
        <v>0</v>
      </c>
      <c r="AE162" s="22">
        <f t="shared" si="38"/>
        <v>0</v>
      </c>
      <c r="AF162" s="22" t="str">
        <f t="shared" si="39"/>
        <v/>
      </c>
      <c r="AG162" s="22" t="str">
        <f t="shared" si="40"/>
        <v/>
      </c>
      <c r="AH162">
        <f>SUMIF('库存（子SKU）'!$C:$C,$A162,'库存（子SKU）'!AJ:AJ)</f>
        <v>4</v>
      </c>
      <c r="AI162">
        <f>SUMIF('库存（子SKU）'!$C:$C,$A162,'库存（子SKU）'!AK:AK)</f>
        <v>18</v>
      </c>
      <c r="AJ162">
        <f>SUMIF('库存（子SKU）'!$C:$C,$A162,'库存（子SKU）'!AL:AL)</f>
        <v>16</v>
      </c>
      <c r="AK162">
        <f>SUMIF('库存（子SKU）'!$C:$C,$A162,'库存（子SKU）'!AM:AM)</f>
        <v>12</v>
      </c>
      <c r="AL162" s="22">
        <f t="shared" si="41"/>
        <v>0.75</v>
      </c>
      <c r="AM162" s="22">
        <f t="shared" si="42"/>
        <v>0.0555555555555556</v>
      </c>
      <c r="AN162" s="22">
        <f t="shared" si="43"/>
        <v>0</v>
      </c>
      <c r="AO162" s="22">
        <f t="shared" si="44"/>
        <v>0</v>
      </c>
      <c r="AP162" s="7">
        <f t="shared" si="45"/>
        <v>0.428571428571429</v>
      </c>
      <c r="AQ162" s="7">
        <f t="shared" si="46"/>
        <v>25.7142857142857</v>
      </c>
      <c r="AR162" s="7">
        <f t="shared" si="47"/>
        <v>-10.7142857142857</v>
      </c>
      <c r="AS162">
        <f t="shared" si="48"/>
        <v>35</v>
      </c>
      <c r="AT162" s="2">
        <f>IFERROR(时间!$B$4+AS162,"上周无销量")</f>
        <v>43367</v>
      </c>
    </row>
    <row r="163" spans="1:46">
      <c r="A163" t="s">
        <v>1860</v>
      </c>
      <c r="B163" s="5">
        <f>SUMIF('库存（子SKU）'!$C:$C,$A163,'库存（子SKU）'!D:D)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6" t="s">
        <v>53</v>
      </c>
      <c r="G163">
        <f>SUMIF('库存（子SKU）'!$C:$C,$A163,'库存（子SKU）'!I:I)</f>
        <v>7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7</v>
      </c>
      <c r="L163">
        <f>SUMIF('库存（子SKU）'!$C:$C,$A163,'库存（子SKU）'!N:N)</f>
        <v>0</v>
      </c>
      <c r="M163">
        <f>SUMIF('库存（子SKU）'!$C:$C,$A163,'库存（子SKU）'!O:O)</f>
        <v>7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 t="str">
        <f t="shared" si="37"/>
        <v/>
      </c>
      <c r="AE163" s="22" t="str">
        <f t="shared" si="38"/>
        <v/>
      </c>
      <c r="AF163" s="22" t="str">
        <f t="shared" si="39"/>
        <v/>
      </c>
      <c r="AG163" s="22" t="str">
        <f t="shared" si="40"/>
        <v/>
      </c>
      <c r="AH163">
        <f>SUMIF('库存（子SKU）'!$C:$C,$A163,'库存（子SKU）'!AJ:AJ)</f>
        <v>21</v>
      </c>
      <c r="AI163">
        <f>SUMIF('库存（子SKU）'!$C:$C,$A163,'库存（子SKU）'!AK:AK)</f>
        <v>11</v>
      </c>
      <c r="AJ163">
        <f>SUMIF('库存（子SKU）'!$C:$C,$A163,'库存（子SKU）'!AL:AL)</f>
        <v>16</v>
      </c>
      <c r="AK163">
        <f>SUMIF('库存（子SKU）'!$C:$C,$A163,'库存（子SKU）'!AM:AM)</f>
        <v>11</v>
      </c>
      <c r="AL163" s="22">
        <f t="shared" si="41"/>
        <v>0</v>
      </c>
      <c r="AM163" s="22">
        <f t="shared" si="42"/>
        <v>0</v>
      </c>
      <c r="AN163" s="22">
        <f t="shared" si="43"/>
        <v>0</v>
      </c>
      <c r="AO163" s="22">
        <f t="shared" si="44"/>
        <v>0</v>
      </c>
      <c r="AP163" s="7">
        <f t="shared" si="45"/>
        <v>0</v>
      </c>
      <c r="AQ163" s="7">
        <f t="shared" si="46"/>
        <v>0</v>
      </c>
      <c r="AR163" s="7">
        <f t="shared" si="47"/>
        <v>7</v>
      </c>
      <c r="AS163" t="str">
        <f t="shared" si="48"/>
        <v>库存为7</v>
      </c>
      <c r="AT163" s="2" t="str">
        <f>IFERROR(时间!$B$4+AS163,"上周无销量")</f>
        <v>上周无销量</v>
      </c>
    </row>
    <row r="164" spans="1:46">
      <c r="A164" t="s">
        <v>1867</v>
      </c>
      <c r="B164" s="5">
        <f>SUMIF('库存（子SKU）'!$C:$C,$A164,'库存（子SKU）'!D:D)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1</v>
      </c>
      <c r="E164" s="5">
        <f>SUMIF('库存（子SKU）'!$C:$C,$A164,'库存（子SKU）'!G:G)</f>
        <v>0</v>
      </c>
      <c r="F164" s="6">
        <v>10.9</v>
      </c>
      <c r="G164">
        <f>SUMIF('库存（子SKU）'!$C:$C,$A164,'库存（子SKU）'!I:I)</f>
        <v>14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14</v>
      </c>
      <c r="L164">
        <f>SUMIF('库存（子SKU）'!$C:$C,$A164,'库存（子SKU）'!N:N)</f>
        <v>0</v>
      </c>
      <c r="M164">
        <f>SUMIF('库存（子SKU）'!$C:$C,$A164,'库存（子SKU）'!O:O)</f>
        <v>14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 t="str">
        <f t="shared" si="37"/>
        <v/>
      </c>
      <c r="AE164" s="22" t="str">
        <f t="shared" si="38"/>
        <v/>
      </c>
      <c r="AF164" s="22">
        <f t="shared" si="39"/>
        <v>0</v>
      </c>
      <c r="AG164" s="22" t="str">
        <f t="shared" si="40"/>
        <v/>
      </c>
      <c r="AH164">
        <f>SUMIF('库存（子SKU）'!$C:$C,$A164,'库存（子SKU）'!AJ:AJ)</f>
        <v>10</v>
      </c>
      <c r="AI164">
        <f>SUMIF('库存（子SKU）'!$C:$C,$A164,'库存（子SKU）'!AK:AK)</f>
        <v>20</v>
      </c>
      <c r="AJ164">
        <f>SUMIF('库存（子SKU）'!$C:$C,$A164,'库存（子SKU）'!AL:AL)</f>
        <v>9</v>
      </c>
      <c r="AK164">
        <f>SUMIF('库存（子SKU）'!$C:$C,$A164,'库存（子SKU）'!AM:AM)</f>
        <v>12</v>
      </c>
      <c r="AL164" s="22">
        <f t="shared" si="41"/>
        <v>0</v>
      </c>
      <c r="AM164" s="22">
        <f t="shared" si="42"/>
        <v>0</v>
      </c>
      <c r="AN164" s="22">
        <f t="shared" si="43"/>
        <v>0.111111111111111</v>
      </c>
      <c r="AO164" s="22">
        <f t="shared" si="44"/>
        <v>0</v>
      </c>
      <c r="AP164" s="7">
        <f t="shared" si="45"/>
        <v>0</v>
      </c>
      <c r="AQ164" s="7">
        <f t="shared" si="46"/>
        <v>0</v>
      </c>
      <c r="AR164" s="7">
        <f t="shared" si="47"/>
        <v>14</v>
      </c>
      <c r="AS164" t="str">
        <f t="shared" si="48"/>
        <v>库存为14</v>
      </c>
      <c r="AT164" s="2" t="str">
        <f>IFERROR(时间!$B$4+AS164,"上周无销量")</f>
        <v>上周无销量</v>
      </c>
    </row>
    <row r="165" spans="1:46">
      <c r="A165" t="s">
        <v>1878</v>
      </c>
      <c r="B165" s="5">
        <f>SUMIF('库存（子SKU）'!$C:$C,$A165,'库存（子SKU）'!D:D)</f>
        <v>0</v>
      </c>
      <c r="C165" s="5">
        <f>SUMIF('库存（子SKU）'!$C:$C,$A165,'库存（子SKU）'!E:E)</f>
        <v>1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6">
        <v>18.9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2" t="str">
        <f t="shared" si="49"/>
        <v/>
      </c>
      <c r="W165" s="22" t="str">
        <f t="shared" si="50"/>
        <v/>
      </c>
      <c r="X165" s="22" t="str">
        <f t="shared" si="51"/>
        <v/>
      </c>
      <c r="Y165" s="22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2" t="str">
        <f t="shared" si="37"/>
        <v/>
      </c>
      <c r="AE165" s="22">
        <f t="shared" si="38"/>
        <v>0</v>
      </c>
      <c r="AF165" s="22" t="str">
        <f t="shared" si="39"/>
        <v/>
      </c>
      <c r="AG165" s="22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7</v>
      </c>
      <c r="AJ165">
        <f>SUMIF('库存（子SKU）'!$C:$C,$A165,'库存（子SKU）'!AL:AL)</f>
        <v>2</v>
      </c>
      <c r="AK165">
        <f>SUMIF('库存（子SKU）'!$C:$C,$A165,'库存（子SKU）'!AM:AM)</f>
        <v>2</v>
      </c>
      <c r="AL165" s="22" t="str">
        <f t="shared" si="41"/>
        <v/>
      </c>
      <c r="AM165" s="22">
        <f t="shared" si="42"/>
        <v>0.142857142857143</v>
      </c>
      <c r="AN165" s="22">
        <f t="shared" si="43"/>
        <v>0</v>
      </c>
      <c r="AO165" s="22">
        <f t="shared" si="44"/>
        <v>0</v>
      </c>
      <c r="AP165" s="7">
        <f t="shared" si="45"/>
        <v>0</v>
      </c>
      <c r="AQ165" s="7">
        <f t="shared" si="46"/>
        <v>0</v>
      </c>
      <c r="AR165" s="7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1885</v>
      </c>
      <c r="B166" s="5">
        <f>SUMIF('库存（子SKU）'!$C:$C,$A166,'库存（子SKU）'!D:D)</f>
        <v>9</v>
      </c>
      <c r="C166" s="5">
        <f>SUMIF('库存（子SKU）'!$C:$C,$A166,'库存（子SKU）'!E:E)</f>
        <v>5</v>
      </c>
      <c r="D166" s="5">
        <f>SUMIF('库存（子SKU）'!$C:$C,$A166,'库存（子SKU）'!F:F)</f>
        <v>8</v>
      </c>
      <c r="E166" s="5">
        <f>SUMIF('库存（子SKU）'!$C:$C,$A166,'库存（子SKU）'!G:G)</f>
        <v>13</v>
      </c>
      <c r="F166" s="6">
        <v>21.2057142857143</v>
      </c>
      <c r="G166">
        <f>SUMIF('库存（子SKU）'!$C:$C,$A166,'库存（子SKU）'!I:I)</f>
        <v>50</v>
      </c>
      <c r="H166">
        <f>SUMIF('库存（子SKU）'!$C:$C,$A166,'库存（子SKU）'!J:J)</f>
        <v>29</v>
      </c>
      <c r="I166">
        <f>SUMIF('库存（子SKU）'!$C:$C,$A166,'库存（子SKU）'!K:K)</f>
        <v>0</v>
      </c>
      <c r="J166">
        <f>SUMIF('库存（子SKU）'!$C:$C,$A166,'库存（子SKU）'!L:L)</f>
        <v>1</v>
      </c>
      <c r="K166">
        <f t="shared" si="36"/>
        <v>80</v>
      </c>
      <c r="L166">
        <f>SUMIF('库存（子SKU）'!$C:$C,$A166,'库存（子SKU）'!N:N)</f>
        <v>3</v>
      </c>
      <c r="M166">
        <f>SUMIF('库存（子SKU）'!$C:$C,$A166,'库存（子SKU）'!O:O)</f>
        <v>52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>
        <f t="shared" si="37"/>
        <v>0</v>
      </c>
      <c r="AE166" s="22">
        <f t="shared" si="38"/>
        <v>0</v>
      </c>
      <c r="AF166" s="22">
        <f t="shared" si="39"/>
        <v>0</v>
      </c>
      <c r="AG166" s="22">
        <f t="shared" si="40"/>
        <v>0</v>
      </c>
      <c r="AH166">
        <f>SUMIF('库存（子SKU）'!$C:$C,$A166,'库存（子SKU）'!AJ:AJ)</f>
        <v>283</v>
      </c>
      <c r="AI166">
        <f>SUMIF('库存（子SKU）'!$C:$C,$A166,'库存（子SKU）'!AK:AK)</f>
        <v>200</v>
      </c>
      <c r="AJ166">
        <f>SUMIF('库存（子SKU）'!$C:$C,$A166,'库存（子SKU）'!AL:AL)</f>
        <v>143</v>
      </c>
      <c r="AK166">
        <f>SUMIF('库存（子SKU）'!$C:$C,$A166,'库存（子SKU）'!AM:AM)</f>
        <v>146</v>
      </c>
      <c r="AL166" s="22">
        <f t="shared" si="41"/>
        <v>0.0318021201413428</v>
      </c>
      <c r="AM166" s="22">
        <f t="shared" si="42"/>
        <v>0.025</v>
      </c>
      <c r="AN166" s="22">
        <f t="shared" si="43"/>
        <v>0.0559440559440559</v>
      </c>
      <c r="AO166" s="22">
        <f t="shared" si="44"/>
        <v>0.089041095890411</v>
      </c>
      <c r="AP166" s="7">
        <f t="shared" si="45"/>
        <v>1.28571428571429</v>
      </c>
      <c r="AQ166" s="7">
        <f t="shared" si="46"/>
        <v>77.1428571428572</v>
      </c>
      <c r="AR166" s="7">
        <f t="shared" si="47"/>
        <v>2.85714285714285</v>
      </c>
      <c r="AS166">
        <f t="shared" si="48"/>
        <v>62</v>
      </c>
      <c r="AT166" s="2">
        <f>IFERROR(时间!$B$4+AS166,"上周无销量")</f>
        <v>43394</v>
      </c>
    </row>
    <row r="167" spans="1:46">
      <c r="A167" t="s">
        <v>1904</v>
      </c>
      <c r="B167" s="5">
        <f>SUMIF('库存（子SKU）'!$C:$C,$A167,'库存（子SKU）'!D:D)</f>
        <v>1</v>
      </c>
      <c r="C167" s="5">
        <f>SUMIF('库存（子SKU）'!$C:$C,$A167,'库存（子SKU）'!E:E)</f>
        <v>1</v>
      </c>
      <c r="D167" s="5">
        <f>SUMIF('库存（子SKU）'!$C:$C,$A167,'库存（子SKU）'!F:F)</f>
        <v>2</v>
      </c>
      <c r="E167" s="5">
        <f>SUMIF('库存（子SKU）'!$C:$C,$A167,'库存（子SKU）'!G:G)</f>
        <v>0</v>
      </c>
      <c r="F167" s="6">
        <v>21.25</v>
      </c>
      <c r="G167">
        <f>SUMIF('库存（子SKU）'!$C:$C,$A167,'库存（子SKU）'!I:I)</f>
        <v>39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39</v>
      </c>
      <c r="L167">
        <f>SUMIF('库存（子SKU）'!$C:$C,$A167,'库存（子SKU）'!N:N)</f>
        <v>1</v>
      </c>
      <c r="M167">
        <f>SUMIF('库存（子SKU）'!$C:$C,$A167,'库存（子SKU）'!O:O)</f>
        <v>39</v>
      </c>
      <c r="N167">
        <f>SUMIF('库存（子SKU）'!$C:$C,$A167,'库存（子SKU）'!P:P)</f>
        <v>112</v>
      </c>
      <c r="O167">
        <f>SUMIF('库存（子SKU）'!$C:$C,$A167,'库存（子SKU）'!Q:Q)</f>
        <v>687</v>
      </c>
      <c r="P167">
        <f>SUMIF('库存（子SKU）'!$C:$C,$A167,'库存（子SKU）'!R:R)</f>
        <v>1412</v>
      </c>
      <c r="Q167">
        <f>SUMIF('库存（子SKU）'!$C:$C,$A167,'库存（子SKU）'!S:S)</f>
        <v>944</v>
      </c>
      <c r="R167">
        <f>SUMIF('库存（子SKU）'!$C:$C,$A167,'库存（子SKU）'!T:T)</f>
        <v>1</v>
      </c>
      <c r="S167">
        <f>SUMIF('库存（子SKU）'!$C:$C,$A167,'库存（子SKU）'!U:U)</f>
        <v>3</v>
      </c>
      <c r="T167">
        <f>SUMIF('库存（子SKU）'!$C:$C,$A167,'库存（子SKU）'!V:V)</f>
        <v>10</v>
      </c>
      <c r="U167">
        <f>SUMIF('库存（子SKU）'!$C:$C,$A167,'库存（子SKU）'!W:W)</f>
        <v>3</v>
      </c>
      <c r="V167" s="22">
        <f t="shared" si="49"/>
        <v>0.00892857142857143</v>
      </c>
      <c r="W167" s="22">
        <f t="shared" si="50"/>
        <v>0.00436681222707424</v>
      </c>
      <c r="X167" s="22">
        <f t="shared" si="51"/>
        <v>0.00708215297450425</v>
      </c>
      <c r="Y167" s="22">
        <f t="shared" si="52"/>
        <v>0.00317796610169492</v>
      </c>
      <c r="Z167">
        <f>SUMIF('库存（子SKU）'!$C:$C,$A167,'库存（子SKU）'!AB:AB)</f>
        <v>0.36</v>
      </c>
      <c r="AA167">
        <f>SUMIF('库存（子SKU）'!$C:$C,$A167,'库存（子SKU）'!AC:AC)</f>
        <v>1</v>
      </c>
      <c r="AB167">
        <f>SUMIF('库存（子SKU）'!$C:$C,$A167,'库存（子SKU）'!AD:AD)</f>
        <v>3.86</v>
      </c>
      <c r="AC167">
        <f>SUMIF('库存（子SKU）'!$C:$C,$A167,'库存（子SKU）'!AE:AE)</f>
        <v>1.42</v>
      </c>
      <c r="AD167" s="22">
        <f t="shared" si="37"/>
        <v>0.0169411764705882</v>
      </c>
      <c r="AE167" s="22">
        <f t="shared" si="38"/>
        <v>0.0470588235294118</v>
      </c>
      <c r="AF167" s="22">
        <f t="shared" si="39"/>
        <v>0.0908235294117647</v>
      </c>
      <c r="AG167" s="22" t="str">
        <f t="shared" si="40"/>
        <v>无销量广告费为1.42</v>
      </c>
      <c r="AH167">
        <f>SUMIF('库存（子SKU）'!$C:$C,$A167,'库存（子SKU）'!AJ:AJ)</f>
        <v>54</v>
      </c>
      <c r="AI167">
        <f>SUMIF('库存（子SKU）'!$C:$C,$A167,'库存（子SKU）'!AK:AK)</f>
        <v>53</v>
      </c>
      <c r="AJ167">
        <f>SUMIF('库存（子SKU）'!$C:$C,$A167,'库存（子SKU）'!AL:AL)</f>
        <v>22</v>
      </c>
      <c r="AK167">
        <f>SUMIF('库存（子SKU）'!$C:$C,$A167,'库存（子SKU）'!AM:AM)</f>
        <v>25</v>
      </c>
      <c r="AL167" s="22">
        <f t="shared" si="41"/>
        <v>0.0185185185185185</v>
      </c>
      <c r="AM167" s="22">
        <f t="shared" si="42"/>
        <v>0.0188679245283019</v>
      </c>
      <c r="AN167" s="22">
        <f t="shared" si="43"/>
        <v>0.0909090909090909</v>
      </c>
      <c r="AO167" s="22">
        <f t="shared" si="44"/>
        <v>0</v>
      </c>
      <c r="AP167" s="7">
        <f t="shared" si="45"/>
        <v>0.142857142857143</v>
      </c>
      <c r="AQ167" s="7">
        <f t="shared" si="46"/>
        <v>8.57142857142857</v>
      </c>
      <c r="AR167" s="7">
        <f t="shared" si="47"/>
        <v>30.4285714285714</v>
      </c>
      <c r="AS167">
        <f t="shared" si="48"/>
        <v>273</v>
      </c>
      <c r="AT167" s="2">
        <f>IFERROR(时间!$B$4+AS167,"上周无销量")</f>
        <v>43605</v>
      </c>
    </row>
    <row r="168" spans="1:46">
      <c r="A168" t="s">
        <v>1924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1929</v>
      </c>
      <c r="B169" s="5">
        <f>SUMIF('库存（子SKU）'!$C:$C,$A169,'库存（子SKU）'!D:D)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3</v>
      </c>
      <c r="E169" s="5">
        <f>SUMIF('库存（子SKU）'!$C:$C,$A169,'库存（子SKU）'!G:G)</f>
        <v>0</v>
      </c>
      <c r="F169" s="6">
        <v>15.99</v>
      </c>
      <c r="G169">
        <f>SUMIF('库存（子SKU）'!$C:$C,$A169,'库存（子SKU）'!I:I)</f>
        <v>13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13</v>
      </c>
      <c r="L169">
        <f>SUMIF('库存（子SKU）'!$C:$C,$A169,'库存（子SKU）'!N:N)</f>
        <v>0</v>
      </c>
      <c r="M169">
        <f>SUMIF('库存（子SKU）'!$C:$C,$A169,'库存（子SKU）'!O:O)</f>
        <v>13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 t="str">
        <f t="shared" si="38"/>
        <v/>
      </c>
      <c r="AF169" s="22">
        <f t="shared" si="39"/>
        <v>0</v>
      </c>
      <c r="AG169" s="22" t="str">
        <f t="shared" si="40"/>
        <v/>
      </c>
      <c r="AH169">
        <f>SUMIF('库存（子SKU）'!$C:$C,$A169,'库存（子SKU）'!AJ:AJ)</f>
        <v>5</v>
      </c>
      <c r="AI169">
        <f>SUMIF('库存（子SKU）'!$C:$C,$A169,'库存（子SKU）'!AK:AK)</f>
        <v>33</v>
      </c>
      <c r="AJ169">
        <f>SUMIF('库存（子SKU）'!$C:$C,$A169,'库存（子SKU）'!AL:AL)</f>
        <v>10</v>
      </c>
      <c r="AK169">
        <f>SUMIF('库存（子SKU）'!$C:$C,$A169,'库存（子SKU）'!AM:AM)</f>
        <v>12</v>
      </c>
      <c r="AL169" s="22">
        <f t="shared" si="41"/>
        <v>0</v>
      </c>
      <c r="AM169" s="22">
        <f t="shared" si="42"/>
        <v>0</v>
      </c>
      <c r="AN169" s="22">
        <f t="shared" si="43"/>
        <v>0.3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13</v>
      </c>
      <c r="AS169" t="str">
        <f t="shared" si="48"/>
        <v>库存为13</v>
      </c>
      <c r="AT169" s="2" t="str">
        <f>IFERROR(时间!$B$4+AS169,"上周无销量")</f>
        <v>上周无销量</v>
      </c>
    </row>
    <row r="170" spans="1:46">
      <c r="A170" t="s">
        <v>1938</v>
      </c>
      <c r="B170" s="5">
        <f>SUMIF('库存（子SKU）'!$C:$C,$A170,'库存（子SKU）'!D:D)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6" t="s">
        <v>53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 t="str">
        <f t="shared" si="37"/>
        <v/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2" t="str">
        <f t="shared" si="41"/>
        <v/>
      </c>
      <c r="AM170" s="22" t="str">
        <f t="shared" si="42"/>
        <v/>
      </c>
      <c r="AN170" s="22" t="str">
        <f t="shared" si="43"/>
        <v/>
      </c>
      <c r="AO170" s="22" t="str">
        <f t="shared" si="44"/>
        <v/>
      </c>
      <c r="AP170" s="7">
        <f t="shared" si="45"/>
        <v>0</v>
      </c>
      <c r="AQ170" s="7">
        <f t="shared" si="46"/>
        <v>0</v>
      </c>
      <c r="AR170" s="7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1941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2" t="str">
        <f t="shared" si="41"/>
        <v/>
      </c>
      <c r="AM171" s="22" t="str">
        <f t="shared" si="42"/>
        <v/>
      </c>
      <c r="AN171" s="22" t="str">
        <f t="shared" si="43"/>
        <v/>
      </c>
      <c r="AO171" s="22" t="str">
        <f t="shared" si="44"/>
        <v/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1944</v>
      </c>
      <c r="B172" s="5">
        <f>SUMIF('库存（子SKU）'!$C:$C,$A172,'库存（子SKU）'!D:D)</f>
        <v>20</v>
      </c>
      <c r="C172" s="5">
        <f>SUMIF('库存（子SKU）'!$C:$C,$A172,'库存（子SKU）'!E:E)</f>
        <v>10</v>
      </c>
      <c r="D172" s="5">
        <f>SUMIF('库存（子SKU）'!$C:$C,$A172,'库存（子SKU）'!F:F)</f>
        <v>11</v>
      </c>
      <c r="E172" s="5">
        <f>SUMIF('库存（子SKU）'!$C:$C,$A172,'库存（子SKU）'!G:G)</f>
        <v>18</v>
      </c>
      <c r="F172" s="6">
        <v>8.64406779661017</v>
      </c>
      <c r="G172">
        <f>SUMIF('库存（子SKU）'!$C:$C,$A172,'库存（子SKU）'!I:I)</f>
        <v>104</v>
      </c>
      <c r="H172">
        <f>SUMIF('库存（子SKU）'!$C:$C,$A172,'库存（子SKU）'!J:J)</f>
        <v>23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127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3553</v>
      </c>
      <c r="O172">
        <f>SUMIF('库存（子SKU）'!$C:$C,$A172,'库存（子SKU）'!Q:Q)</f>
        <v>1468</v>
      </c>
      <c r="P172">
        <f>SUMIF('库存（子SKU）'!$C:$C,$A172,'库存（子SKU）'!R:R)</f>
        <v>705</v>
      </c>
      <c r="Q172">
        <f>SUMIF('库存（子SKU）'!$C:$C,$A172,'库存（子SKU）'!S:S)</f>
        <v>957</v>
      </c>
      <c r="R172">
        <f>SUMIF('库存（子SKU）'!$C:$C,$A172,'库存（子SKU）'!T:T)</f>
        <v>30</v>
      </c>
      <c r="S172">
        <f>SUMIF('库存（子SKU）'!$C:$C,$A172,'库存（子SKU）'!U:U)</f>
        <v>17</v>
      </c>
      <c r="T172">
        <f>SUMIF('库存（子SKU）'!$C:$C,$A172,'库存（子SKU）'!V:V)</f>
        <v>9</v>
      </c>
      <c r="U172">
        <f>SUMIF('库存（子SKU）'!$C:$C,$A172,'库存（子SKU）'!W:W)</f>
        <v>23</v>
      </c>
      <c r="V172" s="22">
        <f t="shared" si="49"/>
        <v>0.00844356881508584</v>
      </c>
      <c r="W172" s="22">
        <f t="shared" si="50"/>
        <v>0.0115803814713896</v>
      </c>
      <c r="X172" s="22">
        <f t="shared" si="51"/>
        <v>0.0127659574468085</v>
      </c>
      <c r="Y172" s="22">
        <f t="shared" si="52"/>
        <v>0.0240334378265413</v>
      </c>
      <c r="Z172">
        <f>SUMIF('库存（子SKU）'!$C:$C,$A172,'库存（子SKU）'!AB:AB)</f>
        <v>4.43</v>
      </c>
      <c r="AA172">
        <f>SUMIF('库存（子SKU）'!$C:$C,$A172,'库存（子SKU）'!AC:AC)</f>
        <v>2.73</v>
      </c>
      <c r="AB172">
        <f>SUMIF('库存（子SKU）'!$C:$C,$A172,'库存（子SKU）'!AD:AD)</f>
        <v>1.86</v>
      </c>
      <c r="AC172">
        <f>SUMIF('库存（子SKU）'!$C:$C,$A172,'库存（子SKU）'!AE:AE)</f>
        <v>5.73</v>
      </c>
      <c r="AD172" s="22">
        <f t="shared" si="37"/>
        <v>0.0256245098039216</v>
      </c>
      <c r="AE172" s="22">
        <f t="shared" si="38"/>
        <v>0.0315823529411765</v>
      </c>
      <c r="AF172" s="22">
        <f t="shared" si="39"/>
        <v>0.0195614973262032</v>
      </c>
      <c r="AG172" s="22">
        <f t="shared" si="40"/>
        <v>0.0368267973856209</v>
      </c>
      <c r="AH172">
        <f>SUMIF('库存（子SKU）'!$C:$C,$A172,'库存（子SKU）'!AJ:AJ)</f>
        <v>226</v>
      </c>
      <c r="AI172">
        <f>SUMIF('库存（子SKU）'!$C:$C,$A172,'库存（子SKU）'!AK:AK)</f>
        <v>166</v>
      </c>
      <c r="AJ172">
        <f>SUMIF('库存（子SKU）'!$C:$C,$A172,'库存（子SKU）'!AL:AL)</f>
        <v>117</v>
      </c>
      <c r="AK172">
        <f>SUMIF('库存（子SKU）'!$C:$C,$A172,'库存（子SKU）'!AM:AM)</f>
        <v>104</v>
      </c>
      <c r="AL172" s="22">
        <f t="shared" si="41"/>
        <v>0.0884955752212389</v>
      </c>
      <c r="AM172" s="22">
        <f t="shared" si="42"/>
        <v>0.0602409638554217</v>
      </c>
      <c r="AN172" s="22">
        <f t="shared" si="43"/>
        <v>0.094017094017094</v>
      </c>
      <c r="AO172" s="22">
        <f t="shared" si="44"/>
        <v>0.173076923076923</v>
      </c>
      <c r="AP172" s="7">
        <f t="shared" si="45"/>
        <v>2.85714285714286</v>
      </c>
      <c r="AQ172" s="7">
        <f t="shared" si="46"/>
        <v>171.428571428571</v>
      </c>
      <c r="AR172" s="7">
        <f t="shared" si="47"/>
        <v>-44.4285714285714</v>
      </c>
      <c r="AS172">
        <f t="shared" si="48"/>
        <v>44</v>
      </c>
      <c r="AT172" s="2">
        <f>IFERROR(时间!$B$4+AS172,"上周无销量")</f>
        <v>43376</v>
      </c>
    </row>
    <row r="173" spans="1:46">
      <c r="A173" t="s">
        <v>1977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934</v>
      </c>
      <c r="AI173">
        <f>SUMIF('库存（子SKU）'!$C:$C,$A173,'库存（子SKU）'!AK:AK)</f>
        <v>954</v>
      </c>
      <c r="AJ173">
        <f>SUMIF('库存（子SKU）'!$C:$C,$A173,'库存（子SKU）'!AL:AL)</f>
        <v>465</v>
      </c>
      <c r="AK173">
        <f>SUMIF('库存（子SKU）'!$C:$C,$A173,'库存（子SKU）'!AM:AM)</f>
        <v>118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1990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1446</v>
      </c>
      <c r="AI174">
        <f>SUMIF('库存（子SKU）'!$C:$C,$A174,'库存（子SKU）'!AK:AK)</f>
        <v>2082</v>
      </c>
      <c r="AJ174">
        <f>SUMIF('库存（子SKU）'!$C:$C,$A174,'库存（子SKU）'!AL:AL)</f>
        <v>1652</v>
      </c>
      <c r="AK174">
        <f>SUMIF('库存（子SKU）'!$C:$C,$A174,'库存（子SKU）'!AM:AM)</f>
        <v>994</v>
      </c>
      <c r="AL174" s="22">
        <f t="shared" si="41"/>
        <v>0</v>
      </c>
      <c r="AM174" s="22">
        <f t="shared" si="42"/>
        <v>0</v>
      </c>
      <c r="AN174" s="22">
        <f t="shared" si="43"/>
        <v>0</v>
      </c>
      <c r="AO174" s="22">
        <f t="shared" si="44"/>
        <v>0</v>
      </c>
      <c r="AP174" s="7">
        <f t="shared" si="45"/>
        <v>0</v>
      </c>
      <c r="AQ174" s="7">
        <f t="shared" si="46"/>
        <v>0</v>
      </c>
      <c r="AR174" s="7">
        <f t="shared" si="47"/>
        <v>0</v>
      </c>
      <c r="AS174" t="str">
        <f t="shared" si="48"/>
        <v>库存为0</v>
      </c>
      <c r="AT174" s="2" t="str">
        <f>IFERROR(时间!$B$4+AS174,"上周无销量")</f>
        <v>上周无销量</v>
      </c>
    </row>
    <row r="175" spans="1:46">
      <c r="A175" t="s">
        <v>1996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 t="str">
        <f t="shared" si="37"/>
        <v/>
      </c>
      <c r="AE175" s="22" t="str">
        <f t="shared" si="38"/>
        <v/>
      </c>
      <c r="AF175" s="22" t="str">
        <f t="shared" si="39"/>
        <v/>
      </c>
      <c r="AG175" s="22" t="str">
        <f t="shared" si="40"/>
        <v/>
      </c>
      <c r="AH175">
        <f>SUMIF('库存（子SKU）'!$C:$C,$A175,'库存（子SKU）'!AJ:AJ)</f>
        <v>17600</v>
      </c>
      <c r="AI175">
        <f>SUMIF('库存（子SKU）'!$C:$C,$A175,'库存（子SKU）'!AK:AK)</f>
        <v>15159</v>
      </c>
      <c r="AJ175">
        <f>SUMIF('库存（子SKU）'!$C:$C,$A175,'库存（子SKU）'!AL:AL)</f>
        <v>12232</v>
      </c>
      <c r="AK175">
        <f>SUMIF('库存（子SKU）'!$C:$C,$A175,'库存（子SKU）'!AM:AM)</f>
        <v>12722</v>
      </c>
      <c r="AL175" s="22">
        <f t="shared" si="41"/>
        <v>0</v>
      </c>
      <c r="AM175" s="22">
        <f t="shared" si="42"/>
        <v>0</v>
      </c>
      <c r="AN175" s="22">
        <f t="shared" si="43"/>
        <v>0</v>
      </c>
      <c r="AO175" s="22">
        <f t="shared" si="44"/>
        <v>0</v>
      </c>
      <c r="AP175" s="7">
        <f t="shared" si="45"/>
        <v>0</v>
      </c>
      <c r="AQ175" s="7">
        <f t="shared" si="46"/>
        <v>0</v>
      </c>
      <c r="AR175" s="7">
        <f t="shared" si="47"/>
        <v>0</v>
      </c>
      <c r="AS175" t="str">
        <f t="shared" si="48"/>
        <v>库存为0</v>
      </c>
      <c r="AT175" s="2" t="str">
        <f>IFERROR(时间!$B$4+AS175,"上周无销量")</f>
        <v>上周无销量</v>
      </c>
    </row>
    <row r="176" spans="1:46">
      <c r="A176" t="s">
        <v>2012</v>
      </c>
      <c r="B176" s="5">
        <f>SUMIF('库存（子SKU）'!$C:$C,$A176,'库存（子SKU）'!D:D)</f>
        <v>4</v>
      </c>
      <c r="C176" s="5">
        <f>SUMIF('库存（子SKU）'!$C:$C,$A176,'库存（子SKU）'!E:E)</f>
        <v>4</v>
      </c>
      <c r="D176" s="5">
        <f>SUMIF('库存（子SKU）'!$C:$C,$A176,'库存（子SKU）'!F:F)</f>
        <v>1</v>
      </c>
      <c r="E176" s="5">
        <f>SUMIF('库存（子SKU）'!$C:$C,$A176,'库存（子SKU）'!G:G)</f>
        <v>0</v>
      </c>
      <c r="F176" s="6">
        <v>15.7233333333333</v>
      </c>
      <c r="G176">
        <f>SUMIF('库存（子SKU）'!$C:$C,$A176,'库存（子SKU）'!I:I)</f>
        <v>41</v>
      </c>
      <c r="H176">
        <f>SUMIF('库存（子SKU）'!$C:$C,$A176,'库存（子SKU）'!J:J)</f>
        <v>44</v>
      </c>
      <c r="I176">
        <f>SUMIF('库存（子SKU）'!$C:$C,$A176,'库存（子SKU）'!K:K)</f>
        <v>0</v>
      </c>
      <c r="J176">
        <f>SUMIF('库存（子SKU）'!$C:$C,$A176,'库存（子SKU）'!L:L)</f>
        <v>2</v>
      </c>
      <c r="K176">
        <f t="shared" si="36"/>
        <v>87</v>
      </c>
      <c r="L176">
        <f>SUMIF('库存（子SKU）'!$C:$C,$A176,'库存（子SKU）'!N:N)</f>
        <v>0</v>
      </c>
      <c r="M176">
        <f>SUMIF('库存（子SKU）'!$C:$C,$A176,'库存（子SKU）'!O:O)</f>
        <v>4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</v>
      </c>
      <c r="AE176" s="22">
        <f t="shared" si="38"/>
        <v>0</v>
      </c>
      <c r="AF176" s="22">
        <f t="shared" si="39"/>
        <v>0</v>
      </c>
      <c r="AG176" s="22" t="str">
        <f t="shared" si="40"/>
        <v/>
      </c>
      <c r="AH176">
        <f>SUMIF('库存（子SKU）'!$C:$C,$A176,'库存（子SKU）'!AJ:AJ)</f>
        <v>88</v>
      </c>
      <c r="AI176">
        <f>SUMIF('库存（子SKU）'!$C:$C,$A176,'库存（子SKU）'!AK:AK)</f>
        <v>61</v>
      </c>
      <c r="AJ176">
        <f>SUMIF('库存（子SKU）'!$C:$C,$A176,'库存（子SKU）'!AL:AL)</f>
        <v>68</v>
      </c>
      <c r="AK176">
        <f>SUMIF('库存（子SKU）'!$C:$C,$A176,'库存（子SKU）'!AM:AM)</f>
        <v>82</v>
      </c>
      <c r="AL176" s="22">
        <f t="shared" si="41"/>
        <v>0.0454545454545455</v>
      </c>
      <c r="AM176" s="22">
        <f t="shared" si="42"/>
        <v>0.0655737704918033</v>
      </c>
      <c r="AN176" s="22">
        <f t="shared" si="43"/>
        <v>0.0147058823529412</v>
      </c>
      <c r="AO176" s="22">
        <f t="shared" si="44"/>
        <v>0</v>
      </c>
      <c r="AP176" s="7">
        <f t="shared" si="45"/>
        <v>0.571428571428571</v>
      </c>
      <c r="AQ176" s="7">
        <f t="shared" si="46"/>
        <v>34.2857142857143</v>
      </c>
      <c r="AR176" s="7">
        <f t="shared" si="47"/>
        <v>52.7142857142857</v>
      </c>
      <c r="AS176">
        <f t="shared" si="48"/>
        <v>152</v>
      </c>
      <c r="AT176" s="2">
        <f>IFERROR(时间!$B$4+AS176,"上周无销量")</f>
        <v>43484</v>
      </c>
    </row>
    <row r="177" spans="1:46">
      <c r="A177" t="s">
        <v>2023</v>
      </c>
      <c r="B177" s="5">
        <f>SUMIF('库存（子SKU）'!$C:$C,$A177,'库存（子SKU）'!D:D)</f>
        <v>3</v>
      </c>
      <c r="C177" s="5">
        <f>SUMIF('库存（子SKU）'!$C:$C,$A177,'库存（子SKU）'!E:E)</f>
        <v>1</v>
      </c>
      <c r="D177" s="5">
        <f>SUMIF('库存（子SKU）'!$C:$C,$A177,'库存（子SKU）'!F:F)</f>
        <v>3</v>
      </c>
      <c r="E177" s="5">
        <f>SUMIF('库存（子SKU）'!$C:$C,$A177,'库存（子SKU）'!G:G)</f>
        <v>4</v>
      </c>
      <c r="F177" s="6">
        <v>12.99</v>
      </c>
      <c r="G177">
        <f>SUMIF('库存（子SKU）'!$C:$C,$A177,'库存（子SKU）'!I:I)</f>
        <v>10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10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350</v>
      </c>
      <c r="O177">
        <f>SUMIF('库存（子SKU）'!$C:$C,$A177,'库存（子SKU）'!Q:Q)</f>
        <v>109</v>
      </c>
      <c r="P177">
        <f>SUMIF('库存（子SKU）'!$C:$C,$A177,'库存（子SKU）'!R:R)</f>
        <v>123</v>
      </c>
      <c r="Q177">
        <f>SUMIF('库存（子SKU）'!$C:$C,$A177,'库存（子SKU）'!S:S)</f>
        <v>429</v>
      </c>
      <c r="R177">
        <f>SUMIF('库存（子SKU）'!$C:$C,$A177,'库存（子SKU）'!T:T)</f>
        <v>5</v>
      </c>
      <c r="S177">
        <f>SUMIF('库存（子SKU）'!$C:$C,$A177,'库存（子SKU）'!U:U)</f>
        <v>1</v>
      </c>
      <c r="T177">
        <f>SUMIF('库存（子SKU）'!$C:$C,$A177,'库存（子SKU）'!V:V)</f>
        <v>1</v>
      </c>
      <c r="U177">
        <f>SUMIF('库存（子SKU）'!$C:$C,$A177,'库存（子SKU）'!W:W)</f>
        <v>5</v>
      </c>
      <c r="V177" s="22">
        <f t="shared" si="49"/>
        <v>0.0142857142857143</v>
      </c>
      <c r="W177" s="22">
        <f t="shared" si="50"/>
        <v>0.00917431192660551</v>
      </c>
      <c r="X177" s="22">
        <f t="shared" si="51"/>
        <v>0.00813008130081301</v>
      </c>
      <c r="Y177" s="22">
        <f t="shared" si="52"/>
        <v>0.0116550116550117</v>
      </c>
      <c r="Z177">
        <f>SUMIF('库存（子SKU）'!$C:$C,$A177,'库存（子SKU）'!AB:AB)</f>
        <v>1.4</v>
      </c>
      <c r="AA177">
        <f>SUMIF('库存（子SKU）'!$C:$C,$A177,'库存（子SKU）'!AC:AC)</f>
        <v>0.53</v>
      </c>
      <c r="AB177">
        <f>SUMIF('库存（子SKU）'!$C:$C,$A177,'库存（子SKU）'!AD:AD)</f>
        <v>0.02</v>
      </c>
      <c r="AC177">
        <f>SUMIF('库存（子SKU）'!$C:$C,$A177,'库存（子SKU）'!AE:AE)</f>
        <v>1.57</v>
      </c>
      <c r="AD177" s="22">
        <f t="shared" si="37"/>
        <v>0.0359250705671029</v>
      </c>
      <c r="AE177" s="22">
        <f t="shared" si="38"/>
        <v>0.0408006158583526</v>
      </c>
      <c r="AF177" s="22">
        <f t="shared" si="39"/>
        <v>0.000513215293815756</v>
      </c>
      <c r="AG177" s="22">
        <f t="shared" si="40"/>
        <v>0.0302155504234026</v>
      </c>
      <c r="AH177">
        <f>SUMIF('库存（子SKU）'!$C:$C,$A177,'库存（子SKU）'!AJ:AJ)</f>
        <v>80</v>
      </c>
      <c r="AI177">
        <f>SUMIF('库存（子SKU）'!$C:$C,$A177,'库存（子SKU）'!AK:AK)</f>
        <v>44</v>
      </c>
      <c r="AJ177">
        <f>SUMIF('库存（子SKU）'!$C:$C,$A177,'库存（子SKU）'!AL:AL)</f>
        <v>30</v>
      </c>
      <c r="AK177">
        <f>SUMIF('库存（子SKU）'!$C:$C,$A177,'库存（子SKU）'!AM:AM)</f>
        <v>54</v>
      </c>
      <c r="AL177" s="22">
        <f t="shared" si="41"/>
        <v>0.0375</v>
      </c>
      <c r="AM177" s="22">
        <f t="shared" si="42"/>
        <v>0.0227272727272727</v>
      </c>
      <c r="AN177" s="22">
        <f t="shared" si="43"/>
        <v>0.1</v>
      </c>
      <c r="AO177" s="22">
        <f t="shared" si="44"/>
        <v>0.0740740740740741</v>
      </c>
      <c r="AP177" s="7">
        <f t="shared" si="45"/>
        <v>0.428571428571429</v>
      </c>
      <c r="AQ177" s="7">
        <f t="shared" si="46"/>
        <v>25.7142857142857</v>
      </c>
      <c r="AR177" s="7">
        <f t="shared" si="47"/>
        <v>-15.7142857142857</v>
      </c>
      <c r="AS177">
        <f t="shared" si="48"/>
        <v>23</v>
      </c>
      <c r="AT177" s="2">
        <f>IFERROR(时间!$B$4+AS177,"上周无销量")</f>
        <v>43355</v>
      </c>
    </row>
    <row r="178" spans="1:46">
      <c r="A178" t="s">
        <v>2031</v>
      </c>
      <c r="B178" s="5">
        <f>SUMIF('库存（子SKU）'!$C:$C,$A178,'库存（子SKU）'!D:D)</f>
        <v>6</v>
      </c>
      <c r="C178" s="5">
        <f>SUMIF('库存（子SKU）'!$C:$C,$A178,'库存（子SKU）'!E:E)</f>
        <v>1</v>
      </c>
      <c r="D178" s="5">
        <f>SUMIF('库存（子SKU）'!$C:$C,$A178,'库存（子SKU）'!F:F)</f>
        <v>0</v>
      </c>
      <c r="E178" s="5">
        <f>SUMIF('库存（子SKU）'!$C:$C,$A178,'库存（子SKU）'!G:G)</f>
        <v>1</v>
      </c>
      <c r="F178" s="6">
        <v>15.99</v>
      </c>
      <c r="G178">
        <f>SUMIF('库存（子SKU）'!$C:$C,$A178,'库存（子SKU）'!I:I)</f>
        <v>29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29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736</v>
      </c>
      <c r="O178">
        <f>SUMIF('库存（子SKU）'!$C:$C,$A178,'库存（子SKU）'!Q:Q)</f>
        <v>116</v>
      </c>
      <c r="P178">
        <f>SUMIF('库存（子SKU）'!$C:$C,$A178,'库存（子SKU）'!R:R)</f>
        <v>77</v>
      </c>
      <c r="Q178">
        <f>SUMIF('库存（子SKU）'!$C:$C,$A178,'库存（子SKU）'!S:S)</f>
        <v>332</v>
      </c>
      <c r="R178">
        <f>SUMIF('库存（子SKU）'!$C:$C,$A178,'库存（子SKU）'!T:T)</f>
        <v>9</v>
      </c>
      <c r="S178">
        <f>SUMIF('库存（子SKU）'!$C:$C,$A178,'库存（子SKU）'!U:U)</f>
        <v>1</v>
      </c>
      <c r="T178">
        <f>SUMIF('库存（子SKU）'!$C:$C,$A178,'库存（子SKU）'!V:V)</f>
        <v>7</v>
      </c>
      <c r="U178">
        <f>SUMIF('库存（子SKU）'!$C:$C,$A178,'库存（子SKU）'!W:W)</f>
        <v>4</v>
      </c>
      <c r="V178" s="22">
        <f t="shared" si="49"/>
        <v>0.0122282608695652</v>
      </c>
      <c r="W178" s="22">
        <f t="shared" si="50"/>
        <v>0.00862068965517241</v>
      </c>
      <c r="X178" s="22">
        <f t="shared" si="51"/>
        <v>0.0909090909090909</v>
      </c>
      <c r="Y178" s="22">
        <f t="shared" si="52"/>
        <v>0.0120481927710843</v>
      </c>
      <c r="Z178">
        <f>SUMIF('库存（子SKU）'!$C:$C,$A178,'库存（子SKU）'!AB:AB)</f>
        <v>1.68</v>
      </c>
      <c r="AA178">
        <f>SUMIF('库存（子SKU）'!$C:$C,$A178,'库存（子SKU）'!AC:AC)</f>
        <v>0.05</v>
      </c>
      <c r="AB178">
        <f>SUMIF('库存（子SKU）'!$C:$C,$A178,'库存（子SKU）'!AD:AD)</f>
        <v>1.2</v>
      </c>
      <c r="AC178">
        <f>SUMIF('库存（子SKU）'!$C:$C,$A178,'库存（子SKU）'!AE:AE)</f>
        <v>1.14</v>
      </c>
      <c r="AD178" s="22">
        <f t="shared" si="37"/>
        <v>0.0175109443402126</v>
      </c>
      <c r="AE178" s="22">
        <f t="shared" si="38"/>
        <v>0.00312695434646654</v>
      </c>
      <c r="AF178" s="22" t="str">
        <f t="shared" si="39"/>
        <v>无销量广告费为1.2</v>
      </c>
      <c r="AG178" s="22">
        <f t="shared" si="40"/>
        <v>0.0712945590994371</v>
      </c>
      <c r="AH178">
        <f>SUMIF('库存（子SKU）'!$C:$C,$A178,'库存（子SKU）'!AJ:AJ)</f>
        <v>78</v>
      </c>
      <c r="AI178">
        <f>SUMIF('库存（子SKU）'!$C:$C,$A178,'库存（子SKU）'!AK:AK)</f>
        <v>43</v>
      </c>
      <c r="AJ178">
        <f>SUMIF('库存（子SKU）'!$C:$C,$A178,'库存（子SKU）'!AL:AL)</f>
        <v>19</v>
      </c>
      <c r="AK178">
        <f>SUMIF('库存（子SKU）'!$C:$C,$A178,'库存（子SKU）'!AM:AM)</f>
        <v>36</v>
      </c>
      <c r="AL178" s="22">
        <f t="shared" si="41"/>
        <v>0.0769230769230769</v>
      </c>
      <c r="AM178" s="22">
        <f t="shared" si="42"/>
        <v>0.0232558139534884</v>
      </c>
      <c r="AN178" s="22">
        <f t="shared" si="43"/>
        <v>0</v>
      </c>
      <c r="AO178" s="22">
        <f t="shared" si="44"/>
        <v>0.0277777777777778</v>
      </c>
      <c r="AP178" s="7">
        <f t="shared" si="45"/>
        <v>0.857142857142857</v>
      </c>
      <c r="AQ178" s="7">
        <f t="shared" si="46"/>
        <v>51.4285714285714</v>
      </c>
      <c r="AR178" s="7">
        <f t="shared" si="47"/>
        <v>-22.4285714285714</v>
      </c>
      <c r="AS178">
        <f t="shared" si="48"/>
        <v>33</v>
      </c>
      <c r="AT178" s="2">
        <f>IFERROR(时间!$B$4+AS178,"上周无销量")</f>
        <v>43365</v>
      </c>
    </row>
    <row r="179" spans="1:46">
      <c r="A179" t="s">
        <v>2040</v>
      </c>
      <c r="B179" s="5">
        <f>SUMIF('库存（子SKU）'!$C:$C,$A179,'库存（子SKU）'!D:D)</f>
        <v>1</v>
      </c>
      <c r="C179" s="5">
        <f>SUMIF('库存（子SKU）'!$C:$C,$A179,'库存（子SKU）'!E:E)</f>
        <v>8</v>
      </c>
      <c r="D179" s="5">
        <f>SUMIF('库存（子SKU）'!$C:$C,$A179,'库存（子SKU）'!F:F)</f>
        <v>3</v>
      </c>
      <c r="E179" s="5">
        <f>SUMIF('库存（子SKU）'!$C:$C,$A179,'库存（子SKU）'!G:G)</f>
        <v>2</v>
      </c>
      <c r="F179" s="6">
        <v>10</v>
      </c>
      <c r="G179">
        <f>SUMIF('库存（子SKU）'!$C:$C,$A179,'库存（子SKU）'!I:I)</f>
        <v>51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51</v>
      </c>
      <c r="L179">
        <f>SUMIF('库存（子SKU）'!$C:$C,$A179,'库存（子SKU）'!N:N)</f>
        <v>1</v>
      </c>
      <c r="M179">
        <f>SUMIF('库存（子SKU）'!$C:$C,$A179,'库存（子SKU）'!O:O)</f>
        <v>3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</v>
      </c>
      <c r="AF179" s="22">
        <f t="shared" si="39"/>
        <v>0</v>
      </c>
      <c r="AG179" s="22">
        <f t="shared" si="40"/>
        <v>0</v>
      </c>
      <c r="AH179">
        <f>SUMIF('库存（子SKU）'!$C:$C,$A179,'库存（子SKU）'!AJ:AJ)</f>
        <v>57</v>
      </c>
      <c r="AI179">
        <f>SUMIF('库存（子SKU）'!$C:$C,$A179,'库存（子SKU）'!AK:AK)</f>
        <v>99</v>
      </c>
      <c r="AJ179">
        <f>SUMIF('库存（子SKU）'!$C:$C,$A179,'库存（子SKU）'!AL:AL)</f>
        <v>51</v>
      </c>
      <c r="AK179">
        <f>SUMIF('库存（子SKU）'!$C:$C,$A179,'库存（子SKU）'!AM:AM)</f>
        <v>54</v>
      </c>
      <c r="AL179" s="22">
        <f t="shared" si="41"/>
        <v>0.0175438596491228</v>
      </c>
      <c r="AM179" s="22">
        <f t="shared" si="42"/>
        <v>0.0808080808080808</v>
      </c>
      <c r="AN179" s="22">
        <f t="shared" si="43"/>
        <v>0.0588235294117647</v>
      </c>
      <c r="AO179" s="22">
        <f t="shared" si="44"/>
        <v>0.037037037037037</v>
      </c>
      <c r="AP179" s="7">
        <f t="shared" si="45"/>
        <v>0.142857142857143</v>
      </c>
      <c r="AQ179" s="7">
        <f t="shared" si="46"/>
        <v>8.57142857142857</v>
      </c>
      <c r="AR179" s="7">
        <f t="shared" si="47"/>
        <v>42.4285714285714</v>
      </c>
      <c r="AS179">
        <f t="shared" si="48"/>
        <v>357</v>
      </c>
      <c r="AT179" s="2">
        <f>IFERROR(时间!$B$4+AS179,"上周无销量")</f>
        <v>43689</v>
      </c>
    </row>
    <row r="180" spans="1:46">
      <c r="A180" t="s">
        <v>2057</v>
      </c>
      <c r="B180" s="5">
        <f>SUMIF('库存（子SKU）'!$C:$C,$A180,'库存（子SKU）'!D:D)</f>
        <v>0</v>
      </c>
      <c r="C180" s="5">
        <f>SUMIF('库存（子SKU）'!$C:$C,$A180,'库存（子SKU）'!E:E)</f>
        <v>1</v>
      </c>
      <c r="D180" s="5">
        <f>SUMIF('库存（子SKU）'!$C:$C,$A180,'库存（子SKU）'!F:F)</f>
        <v>3</v>
      </c>
      <c r="E180" s="5">
        <f>SUMIF('库存（子SKU）'!$C:$C,$A180,'库存（子SKU）'!G:G)</f>
        <v>1</v>
      </c>
      <c r="F180" s="6">
        <v>14.99</v>
      </c>
      <c r="G180">
        <f>SUMIF('库存（子SKU）'!$C:$C,$A180,'库存（子SKU）'!I:I)</f>
        <v>33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33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>
        <f t="shared" si="38"/>
        <v>0</v>
      </c>
      <c r="AF180" s="22">
        <f t="shared" si="39"/>
        <v>0</v>
      </c>
      <c r="AG180" s="22">
        <f t="shared" si="40"/>
        <v>0</v>
      </c>
      <c r="AH180">
        <f>SUMIF('库存（子SKU）'!$C:$C,$A180,'库存（子SKU）'!AJ:AJ)</f>
        <v>52</v>
      </c>
      <c r="AI180">
        <f>SUMIF('库存（子SKU）'!$C:$C,$A180,'库存（子SKU）'!AK:AK)</f>
        <v>48</v>
      </c>
      <c r="AJ180">
        <f>SUMIF('库存（子SKU）'!$C:$C,$A180,'库存（子SKU）'!AL:AL)</f>
        <v>31</v>
      </c>
      <c r="AK180">
        <f>SUMIF('库存（子SKU）'!$C:$C,$A180,'库存（子SKU）'!AM:AM)</f>
        <v>45</v>
      </c>
      <c r="AL180" s="22">
        <f t="shared" si="41"/>
        <v>0</v>
      </c>
      <c r="AM180" s="22">
        <f t="shared" si="42"/>
        <v>0.0208333333333333</v>
      </c>
      <c r="AN180" s="22">
        <f t="shared" si="43"/>
        <v>0.0967741935483871</v>
      </c>
      <c r="AO180" s="22">
        <f t="shared" si="44"/>
        <v>0.0222222222222222</v>
      </c>
      <c r="AP180" s="7">
        <f t="shared" si="45"/>
        <v>0</v>
      </c>
      <c r="AQ180" s="7">
        <f t="shared" si="46"/>
        <v>0</v>
      </c>
      <c r="AR180" s="7">
        <f t="shared" si="47"/>
        <v>33</v>
      </c>
      <c r="AS180" t="str">
        <f t="shared" si="48"/>
        <v>库存为33</v>
      </c>
      <c r="AT180" s="2" t="str">
        <f>IFERROR(时间!$B$4+AS180,"上周无销量")</f>
        <v>上周无销量</v>
      </c>
    </row>
    <row r="181" spans="1:46">
      <c r="A181" t="s">
        <v>2066</v>
      </c>
      <c r="B181" s="5">
        <f>SUMIF('库存（子SKU）'!$C:$C,$A181,'库存（子SKU）'!D:D)</f>
        <v>42</v>
      </c>
      <c r="C181" s="5">
        <f>SUMIF('库存（子SKU）'!$C:$C,$A181,'库存（子SKU）'!E:E)</f>
        <v>51</v>
      </c>
      <c r="D181" s="5">
        <f>SUMIF('库存（子SKU）'!$C:$C,$A181,'库存（子SKU）'!F:F)</f>
        <v>28</v>
      </c>
      <c r="E181" s="5">
        <f>SUMIF('库存（子SKU）'!$C:$C,$A181,'库存（子SKU）'!G:G)</f>
        <v>37</v>
      </c>
      <c r="F181" s="6">
        <v>13.9013924050633</v>
      </c>
      <c r="G181">
        <f>SUMIF('库存（子SKU）'!$C:$C,$A181,'库存（子SKU）'!I:I)</f>
        <v>318</v>
      </c>
      <c r="H181">
        <f>SUMIF('库存（子SKU）'!$C:$C,$A181,'库存（子SKU）'!J:J)</f>
        <v>20</v>
      </c>
      <c r="I181">
        <f>SUMIF('库存（子SKU）'!$C:$C,$A181,'库存（子SKU）'!K:K)</f>
        <v>25</v>
      </c>
      <c r="J181">
        <f>SUMIF('库存（子SKU）'!$C:$C,$A181,'库存（子SKU）'!L:L)</f>
        <v>16</v>
      </c>
      <c r="K181">
        <f t="shared" si="36"/>
        <v>379</v>
      </c>
      <c r="L181">
        <f>SUMIF('库存（子SKU）'!$C:$C,$A181,'库存（子SKU）'!N:N)</f>
        <v>2</v>
      </c>
      <c r="M181">
        <f>SUMIF('库存（子SKU）'!$C:$C,$A181,'库存（子SKU）'!O:O)</f>
        <v>0</v>
      </c>
      <c r="N181">
        <f>SUMIF('库存（子SKU）'!$C:$C,$A181,'库存（子SKU）'!P:P)</f>
        <v>58281</v>
      </c>
      <c r="O181">
        <f>SUMIF('库存（子SKU）'!$C:$C,$A181,'库存（子SKU）'!Q:Q)</f>
        <v>46782</v>
      </c>
      <c r="P181">
        <f>SUMIF('库存（子SKU）'!$C:$C,$A181,'库存（子SKU）'!R:R)</f>
        <v>56740</v>
      </c>
      <c r="Q181">
        <f>SUMIF('库存（子SKU）'!$C:$C,$A181,'库存（子SKU）'!S:S)</f>
        <v>110255</v>
      </c>
      <c r="R181">
        <f>SUMIF('库存（子SKU）'!$C:$C,$A181,'库存（子SKU）'!T:T)</f>
        <v>177</v>
      </c>
      <c r="S181">
        <f>SUMIF('库存（子SKU）'!$C:$C,$A181,'库存（子SKU）'!U:U)</f>
        <v>151</v>
      </c>
      <c r="T181">
        <f>SUMIF('库存（子SKU）'!$C:$C,$A181,'库存（子SKU）'!V:V)</f>
        <v>137</v>
      </c>
      <c r="U181">
        <f>SUMIF('库存（子SKU）'!$C:$C,$A181,'库存（子SKU）'!W:W)</f>
        <v>271</v>
      </c>
      <c r="V181" s="22">
        <f t="shared" si="49"/>
        <v>0.00303701034642508</v>
      </c>
      <c r="W181" s="22">
        <f t="shared" si="50"/>
        <v>0.00322773716386644</v>
      </c>
      <c r="X181" s="22">
        <f t="shared" si="51"/>
        <v>0.00241452238279873</v>
      </c>
      <c r="Y181" s="22">
        <f t="shared" si="52"/>
        <v>0.00245793841549136</v>
      </c>
      <c r="Z181">
        <f>SUMIF('库存（子SKU）'!$C:$C,$A181,'库存（子SKU）'!AB:AB)</f>
        <v>50.67</v>
      </c>
      <c r="AA181">
        <f>SUMIF('库存（子SKU）'!$C:$C,$A181,'库存（子SKU）'!AC:AC)</f>
        <v>46.44</v>
      </c>
      <c r="AB181">
        <f>SUMIF('库存（子SKU）'!$C:$C,$A181,'库存（子SKU）'!AD:AD)</f>
        <v>45.35</v>
      </c>
      <c r="AC181">
        <f>SUMIF('库存（子SKU）'!$C:$C,$A181,'库存（子SKU）'!AE:AE)</f>
        <v>91.55</v>
      </c>
      <c r="AD181" s="22">
        <f t="shared" si="37"/>
        <v>0.0867847289160152</v>
      </c>
      <c r="AE181" s="22">
        <f t="shared" si="38"/>
        <v>0.0655033833130597</v>
      </c>
      <c r="AF181" s="22">
        <f t="shared" si="39"/>
        <v>0.116509397760251</v>
      </c>
      <c r="AG181" s="22">
        <f t="shared" si="40"/>
        <v>0.177991114287451</v>
      </c>
      <c r="AH181">
        <f>SUMIF('库存（子SKU）'!$C:$C,$A181,'库存（子SKU）'!AJ:AJ)</f>
        <v>670</v>
      </c>
      <c r="AI181">
        <f>SUMIF('库存（子SKU）'!$C:$C,$A181,'库存（子SKU）'!AK:AK)</f>
        <v>488</v>
      </c>
      <c r="AJ181">
        <f>SUMIF('库存（子SKU）'!$C:$C,$A181,'库存（子SKU）'!AL:AL)</f>
        <v>325</v>
      </c>
      <c r="AK181">
        <f>SUMIF('库存（子SKU）'!$C:$C,$A181,'库存（子SKU）'!AM:AM)</f>
        <v>460</v>
      </c>
      <c r="AL181" s="22">
        <f t="shared" si="41"/>
        <v>0.0626865671641791</v>
      </c>
      <c r="AM181" s="22">
        <f t="shared" si="42"/>
        <v>0.104508196721311</v>
      </c>
      <c r="AN181" s="22">
        <f t="shared" si="43"/>
        <v>0.0861538461538461</v>
      </c>
      <c r="AO181" s="22">
        <f t="shared" si="44"/>
        <v>0.0804347826086956</v>
      </c>
      <c r="AP181" s="7">
        <f t="shared" si="45"/>
        <v>6</v>
      </c>
      <c r="AQ181" s="7">
        <f t="shared" si="46"/>
        <v>360</v>
      </c>
      <c r="AR181" s="7">
        <f t="shared" si="47"/>
        <v>19</v>
      </c>
      <c r="AS181">
        <f t="shared" si="48"/>
        <v>63</v>
      </c>
      <c r="AT181" s="2">
        <f>IFERROR(时间!$B$4+AS181,"上周无销量")</f>
        <v>43395</v>
      </c>
    </row>
    <row r="182" spans="1:46">
      <c r="A182" t="s">
        <v>2097</v>
      </c>
      <c r="B182" s="5">
        <f>SUMIF('库存（子SKU）'!$C:$C,$A182,'库存（子SKU）'!D:D)</f>
        <v>20</v>
      </c>
      <c r="C182" s="5">
        <f>SUMIF('库存（子SKU）'!$C:$C,$A182,'库存（子SKU）'!E:E)</f>
        <v>9</v>
      </c>
      <c r="D182" s="5">
        <f>SUMIF('库存（子SKU）'!$C:$C,$A182,'库存（子SKU）'!F:F)</f>
        <v>23</v>
      </c>
      <c r="E182" s="5">
        <f>SUMIF('库存（子SKU）'!$C:$C,$A182,'库存（子SKU）'!G:G)</f>
        <v>24</v>
      </c>
      <c r="F182" s="6">
        <v>13.99</v>
      </c>
      <c r="G182">
        <f>SUMIF('库存（子SKU）'!$C:$C,$A182,'库存（子SKU）'!I:I)</f>
        <v>328</v>
      </c>
      <c r="H182">
        <f>SUMIF('库存（子SKU）'!$C:$C,$A182,'库存（子SKU）'!J:J)</f>
        <v>15</v>
      </c>
      <c r="I182">
        <f>SUMIF('库存（子SKU）'!$C:$C,$A182,'库存（子SKU）'!K:K)</f>
        <v>33</v>
      </c>
      <c r="J182">
        <f>SUMIF('库存（子SKU）'!$C:$C,$A182,'库存（子SKU）'!L:L)</f>
        <v>0</v>
      </c>
      <c r="K182">
        <f t="shared" si="36"/>
        <v>376</v>
      </c>
      <c r="L182">
        <f>SUMIF('库存（子SKU）'!$C:$C,$A182,'库存（子SKU）'!N:N)</f>
        <v>1</v>
      </c>
      <c r="M182">
        <f>SUMIF('库存（子SKU）'!$C:$C,$A182,'库存（子SKU）'!O:O)</f>
        <v>0</v>
      </c>
      <c r="N182">
        <f>SUMIF('库存（子SKU）'!$C:$C,$A182,'库存（子SKU）'!P:P)</f>
        <v>15362</v>
      </c>
      <c r="O182">
        <f>SUMIF('库存（子SKU）'!$C:$C,$A182,'库存（子SKU）'!Q:Q)</f>
        <v>23778</v>
      </c>
      <c r="P182">
        <f>SUMIF('库存（子SKU）'!$C:$C,$A182,'库存（子SKU）'!R:R)</f>
        <v>54438</v>
      </c>
      <c r="Q182">
        <f>SUMIF('库存（子SKU）'!$C:$C,$A182,'库存（子SKU）'!S:S)</f>
        <v>21769</v>
      </c>
      <c r="R182">
        <f>SUMIF('库存（子SKU）'!$C:$C,$A182,'库存（子SKU）'!T:T)</f>
        <v>79</v>
      </c>
      <c r="S182">
        <f>SUMIF('库存（子SKU）'!$C:$C,$A182,'库存（子SKU）'!U:U)</f>
        <v>111</v>
      </c>
      <c r="T182">
        <f>SUMIF('库存（子SKU）'!$C:$C,$A182,'库存（子SKU）'!V:V)</f>
        <v>233</v>
      </c>
      <c r="U182">
        <f>SUMIF('库存（子SKU）'!$C:$C,$A182,'库存（子SKU）'!W:W)</f>
        <v>104</v>
      </c>
      <c r="V182" s="22">
        <f t="shared" si="49"/>
        <v>0.00514255956255696</v>
      </c>
      <c r="W182" s="22">
        <f t="shared" si="50"/>
        <v>0.00466818067120868</v>
      </c>
      <c r="X182" s="22">
        <f t="shared" si="51"/>
        <v>0.00428009846063412</v>
      </c>
      <c r="Y182" s="22">
        <f t="shared" si="52"/>
        <v>0.00477743580320639</v>
      </c>
      <c r="Z182">
        <f>SUMIF('库存（子SKU）'!$C:$C,$A182,'库存（子SKU）'!AB:AB)</f>
        <v>27.07</v>
      </c>
      <c r="AA182">
        <f>SUMIF('库存（子SKU）'!$C:$C,$A182,'库存（子SKU）'!AC:AC)</f>
        <v>37.44</v>
      </c>
      <c r="AB182">
        <f>SUMIF('库存（子SKU）'!$C:$C,$A182,'库存（子SKU）'!AD:AD)</f>
        <v>63.77</v>
      </c>
      <c r="AC182">
        <f>SUMIF('库存（子SKU）'!$C:$C,$A182,'库存（子SKU）'!AE:AE)</f>
        <v>29.38</v>
      </c>
      <c r="AD182" s="22">
        <f t="shared" si="37"/>
        <v>0.0967476769120801</v>
      </c>
      <c r="AE182" s="22">
        <f t="shared" si="38"/>
        <v>0.297355253752681</v>
      </c>
      <c r="AF182" s="22">
        <f t="shared" si="39"/>
        <v>0.198185039003015</v>
      </c>
      <c r="AG182" s="22">
        <f t="shared" si="40"/>
        <v>0.0875029783178461</v>
      </c>
      <c r="AH182">
        <f>SUMIF('库存（子SKU）'!$C:$C,$A182,'库存（子SKU）'!AJ:AJ)</f>
        <v>362</v>
      </c>
      <c r="AI182">
        <f>SUMIF('库存（子SKU）'!$C:$C,$A182,'库存（子SKU）'!AK:AK)</f>
        <v>338</v>
      </c>
      <c r="AJ182">
        <f>SUMIF('库存（子SKU）'!$C:$C,$A182,'库存（子SKU）'!AL:AL)</f>
        <v>356</v>
      </c>
      <c r="AK182">
        <f>SUMIF('库存（子SKU）'!$C:$C,$A182,'库存（子SKU）'!AM:AM)</f>
        <v>224</v>
      </c>
      <c r="AL182" s="22">
        <f t="shared" si="41"/>
        <v>0.0552486187845304</v>
      </c>
      <c r="AM182" s="22">
        <f t="shared" si="42"/>
        <v>0.0266272189349112</v>
      </c>
      <c r="AN182" s="22">
        <f t="shared" si="43"/>
        <v>0.0646067415730337</v>
      </c>
      <c r="AO182" s="22">
        <f t="shared" si="44"/>
        <v>0.107142857142857</v>
      </c>
      <c r="AP182" s="7">
        <f t="shared" si="45"/>
        <v>2.85714285714286</v>
      </c>
      <c r="AQ182" s="7">
        <f t="shared" si="46"/>
        <v>171.428571428571</v>
      </c>
      <c r="AR182" s="7">
        <f t="shared" si="47"/>
        <v>204.571428571429</v>
      </c>
      <c r="AS182">
        <f t="shared" si="48"/>
        <v>131</v>
      </c>
      <c r="AT182" s="2">
        <f>IFERROR(时间!$B$4+AS182,"上周无销量")</f>
        <v>43463</v>
      </c>
    </row>
    <row r="183" spans="1:46">
      <c r="A183" t="s">
        <v>2141</v>
      </c>
      <c r="B183" s="5">
        <f>SUMIF('库存（子SKU）'!$C:$C,$A183,'库存（子SKU）'!D:D)</f>
        <v>4</v>
      </c>
      <c r="C183" s="5">
        <f>SUMIF('库存（子SKU）'!$C:$C,$A183,'库存（子SKU）'!E:E)</f>
        <v>2</v>
      </c>
      <c r="D183" s="5">
        <f>SUMIF('库存（子SKU）'!$C:$C,$A183,'库存（子SKU）'!F:F)</f>
        <v>4</v>
      </c>
      <c r="E183" s="5">
        <f>SUMIF('库存（子SKU）'!$C:$C,$A183,'库存（子SKU）'!G:G)</f>
        <v>11</v>
      </c>
      <c r="F183" s="6">
        <v>10.9428571428571</v>
      </c>
      <c r="G183">
        <f>SUMIF('库存（子SKU）'!$C:$C,$A183,'库存（子SKU）'!I:I)</f>
        <v>46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46</v>
      </c>
      <c r="L183">
        <f>SUMIF('库存（子SKU）'!$C:$C,$A183,'库存（子SKU）'!N:N)</f>
        <v>1</v>
      </c>
      <c r="M183">
        <f>SUMIF('库存（子SKU）'!$C:$C,$A183,'库存（子SKU）'!O:O)</f>
        <v>3</v>
      </c>
      <c r="N183">
        <f>SUMIF('库存（子SKU）'!$C:$C,$A183,'库存（子SKU）'!P:P)</f>
        <v>24642</v>
      </c>
      <c r="O183">
        <f>SUMIF('库存（子SKU）'!$C:$C,$A183,'库存（子SKU）'!Q:Q)</f>
        <v>177</v>
      </c>
      <c r="P183">
        <f>SUMIF('库存（子SKU）'!$C:$C,$A183,'库存（子SKU）'!R:R)</f>
        <v>10713</v>
      </c>
      <c r="Q183">
        <f>SUMIF('库存（子SKU）'!$C:$C,$A183,'库存（子SKU）'!S:S)</f>
        <v>54235</v>
      </c>
      <c r="R183">
        <f>SUMIF('库存（子SKU）'!$C:$C,$A183,'库存（子SKU）'!T:T)</f>
        <v>109</v>
      </c>
      <c r="S183">
        <f>SUMIF('库存（子SKU）'!$C:$C,$A183,'库存（子SKU）'!U:U)</f>
        <v>2</v>
      </c>
      <c r="T183">
        <f>SUMIF('库存（子SKU）'!$C:$C,$A183,'库存（子SKU）'!V:V)</f>
        <v>56</v>
      </c>
      <c r="U183">
        <f>SUMIF('库存（子SKU）'!$C:$C,$A183,'库存（子SKU）'!W:W)</f>
        <v>178</v>
      </c>
      <c r="V183" s="22">
        <f t="shared" si="49"/>
        <v>0.0044233422611801</v>
      </c>
      <c r="W183" s="22">
        <f t="shared" si="50"/>
        <v>0.0112994350282486</v>
      </c>
      <c r="X183" s="22">
        <f t="shared" si="51"/>
        <v>0.0052272939419397</v>
      </c>
      <c r="Y183" s="22">
        <f t="shared" si="52"/>
        <v>0.00328201345994284</v>
      </c>
      <c r="Z183">
        <f>SUMIF('库存（子SKU）'!$C:$C,$A183,'库存（子SKU）'!AB:AB)</f>
        <v>40.07</v>
      </c>
      <c r="AA183">
        <f>SUMIF('库存（子SKU）'!$C:$C,$A183,'库存（子SKU）'!AC:AC)</f>
        <v>0.48</v>
      </c>
      <c r="AB183">
        <f>SUMIF('库存（子SKU）'!$C:$C,$A183,'库存（子SKU）'!AD:AD)</f>
        <v>29.92</v>
      </c>
      <c r="AC183">
        <f>SUMIF('库存（子SKU）'!$C:$C,$A183,'库存（子SKU）'!AE:AE)</f>
        <v>93.75</v>
      </c>
      <c r="AD183" s="22">
        <f t="shared" si="37"/>
        <v>0.915437336814625</v>
      </c>
      <c r="AE183" s="22">
        <f t="shared" si="38"/>
        <v>0.0219321148825066</v>
      </c>
      <c r="AF183" s="22">
        <f t="shared" si="39"/>
        <v>0.683550913838123</v>
      </c>
      <c r="AG183" s="22">
        <f t="shared" si="40"/>
        <v>0.778839306907195</v>
      </c>
      <c r="AH183">
        <f>SUMIF('库存（子SKU）'!$C:$C,$A183,'库存（子SKU）'!AJ:AJ)</f>
        <v>158</v>
      </c>
      <c r="AI183">
        <f>SUMIF('库存（子SKU）'!$C:$C,$A183,'库存（子SKU）'!AK:AK)</f>
        <v>62</v>
      </c>
      <c r="AJ183">
        <f>SUMIF('库存（子SKU）'!$C:$C,$A183,'库存（子SKU）'!AL:AL)</f>
        <v>72</v>
      </c>
      <c r="AK183">
        <f>SUMIF('库存（子SKU）'!$C:$C,$A183,'库存（子SKU）'!AM:AM)</f>
        <v>116</v>
      </c>
      <c r="AL183" s="22">
        <f t="shared" si="41"/>
        <v>0.0253164556962025</v>
      </c>
      <c r="AM183" s="22">
        <f t="shared" si="42"/>
        <v>0.032258064516129</v>
      </c>
      <c r="AN183" s="22">
        <f t="shared" si="43"/>
        <v>0.0555555555555556</v>
      </c>
      <c r="AO183" s="22">
        <f t="shared" si="44"/>
        <v>0.0948275862068965</v>
      </c>
      <c r="AP183" s="7">
        <f t="shared" si="45"/>
        <v>0.571428571428571</v>
      </c>
      <c r="AQ183" s="7">
        <f t="shared" si="46"/>
        <v>34.2857142857143</v>
      </c>
      <c r="AR183" s="7">
        <f t="shared" si="47"/>
        <v>11.7142857142857</v>
      </c>
      <c r="AS183">
        <f t="shared" si="48"/>
        <v>80</v>
      </c>
      <c r="AT183" s="2">
        <f>IFERROR(时间!$B$4+AS183,"上周无销量")</f>
        <v>43412</v>
      </c>
    </row>
    <row r="184" spans="1:46">
      <c r="A184" t="s">
        <v>2161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">
        <v>53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2172</v>
      </c>
      <c r="B185" s="5">
        <f>SUMIF('库存（子SKU）'!$C:$C,$A185,'库存（子SKU）'!D:D)</f>
        <v>42</v>
      </c>
      <c r="C185" s="5">
        <f>SUMIF('库存（子SKU）'!$C:$C,$A185,'库存（子SKU）'!E:E)</f>
        <v>6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6">
        <v>27.99</v>
      </c>
      <c r="G185">
        <f>SUMIF('库存（子SKU）'!$C:$C,$A185,'库存（子SKU）'!I:I)</f>
        <v>33</v>
      </c>
      <c r="H185">
        <f>SUMIF('库存（子SKU）'!$C:$C,$A185,'库存（子SKU）'!J:J)</f>
        <v>208</v>
      </c>
      <c r="I185">
        <f>SUMIF('库存（子SKU）'!$C:$C,$A185,'库存（子SKU）'!K:K)</f>
        <v>0</v>
      </c>
      <c r="J185">
        <f>SUMIF('库存（子SKU）'!$C:$C,$A185,'库存（子SKU）'!L:L)</f>
        <v>1</v>
      </c>
      <c r="K185">
        <f t="shared" si="36"/>
        <v>242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752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3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>
        <f t="shared" si="49"/>
        <v>0.00398936170212766</v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0.42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>
        <f t="shared" si="37"/>
        <v>0.000357270453733476</v>
      </c>
      <c r="AE185" s="22">
        <f t="shared" si="38"/>
        <v>0</v>
      </c>
      <c r="AF185" s="22" t="str">
        <f t="shared" si="39"/>
        <v/>
      </c>
      <c r="AG185" s="22" t="str">
        <f t="shared" si="40"/>
        <v/>
      </c>
      <c r="AH185">
        <f>SUMIF('库存（子SKU）'!$C:$C,$A185,'库存（子SKU）'!AJ:AJ)</f>
        <v>2128</v>
      </c>
      <c r="AI185">
        <f>SUMIF('库存（子SKU）'!$C:$C,$A185,'库存（子SKU）'!AK:AK)</f>
        <v>645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2">
        <f t="shared" si="41"/>
        <v>0.0197368421052632</v>
      </c>
      <c r="AM185" s="22">
        <f t="shared" si="42"/>
        <v>0.00930232558139535</v>
      </c>
      <c r="AN185" s="22" t="str">
        <f t="shared" si="43"/>
        <v/>
      </c>
      <c r="AO185" s="22" t="str">
        <f t="shared" si="44"/>
        <v/>
      </c>
      <c r="AP185" s="7">
        <f t="shared" si="45"/>
        <v>6</v>
      </c>
      <c r="AQ185" s="7">
        <f t="shared" si="46"/>
        <v>360</v>
      </c>
      <c r="AR185" s="7">
        <f t="shared" si="47"/>
        <v>-118</v>
      </c>
      <c r="AS185">
        <f t="shared" si="48"/>
        <v>40</v>
      </c>
      <c r="AT185" s="2">
        <f>IFERROR(时间!$B$4+AS185,"上周无销量")</f>
        <v>43372</v>
      </c>
    </row>
    <row r="186" spans="1:46">
      <c r="A186" t="s">
        <v>2178</v>
      </c>
      <c r="B186" s="5">
        <f>SUMIF('库存（子SKU）'!$C:$C,$A186,'库存（子SKU）'!D:D)</f>
        <v>27</v>
      </c>
      <c r="C186" s="5">
        <f>SUMIF('库存（子SKU）'!$C:$C,$A186,'库存（子SKU）'!E:E)</f>
        <v>19</v>
      </c>
      <c r="D186" s="5">
        <f>SUMIF('库存（子SKU）'!$C:$C,$A186,'库存（子SKU）'!F:F)</f>
        <v>14</v>
      </c>
      <c r="E186" s="5">
        <f>SUMIF('库存（子SKU）'!$C:$C,$A186,'库存（子SKU）'!G:G)</f>
        <v>17</v>
      </c>
      <c r="F186" s="6">
        <v>22.99</v>
      </c>
      <c r="G186">
        <f>SUMIF('库存（子SKU）'!$C:$C,$A186,'库存（子SKU）'!I:I)</f>
        <v>188</v>
      </c>
      <c r="H186">
        <f>SUMIF('库存（子SKU）'!$C:$C,$A186,'库存（子SKU）'!J:J)</f>
        <v>200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388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66</v>
      </c>
      <c r="P186">
        <f>SUMIF('库存（子SKU）'!$C:$C,$A186,'库存（子SKU）'!R:R)</f>
        <v>0</v>
      </c>
      <c r="Q186">
        <f>SUMIF('库存（子SKU）'!$C:$C,$A186,'库存（子SKU）'!S:S)</f>
        <v>1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>
        <f t="shared" si="50"/>
        <v>0</v>
      </c>
      <c r="X186" s="22" t="str">
        <f t="shared" si="51"/>
        <v/>
      </c>
      <c r="Y186" s="22">
        <f t="shared" si="52"/>
        <v>0</v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>
        <f t="shared" si="37"/>
        <v>0</v>
      </c>
      <c r="AE186" s="22">
        <f t="shared" si="38"/>
        <v>0</v>
      </c>
      <c r="AF186" s="22">
        <f t="shared" si="39"/>
        <v>0</v>
      </c>
      <c r="AG186" s="22">
        <f t="shared" si="40"/>
        <v>0</v>
      </c>
      <c r="AH186">
        <f>SUMIF('库存（子SKU）'!$C:$C,$A186,'库存（子SKU）'!AJ:AJ)</f>
        <v>934</v>
      </c>
      <c r="AI186">
        <f>SUMIF('库存（子SKU）'!$C:$C,$A186,'库存（子SKU）'!AK:AK)</f>
        <v>954</v>
      </c>
      <c r="AJ186">
        <f>SUMIF('库存（子SKU）'!$C:$C,$A186,'库存（子SKU）'!AL:AL)</f>
        <v>465</v>
      </c>
      <c r="AK186">
        <f>SUMIF('库存（子SKU）'!$C:$C,$A186,'库存（子SKU）'!AM:AM)</f>
        <v>118</v>
      </c>
      <c r="AL186" s="22">
        <f t="shared" si="41"/>
        <v>0.0289079229122056</v>
      </c>
      <c r="AM186" s="22">
        <f t="shared" si="42"/>
        <v>0.019916142557652</v>
      </c>
      <c r="AN186" s="22">
        <f t="shared" si="43"/>
        <v>0.0301075268817204</v>
      </c>
      <c r="AO186" s="22">
        <f t="shared" si="44"/>
        <v>0.144067796610169</v>
      </c>
      <c r="AP186" s="7">
        <f t="shared" si="45"/>
        <v>3.85714285714286</v>
      </c>
      <c r="AQ186" s="7">
        <f t="shared" si="46"/>
        <v>231.428571428571</v>
      </c>
      <c r="AR186" s="7">
        <f t="shared" si="47"/>
        <v>156.571428571429</v>
      </c>
      <c r="AS186">
        <f t="shared" si="48"/>
        <v>100</v>
      </c>
      <c r="AT186" s="2">
        <f>IFERROR(时间!$B$4+AS186,"上周无销量")</f>
        <v>43432</v>
      </c>
    </row>
    <row r="187" spans="1:46">
      <c r="A187" t="s">
        <v>2185</v>
      </c>
      <c r="B187" s="5">
        <f>SUMIF('库存（子SKU）'!$C:$C,$A187,'库存（子SKU）'!D:D)</f>
        <v>58</v>
      </c>
      <c r="C187" s="5">
        <f>SUMIF('库存（子SKU）'!$C:$C,$A187,'库存（子SKU）'!E:E)</f>
        <v>92</v>
      </c>
      <c r="D187" s="5">
        <f>SUMIF('库存（子SKU）'!$C:$C,$A187,'库存（子SKU）'!F:F)</f>
        <v>77</v>
      </c>
      <c r="E187" s="5">
        <f>SUMIF('库存（子SKU）'!$C:$C,$A187,'库存（子SKU）'!G:G)</f>
        <v>59</v>
      </c>
      <c r="F187" s="6">
        <v>22.99</v>
      </c>
      <c r="G187">
        <f>SUMIF('库存（子SKU）'!$C:$C,$A187,'库存（子SKU）'!I:I)</f>
        <v>136</v>
      </c>
      <c r="H187">
        <f>SUMIF('库存（子SKU）'!$C:$C,$A187,'库存（子SKU）'!J:J)</f>
        <v>250</v>
      </c>
      <c r="I187">
        <f>SUMIF('库存（子SKU）'!$C:$C,$A187,'库存（子SKU）'!K:K)</f>
        <v>0</v>
      </c>
      <c r="J187">
        <f>SUMIF('库存（子SKU）'!$C:$C,$A187,'库存（子SKU）'!L:L)</f>
        <v>3</v>
      </c>
      <c r="K187">
        <f t="shared" si="36"/>
        <v>389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>
        <f t="shared" si="37"/>
        <v>0</v>
      </c>
      <c r="AE187" s="22">
        <f t="shared" si="38"/>
        <v>0</v>
      </c>
      <c r="AF187" s="22">
        <f t="shared" si="39"/>
        <v>0</v>
      </c>
      <c r="AG187" s="22">
        <f t="shared" si="40"/>
        <v>0</v>
      </c>
      <c r="AH187">
        <f>SUMIF('库存（子SKU）'!$C:$C,$A187,'库存（子SKU）'!AJ:AJ)</f>
        <v>1446</v>
      </c>
      <c r="AI187">
        <f>SUMIF('库存（子SKU）'!$C:$C,$A187,'库存（子SKU）'!AK:AK)</f>
        <v>2082</v>
      </c>
      <c r="AJ187">
        <f>SUMIF('库存（子SKU）'!$C:$C,$A187,'库存（子SKU）'!AL:AL)</f>
        <v>1652</v>
      </c>
      <c r="AK187">
        <f>SUMIF('库存（子SKU）'!$C:$C,$A187,'库存（子SKU）'!AM:AM)</f>
        <v>994</v>
      </c>
      <c r="AL187" s="22">
        <f t="shared" si="41"/>
        <v>0.0401106500691563</v>
      </c>
      <c r="AM187" s="22">
        <f t="shared" si="42"/>
        <v>0.0441882804995197</v>
      </c>
      <c r="AN187" s="22">
        <f t="shared" si="43"/>
        <v>0.0466101694915254</v>
      </c>
      <c r="AO187" s="22">
        <f t="shared" si="44"/>
        <v>0.0593561368209256</v>
      </c>
      <c r="AP187" s="7">
        <f t="shared" si="45"/>
        <v>8.28571428571429</v>
      </c>
      <c r="AQ187" s="7">
        <f t="shared" si="46"/>
        <v>497.142857142857</v>
      </c>
      <c r="AR187" s="7">
        <f t="shared" si="47"/>
        <v>-108.142857142857</v>
      </c>
      <c r="AS187">
        <f t="shared" si="48"/>
        <v>46</v>
      </c>
      <c r="AT187" s="2">
        <f>IFERROR(时间!$B$4+AS187,"上周无销量")</f>
        <v>43378</v>
      </c>
    </row>
    <row r="188" spans="1:46">
      <c r="A188" t="s">
        <v>2190</v>
      </c>
      <c r="B188" s="5">
        <f>SUMIF('库存（子SKU）'!$C:$C,$A188,'库存（子SKU）'!D:D)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6" t="s">
        <v>53</v>
      </c>
      <c r="G188">
        <f>SUMIF('库存（子SKU）'!$C:$C,$A188,'库存（子SKU）'!I:I)</f>
        <v>0</v>
      </c>
      <c r="H188">
        <f>SUMIF('库存（子SKU）'!$C:$C,$A188,'库存（子SKU）'!J:J)</f>
        <v>60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60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 t="str">
        <f t="shared" si="49"/>
        <v/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 t="str">
        <f t="shared" si="37"/>
        <v/>
      </c>
      <c r="AE188" s="22" t="str">
        <f t="shared" si="38"/>
        <v/>
      </c>
      <c r="AF188" s="22" t="str">
        <f t="shared" si="39"/>
        <v/>
      </c>
      <c r="AG188" s="22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2" t="str">
        <f t="shared" si="41"/>
        <v/>
      </c>
      <c r="AM188" s="22" t="str">
        <f t="shared" si="42"/>
        <v/>
      </c>
      <c r="AN188" s="22" t="str">
        <f t="shared" si="43"/>
        <v/>
      </c>
      <c r="AO188" s="22" t="str">
        <f t="shared" si="44"/>
        <v/>
      </c>
      <c r="AP188" s="7">
        <f t="shared" si="45"/>
        <v>0</v>
      </c>
      <c r="AQ188" s="7">
        <f t="shared" si="46"/>
        <v>0</v>
      </c>
      <c r="AR188" s="7">
        <f t="shared" si="47"/>
        <v>60</v>
      </c>
      <c r="AS188" t="str">
        <f t="shared" si="48"/>
        <v>库存为60</v>
      </c>
      <c r="AT188" s="2" t="str">
        <f>IFERROR(时间!$B$4+AS188,"上周无销量")</f>
        <v>上周无销量</v>
      </c>
    </row>
    <row r="189" spans="1:46">
      <c r="A189" t="s">
        <v>2199</v>
      </c>
      <c r="B189" s="5">
        <f>SUMIF('库存（子SKU）'!$C:$C,$A189,'库存（子SKU）'!D:D)</f>
        <v>9</v>
      </c>
      <c r="C189" s="5">
        <f>SUMIF('库存（子SKU）'!$C:$C,$A189,'库存（子SKU）'!E:E)</f>
        <v>13</v>
      </c>
      <c r="D189" s="5">
        <f>SUMIF('库存（子SKU）'!$C:$C,$A189,'库存（子SKU）'!F:F)</f>
        <v>11</v>
      </c>
      <c r="E189" s="5">
        <f>SUMIF('库存（子SKU）'!$C:$C,$A189,'库存（子SKU）'!G:G)</f>
        <v>13</v>
      </c>
      <c r="F189" s="6">
        <v>12.99</v>
      </c>
      <c r="G189">
        <f>SUMIF('库存（子SKU）'!$C:$C,$A189,'库存（子SKU）'!I:I)</f>
        <v>189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2</v>
      </c>
      <c r="K189">
        <f t="shared" si="36"/>
        <v>191</v>
      </c>
      <c r="L189">
        <f>SUMIF('库存（子SKU）'!$C:$C,$A189,'库存（子SKU）'!N:N)</f>
        <v>3</v>
      </c>
      <c r="M189">
        <f>SUMIF('库存（子SKU）'!$C:$C,$A189,'库存（子SKU）'!O:O)</f>
        <v>0</v>
      </c>
      <c r="N189">
        <f>SUMIF('库存（子SKU）'!$C:$C,$A189,'库存（子SKU）'!P:P)</f>
        <v>18819</v>
      </c>
      <c r="O189">
        <f>SUMIF('库存（子SKU）'!$C:$C,$A189,'库存（子SKU）'!Q:Q)</f>
        <v>35200</v>
      </c>
      <c r="P189">
        <f>SUMIF('库存（子SKU）'!$C:$C,$A189,'库存（子SKU）'!R:R)</f>
        <v>24104</v>
      </c>
      <c r="Q189">
        <f>SUMIF('库存（子SKU）'!$C:$C,$A189,'库存（子SKU）'!S:S)</f>
        <v>2203</v>
      </c>
      <c r="R189">
        <f>SUMIF('库存（子SKU）'!$C:$C,$A189,'库存（子SKU）'!T:T)</f>
        <v>66</v>
      </c>
      <c r="S189">
        <f>SUMIF('库存（子SKU）'!$C:$C,$A189,'库存（子SKU）'!U:U)</f>
        <v>128</v>
      </c>
      <c r="T189">
        <f>SUMIF('库存（子SKU）'!$C:$C,$A189,'库存（子SKU）'!V:V)</f>
        <v>70</v>
      </c>
      <c r="U189">
        <f>SUMIF('库存（子SKU）'!$C:$C,$A189,'库存（子SKU）'!W:W)</f>
        <v>8</v>
      </c>
      <c r="V189" s="22">
        <f t="shared" si="49"/>
        <v>0.00350709389446836</v>
      </c>
      <c r="W189" s="22">
        <f t="shared" si="50"/>
        <v>0.00363636363636364</v>
      </c>
      <c r="X189" s="22">
        <f t="shared" si="51"/>
        <v>0.00290408230999004</v>
      </c>
      <c r="Y189" s="22">
        <f t="shared" si="52"/>
        <v>0.00363141171130277</v>
      </c>
      <c r="Z189">
        <f>SUMIF('库存（子SKU）'!$C:$C,$A189,'库存（子SKU）'!AB:AB)</f>
        <v>34.04</v>
      </c>
      <c r="AA189">
        <f>SUMIF('库存（子SKU）'!$C:$C,$A189,'库存（子SKU）'!AC:AC)</f>
        <v>63.85</v>
      </c>
      <c r="AB189">
        <f>SUMIF('库存（子SKU）'!$C:$C,$A189,'库存（子SKU）'!AD:AD)</f>
        <v>32.27</v>
      </c>
      <c r="AC189">
        <f>SUMIF('库存（子SKU）'!$C:$C,$A189,'库存（子SKU）'!AE:AE)</f>
        <v>3.25</v>
      </c>
      <c r="AD189" s="22">
        <f t="shared" si="37"/>
        <v>0.291164143358139</v>
      </c>
      <c r="AE189" s="22">
        <f t="shared" si="38"/>
        <v>0.378101498193877</v>
      </c>
      <c r="AF189" s="22">
        <f t="shared" si="39"/>
        <v>0.225838057246833</v>
      </c>
      <c r="AG189" s="22">
        <f t="shared" si="40"/>
        <v>0.0192455735180908</v>
      </c>
      <c r="AH189">
        <f>SUMIF('库存（子SKU）'!$C:$C,$A189,'库存（子SKU）'!AJ:AJ)</f>
        <v>223</v>
      </c>
      <c r="AI189">
        <f>SUMIF('库存（子SKU）'!$C:$C,$A189,'库存（子SKU）'!AK:AK)</f>
        <v>191</v>
      </c>
      <c r="AJ189">
        <f>SUMIF('库存（子SKU）'!$C:$C,$A189,'库存（子SKU）'!AL:AL)</f>
        <v>85</v>
      </c>
      <c r="AK189">
        <f>SUMIF('库存（子SKU）'!$C:$C,$A189,'库存（子SKU）'!AM:AM)</f>
        <v>71</v>
      </c>
      <c r="AL189" s="22">
        <f t="shared" si="41"/>
        <v>0.0403587443946188</v>
      </c>
      <c r="AM189" s="22">
        <f t="shared" si="42"/>
        <v>0.0680628272251309</v>
      </c>
      <c r="AN189" s="22">
        <f t="shared" si="43"/>
        <v>0.129411764705882</v>
      </c>
      <c r="AO189" s="22">
        <f t="shared" si="44"/>
        <v>0.183098591549296</v>
      </c>
      <c r="AP189" s="7">
        <f t="shared" si="45"/>
        <v>1.28571428571429</v>
      </c>
      <c r="AQ189" s="7">
        <f t="shared" si="46"/>
        <v>77.1428571428572</v>
      </c>
      <c r="AR189" s="7">
        <f t="shared" si="47"/>
        <v>113.857142857143</v>
      </c>
      <c r="AS189">
        <f t="shared" si="48"/>
        <v>148</v>
      </c>
      <c r="AT189" s="2">
        <f>IFERROR(时间!$B$4+AS189,"上周无销量")</f>
        <v>43480</v>
      </c>
    </row>
    <row r="190" spans="1:46">
      <c r="A190" t="s">
        <v>2212</v>
      </c>
      <c r="B190" s="5">
        <f>SUMIF('库存（子SKU）'!$C:$C,$A190,'库存（子SKU）'!D:D)</f>
        <v>97</v>
      </c>
      <c r="C190" s="5">
        <f>SUMIF('库存（子SKU）'!$C:$C,$A190,'库存（子SKU）'!E:E)</f>
        <v>69</v>
      </c>
      <c r="D190" s="5">
        <f>SUMIF('库存（子SKU）'!$C:$C,$A190,'库存（子SKU）'!F:F)</f>
        <v>102</v>
      </c>
      <c r="E190" s="5">
        <f>SUMIF('库存（子SKU）'!$C:$C,$A190,'库存（子SKU）'!G:G)</f>
        <v>81</v>
      </c>
      <c r="F190" s="6">
        <v>22.9</v>
      </c>
      <c r="G190">
        <f>SUMIF('库存（子SKU）'!$C:$C,$A190,'库存（子SKU）'!I:I)</f>
        <v>354</v>
      </c>
      <c r="H190">
        <f>SUMIF('库存（子SKU）'!$C:$C,$A190,'库存（子SKU）'!J:J)</f>
        <v>138</v>
      </c>
      <c r="I190">
        <f>SUMIF('库存（子SKU）'!$C:$C,$A190,'库存（子SKU）'!K:K)</f>
        <v>0</v>
      </c>
      <c r="J190">
        <f>SUMIF('库存（子SKU）'!$C:$C,$A190,'库存（子SKU）'!L:L)</f>
        <v>64</v>
      </c>
      <c r="K190">
        <f t="shared" si="36"/>
        <v>556</v>
      </c>
      <c r="L190">
        <f>SUMIF('库存（子SKU）'!$C:$C,$A190,'库存（子SKU）'!N:N)</f>
        <v>4</v>
      </c>
      <c r="M190">
        <f>SUMIF('库存（子SKU）'!$C:$C,$A190,'库存（子SKU）'!O:O)</f>
        <v>0</v>
      </c>
      <c r="N190">
        <f>SUMIF('库存（子SKU）'!$C:$C,$A190,'库存（子SKU）'!P:P)</f>
        <v>115421</v>
      </c>
      <c r="O190">
        <f>SUMIF('库存（子SKU）'!$C:$C,$A190,'库存（子SKU）'!Q:Q)</f>
        <v>80008</v>
      </c>
      <c r="P190">
        <f>SUMIF('库存（子SKU）'!$C:$C,$A190,'库存（子SKU）'!R:R)</f>
        <v>67458</v>
      </c>
      <c r="Q190">
        <f>SUMIF('库存（子SKU）'!$C:$C,$A190,'库存（子SKU）'!S:S)</f>
        <v>52921</v>
      </c>
      <c r="R190">
        <f>SUMIF('库存（子SKU）'!$C:$C,$A190,'库存（子SKU）'!T:T)</f>
        <v>229</v>
      </c>
      <c r="S190">
        <f>SUMIF('库存（子SKU）'!$C:$C,$A190,'库存（子SKU）'!U:U)</f>
        <v>131</v>
      </c>
      <c r="T190">
        <f>SUMIF('库存（子SKU）'!$C:$C,$A190,'库存（子SKU）'!V:V)</f>
        <v>146</v>
      </c>
      <c r="U190">
        <f>SUMIF('库存（子SKU）'!$C:$C,$A190,'库存（子SKU）'!W:W)</f>
        <v>167</v>
      </c>
      <c r="V190" s="22">
        <f t="shared" si="49"/>
        <v>0.00198404103239445</v>
      </c>
      <c r="W190" s="22">
        <f t="shared" si="50"/>
        <v>0.00163733626637336</v>
      </c>
      <c r="X190" s="22">
        <f t="shared" si="51"/>
        <v>0.00216430964451955</v>
      </c>
      <c r="Y190" s="22">
        <f t="shared" si="52"/>
        <v>0.00315564709661571</v>
      </c>
      <c r="Z190">
        <f>SUMIF('库存（子SKU）'!$C:$C,$A190,'库存（子SKU）'!AB:AB)</f>
        <v>108.42</v>
      </c>
      <c r="AA190">
        <f>SUMIF('库存（子SKU）'!$C:$C,$A190,'库存（子SKU）'!AC:AC)</f>
        <v>61.3</v>
      </c>
      <c r="AB190">
        <f>SUMIF('库存（子SKU）'!$C:$C,$A190,'库存（子SKU）'!AD:AD)</f>
        <v>73.76</v>
      </c>
      <c r="AC190">
        <f>SUMIF('库存（子SKU）'!$C:$C,$A190,'库存（子SKU）'!AE:AE)</f>
        <v>86.77</v>
      </c>
      <c r="AD190" s="22">
        <f t="shared" si="37"/>
        <v>0.0488092558411741</v>
      </c>
      <c r="AE190" s="22">
        <f t="shared" si="38"/>
        <v>0.0387950129738624</v>
      </c>
      <c r="AF190" s="22">
        <f t="shared" si="39"/>
        <v>0.0315780460655878</v>
      </c>
      <c r="AG190" s="22">
        <f t="shared" si="40"/>
        <v>0.046778802091757</v>
      </c>
      <c r="AH190">
        <f>SUMIF('库存（子SKU）'!$C:$C,$A190,'库存（子SKU）'!AJ:AJ)</f>
        <v>2400</v>
      </c>
      <c r="AI190">
        <f>SUMIF('库存（子SKU）'!$C:$C,$A190,'库存（子SKU）'!AK:AK)</f>
        <v>1683</v>
      </c>
      <c r="AJ190">
        <f>SUMIF('库存（子SKU）'!$C:$C,$A190,'库存（子SKU）'!AL:AL)</f>
        <v>1345</v>
      </c>
      <c r="AK190">
        <f>SUMIF('库存（子SKU）'!$C:$C,$A190,'库存（子SKU）'!AM:AM)</f>
        <v>1230</v>
      </c>
      <c r="AL190" s="22">
        <f t="shared" si="41"/>
        <v>0.0404166666666667</v>
      </c>
      <c r="AM190" s="22">
        <f t="shared" si="42"/>
        <v>0.0409982174688057</v>
      </c>
      <c r="AN190" s="22">
        <f t="shared" si="43"/>
        <v>0.0758364312267658</v>
      </c>
      <c r="AO190" s="22">
        <f t="shared" si="44"/>
        <v>0.0658536585365854</v>
      </c>
      <c r="AP190" s="7">
        <f t="shared" si="45"/>
        <v>13.8571428571429</v>
      </c>
      <c r="AQ190" s="7">
        <f t="shared" si="46"/>
        <v>831.428571428571</v>
      </c>
      <c r="AR190" s="7">
        <f t="shared" si="47"/>
        <v>-275.428571428571</v>
      </c>
      <c r="AS190">
        <f t="shared" si="48"/>
        <v>40</v>
      </c>
      <c r="AT190" s="2">
        <f>IFERROR(时间!$B$4+AS190,"上周无销量")</f>
        <v>43372</v>
      </c>
    </row>
    <row r="191" spans="1:46">
      <c r="A191" t="s">
        <v>2223</v>
      </c>
      <c r="B191" s="5">
        <f>SUMIF('库存（子SKU）'!$C:$C,$A191,'库存（子SKU）'!D:D)</f>
        <v>78</v>
      </c>
      <c r="C191" s="5">
        <f>SUMIF('库存（子SKU）'!$C:$C,$A191,'库存（子SKU）'!E:E)</f>
        <v>6</v>
      </c>
      <c r="D191" s="5">
        <f>SUMIF('库存（子SKU）'!$C:$C,$A191,'库存（子SKU）'!F:F)</f>
        <v>3</v>
      </c>
      <c r="E191" s="5">
        <f>SUMIF('库存（子SKU）'!$C:$C,$A191,'库存（子SKU）'!G:G)</f>
        <v>7</v>
      </c>
      <c r="F191" s="6">
        <v>5.10382978723404</v>
      </c>
      <c r="G191">
        <f>SUMIF('库存（子SKU）'!$C:$C,$A191,'库存（子SKU）'!I:I)</f>
        <v>24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24</v>
      </c>
      <c r="L191">
        <f>SUMIF('库存（子SKU）'!$C:$C,$A191,'库存（子SKU）'!N:N)</f>
        <v>0</v>
      </c>
      <c r="M191">
        <f>SUMIF('库存（子SKU）'!$C:$C,$A191,'库存（子SKU）'!O:O)</f>
        <v>17</v>
      </c>
      <c r="N191">
        <f>SUMIF('库存（子SKU）'!$C:$C,$A191,'库存（子SKU）'!P:P)</f>
        <v>51271</v>
      </c>
      <c r="O191">
        <f>SUMIF('库存（子SKU）'!$C:$C,$A191,'库存（子SKU）'!Q:Q)</f>
        <v>45110</v>
      </c>
      <c r="P191">
        <f>SUMIF('库存（子SKU）'!$C:$C,$A191,'库存（子SKU）'!R:R)</f>
        <v>31627</v>
      </c>
      <c r="Q191">
        <f>SUMIF('库存（子SKU）'!$C:$C,$A191,'库存（子SKU）'!S:S)</f>
        <v>5454</v>
      </c>
      <c r="R191">
        <f>SUMIF('库存（子SKU）'!$C:$C,$A191,'库存（子SKU）'!T:T)</f>
        <v>80</v>
      </c>
      <c r="S191">
        <f>SUMIF('库存（子SKU）'!$C:$C,$A191,'库存（子SKU）'!U:U)</f>
        <v>78</v>
      </c>
      <c r="T191">
        <f>SUMIF('库存（子SKU）'!$C:$C,$A191,'库存（子SKU）'!V:V)</f>
        <v>56</v>
      </c>
      <c r="U191">
        <f>SUMIF('库存（子SKU）'!$C:$C,$A191,'库存（子SKU）'!W:W)</f>
        <v>26</v>
      </c>
      <c r="V191" s="22">
        <f t="shared" si="49"/>
        <v>0.00156033625246241</v>
      </c>
      <c r="W191" s="22">
        <f t="shared" si="50"/>
        <v>0.00172910662824207</v>
      </c>
      <c r="X191" s="22">
        <f t="shared" si="51"/>
        <v>0.00177063901097164</v>
      </c>
      <c r="Y191" s="22">
        <f t="shared" si="52"/>
        <v>0.00476714338100477</v>
      </c>
      <c r="Z191">
        <f>SUMIF('库存（子SKU）'!$C:$C,$A191,'库存（子SKU）'!AB:AB)</f>
        <v>27.15</v>
      </c>
      <c r="AA191">
        <f>SUMIF('库存（子SKU）'!$C:$C,$A191,'库存（子SKU）'!AC:AC)</f>
        <v>21.61</v>
      </c>
      <c r="AB191">
        <f>SUMIF('库存（子SKU）'!$C:$C,$A191,'库存（子SKU）'!AD:AD)</f>
        <v>14.11</v>
      </c>
      <c r="AC191">
        <f>SUMIF('库存（子SKU）'!$C:$C,$A191,'库存（子SKU）'!AE:AE)</f>
        <v>10.12</v>
      </c>
      <c r="AD191" s="22">
        <f t="shared" si="37"/>
        <v>0.0681991636844063</v>
      </c>
      <c r="AE191" s="22">
        <f t="shared" si="38"/>
        <v>0.705679228503141</v>
      </c>
      <c r="AF191" s="22">
        <f t="shared" si="39"/>
        <v>0.92153020954922</v>
      </c>
      <c r="AG191" s="22">
        <f t="shared" si="40"/>
        <v>0.283260677958027</v>
      </c>
      <c r="AH191">
        <f>SUMIF('库存（子SKU）'!$C:$C,$A191,'库存（子SKU）'!AJ:AJ)</f>
        <v>319</v>
      </c>
      <c r="AI191">
        <f>SUMIF('库存（子SKU）'!$C:$C,$A191,'库存（子SKU）'!AK:AK)</f>
        <v>258</v>
      </c>
      <c r="AJ191">
        <f>SUMIF('库存（子SKU）'!$C:$C,$A191,'库存（子SKU）'!AL:AL)</f>
        <v>145</v>
      </c>
      <c r="AK191">
        <f>SUMIF('库存（子SKU）'!$C:$C,$A191,'库存（子SKU）'!AM:AM)</f>
        <v>111</v>
      </c>
      <c r="AL191" s="22">
        <f t="shared" si="41"/>
        <v>0.244514106583072</v>
      </c>
      <c r="AM191" s="22">
        <f t="shared" si="42"/>
        <v>0.0232558139534884</v>
      </c>
      <c r="AN191" s="22">
        <f t="shared" si="43"/>
        <v>0.0206896551724138</v>
      </c>
      <c r="AO191" s="22">
        <f t="shared" si="44"/>
        <v>0.0630630630630631</v>
      </c>
      <c r="AP191" s="7">
        <f t="shared" si="45"/>
        <v>11.1428571428571</v>
      </c>
      <c r="AQ191" s="7">
        <f t="shared" si="46"/>
        <v>668.571428571429</v>
      </c>
      <c r="AR191" s="7">
        <f t="shared" si="47"/>
        <v>-644.571428571429</v>
      </c>
      <c r="AS191">
        <f t="shared" si="48"/>
        <v>2</v>
      </c>
      <c r="AT191" s="2">
        <f>IFERROR(时间!$B$4+AS191,"上周无销量")</f>
        <v>43334</v>
      </c>
    </row>
    <row r="192" spans="1:46">
      <c r="A192" t="s">
        <v>2232</v>
      </c>
      <c r="B192" s="5">
        <f>SUMIF('库存（子SKU）'!$C:$C,$A192,'库存（子SKU）'!D:D)</f>
        <v>40</v>
      </c>
      <c r="C192" s="5">
        <f>SUMIF('库存（子SKU）'!$C:$C,$A192,'库存（子SKU）'!E:E)</f>
        <v>6</v>
      </c>
      <c r="D192" s="5">
        <f>SUMIF('库存（子SKU）'!$C:$C,$A192,'库存（子SKU）'!F:F)</f>
        <v>10</v>
      </c>
      <c r="E192" s="5">
        <f>SUMIF('库存（子SKU）'!$C:$C,$A192,'库存（子SKU）'!G:G)</f>
        <v>1</v>
      </c>
      <c r="F192" s="6">
        <v>4.97982456140351</v>
      </c>
      <c r="G192">
        <f>SUMIF('库存（子SKU）'!$C:$C,$A192,'库存（子SKU）'!I:I)</f>
        <v>112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112</v>
      </c>
      <c r="L192">
        <f>SUMIF('库存（子SKU）'!$C:$C,$A192,'库存（子SKU）'!N:N)</f>
        <v>1</v>
      </c>
      <c r="M192">
        <f>SUMIF('库存（子SKU）'!$C:$C,$A192,'库存（子SKU）'!O:O)</f>
        <v>113</v>
      </c>
      <c r="N192">
        <f>SUMIF('库存（子SKU）'!$C:$C,$A192,'库存（子SKU）'!P:P)</f>
        <v>56569</v>
      </c>
      <c r="O192">
        <f>SUMIF('库存（子SKU）'!$C:$C,$A192,'库存（子SKU）'!Q:Q)</f>
        <v>59367</v>
      </c>
      <c r="P192">
        <f>SUMIF('库存（子SKU）'!$C:$C,$A192,'库存（子SKU）'!R:R)</f>
        <v>6547</v>
      </c>
      <c r="Q192">
        <f>SUMIF('库存（子SKU）'!$C:$C,$A192,'库存（子SKU）'!S:S)</f>
        <v>3646</v>
      </c>
      <c r="R192">
        <f>SUMIF('库存（子SKU）'!$C:$C,$A192,'库存（子SKU）'!T:T)</f>
        <v>182</v>
      </c>
      <c r="S192">
        <f>SUMIF('库存（子SKU）'!$C:$C,$A192,'库存（子SKU）'!U:U)</f>
        <v>165</v>
      </c>
      <c r="T192">
        <f>SUMIF('库存（子SKU）'!$C:$C,$A192,'库存（子SKU）'!V:V)</f>
        <v>74</v>
      </c>
      <c r="U192">
        <f>SUMIF('库存（子SKU）'!$C:$C,$A192,'库存（子SKU）'!W:W)</f>
        <v>43</v>
      </c>
      <c r="V192" s="22">
        <f t="shared" si="49"/>
        <v>0.00321730983400803</v>
      </c>
      <c r="W192" s="22">
        <f t="shared" si="50"/>
        <v>0.00277932184546971</v>
      </c>
      <c r="X192" s="22">
        <f t="shared" si="51"/>
        <v>0.0113028868183901</v>
      </c>
      <c r="Y192" s="22">
        <f t="shared" si="52"/>
        <v>0.0117937465715853</v>
      </c>
      <c r="Z192">
        <f>SUMIF('库存（子SKU）'!$C:$C,$A192,'库存（子SKU）'!AB:AB)</f>
        <v>72.78</v>
      </c>
      <c r="AA192">
        <f>SUMIF('库存（子SKU）'!$C:$C,$A192,'库存（子SKU）'!AC:AC)</f>
        <v>53.6</v>
      </c>
      <c r="AB192">
        <f>SUMIF('库存（子SKU）'!$C:$C,$A192,'库存（子SKU）'!AD:AD)</f>
        <v>34.88</v>
      </c>
      <c r="AC192">
        <f>SUMIF('库存（子SKU）'!$C:$C,$A192,'库存（子SKU）'!AE:AE)</f>
        <v>15.98</v>
      </c>
      <c r="AD192" s="22">
        <f t="shared" si="37"/>
        <v>0.365374317421173</v>
      </c>
      <c r="AE192" s="22">
        <f t="shared" si="38"/>
        <v>1.79390523163643</v>
      </c>
      <c r="AF192" s="22">
        <f t="shared" si="39"/>
        <v>0.700426281486701</v>
      </c>
      <c r="AG192" s="22">
        <f t="shared" si="40"/>
        <v>3.20894838823322</v>
      </c>
      <c r="AH192">
        <f>SUMIF('库存（子SKU）'!$C:$C,$A192,'库存（子SKU）'!AJ:AJ)</f>
        <v>356</v>
      </c>
      <c r="AI192">
        <f>SUMIF('库存（子SKU）'!$C:$C,$A192,'库存（子SKU）'!AK:AK)</f>
        <v>340</v>
      </c>
      <c r="AJ192">
        <f>SUMIF('库存（子SKU）'!$C:$C,$A192,'库存（子SKU）'!AL:AL)</f>
        <v>168</v>
      </c>
      <c r="AK192">
        <f>SUMIF('库存（子SKU）'!$C:$C,$A192,'库存（子SKU）'!AM:AM)</f>
        <v>123</v>
      </c>
      <c r="AL192" s="22">
        <f t="shared" si="41"/>
        <v>0.112359550561798</v>
      </c>
      <c r="AM192" s="22">
        <f t="shared" si="42"/>
        <v>0.0176470588235294</v>
      </c>
      <c r="AN192" s="22">
        <f t="shared" si="43"/>
        <v>0.0595238095238095</v>
      </c>
      <c r="AO192" s="22">
        <f t="shared" si="44"/>
        <v>0.00813008130081301</v>
      </c>
      <c r="AP192" s="7">
        <f t="shared" si="45"/>
        <v>5.71428571428571</v>
      </c>
      <c r="AQ192" s="7">
        <f t="shared" si="46"/>
        <v>342.857142857143</v>
      </c>
      <c r="AR192" s="7">
        <f t="shared" si="47"/>
        <v>-230.857142857143</v>
      </c>
      <c r="AS192">
        <f t="shared" si="48"/>
        <v>19</v>
      </c>
      <c r="AT192" s="2">
        <f>IFERROR(时间!$B$4+AS192,"上周无销量")</f>
        <v>43351</v>
      </c>
    </row>
    <row r="193" spans="1:46">
      <c r="A193" t="s">
        <v>2275</v>
      </c>
      <c r="B193" s="5">
        <f>SUMIF('库存（子SKU）'!$C:$C,$A193,'库存（子SKU）'!D:D)</f>
        <v>2</v>
      </c>
      <c r="C193" s="5">
        <f>SUMIF('库存（子SKU）'!$C:$C,$A193,'库存（子SKU）'!E:E)</f>
        <v>6</v>
      </c>
      <c r="D193" s="5">
        <f>SUMIF('库存（子SKU）'!$C:$C,$A193,'库存（子SKU）'!F:F)</f>
        <v>0</v>
      </c>
      <c r="E193" s="5">
        <f>SUMIF('库存（子SKU）'!$C:$C,$A193,'库存（子SKU）'!G:G)</f>
        <v>2</v>
      </c>
      <c r="F193" s="6">
        <v>14.277</v>
      </c>
      <c r="G193">
        <f>SUMIF('库存（子SKU）'!$C:$C,$A193,'库存（子SKU）'!I:I)</f>
        <v>28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1</v>
      </c>
      <c r="K193">
        <f t="shared" si="36"/>
        <v>29</v>
      </c>
      <c r="L193">
        <f>SUMIF('库存（子SKU）'!$C:$C,$A193,'库存（子SKU）'!N:N)</f>
        <v>0</v>
      </c>
      <c r="M193">
        <f>SUMIF('库存（子SKU）'!$C:$C,$A193,'库存（子SKU）'!O:O)</f>
        <v>2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2" t="str">
        <f t="shared" si="49"/>
        <v/>
      </c>
      <c r="W193" s="22" t="str">
        <f t="shared" si="50"/>
        <v/>
      </c>
      <c r="X193" s="22" t="str">
        <f t="shared" si="51"/>
        <v/>
      </c>
      <c r="Y193" s="22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2">
        <f t="shared" si="37"/>
        <v>0</v>
      </c>
      <c r="AE193" s="22">
        <f t="shared" si="38"/>
        <v>0</v>
      </c>
      <c r="AF193" s="22" t="str">
        <f t="shared" si="39"/>
        <v/>
      </c>
      <c r="AG193" s="22">
        <f t="shared" si="40"/>
        <v>0</v>
      </c>
      <c r="AH193">
        <f>SUMIF('库存（子SKU）'!$C:$C,$A193,'库存（子SKU）'!AJ:AJ)</f>
        <v>148</v>
      </c>
      <c r="AI193">
        <f>SUMIF('库存（子SKU）'!$C:$C,$A193,'库存（子SKU）'!AK:AK)</f>
        <v>127</v>
      </c>
      <c r="AJ193">
        <f>SUMIF('库存（子SKU）'!$C:$C,$A193,'库存（子SKU）'!AL:AL)</f>
        <v>84</v>
      </c>
      <c r="AK193">
        <f>SUMIF('库存（子SKU）'!$C:$C,$A193,'库存（子SKU）'!AM:AM)</f>
        <v>90</v>
      </c>
      <c r="AL193" s="22">
        <f t="shared" si="41"/>
        <v>0.0135135135135135</v>
      </c>
      <c r="AM193" s="22">
        <f t="shared" si="42"/>
        <v>0.047244094488189</v>
      </c>
      <c r="AN193" s="22">
        <f t="shared" si="43"/>
        <v>0</v>
      </c>
      <c r="AO193" s="22">
        <f t="shared" si="44"/>
        <v>0.0222222222222222</v>
      </c>
      <c r="AP193" s="7">
        <f t="shared" si="45"/>
        <v>0.285714285714286</v>
      </c>
      <c r="AQ193" s="7">
        <f t="shared" si="46"/>
        <v>17.1428571428571</v>
      </c>
      <c r="AR193" s="7">
        <f t="shared" si="47"/>
        <v>11.8571428571429</v>
      </c>
      <c r="AS193">
        <f t="shared" si="48"/>
        <v>101</v>
      </c>
      <c r="AT193" s="2">
        <f>IFERROR(时间!$B$4+AS193,"上周无销量")</f>
        <v>43433</v>
      </c>
    </row>
    <row r="194" spans="1:46">
      <c r="A194" t="s">
        <v>2280</v>
      </c>
      <c r="B194" s="5">
        <f>SUMIF('库存（子SKU）'!$C:$C,$A194,'库存（子SKU）'!D:D)</f>
        <v>8</v>
      </c>
      <c r="C194" s="5">
        <f>SUMIF('库存（子SKU）'!$C:$C,$A194,'库存（子SKU）'!E:E)</f>
        <v>9</v>
      </c>
      <c r="D194" s="5">
        <f>SUMIF('库存（子SKU）'!$C:$C,$A194,'库存（子SKU）'!F:F)</f>
        <v>2</v>
      </c>
      <c r="E194" s="5">
        <f>SUMIF('库存（子SKU）'!$C:$C,$A194,'库存（子SKU）'!G:G)</f>
        <v>3</v>
      </c>
      <c r="F194" s="6">
        <v>9.91227272727273</v>
      </c>
      <c r="G194">
        <f>SUMIF('库存（子SKU）'!$C:$C,$A194,'库存（子SKU）'!I:I)</f>
        <v>0</v>
      </c>
      <c r="H194">
        <f>SUMIF('库存（子SKU）'!$C:$C,$A194,'库存（子SKU）'!J:J)</f>
        <v>12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12</v>
      </c>
      <c r="L194">
        <f>SUMIF('库存（子SKU）'!$C:$C,$A194,'库存（子SKU）'!N:N)</f>
        <v>1</v>
      </c>
      <c r="M194">
        <f>SUMIF('库存（子SKU）'!$C:$C,$A194,'库存（子SKU）'!O:O)</f>
        <v>0</v>
      </c>
      <c r="N194">
        <f>SUMIF('库存（子SKU）'!$C:$C,$A194,'库存（子SKU）'!P:P)</f>
        <v>114</v>
      </c>
      <c r="O194">
        <f>SUMIF('库存（子SKU）'!$C:$C,$A194,'库存（子SKU）'!Q:Q)</f>
        <v>132</v>
      </c>
      <c r="P194">
        <f>SUMIF('库存（子SKU）'!$C:$C,$A194,'库存（子SKU）'!R:R)</f>
        <v>116</v>
      </c>
      <c r="Q194">
        <f>SUMIF('库存（子SKU）'!$C:$C,$A194,'库存（子SKU）'!S:S)</f>
        <v>150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3</v>
      </c>
      <c r="V194" s="22">
        <f t="shared" si="49"/>
        <v>0</v>
      </c>
      <c r="W194" s="22">
        <f t="shared" si="50"/>
        <v>0</v>
      </c>
      <c r="X194" s="22">
        <f t="shared" si="51"/>
        <v>0</v>
      </c>
      <c r="Y194" s="22">
        <f t="shared" si="52"/>
        <v>0.02</v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0.45</v>
      </c>
      <c r="AD194" s="22">
        <f t="shared" si="37"/>
        <v>0</v>
      </c>
      <c r="AE194" s="22">
        <f t="shared" si="38"/>
        <v>0</v>
      </c>
      <c r="AF194" s="22">
        <f t="shared" si="39"/>
        <v>0</v>
      </c>
      <c r="AG194" s="22">
        <f t="shared" si="40"/>
        <v>0.0151327555372128</v>
      </c>
      <c r="AH194">
        <f>SUMIF('库存（子SKU）'!$C:$C,$A194,'库存（子SKU）'!AJ:AJ)</f>
        <v>102</v>
      </c>
      <c r="AI194">
        <f>SUMIF('库存（子SKU）'!$C:$C,$A194,'库存（子SKU）'!AK:AK)</f>
        <v>84</v>
      </c>
      <c r="AJ194">
        <f>SUMIF('库存（子SKU）'!$C:$C,$A194,'库存（子SKU）'!AL:AL)</f>
        <v>62</v>
      </c>
      <c r="AK194">
        <f>SUMIF('库存（子SKU）'!$C:$C,$A194,'库存（子SKU）'!AM:AM)</f>
        <v>56</v>
      </c>
      <c r="AL194" s="22">
        <f t="shared" si="41"/>
        <v>0.0784313725490196</v>
      </c>
      <c r="AM194" s="22">
        <f t="shared" si="42"/>
        <v>0.107142857142857</v>
      </c>
      <c r="AN194" s="22">
        <f t="shared" si="43"/>
        <v>0.032258064516129</v>
      </c>
      <c r="AO194" s="22">
        <f t="shared" si="44"/>
        <v>0.0535714285714286</v>
      </c>
      <c r="AP194" s="7">
        <f t="shared" si="45"/>
        <v>1.14285714285714</v>
      </c>
      <c r="AQ194" s="7">
        <f t="shared" si="46"/>
        <v>68.5714285714286</v>
      </c>
      <c r="AR194" s="7">
        <f t="shared" si="47"/>
        <v>-56.5714285714286</v>
      </c>
      <c r="AS194">
        <f t="shared" si="48"/>
        <v>10</v>
      </c>
      <c r="AT194" s="2">
        <f>IFERROR(时间!$B$4+AS194,"上周无销量")</f>
        <v>43342</v>
      </c>
    </row>
    <row r="195" spans="1:46">
      <c r="A195" t="s">
        <v>2283</v>
      </c>
      <c r="B195" s="5">
        <f>SUMIF('库存（子SKU）'!$C:$C,$A195,'库存（子SKU）'!D:D)</f>
        <v>2</v>
      </c>
      <c r="C195" s="5">
        <f>SUMIF('库存（子SKU）'!$C:$C,$A195,'库存（子SKU）'!E:E)</f>
        <v>7</v>
      </c>
      <c r="D195" s="5">
        <f>SUMIF('库存（子SKU）'!$C:$C,$A195,'库存（子SKU）'!F:F)</f>
        <v>4</v>
      </c>
      <c r="E195" s="5">
        <f>SUMIF('库存（子SKU）'!$C:$C,$A195,'库存（子SKU）'!G:G)</f>
        <v>3</v>
      </c>
      <c r="F195" s="6">
        <v>9.905625</v>
      </c>
      <c r="G195">
        <f>SUMIF('库存（子SKU）'!$C:$C,$A195,'库存（子SKU）'!I:I)</f>
        <v>12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5</v>
      </c>
      <c r="K195">
        <f t="shared" si="36"/>
        <v>17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11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>
        <f t="shared" si="52"/>
        <v>0</v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>
        <f t="shared" si="37"/>
        <v>0</v>
      </c>
      <c r="AE195" s="22">
        <f t="shared" si="38"/>
        <v>0</v>
      </c>
      <c r="AF195" s="22">
        <f t="shared" si="39"/>
        <v>0</v>
      </c>
      <c r="AG195" s="22">
        <f t="shared" si="40"/>
        <v>0</v>
      </c>
      <c r="AH195">
        <f>SUMIF('库存（子SKU）'!$C:$C,$A195,'库存（子SKU）'!AJ:AJ)</f>
        <v>157</v>
      </c>
      <c r="AI195">
        <f>SUMIF('库存（子SKU）'!$C:$C,$A195,'库存（子SKU）'!AK:AK)</f>
        <v>142</v>
      </c>
      <c r="AJ195">
        <f>SUMIF('库存（子SKU）'!$C:$C,$A195,'库存（子SKU）'!AL:AL)</f>
        <v>116</v>
      </c>
      <c r="AK195">
        <f>SUMIF('库存（子SKU）'!$C:$C,$A195,'库存（子SKU）'!AM:AM)</f>
        <v>89</v>
      </c>
      <c r="AL195" s="22">
        <f t="shared" si="41"/>
        <v>0.0127388535031847</v>
      </c>
      <c r="AM195" s="22">
        <f t="shared" si="42"/>
        <v>0.0492957746478873</v>
      </c>
      <c r="AN195" s="22">
        <f t="shared" si="43"/>
        <v>0.0344827586206897</v>
      </c>
      <c r="AO195" s="22">
        <f t="shared" si="44"/>
        <v>0.0337078651685393</v>
      </c>
      <c r="AP195" s="7">
        <f t="shared" si="45"/>
        <v>0.285714285714286</v>
      </c>
      <c r="AQ195" s="7">
        <f t="shared" si="46"/>
        <v>17.1428571428571</v>
      </c>
      <c r="AR195" s="7">
        <f t="shared" si="47"/>
        <v>-0.142857142857142</v>
      </c>
      <c r="AS195">
        <f t="shared" si="48"/>
        <v>59</v>
      </c>
      <c r="AT195" s="2">
        <f>IFERROR(时间!$B$4+AS195,"上周无销量")</f>
        <v>43391</v>
      </c>
    </row>
    <row r="196" spans="1:46">
      <c r="A196" t="s">
        <v>2288</v>
      </c>
      <c r="B196" s="5">
        <f>SUMIF('库存（子SKU）'!$C:$C,$A196,'库存（子SKU）'!D:D)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6" t="s">
        <v>53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3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 t="str">
        <f t="shared" si="49"/>
        <v/>
      </c>
      <c r="W196" s="22" t="str">
        <f t="shared" si="50"/>
        <v/>
      </c>
      <c r="X196" s="22" t="str">
        <f t="shared" si="51"/>
        <v/>
      </c>
      <c r="Y196" s="22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 t="str">
        <f t="shared" si="37"/>
        <v/>
      </c>
      <c r="AE196" s="22" t="str">
        <f t="shared" si="38"/>
        <v/>
      </c>
      <c r="AF196" s="22" t="str">
        <f t="shared" si="39"/>
        <v/>
      </c>
      <c r="AG196" s="22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2" t="str">
        <f t="shared" si="41"/>
        <v/>
      </c>
      <c r="AM196" s="22" t="str">
        <f t="shared" si="42"/>
        <v/>
      </c>
      <c r="AN196" s="22" t="str">
        <f t="shared" si="43"/>
        <v/>
      </c>
      <c r="AO196" s="22" t="str">
        <f t="shared" si="44"/>
        <v/>
      </c>
      <c r="AP196" s="7">
        <f t="shared" si="45"/>
        <v>0</v>
      </c>
      <c r="AQ196" s="7">
        <f t="shared" si="46"/>
        <v>0</v>
      </c>
      <c r="AR196" s="7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2291</v>
      </c>
      <c r="B197" s="5">
        <f>SUMIF('库存（子SKU）'!$C:$C,$A197,'库存（子SKU）'!D:D)</f>
        <v>6</v>
      </c>
      <c r="C197" s="5">
        <f>SUMIF('库存（子SKU）'!$C:$C,$A197,'库存（子SKU）'!E:E)</f>
        <v>9</v>
      </c>
      <c r="D197" s="5">
        <f>SUMIF('库存（子SKU）'!$C:$C,$A197,'库存（子SKU）'!F:F)</f>
        <v>8</v>
      </c>
      <c r="E197" s="5">
        <f>SUMIF('库存（子SKU）'!$C:$C,$A197,'库存（子SKU）'!G:G)</f>
        <v>6</v>
      </c>
      <c r="F197" s="6">
        <v>9.75310344827586</v>
      </c>
      <c r="G197">
        <f>SUMIF('库存（子SKU）'!$C:$C,$A197,'库存（子SKU）'!I:I)</f>
        <v>71</v>
      </c>
      <c r="H197">
        <f>SUMIF('库存（子SKU）'!$C:$C,$A197,'库存（子SKU）'!J:J)</f>
        <v>1</v>
      </c>
      <c r="I197">
        <f>SUMIF('库存（子SKU）'!$C:$C,$A197,'库存（子SKU）'!K:K)</f>
        <v>0</v>
      </c>
      <c r="J197">
        <f>SUMIF('库存（子SKU）'!$C:$C,$A197,'库存（子SKU）'!L:L)</f>
        <v>5</v>
      </c>
      <c r="K197">
        <f t="shared" ref="K197:K214" si="53">SUM(G197:J197)</f>
        <v>77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5933</v>
      </c>
      <c r="O197">
        <f>SUMIF('库存（子SKU）'!$C:$C,$A197,'库存（子SKU）'!Q:Q)</f>
        <v>4676</v>
      </c>
      <c r="P197">
        <f>SUMIF('库存（子SKU）'!$C:$C,$A197,'库存（子SKU）'!R:R)</f>
        <v>3278</v>
      </c>
      <c r="Q197">
        <f>SUMIF('库存（子SKU）'!$C:$C,$A197,'库存（子SKU）'!S:S)</f>
        <v>7350</v>
      </c>
      <c r="R197">
        <f>SUMIF('库存（子SKU）'!$C:$C,$A197,'库存（子SKU）'!T:T)</f>
        <v>56</v>
      </c>
      <c r="S197">
        <f>SUMIF('库存（子SKU）'!$C:$C,$A197,'库存（子SKU）'!U:U)</f>
        <v>47</v>
      </c>
      <c r="T197">
        <f>SUMIF('库存（子SKU）'!$C:$C,$A197,'库存（子SKU）'!V:V)</f>
        <v>24</v>
      </c>
      <c r="U197">
        <f>SUMIF('库存（子SKU）'!$C:$C,$A197,'库存（子SKU）'!W:W)</f>
        <v>89</v>
      </c>
      <c r="V197" s="22">
        <f t="shared" si="49"/>
        <v>0.00943873251306253</v>
      </c>
      <c r="W197" s="22">
        <f t="shared" si="50"/>
        <v>0.0100513259195894</v>
      </c>
      <c r="X197" s="22">
        <f t="shared" si="51"/>
        <v>0.0073215375228798</v>
      </c>
      <c r="Y197" s="22">
        <f t="shared" si="52"/>
        <v>0.012108843537415</v>
      </c>
      <c r="Z197">
        <f>SUMIF('库存（子SKU）'!$C:$C,$A197,'库存（子SKU）'!AB:AB)</f>
        <v>7.92</v>
      </c>
      <c r="AA197">
        <f>SUMIF('库存（子SKU）'!$C:$C,$A197,'库存（子SKU）'!AC:AC)</f>
        <v>6.29</v>
      </c>
      <c r="AB197">
        <f>SUMIF('库存（子SKU）'!$C:$C,$A197,'库存（子SKU）'!AD:AD)</f>
        <v>3.15</v>
      </c>
      <c r="AC197">
        <f>SUMIF('库存（子SKU）'!$C:$C,$A197,'库存（子SKU）'!AE:AE)</f>
        <v>14.42</v>
      </c>
      <c r="AD197" s="22">
        <f t="shared" ref="AD197:AD214" si="54">IF(AND(Z197&gt;0,B197=0),"无销量广告费为"&amp;Z197,IFERROR(Z197/(B197*$F197),""))</f>
        <v>0.135341535850658</v>
      </c>
      <c r="AE197" s="22">
        <f t="shared" ref="AE197:AE214" si="55">IF(AND(AA197&gt;0,C197=0),"无销量广告费为"&amp;AA197,IFERROR(AA197/(C197*$F197),""))</f>
        <v>0.0716581027357438</v>
      </c>
      <c r="AF197" s="22">
        <f t="shared" ref="AF197:AF214" si="56">IF(AND(AB197&gt;0,D197=0),"无销量广告费为"&amp;AB197,IFERROR(AB197/(D197*$F197),""))</f>
        <v>0.0403717649554519</v>
      </c>
      <c r="AG197" s="22">
        <f t="shared" ref="AG197:AG214" si="57">IF(AND(AC197&gt;0,E197=0),"无销量广告费为"&amp;AC197,IFERROR(AC197/(E197*$F197),""))</f>
        <v>0.246417291283647</v>
      </c>
      <c r="AH197">
        <f>SUMIF('库存（子SKU）'!$C:$C,$A197,'库存（子SKU）'!AJ:AJ)</f>
        <v>197</v>
      </c>
      <c r="AI197">
        <f>SUMIF('库存（子SKU）'!$C:$C,$A197,'库存（子SKU）'!AK:AK)</f>
        <v>178</v>
      </c>
      <c r="AJ197">
        <f>SUMIF('库存（子SKU）'!$C:$C,$A197,'库存（子SKU）'!AL:AL)</f>
        <v>140</v>
      </c>
      <c r="AK197">
        <f>SUMIF('库存（子SKU）'!$C:$C,$A197,'库存（子SKU）'!AM:AM)</f>
        <v>110</v>
      </c>
      <c r="AL197" s="22">
        <f t="shared" ref="AL197:AL214" si="58">IFERROR(B197/AH197,"")</f>
        <v>0.0304568527918782</v>
      </c>
      <c r="AM197" s="22">
        <f t="shared" ref="AM197:AM214" si="59">IFERROR(C197/AI197,"")</f>
        <v>0.050561797752809</v>
      </c>
      <c r="AN197" s="22">
        <f t="shared" ref="AN197:AN214" si="60">IFERROR(D197/AJ197,"")</f>
        <v>0.0571428571428571</v>
      </c>
      <c r="AO197" s="22">
        <f t="shared" ref="AO197:AO214" si="61">IFERROR(E197/AK197,"")</f>
        <v>0.0545454545454545</v>
      </c>
      <c r="AP197" s="7">
        <f t="shared" ref="AP197:AP214" si="62">B197/7</f>
        <v>0.857142857142857</v>
      </c>
      <c r="AQ197" s="7">
        <f t="shared" ref="AQ197:AQ214" si="63">AP197*60</f>
        <v>51.4285714285714</v>
      </c>
      <c r="AR197" s="7">
        <f t="shared" ref="AR197:AR214" si="64">K197-AQ197</f>
        <v>25.5714285714286</v>
      </c>
      <c r="AS197">
        <f t="shared" ref="AS197:AS214" si="65">IF(AP197=0,"库存为"&amp;K197,INT(K197/AP197))</f>
        <v>89</v>
      </c>
      <c r="AT197" s="2">
        <f>IFERROR(时间!$B$4+AS197,"上周无销量")</f>
        <v>43421</v>
      </c>
    </row>
    <row r="198" spans="1:46">
      <c r="A198" t="s">
        <v>2296</v>
      </c>
      <c r="B198" s="5">
        <f>SUMIF('库存（子SKU）'!$C:$C,$A198,'库存（子SKU）'!D:D)</f>
        <v>54</v>
      </c>
      <c r="C198" s="5">
        <f>SUMIF('库存（子SKU）'!$C:$C,$A198,'库存（子SKU）'!E:E)</f>
        <v>76</v>
      </c>
      <c r="D198" s="5">
        <f>SUMIF('库存（子SKU）'!$C:$C,$A198,'库存（子SKU）'!F:F)</f>
        <v>67</v>
      </c>
      <c r="E198" s="5">
        <f>SUMIF('库存（子SKU）'!$C:$C,$A198,'库存（子SKU）'!G:G)</f>
        <v>59</v>
      </c>
      <c r="F198" s="6">
        <v>9.6255078125</v>
      </c>
      <c r="G198">
        <f>SUMIF('库存（子SKU）'!$C:$C,$A198,'库存（子SKU）'!I:I)</f>
        <v>127</v>
      </c>
      <c r="H198">
        <f>SUMIF('库存（子SKU）'!$C:$C,$A198,'库存（子SKU）'!J:J)</f>
        <v>88</v>
      </c>
      <c r="I198">
        <f>SUMIF('库存（子SKU）'!$C:$C,$A198,'库存（子SKU）'!K:K)</f>
        <v>1</v>
      </c>
      <c r="J198">
        <f>SUMIF('库存（子SKU）'!$C:$C,$A198,'库存（子SKU）'!L:L)</f>
        <v>3</v>
      </c>
      <c r="K198">
        <f t="shared" si="53"/>
        <v>219</v>
      </c>
      <c r="L198">
        <f>SUMIF('库存（子SKU）'!$C:$C,$A198,'库存（子SKU）'!N:N)</f>
        <v>3</v>
      </c>
      <c r="M198">
        <f>SUMIF('库存（子SKU）'!$C:$C,$A198,'库存（子SKU）'!O:O)</f>
        <v>0</v>
      </c>
      <c r="N198">
        <f>SUMIF('库存（子SKU）'!$C:$C,$A198,'库存（子SKU）'!P:P)</f>
        <v>20251</v>
      </c>
      <c r="O198">
        <f>SUMIF('库存（子SKU）'!$C:$C,$A198,'库存（子SKU）'!Q:Q)</f>
        <v>19934</v>
      </c>
      <c r="P198">
        <f>SUMIF('库存（子SKU）'!$C:$C,$A198,'库存（子SKU）'!R:R)</f>
        <v>21229</v>
      </c>
      <c r="Q198">
        <f>SUMIF('库存（子SKU）'!$C:$C,$A198,'库存（子SKU）'!S:S)</f>
        <v>28737</v>
      </c>
      <c r="R198">
        <f>SUMIF('库存（子SKU）'!$C:$C,$A198,'库存（子SKU）'!T:T)</f>
        <v>200</v>
      </c>
      <c r="S198">
        <f>SUMIF('库存（子SKU）'!$C:$C,$A198,'库存（子SKU）'!U:U)</f>
        <v>243</v>
      </c>
      <c r="T198">
        <f>SUMIF('库存（子SKU）'!$C:$C,$A198,'库存（子SKU）'!V:V)</f>
        <v>203</v>
      </c>
      <c r="U198">
        <f>SUMIF('库存（子SKU）'!$C:$C,$A198,'库存（子SKU）'!W:W)</f>
        <v>268</v>
      </c>
      <c r="V198" s="22">
        <f t="shared" ref="V198:V214" si="66">IFERROR(R198/N198,"")</f>
        <v>0.00987605550343193</v>
      </c>
      <c r="W198" s="22">
        <f t="shared" ref="W198:W214" si="67">IFERROR(S198/O198,"")</f>
        <v>0.0121902277515802</v>
      </c>
      <c r="X198" s="22">
        <f t="shared" ref="X198:X214" si="68">IFERROR(T198/P198,"")</f>
        <v>0.00956239106882095</v>
      </c>
      <c r="Y198" s="22">
        <f t="shared" ref="Y198:Y214" si="69">IFERROR(U198/Q198,"")</f>
        <v>0.00932595608449038</v>
      </c>
      <c r="Z198">
        <f>SUMIF('库存（子SKU）'!$C:$C,$A198,'库存（子SKU）'!AB:AB)</f>
        <v>64.54</v>
      </c>
      <c r="AA198">
        <f>SUMIF('库存（子SKU）'!$C:$C,$A198,'库存（子SKU）'!AC:AC)</f>
        <v>70.94</v>
      </c>
      <c r="AB198">
        <f>SUMIF('库存（子SKU）'!$C:$C,$A198,'库存（子SKU）'!AD:AD)</f>
        <v>42.72</v>
      </c>
      <c r="AC198">
        <f>SUMIF('库存（子SKU）'!$C:$C,$A198,'库存（子SKU）'!AE:AE)</f>
        <v>57.63</v>
      </c>
      <c r="AD198" s="22">
        <f t="shared" si="54"/>
        <v>0.124168533075531</v>
      </c>
      <c r="AE198" s="22">
        <f t="shared" si="55"/>
        <v>0.0969736943560949</v>
      </c>
      <c r="AF198" s="22">
        <f t="shared" si="56"/>
        <v>0.0662419014891332</v>
      </c>
      <c r="AG198" s="22">
        <f t="shared" si="57"/>
        <v>0.101478247178655</v>
      </c>
      <c r="AH198">
        <f>SUMIF('库存（子SKU）'!$C:$C,$A198,'库存（子SKU）'!AJ:AJ)</f>
        <v>749</v>
      </c>
      <c r="AI198">
        <f>SUMIF('库存（子SKU）'!$C:$C,$A198,'库存（子SKU）'!AK:AK)</f>
        <v>773</v>
      </c>
      <c r="AJ198">
        <f>SUMIF('库存（子SKU）'!$C:$C,$A198,'库存（子SKU）'!AL:AL)</f>
        <v>493</v>
      </c>
      <c r="AK198">
        <f>SUMIF('库存（子SKU）'!$C:$C,$A198,'库存（子SKU）'!AM:AM)</f>
        <v>511</v>
      </c>
      <c r="AL198" s="22">
        <f t="shared" si="58"/>
        <v>0.0720961281708945</v>
      </c>
      <c r="AM198" s="22">
        <f t="shared" si="59"/>
        <v>0.0983182406209573</v>
      </c>
      <c r="AN198" s="22">
        <f t="shared" si="60"/>
        <v>0.135902636916836</v>
      </c>
      <c r="AO198" s="22">
        <f t="shared" si="61"/>
        <v>0.11545988258317</v>
      </c>
      <c r="AP198" s="7">
        <f t="shared" si="62"/>
        <v>7.71428571428571</v>
      </c>
      <c r="AQ198" s="7">
        <f t="shared" si="63"/>
        <v>462.857142857143</v>
      </c>
      <c r="AR198" s="7">
        <f t="shared" si="64"/>
        <v>-243.857142857143</v>
      </c>
      <c r="AS198">
        <f t="shared" si="65"/>
        <v>28</v>
      </c>
      <c r="AT198" s="2">
        <f>IFERROR(时间!$B$4+AS198,"上周无销量")</f>
        <v>43360</v>
      </c>
    </row>
    <row r="199" spans="1:46">
      <c r="A199" t="s">
        <v>2301</v>
      </c>
      <c r="B199" s="5">
        <f>SUMIF('库存（子SKU）'!$C:$C,$A199,'库存（子SKU）'!D:D)</f>
        <v>3</v>
      </c>
      <c r="C199" s="5">
        <f>SUMIF('库存（子SKU）'!$C:$C,$A199,'库存（子SKU）'!E:E)</f>
        <v>3</v>
      </c>
      <c r="D199" s="5">
        <f>SUMIF('库存（子SKU）'!$C:$C,$A199,'库存（子SKU）'!F:F)</f>
        <v>7</v>
      </c>
      <c r="E199" s="5">
        <f>SUMIF('库存（子SKU）'!$C:$C,$A199,'库存（子SKU）'!G:G)</f>
        <v>3</v>
      </c>
      <c r="F199" s="6">
        <v>12.9</v>
      </c>
      <c r="G199">
        <f>SUMIF('库存（子SKU）'!$C:$C,$A199,'库存（子SKU）'!I:I)</f>
        <v>52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10</v>
      </c>
      <c r="K199">
        <f t="shared" si="53"/>
        <v>62</v>
      </c>
      <c r="L199">
        <f>SUMIF('库存（子SKU）'!$C:$C,$A199,'库存（子SKU）'!N:N)</f>
        <v>0</v>
      </c>
      <c r="M199">
        <f>SUMIF('库存（子SKU）'!$C:$C,$A199,'库存（子SKU）'!O:O)</f>
        <v>24</v>
      </c>
      <c r="N199">
        <f>SUMIF('库存（子SKU）'!$C:$C,$A199,'库存（子SKU）'!P:P)</f>
        <v>3269</v>
      </c>
      <c r="O199">
        <f>SUMIF('库存（子SKU）'!$C:$C,$A199,'库存（子SKU）'!Q:Q)</f>
        <v>4119</v>
      </c>
      <c r="P199">
        <f>SUMIF('库存（子SKU）'!$C:$C,$A199,'库存（子SKU）'!R:R)</f>
        <v>3093</v>
      </c>
      <c r="Q199">
        <f>SUMIF('库存（子SKU）'!$C:$C,$A199,'库存（子SKU）'!S:S)</f>
        <v>2089</v>
      </c>
      <c r="R199">
        <f>SUMIF('库存（子SKU）'!$C:$C,$A199,'库存（子SKU）'!T:T)</f>
        <v>38</v>
      </c>
      <c r="S199">
        <f>SUMIF('库存（子SKU）'!$C:$C,$A199,'库存（子SKU）'!U:U)</f>
        <v>32</v>
      </c>
      <c r="T199">
        <f>SUMIF('库存（子SKU）'!$C:$C,$A199,'库存（子SKU）'!V:V)</f>
        <v>29</v>
      </c>
      <c r="U199">
        <f>SUMIF('库存（子SKU）'!$C:$C,$A199,'库存（子SKU）'!W:W)</f>
        <v>15</v>
      </c>
      <c r="V199" s="22">
        <f t="shared" si="66"/>
        <v>0.0116243499541144</v>
      </c>
      <c r="W199" s="22">
        <f t="shared" si="67"/>
        <v>0.00776887594076232</v>
      </c>
      <c r="X199" s="22">
        <f t="shared" si="68"/>
        <v>0.00937601034594245</v>
      </c>
      <c r="Y199" s="22">
        <f t="shared" si="69"/>
        <v>0.00718046912398277</v>
      </c>
      <c r="Z199">
        <f>SUMIF('库存（子SKU）'!$C:$C,$A199,'库存（子SKU）'!AB:AB)</f>
        <v>19.19</v>
      </c>
      <c r="AA199">
        <f>SUMIF('库存（子SKU）'!$C:$C,$A199,'库存（子SKU）'!AC:AC)</f>
        <v>16.31</v>
      </c>
      <c r="AB199">
        <f>SUMIF('库存（子SKU）'!$C:$C,$A199,'库存（子SKU）'!AD:AD)</f>
        <v>15.57</v>
      </c>
      <c r="AC199">
        <f>SUMIF('库存（子SKU）'!$C:$C,$A199,'库存（子SKU）'!AE:AE)</f>
        <v>8.09</v>
      </c>
      <c r="AD199" s="22">
        <f t="shared" si="54"/>
        <v>0.495865633074935</v>
      </c>
      <c r="AE199" s="22">
        <f t="shared" si="55"/>
        <v>0.421447028423773</v>
      </c>
      <c r="AF199" s="22">
        <f t="shared" si="56"/>
        <v>0.172425249169435</v>
      </c>
      <c r="AG199" s="22">
        <f t="shared" si="57"/>
        <v>0.209043927648579</v>
      </c>
      <c r="AH199">
        <f>SUMIF('库存（子SKU）'!$C:$C,$A199,'库存（子SKU）'!AJ:AJ)</f>
        <v>179</v>
      </c>
      <c r="AI199">
        <f>SUMIF('库存（子SKU）'!$C:$C,$A199,'库存（子SKU）'!AK:AK)</f>
        <v>130</v>
      </c>
      <c r="AJ199">
        <f>SUMIF('库存（子SKU）'!$C:$C,$A199,'库存（子SKU）'!AL:AL)</f>
        <v>105</v>
      </c>
      <c r="AK199">
        <f>SUMIF('库存（子SKU）'!$C:$C,$A199,'库存（子SKU）'!AM:AM)</f>
        <v>97</v>
      </c>
      <c r="AL199" s="22">
        <f t="shared" si="58"/>
        <v>0.0167597765363128</v>
      </c>
      <c r="AM199" s="22">
        <f t="shared" si="59"/>
        <v>0.0230769230769231</v>
      </c>
      <c r="AN199" s="22">
        <f t="shared" si="60"/>
        <v>0.0666666666666667</v>
      </c>
      <c r="AO199" s="22">
        <f t="shared" si="61"/>
        <v>0.0309278350515464</v>
      </c>
      <c r="AP199" s="7">
        <f t="shared" si="62"/>
        <v>0.428571428571429</v>
      </c>
      <c r="AQ199" s="7">
        <f t="shared" si="63"/>
        <v>25.7142857142857</v>
      </c>
      <c r="AR199" s="7">
        <f t="shared" si="64"/>
        <v>36.2857142857143</v>
      </c>
      <c r="AS199">
        <f t="shared" si="65"/>
        <v>144</v>
      </c>
      <c r="AT199" s="2">
        <f>IFERROR(时间!$B$4+AS199,"上周无销量")</f>
        <v>43476</v>
      </c>
    </row>
    <row r="200" spans="1:46">
      <c r="A200" t="s">
        <v>2309</v>
      </c>
      <c r="B200" s="5">
        <f>SUMIF('库存（子SKU）'!$C:$C,$A200,'库存（子SKU）'!D:D)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6" t="s">
        <v>53</v>
      </c>
      <c r="G200">
        <f>SUMIF('库存（子SKU）'!$C:$C,$A200,'库存（子SKU）'!I:I)</f>
        <v>2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2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2" t="str">
        <f t="shared" si="66"/>
        <v/>
      </c>
      <c r="W200" s="22" t="str">
        <f t="shared" si="67"/>
        <v/>
      </c>
      <c r="X200" s="22" t="str">
        <f t="shared" si="68"/>
        <v/>
      </c>
      <c r="Y200" s="22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2" t="str">
        <f t="shared" si="54"/>
        <v/>
      </c>
      <c r="AE200" s="22" t="str">
        <f t="shared" si="55"/>
        <v/>
      </c>
      <c r="AF200" s="22" t="str">
        <f t="shared" si="56"/>
        <v/>
      </c>
      <c r="AG200" s="22" t="str">
        <f t="shared" si="57"/>
        <v/>
      </c>
      <c r="AH200">
        <f>SUMIF('库存（子SKU）'!$C:$C,$A200,'库存（子SKU）'!AJ:AJ)</f>
        <v>48</v>
      </c>
      <c r="AI200">
        <f>SUMIF('库存（子SKU）'!$C:$C,$A200,'库存（子SKU）'!AK:AK)</f>
        <v>38</v>
      </c>
      <c r="AJ200">
        <f>SUMIF('库存（子SKU）'!$C:$C,$A200,'库存（子SKU）'!AL:AL)</f>
        <v>24</v>
      </c>
      <c r="AK200">
        <f>SUMIF('库存（子SKU）'!$C:$C,$A200,'库存（子SKU）'!AM:AM)</f>
        <v>24</v>
      </c>
      <c r="AL200" s="22">
        <f t="shared" si="58"/>
        <v>0</v>
      </c>
      <c r="AM200" s="22">
        <f t="shared" si="59"/>
        <v>0</v>
      </c>
      <c r="AN200" s="22">
        <f t="shared" si="60"/>
        <v>0</v>
      </c>
      <c r="AO200" s="22">
        <f t="shared" si="61"/>
        <v>0</v>
      </c>
      <c r="AP200" s="7">
        <f t="shared" si="62"/>
        <v>0</v>
      </c>
      <c r="AQ200" s="7">
        <f t="shared" si="63"/>
        <v>0</v>
      </c>
      <c r="AR200" s="7">
        <f t="shared" si="64"/>
        <v>2</v>
      </c>
      <c r="AS200" t="str">
        <f t="shared" si="65"/>
        <v>库存为2</v>
      </c>
      <c r="AT200" s="2" t="str">
        <f>IFERROR(时间!$B$4+AS200,"上周无销量")</f>
        <v>上周无销量</v>
      </c>
    </row>
    <row r="201" spans="1:46">
      <c r="A201" t="s">
        <v>2312</v>
      </c>
      <c r="B201" s="5">
        <f>SUMIF('库存（子SKU）'!$C:$C,$A201,'库存（子SKU）'!D:D)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6" t="s">
        <v>53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2" t="str">
        <f t="shared" si="66"/>
        <v/>
      </c>
      <c r="W201" s="22" t="str">
        <f t="shared" si="67"/>
        <v/>
      </c>
      <c r="X201" s="22" t="str">
        <f t="shared" si="68"/>
        <v/>
      </c>
      <c r="Y201" s="22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2" t="str">
        <f t="shared" si="54"/>
        <v/>
      </c>
      <c r="AE201" s="22" t="str">
        <f t="shared" si="55"/>
        <v/>
      </c>
      <c r="AF201" s="22" t="str">
        <f t="shared" si="56"/>
        <v/>
      </c>
      <c r="AG201" s="22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22" t="str">
        <f t="shared" si="58"/>
        <v/>
      </c>
      <c r="AM201" s="22" t="str">
        <f t="shared" si="59"/>
        <v/>
      </c>
      <c r="AN201" s="22" t="str">
        <f t="shared" si="60"/>
        <v/>
      </c>
      <c r="AO201" s="22" t="str">
        <f t="shared" si="61"/>
        <v/>
      </c>
      <c r="AP201" s="7">
        <f t="shared" si="62"/>
        <v>0</v>
      </c>
      <c r="AQ201" s="7">
        <f t="shared" si="63"/>
        <v>0</v>
      </c>
      <c r="AR201" s="7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2315</v>
      </c>
      <c r="B202" s="5">
        <f>SUMIF('库存（子SKU）'!$C:$C,$A202,'库存（子SKU）'!D:D)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6" t="s">
        <v>53</v>
      </c>
      <c r="G202">
        <f>SUMIF('库存（子SKU）'!$C:$C,$A202,'库存（子SKU）'!I:I)</f>
        <v>2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2</v>
      </c>
      <c r="L202">
        <f>SUMIF('库存（子SKU）'!$C:$C,$A202,'库存（子SKU）'!N:N)</f>
        <v>0</v>
      </c>
      <c r="M202">
        <f>SUMIF('库存（子SKU）'!$C:$C,$A202,'库存（子SKU）'!O:O)</f>
        <v>2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2" t="str">
        <f t="shared" si="66"/>
        <v/>
      </c>
      <c r="W202" s="22" t="str">
        <f t="shared" si="67"/>
        <v/>
      </c>
      <c r="X202" s="22" t="str">
        <f t="shared" si="68"/>
        <v/>
      </c>
      <c r="Y202" s="22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2" t="str">
        <f t="shared" si="54"/>
        <v/>
      </c>
      <c r="AE202" s="22" t="str">
        <f t="shared" si="55"/>
        <v/>
      </c>
      <c r="AF202" s="22" t="str">
        <f t="shared" si="56"/>
        <v/>
      </c>
      <c r="AG202" s="22" t="str">
        <f t="shared" si="57"/>
        <v/>
      </c>
      <c r="AH202">
        <f>SUMIF('库存（子SKU）'!$C:$C,$A202,'库存（子SKU）'!AJ:AJ)</f>
        <v>4</v>
      </c>
      <c r="AI202">
        <f>SUMIF('库存（子SKU）'!$C:$C,$A202,'库存（子SKU）'!AK:AK)</f>
        <v>4</v>
      </c>
      <c r="AJ202">
        <f>SUMIF('库存（子SKU）'!$C:$C,$A202,'库存（子SKU）'!AL:AL)</f>
        <v>2</v>
      </c>
      <c r="AK202">
        <f>SUMIF('库存（子SKU）'!$C:$C,$A202,'库存（子SKU）'!AM:AM)</f>
        <v>3</v>
      </c>
      <c r="AL202" s="22">
        <f t="shared" si="58"/>
        <v>0</v>
      </c>
      <c r="AM202" s="22">
        <f t="shared" si="59"/>
        <v>0</v>
      </c>
      <c r="AN202" s="22">
        <f t="shared" si="60"/>
        <v>0</v>
      </c>
      <c r="AO202" s="22">
        <f t="shared" si="61"/>
        <v>0</v>
      </c>
      <c r="AP202" s="7">
        <f t="shared" si="62"/>
        <v>0</v>
      </c>
      <c r="AQ202" s="7">
        <f t="shared" si="63"/>
        <v>0</v>
      </c>
      <c r="AR202" s="7">
        <f t="shared" si="64"/>
        <v>2</v>
      </c>
      <c r="AS202" t="str">
        <f t="shared" si="65"/>
        <v>库存为2</v>
      </c>
      <c r="AT202" s="2" t="str">
        <f>IFERROR(时间!$B$4+AS202,"上周无销量")</f>
        <v>上周无销量</v>
      </c>
    </row>
    <row r="203" spans="1:46">
      <c r="A203" t="s">
        <v>2318</v>
      </c>
      <c r="B203" s="5">
        <f>SUMIF('库存（子SKU）'!$C:$C,$A203,'库存（子SKU）'!D:D)</f>
        <v>5</v>
      </c>
      <c r="C203" s="5">
        <f>SUMIF('库存（子SKU）'!$C:$C,$A203,'库存（子SKU）'!E:E)</f>
        <v>7</v>
      </c>
      <c r="D203" s="5">
        <f>SUMIF('库存（子SKU）'!$C:$C,$A203,'库存（子SKU）'!F:F)</f>
        <v>9</v>
      </c>
      <c r="E203" s="5">
        <f>SUMIF('库存（子SKU）'!$C:$C,$A203,'库存（子SKU）'!G:G)</f>
        <v>5</v>
      </c>
      <c r="F203" s="6">
        <v>21.99</v>
      </c>
      <c r="G203">
        <f>SUMIF('库存（子SKU）'!$C:$C,$A203,'库存（子SKU）'!I:I)</f>
        <v>10</v>
      </c>
      <c r="H203">
        <f>SUMIF('库存（子SKU）'!$C:$C,$A203,'库存（子SKU）'!J:J)</f>
        <v>40</v>
      </c>
      <c r="I203">
        <f>SUMIF('库存（子SKU）'!$C:$C,$A203,'库存（子SKU）'!K:K)</f>
        <v>9</v>
      </c>
      <c r="J203">
        <f>SUMIF('库存（子SKU）'!$C:$C,$A203,'库存（子SKU）'!L:L)</f>
        <v>6</v>
      </c>
      <c r="K203">
        <f t="shared" si="53"/>
        <v>65</v>
      </c>
      <c r="L203">
        <f>SUMIF('库存（子SKU）'!$C:$C,$A203,'库存（子SKU）'!N:N)</f>
        <v>1</v>
      </c>
      <c r="M203">
        <f>SUMIF('库存（子SKU）'!$C:$C,$A203,'库存（子SKU）'!O:O)</f>
        <v>0</v>
      </c>
      <c r="N203">
        <f>SUMIF('库存（子SKU）'!$C:$C,$A203,'库存（子SKU）'!P:P)</f>
        <v>7139</v>
      </c>
      <c r="O203">
        <f>SUMIF('库存（子SKU）'!$C:$C,$A203,'库存（子SKU）'!Q:Q)</f>
        <v>0</v>
      </c>
      <c r="P203">
        <f>SUMIF('库存（子SKU）'!$C:$C,$A203,'库存（子SKU）'!R:R)</f>
        <v>1142</v>
      </c>
      <c r="Q203">
        <f>SUMIF('库存（子SKU）'!$C:$C,$A203,'库存（子SKU）'!S:S)</f>
        <v>19915</v>
      </c>
      <c r="R203">
        <f>SUMIF('库存（子SKU）'!$C:$C,$A203,'库存（子SKU）'!T:T)</f>
        <v>48</v>
      </c>
      <c r="S203">
        <f>SUMIF('库存（子SKU）'!$C:$C,$A203,'库存（子SKU）'!U:U)</f>
        <v>0</v>
      </c>
      <c r="T203">
        <f>SUMIF('库存（子SKU）'!$C:$C,$A203,'库存（子SKU）'!V:V)</f>
        <v>9</v>
      </c>
      <c r="U203">
        <f>SUMIF('库存（子SKU）'!$C:$C,$A203,'库存（子SKU）'!W:W)</f>
        <v>142</v>
      </c>
      <c r="V203" s="22">
        <f t="shared" si="66"/>
        <v>0.00672363076061073</v>
      </c>
      <c r="W203" s="22" t="str">
        <f t="shared" si="67"/>
        <v/>
      </c>
      <c r="X203" s="22">
        <f t="shared" si="68"/>
        <v>0.00788091068301226</v>
      </c>
      <c r="Y203" s="22">
        <f t="shared" si="69"/>
        <v>0.00713030379111223</v>
      </c>
      <c r="Z203">
        <f>SUMIF('库存（子SKU）'!$C:$C,$A203,'库存（子SKU）'!AB:AB)</f>
        <v>14.27</v>
      </c>
      <c r="AA203">
        <f>SUMIF('库存（子SKU）'!$C:$C,$A203,'库存（子SKU）'!AC:AC)</f>
        <v>0</v>
      </c>
      <c r="AB203">
        <f>SUMIF('库存（子SKU）'!$C:$C,$A203,'库存（子SKU）'!AD:AD)</f>
        <v>3.51</v>
      </c>
      <c r="AC203">
        <f>SUMIF('库存（子SKU）'!$C:$C,$A203,'库存（子SKU）'!AE:AE)</f>
        <v>58.32</v>
      </c>
      <c r="AD203" s="22">
        <f t="shared" si="54"/>
        <v>0.129786266484766</v>
      </c>
      <c r="AE203" s="22">
        <f t="shared" si="55"/>
        <v>0</v>
      </c>
      <c r="AF203" s="22">
        <f t="shared" si="56"/>
        <v>0.0177353342428377</v>
      </c>
      <c r="AG203" s="22">
        <f t="shared" si="57"/>
        <v>0.530422919508868</v>
      </c>
      <c r="AH203">
        <f>SUMIF('库存（子SKU）'!$C:$C,$A203,'库存（子SKU）'!AJ:AJ)</f>
        <v>249</v>
      </c>
      <c r="AI203">
        <f>SUMIF('库存（子SKU）'!$C:$C,$A203,'库存（子SKU）'!AK:AK)</f>
        <v>185</v>
      </c>
      <c r="AJ203">
        <f>SUMIF('库存（子SKU）'!$C:$C,$A203,'库存（子SKU）'!AL:AL)</f>
        <v>145</v>
      </c>
      <c r="AK203">
        <f>SUMIF('库存（子SKU）'!$C:$C,$A203,'库存（子SKU）'!AM:AM)</f>
        <v>213</v>
      </c>
      <c r="AL203" s="22">
        <f t="shared" si="58"/>
        <v>0.0200803212851406</v>
      </c>
      <c r="AM203" s="22">
        <f t="shared" si="59"/>
        <v>0.0378378378378378</v>
      </c>
      <c r="AN203" s="22">
        <f t="shared" si="60"/>
        <v>0.0620689655172414</v>
      </c>
      <c r="AO203" s="22">
        <f t="shared" si="61"/>
        <v>0.0234741784037559</v>
      </c>
      <c r="AP203" s="7">
        <f t="shared" si="62"/>
        <v>0.714285714285714</v>
      </c>
      <c r="AQ203" s="7">
        <f t="shared" si="63"/>
        <v>42.8571428571429</v>
      </c>
      <c r="AR203" s="7">
        <f t="shared" si="64"/>
        <v>22.1428571428571</v>
      </c>
      <c r="AS203">
        <f t="shared" si="65"/>
        <v>91</v>
      </c>
      <c r="AT203" s="2">
        <f>IFERROR(时间!$B$4+AS203,"上周无销量")</f>
        <v>43423</v>
      </c>
    </row>
    <row r="204" spans="1:46">
      <c r="A204" t="s">
        <v>2332</v>
      </c>
      <c r="B204" s="5">
        <f>SUMIF('库存（子SKU）'!$C:$C,$A204,'库存（子SKU）'!D:D)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6" t="s">
        <v>53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2" t="str">
        <f t="shared" si="66"/>
        <v/>
      </c>
      <c r="W204" s="22" t="str">
        <f t="shared" si="67"/>
        <v/>
      </c>
      <c r="X204" s="22" t="str">
        <f t="shared" si="68"/>
        <v/>
      </c>
      <c r="Y204" s="22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2" t="str">
        <f t="shared" si="54"/>
        <v/>
      </c>
      <c r="AE204" s="22" t="str">
        <f t="shared" si="55"/>
        <v/>
      </c>
      <c r="AF204" s="22" t="str">
        <f t="shared" si="56"/>
        <v/>
      </c>
      <c r="AG204" s="22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2" t="str">
        <f t="shared" si="58"/>
        <v/>
      </c>
      <c r="AM204" s="22" t="str">
        <f t="shared" si="59"/>
        <v/>
      </c>
      <c r="AN204" s="22" t="str">
        <f t="shared" si="60"/>
        <v/>
      </c>
      <c r="AO204" s="22" t="str">
        <f t="shared" si="61"/>
        <v/>
      </c>
      <c r="AP204" s="7">
        <f t="shared" si="62"/>
        <v>0</v>
      </c>
      <c r="AQ204" s="7">
        <f t="shared" si="63"/>
        <v>0</v>
      </c>
      <c r="AR204" s="7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2335</v>
      </c>
      <c r="B205" s="5">
        <f>SUMIF('库存（子SKU）'!$C:$C,$A205,'库存（子SKU）'!D:D)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6" t="s">
        <v>53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2" t="str">
        <f t="shared" si="66"/>
        <v/>
      </c>
      <c r="W205" s="22" t="str">
        <f t="shared" si="67"/>
        <v/>
      </c>
      <c r="X205" s="22" t="str">
        <f t="shared" si="68"/>
        <v/>
      </c>
      <c r="Y205" s="22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2" t="str">
        <f t="shared" si="54"/>
        <v/>
      </c>
      <c r="AE205" s="22" t="str">
        <f t="shared" si="55"/>
        <v/>
      </c>
      <c r="AF205" s="22" t="str">
        <f t="shared" si="56"/>
        <v/>
      </c>
      <c r="AG205" s="22" t="str">
        <f t="shared" si="57"/>
        <v/>
      </c>
      <c r="AH205">
        <f>SUMIF('库存（子SKU）'!$C:$C,$A205,'库存（子SKU）'!AJ:AJ)</f>
        <v>2</v>
      </c>
      <c r="AI205">
        <f>SUMIF('库存（子SKU）'!$C:$C,$A205,'库存（子SKU）'!AK:AK)</f>
        <v>7</v>
      </c>
      <c r="AJ205">
        <f>SUMIF('库存（子SKU）'!$C:$C,$A205,'库存（子SKU）'!AL:AL)</f>
        <v>7</v>
      </c>
      <c r="AK205">
        <f>SUMIF('库存（子SKU）'!$C:$C,$A205,'库存（子SKU）'!AM:AM)</f>
        <v>2</v>
      </c>
      <c r="AL205" s="22">
        <f t="shared" si="58"/>
        <v>0</v>
      </c>
      <c r="AM205" s="22">
        <f t="shared" si="59"/>
        <v>0</v>
      </c>
      <c r="AN205" s="22">
        <f t="shared" si="60"/>
        <v>0</v>
      </c>
      <c r="AO205" s="22">
        <f t="shared" si="61"/>
        <v>0</v>
      </c>
      <c r="AP205" s="7">
        <f t="shared" si="62"/>
        <v>0</v>
      </c>
      <c r="AQ205" s="7">
        <f t="shared" si="63"/>
        <v>0</v>
      </c>
      <c r="AR205" s="7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2338</v>
      </c>
      <c r="B206" s="5">
        <f>SUMIF('库存（子SKU）'!$C:$C,$A206,'库存（子SKU）'!D:D)</f>
        <v>5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6">
        <v>0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2" t="str">
        <f t="shared" si="66"/>
        <v/>
      </c>
      <c r="W206" s="22" t="str">
        <f t="shared" si="67"/>
        <v/>
      </c>
      <c r="X206" s="22" t="str">
        <f t="shared" si="68"/>
        <v/>
      </c>
      <c r="Y206" s="22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2" t="str">
        <f t="shared" si="54"/>
        <v/>
      </c>
      <c r="AE206" s="22" t="str">
        <f t="shared" si="55"/>
        <v/>
      </c>
      <c r="AF206" s="22" t="str">
        <f t="shared" si="56"/>
        <v/>
      </c>
      <c r="AG206" s="22" t="str">
        <f t="shared" si="57"/>
        <v/>
      </c>
      <c r="AH206">
        <f>SUMIF('库存（子SKU）'!$C:$C,$A206,'库存（子SKU）'!AJ:AJ)</f>
        <v>1</v>
      </c>
      <c r="AI206">
        <f>SUMIF('库存（子SKU）'!$C:$C,$A206,'库存（子SKU）'!AK:AK)</f>
        <v>4</v>
      </c>
      <c r="AJ206">
        <f>SUMIF('库存（子SKU）'!$C:$C,$A206,'库存（子SKU）'!AL:AL)</f>
        <v>1</v>
      </c>
      <c r="AK206">
        <f>SUMIF('库存（子SKU）'!$C:$C,$A206,'库存（子SKU）'!AM:AM)</f>
        <v>2</v>
      </c>
      <c r="AL206" s="22">
        <f t="shared" si="58"/>
        <v>5</v>
      </c>
      <c r="AM206" s="22">
        <f t="shared" si="59"/>
        <v>0</v>
      </c>
      <c r="AN206" s="22">
        <f t="shared" si="60"/>
        <v>0</v>
      </c>
      <c r="AO206" s="22">
        <f t="shared" si="61"/>
        <v>0</v>
      </c>
      <c r="AP206" s="7">
        <f t="shared" si="62"/>
        <v>0.714285714285714</v>
      </c>
      <c r="AQ206" s="7">
        <f t="shared" si="63"/>
        <v>42.8571428571429</v>
      </c>
      <c r="AR206" s="7">
        <f t="shared" si="64"/>
        <v>-42.8571428571429</v>
      </c>
      <c r="AS206">
        <f t="shared" si="65"/>
        <v>0</v>
      </c>
      <c r="AT206" s="2">
        <f>IFERROR(时间!$B$4+AS206,"上周无销量")</f>
        <v>43332</v>
      </c>
    </row>
    <row r="207" spans="1:46">
      <c r="A207" t="s">
        <v>2341</v>
      </c>
      <c r="B207" s="5">
        <f>SUMIF('库存（子SKU）'!$C:$C,$A207,'库存（子SKU）'!D:D)</f>
        <v>54</v>
      </c>
      <c r="C207" s="5">
        <f>SUMIF('库存（子SKU）'!$C:$C,$A207,'库存（子SKU）'!E:E)</f>
        <v>48</v>
      </c>
      <c r="D207" s="5">
        <f>SUMIF('库存（子SKU）'!$C:$C,$A207,'库存（子SKU）'!F:F)</f>
        <v>17</v>
      </c>
      <c r="E207" s="5">
        <f>SUMIF('库存（子SKU）'!$C:$C,$A207,'库存（子SKU）'!G:G)</f>
        <v>14</v>
      </c>
      <c r="F207" s="6">
        <v>44.9899999999999</v>
      </c>
      <c r="G207">
        <f>SUMIF('库存（子SKU）'!$C:$C,$A207,'库存（子SKU）'!I:I)</f>
        <v>158</v>
      </c>
      <c r="H207">
        <f>SUMIF('库存（子SKU）'!$C:$C,$A207,'库存（子SKU）'!J:J)</f>
        <v>30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188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59929</v>
      </c>
      <c r="O207">
        <f>SUMIF('库存（子SKU）'!$C:$C,$A207,'库存（子SKU）'!Q:Q)</f>
        <v>51964</v>
      </c>
      <c r="P207">
        <f>SUMIF('库存（子SKU）'!$C:$C,$A207,'库存（子SKU）'!R:R)</f>
        <v>58714</v>
      </c>
      <c r="Q207">
        <f>SUMIF('库存（子SKU）'!$C:$C,$A207,'库存（子SKU）'!S:S)</f>
        <v>86451</v>
      </c>
      <c r="R207">
        <f>SUMIF('库存（子SKU）'!$C:$C,$A207,'库存（子SKU）'!T:T)</f>
        <v>279</v>
      </c>
      <c r="S207">
        <f>SUMIF('库存（子SKU）'!$C:$C,$A207,'库存（子SKU）'!U:U)</f>
        <v>352</v>
      </c>
      <c r="T207">
        <f>SUMIF('库存（子SKU）'!$C:$C,$A207,'库存（子SKU）'!V:V)</f>
        <v>246</v>
      </c>
      <c r="U207">
        <f>SUMIF('库存（子SKU）'!$C:$C,$A207,'库存（子SKU）'!W:W)</f>
        <v>337</v>
      </c>
      <c r="V207" s="22">
        <f t="shared" si="66"/>
        <v>0.00465550901900582</v>
      </c>
      <c r="W207" s="22">
        <f t="shared" si="67"/>
        <v>0.00677392040643522</v>
      </c>
      <c r="X207" s="22">
        <f t="shared" si="68"/>
        <v>0.00418980141022584</v>
      </c>
      <c r="Y207" s="22">
        <f t="shared" si="69"/>
        <v>0.00389816196458109</v>
      </c>
      <c r="Z207">
        <f>SUMIF('库存（子SKU）'!$C:$C,$A207,'库存（子SKU）'!AB:AB)</f>
        <v>125.68</v>
      </c>
      <c r="AA207">
        <f>SUMIF('库存（子SKU）'!$C:$C,$A207,'库存（子SKU）'!AC:AC)</f>
        <v>146.33</v>
      </c>
      <c r="AB207">
        <f>SUMIF('库存（子SKU）'!$C:$C,$A207,'库存（子SKU）'!AD:AD)</f>
        <v>104.28</v>
      </c>
      <c r="AC207">
        <f>SUMIF('库存（子SKU）'!$C:$C,$A207,'库存（子SKU）'!AE:AE)</f>
        <v>176.19</v>
      </c>
      <c r="AD207" s="22">
        <f t="shared" si="54"/>
        <v>0.0517316605336166</v>
      </c>
      <c r="AE207" s="22">
        <f t="shared" si="55"/>
        <v>0.0677604282433135</v>
      </c>
      <c r="AF207" s="22">
        <f t="shared" si="56"/>
        <v>0.136344024162232</v>
      </c>
      <c r="AG207" s="22">
        <f t="shared" si="57"/>
        <v>0.279728828628585</v>
      </c>
      <c r="AH207">
        <f>SUMIF('库存（子SKU）'!$C:$C,$A207,'库存（子SKU）'!AJ:AJ)</f>
        <v>797</v>
      </c>
      <c r="AI207">
        <f>SUMIF('库存（子SKU）'!$C:$C,$A207,'库存（子SKU）'!AK:AK)</f>
        <v>720</v>
      </c>
      <c r="AJ207">
        <f>SUMIF('库存（子SKU）'!$C:$C,$A207,'库存（子SKU）'!AL:AL)</f>
        <v>440</v>
      </c>
      <c r="AK207">
        <f>SUMIF('库存（子SKU）'!$C:$C,$A207,'库存（子SKU）'!AM:AM)</f>
        <v>435</v>
      </c>
      <c r="AL207" s="22">
        <f t="shared" si="58"/>
        <v>0.0677540777917189</v>
      </c>
      <c r="AM207" s="22">
        <f t="shared" si="59"/>
        <v>0.0666666666666667</v>
      </c>
      <c r="AN207" s="22">
        <f t="shared" si="60"/>
        <v>0.0386363636363636</v>
      </c>
      <c r="AO207" s="22">
        <f t="shared" si="61"/>
        <v>0.032183908045977</v>
      </c>
      <c r="AP207" s="7">
        <f t="shared" si="62"/>
        <v>7.71428571428571</v>
      </c>
      <c r="AQ207" s="7">
        <f t="shared" si="63"/>
        <v>462.857142857143</v>
      </c>
      <c r="AR207" s="7">
        <f t="shared" si="64"/>
        <v>-274.857142857143</v>
      </c>
      <c r="AS207">
        <f t="shared" si="65"/>
        <v>24</v>
      </c>
      <c r="AT207" s="2">
        <f>IFERROR(时间!$B$4+AS207,"上周无销量")</f>
        <v>43356</v>
      </c>
    </row>
    <row r="208" spans="1:46">
      <c r="A208" t="s">
        <v>2343</v>
      </c>
      <c r="B208" s="5">
        <f>SUMIF('库存（子SKU）'!$C:$C,$A208,'库存（子SKU）'!D:D)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6" t="s">
        <v>53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2" t="str">
        <f t="shared" si="66"/>
        <v/>
      </c>
      <c r="W208" s="22" t="str">
        <f t="shared" si="67"/>
        <v/>
      </c>
      <c r="X208" s="22" t="str">
        <f t="shared" si="68"/>
        <v/>
      </c>
      <c r="Y208" s="22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2" t="str">
        <f t="shared" si="54"/>
        <v/>
      </c>
      <c r="AE208" s="22" t="str">
        <f t="shared" si="55"/>
        <v/>
      </c>
      <c r="AF208" s="22" t="str">
        <f t="shared" si="56"/>
        <v/>
      </c>
      <c r="AG208" s="22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22" t="str">
        <f t="shared" si="58"/>
        <v/>
      </c>
      <c r="AM208" s="22" t="str">
        <f t="shared" si="59"/>
        <v/>
      </c>
      <c r="AN208" s="22" t="str">
        <f t="shared" si="60"/>
        <v/>
      </c>
      <c r="AO208" s="22" t="str">
        <f t="shared" si="61"/>
        <v/>
      </c>
      <c r="AP208" s="7">
        <f t="shared" si="62"/>
        <v>0</v>
      </c>
      <c r="AQ208" s="7">
        <f t="shared" si="63"/>
        <v>0</v>
      </c>
      <c r="AR208" s="7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2345</v>
      </c>
      <c r="B209" s="5">
        <f>SUMIF('库存（子SKU）'!$C:$C,$A209,'库存（子SKU）'!D:D)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6" t="s">
        <v>53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2" t="str">
        <f t="shared" si="66"/>
        <v/>
      </c>
      <c r="W209" s="22" t="str">
        <f t="shared" si="67"/>
        <v/>
      </c>
      <c r="X209" s="22" t="str">
        <f t="shared" si="68"/>
        <v/>
      </c>
      <c r="Y209" s="22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2" t="str">
        <f t="shared" si="54"/>
        <v/>
      </c>
      <c r="AE209" s="22" t="str">
        <f t="shared" si="55"/>
        <v/>
      </c>
      <c r="AF209" s="22" t="str">
        <f t="shared" si="56"/>
        <v/>
      </c>
      <c r="AG209" s="22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0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22" t="str">
        <f t="shared" si="58"/>
        <v/>
      </c>
      <c r="AM209" s="22" t="str">
        <f t="shared" si="59"/>
        <v/>
      </c>
      <c r="AN209" s="22" t="str">
        <f t="shared" si="60"/>
        <v/>
      </c>
      <c r="AO209" s="22" t="str">
        <f t="shared" si="61"/>
        <v/>
      </c>
      <c r="AP209" s="7">
        <f t="shared" si="62"/>
        <v>0</v>
      </c>
      <c r="AQ209" s="7">
        <f t="shared" si="63"/>
        <v>0</v>
      </c>
      <c r="AR209" s="7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2351</v>
      </c>
      <c r="B210" s="5">
        <f>SUMIF('库存（子SKU）'!$C:$C,$A210,'库存（子SKU）'!D:D)</f>
        <v>3</v>
      </c>
      <c r="C210" s="5">
        <f>SUMIF('库存（子SKU）'!$C:$C,$A210,'库存（子SKU）'!E:E)</f>
        <v>1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6">
        <v>8.495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2" t="str">
        <f t="shared" si="66"/>
        <v/>
      </c>
      <c r="W210" s="22" t="str">
        <f t="shared" si="67"/>
        <v/>
      </c>
      <c r="X210" s="22" t="str">
        <f t="shared" si="68"/>
        <v/>
      </c>
      <c r="Y210" s="22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2">
        <f t="shared" si="54"/>
        <v>0</v>
      </c>
      <c r="AE210" s="22">
        <f t="shared" si="55"/>
        <v>0</v>
      </c>
      <c r="AF210" s="22" t="str">
        <f t="shared" si="56"/>
        <v/>
      </c>
      <c r="AG210" s="22" t="str">
        <f t="shared" si="57"/>
        <v/>
      </c>
      <c r="AH210">
        <f>SUMIF('库存（子SKU）'!$C:$C,$A210,'库存（子SKU）'!AJ:AJ)</f>
        <v>3</v>
      </c>
      <c r="AI210">
        <f>SUMIF('库存（子SKU）'!$C:$C,$A210,'库存（子SKU）'!AK:AK)</f>
        <v>47</v>
      </c>
      <c r="AJ210">
        <f>SUMIF('库存（子SKU）'!$C:$C,$A210,'库存（子SKU）'!AL:AL)</f>
        <v>31</v>
      </c>
      <c r="AK210">
        <f>SUMIF('库存（子SKU）'!$C:$C,$A210,'库存（子SKU）'!AM:AM)</f>
        <v>9</v>
      </c>
      <c r="AL210" s="22">
        <f t="shared" si="58"/>
        <v>1</v>
      </c>
      <c r="AM210" s="22">
        <f t="shared" si="59"/>
        <v>0.0212765957446809</v>
      </c>
      <c r="AN210" s="22">
        <f t="shared" si="60"/>
        <v>0</v>
      </c>
      <c r="AO210" s="22">
        <f t="shared" si="61"/>
        <v>0</v>
      </c>
      <c r="AP210" s="7">
        <f t="shared" si="62"/>
        <v>0.428571428571429</v>
      </c>
      <c r="AQ210" s="7">
        <f t="shared" si="63"/>
        <v>25.7142857142857</v>
      </c>
      <c r="AR210" s="7">
        <f t="shared" si="64"/>
        <v>-25.7142857142857</v>
      </c>
      <c r="AS210">
        <f t="shared" si="65"/>
        <v>0</v>
      </c>
      <c r="AT210" s="2">
        <f>IFERROR(时间!$B$4+AS210,"上周无销量")</f>
        <v>43332</v>
      </c>
    </row>
    <row r="211" spans="1:46">
      <c r="A211" t="s">
        <v>2366</v>
      </c>
      <c r="B211" s="5">
        <f>SUMIF('库存（子SKU）'!$C:$C,$A211,'库存（子SKU）'!D:D)</f>
        <v>6</v>
      </c>
      <c r="C211" s="5">
        <f>SUMIF('库存（子SKU）'!$C:$C,$A211,'库存（子SKU）'!E:E)</f>
        <v>2</v>
      </c>
      <c r="D211" s="5">
        <f>SUMIF('库存（子SKU）'!$C:$C,$A211,'库存（子SKU）'!F:F)</f>
        <v>4</v>
      </c>
      <c r="E211" s="5">
        <f>SUMIF('库存（子SKU）'!$C:$C,$A211,'库存（子SKU）'!G:G)</f>
        <v>2</v>
      </c>
      <c r="F211" s="6">
        <v>20.0621428571429</v>
      </c>
      <c r="G211">
        <f>SUMIF('库存（子SKU）'!$C:$C,$A211,'库存（子SKU）'!I:I)</f>
        <v>22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22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5200</v>
      </c>
      <c r="O211">
        <f>SUMIF('库存（子SKU）'!$C:$C,$A211,'库存（子SKU）'!Q:Q)</f>
        <v>24538</v>
      </c>
      <c r="P211">
        <f>SUMIF('库存（子SKU）'!$C:$C,$A211,'库存（子SKU）'!R:R)</f>
        <v>14085</v>
      </c>
      <c r="Q211">
        <f>SUMIF('库存（子SKU）'!$C:$C,$A211,'库存（子SKU）'!S:S)</f>
        <v>9809</v>
      </c>
      <c r="R211">
        <f>SUMIF('库存（子SKU）'!$C:$C,$A211,'库存（子SKU）'!T:T)</f>
        <v>27</v>
      </c>
      <c r="S211">
        <f>SUMIF('库存（子SKU）'!$C:$C,$A211,'库存（子SKU）'!U:U)</f>
        <v>74</v>
      </c>
      <c r="T211">
        <f>SUMIF('库存（子SKU）'!$C:$C,$A211,'库存（子SKU）'!V:V)</f>
        <v>57</v>
      </c>
      <c r="U211">
        <f>SUMIF('库存（子SKU）'!$C:$C,$A211,'库存（子SKU）'!W:W)</f>
        <v>46</v>
      </c>
      <c r="V211" s="22">
        <f t="shared" si="66"/>
        <v>0.00519230769230769</v>
      </c>
      <c r="W211" s="22">
        <f t="shared" si="67"/>
        <v>0.00301573070339881</v>
      </c>
      <c r="X211" s="22">
        <f t="shared" si="68"/>
        <v>0.0040468583599574</v>
      </c>
      <c r="Y211" s="22">
        <f t="shared" si="69"/>
        <v>0.0046895708023244</v>
      </c>
      <c r="Z211">
        <f>SUMIF('库存（子SKU）'!$C:$C,$A211,'库存（子SKU）'!AB:AB)</f>
        <v>13.04</v>
      </c>
      <c r="AA211">
        <f>SUMIF('库存（子SKU）'!$C:$C,$A211,'库存（子SKU）'!AC:AC)</f>
        <v>63.08</v>
      </c>
      <c r="AB211">
        <f>SUMIF('库存（子SKU）'!$C:$C,$A211,'库存（子SKU）'!AD:AD)</f>
        <v>38.07</v>
      </c>
      <c r="AC211">
        <f>SUMIF('库存（子SKU）'!$C:$C,$A211,'库存（子SKU）'!AE:AE)</f>
        <v>29.05</v>
      </c>
      <c r="AD211" s="22">
        <f t="shared" si="54"/>
        <v>0.108330069664495</v>
      </c>
      <c r="AE211" s="22">
        <f t="shared" si="55"/>
        <v>1.57211521344394</v>
      </c>
      <c r="AF211" s="22">
        <f t="shared" si="56"/>
        <v>0.474400968419553</v>
      </c>
      <c r="AG211" s="22">
        <f t="shared" si="57"/>
        <v>0.724000427243919</v>
      </c>
      <c r="AH211">
        <f>SUMIF('库存（子SKU）'!$C:$C,$A211,'库存（子SKU）'!AJ:AJ)</f>
        <v>100</v>
      </c>
      <c r="AI211">
        <f>SUMIF('库存（子SKU）'!$C:$C,$A211,'库存（子SKU）'!AK:AK)</f>
        <v>121</v>
      </c>
      <c r="AJ211">
        <f>SUMIF('库存（子SKU）'!$C:$C,$A211,'库存（子SKU）'!AL:AL)</f>
        <v>83</v>
      </c>
      <c r="AK211">
        <f>SUMIF('库存（子SKU）'!$C:$C,$A211,'库存（子SKU）'!AM:AM)</f>
        <v>111</v>
      </c>
      <c r="AL211" s="22">
        <f t="shared" si="58"/>
        <v>0.06</v>
      </c>
      <c r="AM211" s="22">
        <f t="shared" si="59"/>
        <v>0.0165289256198347</v>
      </c>
      <c r="AN211" s="22">
        <f t="shared" si="60"/>
        <v>0.0481927710843374</v>
      </c>
      <c r="AO211" s="22">
        <f t="shared" si="61"/>
        <v>0.018018018018018</v>
      </c>
      <c r="AP211" s="7">
        <f t="shared" si="62"/>
        <v>0.857142857142857</v>
      </c>
      <c r="AQ211" s="7">
        <f t="shared" si="63"/>
        <v>51.4285714285714</v>
      </c>
      <c r="AR211" s="7">
        <f t="shared" si="64"/>
        <v>-29.4285714285714</v>
      </c>
      <c r="AS211">
        <f t="shared" si="65"/>
        <v>25</v>
      </c>
      <c r="AT211" s="2">
        <f>IFERROR(时间!$B$4+AS211,"上周无销量")</f>
        <v>43357</v>
      </c>
    </row>
    <row r="212" spans="1:46">
      <c r="A212" t="s">
        <v>2372</v>
      </c>
      <c r="B212" s="5">
        <f>SUMIF('库存（子SKU）'!$C:$C,$A212,'库存（子SKU）'!D:D)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6" t="s">
        <v>53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39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2" t="str">
        <f t="shared" si="66"/>
        <v/>
      </c>
      <c r="W212" s="22" t="str">
        <f t="shared" si="67"/>
        <v/>
      </c>
      <c r="X212" s="22" t="str">
        <f t="shared" si="68"/>
        <v/>
      </c>
      <c r="Y212" s="22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2" t="str">
        <f t="shared" si="54"/>
        <v/>
      </c>
      <c r="AE212" s="22" t="str">
        <f t="shared" si="55"/>
        <v/>
      </c>
      <c r="AF212" s="22" t="str">
        <f t="shared" si="56"/>
        <v/>
      </c>
      <c r="AG212" s="22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22" t="str">
        <f t="shared" si="58"/>
        <v/>
      </c>
      <c r="AM212" s="22" t="str">
        <f t="shared" si="59"/>
        <v/>
      </c>
      <c r="AN212" s="22" t="str">
        <f t="shared" si="60"/>
        <v/>
      </c>
      <c r="AO212" s="22" t="str">
        <f t="shared" si="61"/>
        <v/>
      </c>
      <c r="AP212" s="7">
        <f t="shared" si="62"/>
        <v>0</v>
      </c>
      <c r="AQ212" s="7">
        <f t="shared" si="63"/>
        <v>0</v>
      </c>
      <c r="AR212" s="7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2404</v>
      </c>
      <c r="B213" s="5">
        <f>SUMIF('库存（子SKU）'!$C:$C,$A213,'库存（子SKU）'!D:D)</f>
        <v>2</v>
      </c>
      <c r="C213" s="5">
        <f>SUMIF('库存（子SKU）'!$C:$C,$A213,'库存（子SKU）'!E:E)</f>
        <v>4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6">
        <v>13.99</v>
      </c>
      <c r="G213">
        <f>SUMIF('库存（子SKU）'!$C:$C,$A213,'库存（子SKU）'!I:I)</f>
        <v>44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1</v>
      </c>
      <c r="K213">
        <f t="shared" si="53"/>
        <v>45</v>
      </c>
      <c r="L213">
        <f>SUMIF('库存（子SKU）'!$C:$C,$A213,'库存（子SKU）'!N:N)</f>
        <v>0</v>
      </c>
      <c r="M213">
        <f>SUMIF('库存（子SKU）'!$C:$C,$A213,'库存（子SKU）'!O:O)</f>
        <v>20</v>
      </c>
      <c r="N213">
        <f>SUMIF('库存（子SKU）'!$C:$C,$A213,'库存（子SKU）'!P:P)</f>
        <v>3624</v>
      </c>
      <c r="O213">
        <f>SUMIF('库存（子SKU）'!$C:$C,$A213,'库存（子SKU）'!Q:Q)</f>
        <v>4758</v>
      </c>
      <c r="P213">
        <f>SUMIF('库存（子SKU）'!$C:$C,$A213,'库存（子SKU）'!R:R)</f>
        <v>1135</v>
      </c>
      <c r="Q213">
        <f>SUMIF('库存（子SKU）'!$C:$C,$A213,'库存（子SKU）'!S:S)</f>
        <v>3741</v>
      </c>
      <c r="R213">
        <f>SUMIF('库存（子SKU）'!$C:$C,$A213,'库存（子SKU）'!T:T)</f>
        <v>20</v>
      </c>
      <c r="S213">
        <f>SUMIF('库存（子SKU）'!$C:$C,$A213,'库存（子SKU）'!U:U)</f>
        <v>8</v>
      </c>
      <c r="T213">
        <f>SUMIF('库存（子SKU）'!$C:$C,$A213,'库存（子SKU）'!V:V)</f>
        <v>4</v>
      </c>
      <c r="U213">
        <f>SUMIF('库存（子SKU）'!$C:$C,$A213,'库存（子SKU）'!W:W)</f>
        <v>19</v>
      </c>
      <c r="V213" s="22">
        <f t="shared" si="66"/>
        <v>0.00551876379690949</v>
      </c>
      <c r="W213" s="22">
        <f t="shared" si="67"/>
        <v>0.00168137873055906</v>
      </c>
      <c r="X213" s="22">
        <f t="shared" si="68"/>
        <v>0.00352422907488987</v>
      </c>
      <c r="Y213" s="22">
        <f t="shared" si="69"/>
        <v>0.00507885592087677</v>
      </c>
      <c r="Z213">
        <f>SUMIF('库存（子SKU）'!$C:$C,$A213,'库存（子SKU）'!AB:AB)</f>
        <v>3.82</v>
      </c>
      <c r="AA213">
        <f>SUMIF('库存（子SKU）'!$C:$C,$A213,'库存（子SKU）'!AC:AC)</f>
        <v>1.85</v>
      </c>
      <c r="AB213">
        <f>SUMIF('库存（子SKU）'!$C:$C,$A213,'库存（子SKU）'!AD:AD)</f>
        <v>0.51</v>
      </c>
      <c r="AC213">
        <f>SUMIF('库存（子SKU）'!$C:$C,$A213,'库存（子SKU）'!AE:AE)</f>
        <v>5.65</v>
      </c>
      <c r="AD213" s="22">
        <f t="shared" si="54"/>
        <v>0.136526090064332</v>
      </c>
      <c r="AE213" s="22">
        <f t="shared" si="55"/>
        <v>0.0330593280914939</v>
      </c>
      <c r="AF213" s="22" t="str">
        <f t="shared" si="56"/>
        <v>无销量广告费为0.51</v>
      </c>
      <c r="AG213" s="22" t="str">
        <f t="shared" si="57"/>
        <v>无销量广告费为5.65</v>
      </c>
      <c r="AH213">
        <f>SUMIF('库存（子SKU）'!$C:$C,$A213,'库存（子SKU）'!AJ:AJ)</f>
        <v>223</v>
      </c>
      <c r="AI213">
        <f>SUMIF('库存（子SKU）'!$C:$C,$A213,'库存（子SKU）'!AK:AK)</f>
        <v>131</v>
      </c>
      <c r="AJ213">
        <f>SUMIF('库存（子SKU）'!$C:$C,$A213,'库存（子SKU）'!AL:AL)</f>
        <v>31</v>
      </c>
      <c r="AK213">
        <f>SUMIF('库存（子SKU）'!$C:$C,$A213,'库存（子SKU）'!AM:AM)</f>
        <v>47</v>
      </c>
      <c r="AL213" s="22">
        <f t="shared" si="58"/>
        <v>0.00896860986547085</v>
      </c>
      <c r="AM213" s="22">
        <f t="shared" si="59"/>
        <v>0.0305343511450382</v>
      </c>
      <c r="AN213" s="22">
        <f t="shared" si="60"/>
        <v>0</v>
      </c>
      <c r="AO213" s="22">
        <f t="shared" si="61"/>
        <v>0</v>
      </c>
      <c r="AP213" s="7">
        <f t="shared" si="62"/>
        <v>0.285714285714286</v>
      </c>
      <c r="AQ213" s="7">
        <f t="shared" si="63"/>
        <v>17.1428571428571</v>
      </c>
      <c r="AR213" s="7">
        <f t="shared" si="64"/>
        <v>27.8571428571429</v>
      </c>
      <c r="AS213">
        <f t="shared" si="65"/>
        <v>157</v>
      </c>
      <c r="AT213" s="2">
        <f>IFERROR(时间!$B$4+AS213,"上周无销量")</f>
        <v>43489</v>
      </c>
    </row>
    <row r="214" spans="1:46">
      <c r="A214" t="s">
        <v>2430</v>
      </c>
      <c r="B214" s="5">
        <f>SUMIF('库存（子SKU）'!$C:$C,$A214,'库存（子SKU）'!D:D)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6" t="s">
        <v>53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9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2" t="str">
        <f t="shared" si="66"/>
        <v/>
      </c>
      <c r="W214" s="22" t="str">
        <f t="shared" si="67"/>
        <v/>
      </c>
      <c r="X214" s="22" t="str">
        <f t="shared" si="68"/>
        <v/>
      </c>
      <c r="Y214" s="22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2" t="str">
        <f t="shared" si="54"/>
        <v/>
      </c>
      <c r="AE214" s="22" t="str">
        <f t="shared" si="55"/>
        <v/>
      </c>
      <c r="AF214" s="22" t="str">
        <f t="shared" si="56"/>
        <v/>
      </c>
      <c r="AG214" s="22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22" t="str">
        <f t="shared" si="58"/>
        <v/>
      </c>
      <c r="AM214" s="22" t="str">
        <f t="shared" si="59"/>
        <v/>
      </c>
      <c r="AN214" s="22" t="str">
        <f t="shared" si="60"/>
        <v/>
      </c>
      <c r="AO214" s="22" t="str">
        <f t="shared" si="61"/>
        <v/>
      </c>
      <c r="AP214" s="7">
        <f t="shared" si="62"/>
        <v>0</v>
      </c>
      <c r="AQ214" s="7">
        <f t="shared" si="63"/>
        <v>0</v>
      </c>
      <c r="AR214" s="7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237" operator="lessThan">
      <formula>20</formula>
    </cfRule>
    <cfRule type="cellIs" dxfId="1" priority="6236" operator="greaterThan">
      <formula>120</formula>
    </cfRule>
    <cfRule type="containsText" dxfId="3" priority="6235" operator="between" text="库存">
      <formula>NOT(ISERROR(SEARCH("库存",AS2)))</formula>
    </cfRule>
  </conditionalFormatting>
  <conditionalFormatting sqref="AS6">
    <cfRule type="cellIs" dxfId="0" priority="627" operator="lessThan">
      <formula>20</formula>
    </cfRule>
    <cfRule type="cellIs" dxfId="1" priority="418" operator="greaterThan">
      <formula>120</formula>
    </cfRule>
    <cfRule type="containsText" dxfId="3" priority="209" operator="between" text="库存">
      <formula>NOT(ISERROR(SEARCH("库存",AS6)))</formula>
    </cfRule>
  </conditionalFormatting>
  <conditionalFormatting sqref="AS7">
    <cfRule type="cellIs" dxfId="0" priority="626" operator="lessThan">
      <formula>20</formula>
    </cfRule>
    <cfRule type="cellIs" dxfId="1" priority="417" operator="greaterThan">
      <formula>120</formula>
    </cfRule>
    <cfRule type="containsText" dxfId="3" priority="208" operator="between" text="库存">
      <formula>NOT(ISERROR(SEARCH("库存",AS7)))</formula>
    </cfRule>
  </conditionalFormatting>
  <conditionalFormatting sqref="AS8">
    <cfRule type="cellIs" dxfId="0" priority="625" operator="lessThan">
      <formula>20</formula>
    </cfRule>
    <cfRule type="cellIs" dxfId="1" priority="416" operator="greaterThan">
      <formula>120</formula>
    </cfRule>
    <cfRule type="containsText" dxfId="3" priority="207" operator="between" text="库存">
      <formula>NOT(ISERROR(SEARCH("库存",AS8)))</formula>
    </cfRule>
  </conditionalFormatting>
  <conditionalFormatting sqref="AS9">
    <cfRule type="cellIs" dxfId="0" priority="624" operator="lessThan">
      <formula>20</formula>
    </cfRule>
    <cfRule type="cellIs" dxfId="1" priority="415" operator="greaterThan">
      <formula>120</formula>
    </cfRule>
    <cfRule type="containsText" dxfId="3" priority="206" operator="between" text="库存">
      <formula>NOT(ISERROR(SEARCH("库存",AS9)))</formula>
    </cfRule>
  </conditionalFormatting>
  <conditionalFormatting sqref="AS10">
    <cfRule type="cellIs" dxfId="0" priority="623" operator="lessThan">
      <formula>20</formula>
    </cfRule>
    <cfRule type="cellIs" dxfId="1" priority="414" operator="greaterThan">
      <formula>120</formula>
    </cfRule>
    <cfRule type="containsText" dxfId="3" priority="205" operator="between" text="库存">
      <formula>NOT(ISERROR(SEARCH("库存",AS10)))</formula>
    </cfRule>
  </conditionalFormatting>
  <conditionalFormatting sqref="AS11">
    <cfRule type="cellIs" dxfId="0" priority="622" operator="lessThan">
      <formula>20</formula>
    </cfRule>
    <cfRule type="cellIs" dxfId="1" priority="413" operator="greaterThan">
      <formula>120</formula>
    </cfRule>
    <cfRule type="containsText" dxfId="3" priority="204" operator="between" text="库存">
      <formula>NOT(ISERROR(SEARCH("库存",AS11)))</formula>
    </cfRule>
  </conditionalFormatting>
  <conditionalFormatting sqref="AS12">
    <cfRule type="cellIs" dxfId="0" priority="621" operator="lessThan">
      <formula>20</formula>
    </cfRule>
    <cfRule type="cellIs" dxfId="1" priority="412" operator="greaterThan">
      <formula>120</formula>
    </cfRule>
    <cfRule type="containsText" dxfId="3" priority="203" operator="between" text="库存">
      <formula>NOT(ISERROR(SEARCH("库存",AS12)))</formula>
    </cfRule>
  </conditionalFormatting>
  <conditionalFormatting sqref="AS13">
    <cfRule type="cellIs" dxfId="0" priority="620" operator="lessThan">
      <formula>20</formula>
    </cfRule>
    <cfRule type="cellIs" dxfId="1" priority="411" operator="greaterThan">
      <formula>120</formula>
    </cfRule>
    <cfRule type="containsText" dxfId="3" priority="202" operator="between" text="库存">
      <formula>NOT(ISERROR(SEARCH("库存",AS13)))</formula>
    </cfRule>
  </conditionalFormatting>
  <conditionalFormatting sqref="AS14">
    <cfRule type="cellIs" dxfId="0" priority="619" operator="lessThan">
      <formula>20</formula>
    </cfRule>
    <cfRule type="cellIs" dxfId="1" priority="410" operator="greaterThan">
      <formula>120</formula>
    </cfRule>
    <cfRule type="containsText" dxfId="3" priority="201" operator="between" text="库存">
      <formula>NOT(ISERROR(SEARCH("库存",AS14)))</formula>
    </cfRule>
  </conditionalFormatting>
  <conditionalFormatting sqref="AS15">
    <cfRule type="cellIs" dxfId="0" priority="618" operator="lessThan">
      <formula>20</formula>
    </cfRule>
    <cfRule type="cellIs" dxfId="1" priority="409" operator="greaterThan">
      <formula>120</formula>
    </cfRule>
    <cfRule type="containsText" dxfId="3" priority="200" operator="between" text="库存">
      <formula>NOT(ISERROR(SEARCH("库存",AS15)))</formula>
    </cfRule>
  </conditionalFormatting>
  <conditionalFormatting sqref="AS16">
    <cfRule type="cellIs" dxfId="0" priority="617" operator="lessThan">
      <formula>20</formula>
    </cfRule>
    <cfRule type="cellIs" dxfId="1" priority="408" operator="greaterThan">
      <formula>120</formula>
    </cfRule>
    <cfRule type="containsText" dxfId="3" priority="199" operator="between" text="库存">
      <formula>NOT(ISERROR(SEARCH("库存",AS16)))</formula>
    </cfRule>
  </conditionalFormatting>
  <conditionalFormatting sqref="AS17">
    <cfRule type="cellIs" dxfId="0" priority="616" operator="lessThan">
      <formula>20</formula>
    </cfRule>
    <cfRule type="cellIs" dxfId="1" priority="407" operator="greaterThan">
      <formula>120</formula>
    </cfRule>
    <cfRule type="containsText" dxfId="3" priority="198" operator="between" text="库存">
      <formula>NOT(ISERROR(SEARCH("库存",AS17)))</formula>
    </cfRule>
  </conditionalFormatting>
  <conditionalFormatting sqref="AS18">
    <cfRule type="cellIs" dxfId="0" priority="615" operator="lessThan">
      <formula>20</formula>
    </cfRule>
    <cfRule type="cellIs" dxfId="1" priority="406" operator="greaterThan">
      <formula>120</formula>
    </cfRule>
    <cfRule type="containsText" dxfId="3" priority="197" operator="between" text="库存">
      <formula>NOT(ISERROR(SEARCH("库存",AS18)))</formula>
    </cfRule>
  </conditionalFormatting>
  <conditionalFormatting sqref="AS19">
    <cfRule type="cellIs" dxfId="0" priority="614" operator="lessThan">
      <formula>20</formula>
    </cfRule>
    <cfRule type="cellIs" dxfId="1" priority="405" operator="greaterThan">
      <formula>120</formula>
    </cfRule>
    <cfRule type="containsText" dxfId="3" priority="196" operator="between" text="库存">
      <formula>NOT(ISERROR(SEARCH("库存",AS19)))</formula>
    </cfRule>
  </conditionalFormatting>
  <conditionalFormatting sqref="AS20">
    <cfRule type="cellIs" dxfId="0" priority="613" operator="lessThan">
      <formula>20</formula>
    </cfRule>
    <cfRule type="cellIs" dxfId="1" priority="404" operator="greaterThan">
      <formula>120</formula>
    </cfRule>
    <cfRule type="containsText" dxfId="3" priority="195" operator="between" text="库存">
      <formula>NOT(ISERROR(SEARCH("库存",AS20)))</formula>
    </cfRule>
  </conditionalFormatting>
  <conditionalFormatting sqref="AS21">
    <cfRule type="cellIs" dxfId="0" priority="612" operator="lessThan">
      <formula>20</formula>
    </cfRule>
    <cfRule type="cellIs" dxfId="1" priority="403" operator="greaterThan">
      <formula>120</formula>
    </cfRule>
    <cfRule type="containsText" dxfId="3" priority="194" operator="between" text="库存">
      <formula>NOT(ISERROR(SEARCH("库存",AS21)))</formula>
    </cfRule>
  </conditionalFormatting>
  <conditionalFormatting sqref="AS22">
    <cfRule type="cellIs" dxfId="0" priority="611" operator="lessThan">
      <formula>20</formula>
    </cfRule>
    <cfRule type="cellIs" dxfId="1" priority="402" operator="greaterThan">
      <formula>120</formula>
    </cfRule>
    <cfRule type="containsText" dxfId="3" priority="193" operator="between" text="库存">
      <formula>NOT(ISERROR(SEARCH("库存",AS22)))</formula>
    </cfRule>
  </conditionalFormatting>
  <conditionalFormatting sqref="AS23">
    <cfRule type="cellIs" dxfId="0" priority="610" operator="lessThan">
      <formula>20</formula>
    </cfRule>
    <cfRule type="cellIs" dxfId="1" priority="401" operator="greaterThan">
      <formula>120</formula>
    </cfRule>
    <cfRule type="containsText" dxfId="3" priority="192" operator="between" text="库存">
      <formula>NOT(ISERROR(SEARCH("库存",AS23)))</formula>
    </cfRule>
  </conditionalFormatting>
  <conditionalFormatting sqref="AS24">
    <cfRule type="cellIs" dxfId="0" priority="609" operator="lessThan">
      <formula>20</formula>
    </cfRule>
    <cfRule type="cellIs" dxfId="1" priority="400" operator="greaterThan">
      <formula>120</formula>
    </cfRule>
    <cfRule type="containsText" dxfId="3" priority="191" operator="between" text="库存">
      <formula>NOT(ISERROR(SEARCH("库存",AS24)))</formula>
    </cfRule>
  </conditionalFormatting>
  <conditionalFormatting sqref="AS25">
    <cfRule type="cellIs" dxfId="0" priority="608" operator="lessThan">
      <formula>20</formula>
    </cfRule>
    <cfRule type="cellIs" dxfId="1" priority="399" operator="greaterThan">
      <formula>120</formula>
    </cfRule>
    <cfRule type="containsText" dxfId="3" priority="190" operator="between" text="库存">
      <formula>NOT(ISERROR(SEARCH("库存",AS25)))</formula>
    </cfRule>
  </conditionalFormatting>
  <conditionalFormatting sqref="AS26">
    <cfRule type="cellIs" dxfId="0" priority="607" operator="lessThan">
      <formula>20</formula>
    </cfRule>
    <cfRule type="cellIs" dxfId="1" priority="398" operator="greaterThan">
      <formula>120</formula>
    </cfRule>
    <cfRule type="containsText" dxfId="3" priority="189" operator="between" text="库存">
      <formula>NOT(ISERROR(SEARCH("库存",AS26)))</formula>
    </cfRule>
  </conditionalFormatting>
  <conditionalFormatting sqref="AS27">
    <cfRule type="cellIs" dxfId="0" priority="606" operator="lessThan">
      <formula>20</formula>
    </cfRule>
    <cfRule type="cellIs" dxfId="1" priority="397" operator="greaterThan">
      <formula>120</formula>
    </cfRule>
    <cfRule type="containsText" dxfId="3" priority="188" operator="between" text="库存">
      <formula>NOT(ISERROR(SEARCH("库存",AS27)))</formula>
    </cfRule>
  </conditionalFormatting>
  <conditionalFormatting sqref="AS28">
    <cfRule type="cellIs" dxfId="0" priority="605" operator="lessThan">
      <formula>20</formula>
    </cfRule>
    <cfRule type="cellIs" dxfId="1" priority="396" operator="greaterThan">
      <formula>120</formula>
    </cfRule>
    <cfRule type="containsText" dxfId="3" priority="187" operator="between" text="库存">
      <formula>NOT(ISERROR(SEARCH("库存",AS28)))</formula>
    </cfRule>
  </conditionalFormatting>
  <conditionalFormatting sqref="AS29">
    <cfRule type="cellIs" dxfId="0" priority="604" operator="lessThan">
      <formula>20</formula>
    </cfRule>
    <cfRule type="cellIs" dxfId="1" priority="395" operator="greaterThan">
      <formula>120</formula>
    </cfRule>
    <cfRule type="containsText" dxfId="3" priority="186" operator="between" text="库存">
      <formula>NOT(ISERROR(SEARCH("库存",AS29)))</formula>
    </cfRule>
  </conditionalFormatting>
  <conditionalFormatting sqref="AS30">
    <cfRule type="cellIs" dxfId="0" priority="603" operator="lessThan">
      <formula>20</formula>
    </cfRule>
    <cfRule type="cellIs" dxfId="1" priority="394" operator="greaterThan">
      <formula>120</formula>
    </cfRule>
    <cfRule type="containsText" dxfId="3" priority="185" operator="between" text="库存">
      <formula>NOT(ISERROR(SEARCH("库存",AS30)))</formula>
    </cfRule>
  </conditionalFormatting>
  <conditionalFormatting sqref="AS31">
    <cfRule type="cellIs" dxfId="0" priority="602" operator="lessThan">
      <formula>20</formula>
    </cfRule>
    <cfRule type="cellIs" dxfId="1" priority="393" operator="greaterThan">
      <formula>120</formula>
    </cfRule>
    <cfRule type="containsText" dxfId="3" priority="184" operator="between" text="库存">
      <formula>NOT(ISERROR(SEARCH("库存",AS31)))</formula>
    </cfRule>
  </conditionalFormatting>
  <conditionalFormatting sqref="AS32">
    <cfRule type="cellIs" dxfId="0" priority="601" operator="lessThan">
      <formula>20</formula>
    </cfRule>
    <cfRule type="cellIs" dxfId="1" priority="392" operator="greaterThan">
      <formula>120</formula>
    </cfRule>
    <cfRule type="containsText" dxfId="3" priority="183" operator="between" text="库存">
      <formula>NOT(ISERROR(SEARCH("库存",AS32)))</formula>
    </cfRule>
  </conditionalFormatting>
  <conditionalFormatting sqref="AS33">
    <cfRule type="cellIs" dxfId="0" priority="600" operator="lessThan">
      <formula>20</formula>
    </cfRule>
    <cfRule type="cellIs" dxfId="1" priority="391" operator="greaterThan">
      <formula>120</formula>
    </cfRule>
    <cfRule type="containsText" dxfId="3" priority="182" operator="between" text="库存">
      <formula>NOT(ISERROR(SEARCH("库存",AS33)))</formula>
    </cfRule>
  </conditionalFormatting>
  <conditionalFormatting sqref="AS34">
    <cfRule type="cellIs" dxfId="0" priority="599" operator="lessThan">
      <formula>20</formula>
    </cfRule>
    <cfRule type="cellIs" dxfId="1" priority="390" operator="greaterThan">
      <formula>120</formula>
    </cfRule>
    <cfRule type="containsText" dxfId="3" priority="181" operator="between" text="库存">
      <formula>NOT(ISERROR(SEARCH("库存",AS34)))</formula>
    </cfRule>
  </conditionalFormatting>
  <conditionalFormatting sqref="AS35">
    <cfRule type="cellIs" dxfId="0" priority="598" operator="lessThan">
      <formula>20</formula>
    </cfRule>
    <cfRule type="cellIs" dxfId="1" priority="389" operator="greaterThan">
      <formula>120</formula>
    </cfRule>
    <cfRule type="containsText" dxfId="3" priority="180" operator="between" text="库存">
      <formula>NOT(ISERROR(SEARCH("库存",AS35)))</formula>
    </cfRule>
  </conditionalFormatting>
  <conditionalFormatting sqref="AS36">
    <cfRule type="cellIs" dxfId="0" priority="597" operator="lessThan">
      <formula>20</formula>
    </cfRule>
    <cfRule type="cellIs" dxfId="1" priority="388" operator="greaterThan">
      <formula>120</formula>
    </cfRule>
    <cfRule type="containsText" dxfId="3" priority="179" operator="between" text="库存">
      <formula>NOT(ISERROR(SEARCH("库存",AS36)))</formula>
    </cfRule>
  </conditionalFormatting>
  <conditionalFormatting sqref="AS37">
    <cfRule type="cellIs" dxfId="0" priority="596" operator="lessThan">
      <formula>20</formula>
    </cfRule>
    <cfRule type="cellIs" dxfId="1" priority="387" operator="greaterThan">
      <formula>120</formula>
    </cfRule>
    <cfRule type="containsText" dxfId="3" priority="178" operator="between" text="库存">
      <formula>NOT(ISERROR(SEARCH("库存",AS37)))</formula>
    </cfRule>
  </conditionalFormatting>
  <conditionalFormatting sqref="AS38">
    <cfRule type="cellIs" dxfId="0" priority="595" operator="lessThan">
      <formula>20</formula>
    </cfRule>
    <cfRule type="cellIs" dxfId="1" priority="386" operator="greaterThan">
      <formula>120</formula>
    </cfRule>
    <cfRule type="containsText" dxfId="3" priority="177" operator="between" text="库存">
      <formula>NOT(ISERROR(SEARCH("库存",AS38)))</formula>
    </cfRule>
  </conditionalFormatting>
  <conditionalFormatting sqref="AS39">
    <cfRule type="cellIs" dxfId="0" priority="594" operator="lessThan">
      <formula>20</formula>
    </cfRule>
    <cfRule type="cellIs" dxfId="1" priority="385" operator="greaterThan">
      <formula>120</formula>
    </cfRule>
    <cfRule type="containsText" dxfId="3" priority="176" operator="between" text="库存">
      <formula>NOT(ISERROR(SEARCH("库存",AS39)))</formula>
    </cfRule>
  </conditionalFormatting>
  <conditionalFormatting sqref="AS40">
    <cfRule type="cellIs" dxfId="0" priority="593" operator="lessThan">
      <formula>20</formula>
    </cfRule>
    <cfRule type="cellIs" dxfId="1" priority="384" operator="greaterThan">
      <formula>120</formula>
    </cfRule>
    <cfRule type="containsText" dxfId="3" priority="175" operator="between" text="库存">
      <formula>NOT(ISERROR(SEARCH("库存",AS40)))</formula>
    </cfRule>
  </conditionalFormatting>
  <conditionalFormatting sqref="AS41">
    <cfRule type="cellIs" dxfId="0" priority="592" operator="lessThan">
      <formula>20</formula>
    </cfRule>
    <cfRule type="cellIs" dxfId="1" priority="383" operator="greaterThan">
      <formula>120</formula>
    </cfRule>
    <cfRule type="containsText" dxfId="3" priority="174" operator="between" text="库存">
      <formula>NOT(ISERROR(SEARCH("库存",AS41)))</formula>
    </cfRule>
  </conditionalFormatting>
  <conditionalFormatting sqref="AS42">
    <cfRule type="cellIs" dxfId="0" priority="591" operator="lessThan">
      <formula>20</formula>
    </cfRule>
    <cfRule type="cellIs" dxfId="1" priority="382" operator="greaterThan">
      <formula>120</formula>
    </cfRule>
    <cfRule type="containsText" dxfId="3" priority="173" operator="between" text="库存">
      <formula>NOT(ISERROR(SEARCH("库存",AS42)))</formula>
    </cfRule>
  </conditionalFormatting>
  <conditionalFormatting sqref="AS43">
    <cfRule type="cellIs" dxfId="0" priority="590" operator="lessThan">
      <formula>20</formula>
    </cfRule>
    <cfRule type="cellIs" dxfId="1" priority="381" operator="greaterThan">
      <formula>120</formula>
    </cfRule>
    <cfRule type="containsText" dxfId="3" priority="172" operator="between" text="库存">
      <formula>NOT(ISERROR(SEARCH("库存",AS43)))</formula>
    </cfRule>
  </conditionalFormatting>
  <conditionalFormatting sqref="AS44">
    <cfRule type="cellIs" dxfId="0" priority="589" operator="lessThan">
      <formula>20</formula>
    </cfRule>
    <cfRule type="cellIs" dxfId="1" priority="380" operator="greaterThan">
      <formula>120</formula>
    </cfRule>
    <cfRule type="containsText" dxfId="3" priority="171" operator="between" text="库存">
      <formula>NOT(ISERROR(SEARCH("库存",AS44)))</formula>
    </cfRule>
  </conditionalFormatting>
  <conditionalFormatting sqref="AS45">
    <cfRule type="cellIs" dxfId="0" priority="588" operator="lessThan">
      <formula>20</formula>
    </cfRule>
    <cfRule type="cellIs" dxfId="1" priority="379" operator="greaterThan">
      <formula>120</formula>
    </cfRule>
    <cfRule type="containsText" dxfId="3" priority="170" operator="between" text="库存">
      <formula>NOT(ISERROR(SEARCH("库存",AS45)))</formula>
    </cfRule>
  </conditionalFormatting>
  <conditionalFormatting sqref="AS46">
    <cfRule type="cellIs" dxfId="0" priority="587" operator="lessThan">
      <formula>20</formula>
    </cfRule>
    <cfRule type="cellIs" dxfId="1" priority="378" operator="greaterThan">
      <formula>120</formula>
    </cfRule>
    <cfRule type="containsText" dxfId="3" priority="169" operator="between" text="库存">
      <formula>NOT(ISERROR(SEARCH("库存",AS46)))</formula>
    </cfRule>
  </conditionalFormatting>
  <conditionalFormatting sqref="AS47">
    <cfRule type="cellIs" dxfId="0" priority="586" operator="lessThan">
      <formula>20</formula>
    </cfRule>
    <cfRule type="cellIs" dxfId="1" priority="377" operator="greaterThan">
      <formula>120</formula>
    </cfRule>
    <cfRule type="containsText" dxfId="3" priority="168" operator="between" text="库存">
      <formula>NOT(ISERROR(SEARCH("库存",AS47)))</formula>
    </cfRule>
  </conditionalFormatting>
  <conditionalFormatting sqref="AS48">
    <cfRule type="cellIs" dxfId="0" priority="585" operator="lessThan">
      <formula>20</formula>
    </cfRule>
    <cfRule type="cellIs" dxfId="1" priority="376" operator="greaterThan">
      <formula>120</formula>
    </cfRule>
    <cfRule type="containsText" dxfId="3" priority="167" operator="between" text="库存">
      <formula>NOT(ISERROR(SEARCH("库存",AS48)))</formula>
    </cfRule>
  </conditionalFormatting>
  <conditionalFormatting sqref="AS49">
    <cfRule type="cellIs" dxfId="0" priority="584" operator="lessThan">
      <formula>20</formula>
    </cfRule>
    <cfRule type="cellIs" dxfId="1" priority="375" operator="greaterThan">
      <formula>120</formula>
    </cfRule>
    <cfRule type="containsText" dxfId="3" priority="166" operator="between" text="库存">
      <formula>NOT(ISERROR(SEARCH("库存",AS49)))</formula>
    </cfRule>
  </conditionalFormatting>
  <conditionalFormatting sqref="AS50">
    <cfRule type="cellIs" dxfId="0" priority="583" operator="lessThan">
      <formula>20</formula>
    </cfRule>
    <cfRule type="cellIs" dxfId="1" priority="374" operator="greaterThan">
      <formula>120</formula>
    </cfRule>
    <cfRule type="containsText" dxfId="3" priority="165" operator="between" text="库存">
      <formula>NOT(ISERROR(SEARCH("库存",AS50)))</formula>
    </cfRule>
  </conditionalFormatting>
  <conditionalFormatting sqref="AS51">
    <cfRule type="cellIs" dxfId="0" priority="582" operator="lessThan">
      <formula>20</formula>
    </cfRule>
    <cfRule type="cellIs" dxfId="1" priority="373" operator="greaterThan">
      <formula>120</formula>
    </cfRule>
    <cfRule type="containsText" dxfId="3" priority="164" operator="between" text="库存">
      <formula>NOT(ISERROR(SEARCH("库存",AS51)))</formula>
    </cfRule>
  </conditionalFormatting>
  <conditionalFormatting sqref="AS52">
    <cfRule type="cellIs" dxfId="0" priority="581" operator="lessThan">
      <formula>20</formula>
    </cfRule>
    <cfRule type="cellIs" dxfId="1" priority="372" operator="greaterThan">
      <formula>120</formula>
    </cfRule>
    <cfRule type="containsText" dxfId="3" priority="163" operator="between" text="库存">
      <formula>NOT(ISERROR(SEARCH("库存",AS52)))</formula>
    </cfRule>
  </conditionalFormatting>
  <conditionalFormatting sqref="AS53">
    <cfRule type="cellIs" dxfId="0" priority="580" operator="lessThan">
      <formula>20</formula>
    </cfRule>
    <cfRule type="cellIs" dxfId="1" priority="371" operator="greaterThan">
      <formula>120</formula>
    </cfRule>
    <cfRule type="containsText" dxfId="3" priority="162" operator="between" text="库存">
      <formula>NOT(ISERROR(SEARCH("库存",AS53)))</formula>
    </cfRule>
  </conditionalFormatting>
  <conditionalFormatting sqref="AS54">
    <cfRule type="cellIs" dxfId="0" priority="579" operator="lessThan">
      <formula>20</formula>
    </cfRule>
    <cfRule type="cellIs" dxfId="1" priority="370" operator="greaterThan">
      <formula>120</formula>
    </cfRule>
    <cfRule type="containsText" dxfId="3" priority="161" operator="between" text="库存">
      <formula>NOT(ISERROR(SEARCH("库存",AS54)))</formula>
    </cfRule>
  </conditionalFormatting>
  <conditionalFormatting sqref="AS55">
    <cfRule type="cellIs" dxfId="0" priority="578" operator="lessThan">
      <formula>20</formula>
    </cfRule>
    <cfRule type="cellIs" dxfId="1" priority="369" operator="greaterThan">
      <formula>120</formula>
    </cfRule>
    <cfRule type="containsText" dxfId="3" priority="160" operator="between" text="库存">
      <formula>NOT(ISERROR(SEARCH("库存",AS55)))</formula>
    </cfRule>
  </conditionalFormatting>
  <conditionalFormatting sqref="AS56">
    <cfRule type="cellIs" dxfId="0" priority="577" operator="lessThan">
      <formula>20</formula>
    </cfRule>
    <cfRule type="cellIs" dxfId="1" priority="368" operator="greaterThan">
      <formula>120</formula>
    </cfRule>
    <cfRule type="containsText" dxfId="3" priority="159" operator="between" text="库存">
      <formula>NOT(ISERROR(SEARCH("库存",AS56)))</formula>
    </cfRule>
  </conditionalFormatting>
  <conditionalFormatting sqref="AS57">
    <cfRule type="cellIs" dxfId="0" priority="576" operator="lessThan">
      <formula>20</formula>
    </cfRule>
    <cfRule type="cellIs" dxfId="1" priority="367" operator="greaterThan">
      <formula>120</formula>
    </cfRule>
    <cfRule type="containsText" dxfId="3" priority="158" operator="between" text="库存">
      <formula>NOT(ISERROR(SEARCH("库存",AS57)))</formula>
    </cfRule>
  </conditionalFormatting>
  <conditionalFormatting sqref="AS58">
    <cfRule type="cellIs" dxfId="0" priority="575" operator="lessThan">
      <formula>20</formula>
    </cfRule>
    <cfRule type="cellIs" dxfId="1" priority="366" operator="greaterThan">
      <formula>120</formula>
    </cfRule>
    <cfRule type="containsText" dxfId="3" priority="157" operator="between" text="库存">
      <formula>NOT(ISERROR(SEARCH("库存",AS58)))</formula>
    </cfRule>
  </conditionalFormatting>
  <conditionalFormatting sqref="AS59">
    <cfRule type="cellIs" dxfId="0" priority="574" operator="lessThan">
      <formula>20</formula>
    </cfRule>
    <cfRule type="cellIs" dxfId="1" priority="365" operator="greaterThan">
      <formula>120</formula>
    </cfRule>
    <cfRule type="containsText" dxfId="3" priority="156" operator="between" text="库存">
      <formula>NOT(ISERROR(SEARCH("库存",AS59)))</formula>
    </cfRule>
  </conditionalFormatting>
  <conditionalFormatting sqref="AS60">
    <cfRule type="cellIs" dxfId="0" priority="573" operator="lessThan">
      <formula>20</formula>
    </cfRule>
    <cfRule type="cellIs" dxfId="1" priority="364" operator="greaterThan">
      <formula>120</formula>
    </cfRule>
    <cfRule type="containsText" dxfId="3" priority="155" operator="between" text="库存">
      <formula>NOT(ISERROR(SEARCH("库存",AS60)))</formula>
    </cfRule>
  </conditionalFormatting>
  <conditionalFormatting sqref="AS61">
    <cfRule type="cellIs" dxfId="0" priority="572" operator="lessThan">
      <formula>20</formula>
    </cfRule>
    <cfRule type="cellIs" dxfId="1" priority="363" operator="greaterThan">
      <formula>120</formula>
    </cfRule>
    <cfRule type="containsText" dxfId="3" priority="154" operator="between" text="库存">
      <formula>NOT(ISERROR(SEARCH("库存",AS61)))</formula>
    </cfRule>
  </conditionalFormatting>
  <conditionalFormatting sqref="AS62">
    <cfRule type="cellIs" dxfId="0" priority="571" operator="lessThan">
      <formula>20</formula>
    </cfRule>
    <cfRule type="cellIs" dxfId="1" priority="362" operator="greaterThan">
      <formula>120</formula>
    </cfRule>
    <cfRule type="containsText" dxfId="3" priority="153" operator="between" text="库存">
      <formula>NOT(ISERROR(SEARCH("库存",AS62)))</formula>
    </cfRule>
  </conditionalFormatting>
  <conditionalFormatting sqref="AS63">
    <cfRule type="cellIs" dxfId="0" priority="570" operator="lessThan">
      <formula>20</formula>
    </cfRule>
    <cfRule type="cellIs" dxfId="1" priority="361" operator="greaterThan">
      <formula>120</formula>
    </cfRule>
    <cfRule type="containsText" dxfId="3" priority="152" operator="between" text="库存">
      <formula>NOT(ISERROR(SEARCH("库存",AS63)))</formula>
    </cfRule>
  </conditionalFormatting>
  <conditionalFormatting sqref="AS64">
    <cfRule type="cellIs" dxfId="0" priority="569" operator="lessThan">
      <formula>20</formula>
    </cfRule>
    <cfRule type="cellIs" dxfId="1" priority="360" operator="greaterThan">
      <formula>120</formula>
    </cfRule>
    <cfRule type="containsText" dxfId="3" priority="151" operator="between" text="库存">
      <formula>NOT(ISERROR(SEARCH("库存",AS64)))</formula>
    </cfRule>
  </conditionalFormatting>
  <conditionalFormatting sqref="AS65">
    <cfRule type="cellIs" dxfId="0" priority="568" operator="lessThan">
      <formula>20</formula>
    </cfRule>
    <cfRule type="cellIs" dxfId="1" priority="359" operator="greaterThan">
      <formula>120</formula>
    </cfRule>
    <cfRule type="containsText" dxfId="3" priority="150" operator="between" text="库存">
      <formula>NOT(ISERROR(SEARCH("库存",AS65)))</formula>
    </cfRule>
  </conditionalFormatting>
  <conditionalFormatting sqref="AS66">
    <cfRule type="cellIs" dxfId="0" priority="567" operator="lessThan">
      <formula>20</formula>
    </cfRule>
    <cfRule type="cellIs" dxfId="1" priority="358" operator="greaterThan">
      <formula>120</formula>
    </cfRule>
    <cfRule type="containsText" dxfId="3" priority="149" operator="between" text="库存">
      <formula>NOT(ISERROR(SEARCH("库存",AS66)))</formula>
    </cfRule>
  </conditionalFormatting>
  <conditionalFormatting sqref="AS67">
    <cfRule type="cellIs" dxfId="0" priority="566" operator="lessThan">
      <formula>20</formula>
    </cfRule>
    <cfRule type="cellIs" dxfId="1" priority="357" operator="greaterThan">
      <formula>120</formula>
    </cfRule>
    <cfRule type="containsText" dxfId="3" priority="148" operator="between" text="库存">
      <formula>NOT(ISERROR(SEARCH("库存",AS67)))</formula>
    </cfRule>
  </conditionalFormatting>
  <conditionalFormatting sqref="AS68">
    <cfRule type="cellIs" dxfId="0" priority="565" operator="lessThan">
      <formula>20</formula>
    </cfRule>
    <cfRule type="cellIs" dxfId="1" priority="356" operator="greaterThan">
      <formula>120</formula>
    </cfRule>
    <cfRule type="containsText" dxfId="3" priority="147" operator="between" text="库存">
      <formula>NOT(ISERROR(SEARCH("库存",AS68)))</formula>
    </cfRule>
  </conditionalFormatting>
  <conditionalFormatting sqref="AS69">
    <cfRule type="cellIs" dxfId="0" priority="564" operator="lessThan">
      <formula>20</formula>
    </cfRule>
    <cfRule type="cellIs" dxfId="1" priority="355" operator="greaterThan">
      <formula>120</formula>
    </cfRule>
    <cfRule type="containsText" dxfId="3" priority="146" operator="between" text="库存">
      <formula>NOT(ISERROR(SEARCH("库存",AS69)))</formula>
    </cfRule>
  </conditionalFormatting>
  <conditionalFormatting sqref="AS70">
    <cfRule type="cellIs" dxfId="0" priority="563" operator="lessThan">
      <formula>20</formula>
    </cfRule>
    <cfRule type="cellIs" dxfId="1" priority="354" operator="greaterThan">
      <formula>120</formula>
    </cfRule>
    <cfRule type="containsText" dxfId="3" priority="145" operator="between" text="库存">
      <formula>NOT(ISERROR(SEARCH("库存",AS70)))</formula>
    </cfRule>
  </conditionalFormatting>
  <conditionalFormatting sqref="AS71">
    <cfRule type="cellIs" dxfId="0" priority="562" operator="lessThan">
      <formula>20</formula>
    </cfRule>
    <cfRule type="cellIs" dxfId="1" priority="353" operator="greaterThan">
      <formula>120</formula>
    </cfRule>
    <cfRule type="containsText" dxfId="3" priority="144" operator="between" text="库存">
      <formula>NOT(ISERROR(SEARCH("库存",AS71)))</formula>
    </cfRule>
  </conditionalFormatting>
  <conditionalFormatting sqref="AS72">
    <cfRule type="cellIs" dxfId="0" priority="561" operator="lessThan">
      <formula>20</formula>
    </cfRule>
    <cfRule type="cellIs" dxfId="1" priority="352" operator="greaterThan">
      <formula>120</formula>
    </cfRule>
    <cfRule type="containsText" dxfId="3" priority="143" operator="between" text="库存">
      <formula>NOT(ISERROR(SEARCH("库存",AS72)))</formula>
    </cfRule>
  </conditionalFormatting>
  <conditionalFormatting sqref="AS73">
    <cfRule type="cellIs" dxfId="0" priority="560" operator="lessThan">
      <formula>20</formula>
    </cfRule>
    <cfRule type="cellIs" dxfId="1" priority="351" operator="greaterThan">
      <formula>120</formula>
    </cfRule>
    <cfRule type="containsText" dxfId="3" priority="142" operator="between" text="库存">
      <formula>NOT(ISERROR(SEARCH("库存",AS73)))</formula>
    </cfRule>
  </conditionalFormatting>
  <conditionalFormatting sqref="AS74">
    <cfRule type="cellIs" dxfId="0" priority="559" operator="lessThan">
      <formula>20</formula>
    </cfRule>
    <cfRule type="cellIs" dxfId="1" priority="350" operator="greaterThan">
      <formula>120</formula>
    </cfRule>
    <cfRule type="containsText" dxfId="3" priority="141" operator="between" text="库存">
      <formula>NOT(ISERROR(SEARCH("库存",AS74)))</formula>
    </cfRule>
  </conditionalFormatting>
  <conditionalFormatting sqref="AS75">
    <cfRule type="cellIs" dxfId="0" priority="558" operator="lessThan">
      <formula>20</formula>
    </cfRule>
    <cfRule type="cellIs" dxfId="1" priority="349" operator="greaterThan">
      <formula>120</formula>
    </cfRule>
    <cfRule type="containsText" dxfId="3" priority="140" operator="between" text="库存">
      <formula>NOT(ISERROR(SEARCH("库存",AS75)))</formula>
    </cfRule>
  </conditionalFormatting>
  <conditionalFormatting sqref="AS76">
    <cfRule type="cellIs" dxfId="0" priority="557" operator="lessThan">
      <formula>20</formula>
    </cfRule>
    <cfRule type="cellIs" dxfId="1" priority="348" operator="greaterThan">
      <formula>120</formula>
    </cfRule>
    <cfRule type="containsText" dxfId="3" priority="139" operator="between" text="库存">
      <formula>NOT(ISERROR(SEARCH("库存",AS76)))</formula>
    </cfRule>
  </conditionalFormatting>
  <conditionalFormatting sqref="AS77">
    <cfRule type="cellIs" dxfId="0" priority="556" operator="lessThan">
      <formula>20</formula>
    </cfRule>
    <cfRule type="cellIs" dxfId="1" priority="347" operator="greaterThan">
      <formula>120</formula>
    </cfRule>
    <cfRule type="containsText" dxfId="3" priority="138" operator="between" text="库存">
      <formula>NOT(ISERROR(SEARCH("库存",AS77)))</formula>
    </cfRule>
  </conditionalFormatting>
  <conditionalFormatting sqref="AS78">
    <cfRule type="cellIs" dxfId="0" priority="555" operator="lessThan">
      <formula>20</formula>
    </cfRule>
    <cfRule type="cellIs" dxfId="1" priority="346" operator="greaterThan">
      <formula>120</formula>
    </cfRule>
    <cfRule type="containsText" dxfId="3" priority="137" operator="between" text="库存">
      <formula>NOT(ISERROR(SEARCH("库存",AS78)))</formula>
    </cfRule>
  </conditionalFormatting>
  <conditionalFormatting sqref="AS79">
    <cfRule type="cellIs" dxfId="0" priority="554" operator="lessThan">
      <formula>20</formula>
    </cfRule>
    <cfRule type="cellIs" dxfId="1" priority="345" operator="greaterThan">
      <formula>120</formula>
    </cfRule>
    <cfRule type="containsText" dxfId="3" priority="136" operator="between" text="库存">
      <formula>NOT(ISERROR(SEARCH("库存",AS79)))</formula>
    </cfRule>
  </conditionalFormatting>
  <conditionalFormatting sqref="AS80">
    <cfRule type="cellIs" dxfId="0" priority="553" operator="lessThan">
      <formula>20</formula>
    </cfRule>
    <cfRule type="cellIs" dxfId="1" priority="344" operator="greaterThan">
      <formula>120</formula>
    </cfRule>
    <cfRule type="containsText" dxfId="3" priority="135" operator="between" text="库存">
      <formula>NOT(ISERROR(SEARCH("库存",AS80)))</formula>
    </cfRule>
  </conditionalFormatting>
  <conditionalFormatting sqref="AS81">
    <cfRule type="cellIs" dxfId="0" priority="552" operator="lessThan">
      <formula>20</formula>
    </cfRule>
    <cfRule type="cellIs" dxfId="1" priority="343" operator="greaterThan">
      <formula>120</formula>
    </cfRule>
    <cfRule type="containsText" dxfId="3" priority="134" operator="between" text="库存">
      <formula>NOT(ISERROR(SEARCH("库存",AS81)))</formula>
    </cfRule>
  </conditionalFormatting>
  <conditionalFormatting sqref="AS82">
    <cfRule type="cellIs" dxfId="0" priority="551" operator="lessThan">
      <formula>20</formula>
    </cfRule>
    <cfRule type="cellIs" dxfId="1" priority="342" operator="greaterThan">
      <formula>120</formula>
    </cfRule>
    <cfRule type="containsText" dxfId="3" priority="133" operator="between" text="库存">
      <formula>NOT(ISERROR(SEARCH("库存",AS82)))</formula>
    </cfRule>
  </conditionalFormatting>
  <conditionalFormatting sqref="AS83">
    <cfRule type="cellIs" dxfId="0" priority="550" operator="lessThan">
      <formula>20</formula>
    </cfRule>
    <cfRule type="cellIs" dxfId="1" priority="341" operator="greaterThan">
      <formula>120</formula>
    </cfRule>
    <cfRule type="containsText" dxfId="3" priority="132" operator="between" text="库存">
      <formula>NOT(ISERROR(SEARCH("库存",AS83)))</formula>
    </cfRule>
  </conditionalFormatting>
  <conditionalFormatting sqref="AS84">
    <cfRule type="cellIs" dxfId="0" priority="549" operator="lessThan">
      <formula>20</formula>
    </cfRule>
    <cfRule type="cellIs" dxfId="1" priority="340" operator="greaterThan">
      <formula>120</formula>
    </cfRule>
    <cfRule type="containsText" dxfId="3" priority="131" operator="between" text="库存">
      <formula>NOT(ISERROR(SEARCH("库存",AS84)))</formula>
    </cfRule>
  </conditionalFormatting>
  <conditionalFormatting sqref="AS85">
    <cfRule type="cellIs" dxfId="0" priority="548" operator="lessThan">
      <formula>20</formula>
    </cfRule>
    <cfRule type="cellIs" dxfId="1" priority="339" operator="greaterThan">
      <formula>120</formula>
    </cfRule>
    <cfRule type="containsText" dxfId="3" priority="130" operator="between" text="库存">
      <formula>NOT(ISERROR(SEARCH("库存",AS85)))</formula>
    </cfRule>
  </conditionalFormatting>
  <conditionalFormatting sqref="AS86">
    <cfRule type="cellIs" dxfId="0" priority="547" operator="lessThan">
      <formula>20</formula>
    </cfRule>
    <cfRule type="cellIs" dxfId="1" priority="338" operator="greaterThan">
      <formula>120</formula>
    </cfRule>
    <cfRule type="containsText" dxfId="3" priority="129" operator="between" text="库存">
      <formula>NOT(ISERROR(SEARCH("库存",AS86)))</formula>
    </cfRule>
  </conditionalFormatting>
  <conditionalFormatting sqref="AS87">
    <cfRule type="cellIs" dxfId="0" priority="546" operator="lessThan">
      <formula>20</formula>
    </cfRule>
    <cfRule type="cellIs" dxfId="1" priority="337" operator="greaterThan">
      <formula>120</formula>
    </cfRule>
    <cfRule type="containsText" dxfId="3" priority="128" operator="between" text="库存">
      <formula>NOT(ISERROR(SEARCH("库存",AS87)))</formula>
    </cfRule>
  </conditionalFormatting>
  <conditionalFormatting sqref="AS88">
    <cfRule type="cellIs" dxfId="0" priority="545" operator="lessThan">
      <formula>20</formula>
    </cfRule>
    <cfRule type="cellIs" dxfId="1" priority="336" operator="greaterThan">
      <formula>120</formula>
    </cfRule>
    <cfRule type="containsText" dxfId="3" priority="127" operator="between" text="库存">
      <formula>NOT(ISERROR(SEARCH("库存",AS88)))</formula>
    </cfRule>
  </conditionalFormatting>
  <conditionalFormatting sqref="AS89">
    <cfRule type="cellIs" dxfId="0" priority="544" operator="lessThan">
      <formula>20</formula>
    </cfRule>
    <cfRule type="cellIs" dxfId="1" priority="335" operator="greaterThan">
      <formula>120</formula>
    </cfRule>
    <cfRule type="containsText" dxfId="3" priority="126" operator="between" text="库存">
      <formula>NOT(ISERROR(SEARCH("库存",AS89)))</formula>
    </cfRule>
  </conditionalFormatting>
  <conditionalFormatting sqref="AS90">
    <cfRule type="cellIs" dxfId="0" priority="543" operator="lessThan">
      <formula>20</formula>
    </cfRule>
    <cfRule type="cellIs" dxfId="1" priority="334" operator="greaterThan">
      <formula>120</formula>
    </cfRule>
    <cfRule type="containsText" dxfId="3" priority="125" operator="between" text="库存">
      <formula>NOT(ISERROR(SEARCH("库存",AS90)))</formula>
    </cfRule>
  </conditionalFormatting>
  <conditionalFormatting sqref="AS91">
    <cfRule type="cellIs" dxfId="0" priority="542" operator="lessThan">
      <formula>20</formula>
    </cfRule>
    <cfRule type="cellIs" dxfId="1" priority="333" operator="greaterThan">
      <formula>120</formula>
    </cfRule>
    <cfRule type="containsText" dxfId="3" priority="124" operator="between" text="库存">
      <formula>NOT(ISERROR(SEARCH("库存",AS91)))</formula>
    </cfRule>
  </conditionalFormatting>
  <conditionalFormatting sqref="AS92">
    <cfRule type="cellIs" dxfId="0" priority="541" operator="lessThan">
      <formula>20</formula>
    </cfRule>
    <cfRule type="cellIs" dxfId="1" priority="332" operator="greaterThan">
      <formula>120</formula>
    </cfRule>
    <cfRule type="containsText" dxfId="3" priority="123" operator="between" text="库存">
      <formula>NOT(ISERROR(SEARCH("库存",AS92)))</formula>
    </cfRule>
  </conditionalFormatting>
  <conditionalFormatting sqref="AS93">
    <cfRule type="cellIs" dxfId="0" priority="540" operator="lessThan">
      <formula>20</formula>
    </cfRule>
    <cfRule type="cellIs" dxfId="1" priority="331" operator="greaterThan">
      <formula>120</formula>
    </cfRule>
    <cfRule type="containsText" dxfId="3" priority="122" operator="between" text="库存">
      <formula>NOT(ISERROR(SEARCH("库存",AS93)))</formula>
    </cfRule>
  </conditionalFormatting>
  <conditionalFormatting sqref="AS94">
    <cfRule type="cellIs" dxfId="0" priority="539" operator="lessThan">
      <formula>20</formula>
    </cfRule>
    <cfRule type="cellIs" dxfId="1" priority="330" operator="greaterThan">
      <formula>120</formula>
    </cfRule>
    <cfRule type="containsText" dxfId="3" priority="121" operator="between" text="库存">
      <formula>NOT(ISERROR(SEARCH("库存",AS94)))</formula>
    </cfRule>
  </conditionalFormatting>
  <conditionalFormatting sqref="AS95">
    <cfRule type="cellIs" dxfId="0" priority="538" operator="lessThan">
      <formula>20</formula>
    </cfRule>
    <cfRule type="cellIs" dxfId="1" priority="329" operator="greaterThan">
      <formula>120</formula>
    </cfRule>
    <cfRule type="containsText" dxfId="3" priority="120" operator="between" text="库存">
      <formula>NOT(ISERROR(SEARCH("库存",AS95)))</formula>
    </cfRule>
  </conditionalFormatting>
  <conditionalFormatting sqref="AS96">
    <cfRule type="cellIs" dxfId="0" priority="537" operator="lessThan">
      <formula>20</formula>
    </cfRule>
    <cfRule type="cellIs" dxfId="1" priority="328" operator="greaterThan">
      <formula>120</formula>
    </cfRule>
    <cfRule type="containsText" dxfId="3" priority="119" operator="between" text="库存">
      <formula>NOT(ISERROR(SEARCH("库存",AS96)))</formula>
    </cfRule>
  </conditionalFormatting>
  <conditionalFormatting sqref="AS97">
    <cfRule type="cellIs" dxfId="0" priority="536" operator="lessThan">
      <formula>20</formula>
    </cfRule>
    <cfRule type="cellIs" dxfId="1" priority="327" operator="greaterThan">
      <formula>120</formula>
    </cfRule>
    <cfRule type="containsText" dxfId="3" priority="118" operator="between" text="库存">
      <formula>NOT(ISERROR(SEARCH("库存",AS97)))</formula>
    </cfRule>
  </conditionalFormatting>
  <conditionalFormatting sqref="AS98">
    <cfRule type="cellIs" dxfId="0" priority="535" operator="lessThan">
      <formula>20</formula>
    </cfRule>
    <cfRule type="cellIs" dxfId="1" priority="326" operator="greaterThan">
      <formula>120</formula>
    </cfRule>
    <cfRule type="containsText" dxfId="3" priority="117" operator="between" text="库存">
      <formula>NOT(ISERROR(SEARCH("库存",AS98)))</formula>
    </cfRule>
  </conditionalFormatting>
  <conditionalFormatting sqref="AS99">
    <cfRule type="cellIs" dxfId="0" priority="534" operator="lessThan">
      <formula>20</formula>
    </cfRule>
    <cfRule type="cellIs" dxfId="1" priority="325" operator="greaterThan">
      <formula>120</formula>
    </cfRule>
    <cfRule type="containsText" dxfId="3" priority="116" operator="between" text="库存">
      <formula>NOT(ISERROR(SEARCH("库存",AS99)))</formula>
    </cfRule>
  </conditionalFormatting>
  <conditionalFormatting sqref="AS100">
    <cfRule type="cellIs" dxfId="0" priority="533" operator="lessThan">
      <formula>20</formula>
    </cfRule>
    <cfRule type="cellIs" dxfId="1" priority="324" operator="greaterThan">
      <formula>120</formula>
    </cfRule>
    <cfRule type="containsText" dxfId="3" priority="115" operator="between" text="库存">
      <formula>NOT(ISERROR(SEARCH("库存",AS100)))</formula>
    </cfRule>
  </conditionalFormatting>
  <conditionalFormatting sqref="AS101">
    <cfRule type="cellIs" dxfId="0" priority="532" operator="lessThan">
      <formula>20</formula>
    </cfRule>
    <cfRule type="cellIs" dxfId="1" priority="323" operator="greaterThan">
      <formula>120</formula>
    </cfRule>
    <cfRule type="containsText" dxfId="3" priority="114" operator="between" text="库存">
      <formula>NOT(ISERROR(SEARCH("库存",AS101)))</formula>
    </cfRule>
  </conditionalFormatting>
  <conditionalFormatting sqref="AS102">
    <cfRule type="cellIs" dxfId="0" priority="531" operator="lessThan">
      <formula>20</formula>
    </cfRule>
    <cfRule type="cellIs" dxfId="1" priority="322" operator="greaterThan">
      <formula>120</formula>
    </cfRule>
    <cfRule type="containsText" dxfId="3" priority="113" operator="between" text="库存">
      <formula>NOT(ISERROR(SEARCH("库存",AS102)))</formula>
    </cfRule>
  </conditionalFormatting>
  <conditionalFormatting sqref="AS103">
    <cfRule type="cellIs" dxfId="0" priority="530" operator="lessThan">
      <formula>20</formula>
    </cfRule>
    <cfRule type="cellIs" dxfId="1" priority="321" operator="greaterThan">
      <formula>120</formula>
    </cfRule>
    <cfRule type="containsText" dxfId="3" priority="112" operator="between" text="库存">
      <formula>NOT(ISERROR(SEARCH("库存",AS103)))</formula>
    </cfRule>
  </conditionalFormatting>
  <conditionalFormatting sqref="AS104">
    <cfRule type="cellIs" dxfId="0" priority="529" operator="lessThan">
      <formula>20</formula>
    </cfRule>
    <cfRule type="cellIs" dxfId="1" priority="320" operator="greaterThan">
      <formula>120</formula>
    </cfRule>
    <cfRule type="containsText" dxfId="3" priority="111" operator="between" text="库存">
      <formula>NOT(ISERROR(SEARCH("库存",AS104)))</formula>
    </cfRule>
  </conditionalFormatting>
  <conditionalFormatting sqref="AS105">
    <cfRule type="cellIs" dxfId="0" priority="528" operator="lessThan">
      <formula>20</formula>
    </cfRule>
    <cfRule type="cellIs" dxfId="1" priority="319" operator="greaterThan">
      <formula>120</formula>
    </cfRule>
    <cfRule type="containsText" dxfId="3" priority="110" operator="between" text="库存">
      <formula>NOT(ISERROR(SEARCH("库存",AS105)))</formula>
    </cfRule>
  </conditionalFormatting>
  <conditionalFormatting sqref="AS106">
    <cfRule type="cellIs" dxfId="0" priority="527" operator="lessThan">
      <formula>20</formula>
    </cfRule>
    <cfRule type="cellIs" dxfId="1" priority="318" operator="greaterThan">
      <formula>120</formula>
    </cfRule>
    <cfRule type="containsText" dxfId="3" priority="109" operator="between" text="库存">
      <formula>NOT(ISERROR(SEARCH("库存",AS106)))</formula>
    </cfRule>
  </conditionalFormatting>
  <conditionalFormatting sqref="AS107">
    <cfRule type="cellIs" dxfId="0" priority="526" operator="lessThan">
      <formula>20</formula>
    </cfRule>
    <cfRule type="cellIs" dxfId="1" priority="317" operator="greaterThan">
      <formula>120</formula>
    </cfRule>
    <cfRule type="containsText" dxfId="3" priority="108" operator="between" text="库存">
      <formula>NOT(ISERROR(SEARCH("库存",AS107)))</formula>
    </cfRule>
  </conditionalFormatting>
  <conditionalFormatting sqref="AS108">
    <cfRule type="cellIs" dxfId="0" priority="525" operator="lessThan">
      <formula>20</formula>
    </cfRule>
    <cfRule type="cellIs" dxfId="1" priority="316" operator="greaterThan">
      <formula>120</formula>
    </cfRule>
    <cfRule type="containsText" dxfId="3" priority="107" operator="between" text="库存">
      <formula>NOT(ISERROR(SEARCH("库存",AS108)))</formula>
    </cfRule>
  </conditionalFormatting>
  <conditionalFormatting sqref="AS109">
    <cfRule type="cellIs" dxfId="0" priority="524" operator="lessThan">
      <formula>20</formula>
    </cfRule>
    <cfRule type="cellIs" dxfId="1" priority="315" operator="greaterThan">
      <formula>120</formula>
    </cfRule>
    <cfRule type="containsText" dxfId="3" priority="106" operator="between" text="库存">
      <formula>NOT(ISERROR(SEARCH("库存",AS109)))</formula>
    </cfRule>
  </conditionalFormatting>
  <conditionalFormatting sqref="AS110">
    <cfRule type="cellIs" dxfId="0" priority="523" operator="lessThan">
      <formula>20</formula>
    </cfRule>
    <cfRule type="cellIs" dxfId="1" priority="314" operator="greaterThan">
      <formula>120</formula>
    </cfRule>
    <cfRule type="containsText" dxfId="3" priority="105" operator="between" text="库存">
      <formula>NOT(ISERROR(SEARCH("库存",AS110)))</formula>
    </cfRule>
  </conditionalFormatting>
  <conditionalFormatting sqref="AS111">
    <cfRule type="cellIs" dxfId="0" priority="522" operator="lessThan">
      <formula>20</formula>
    </cfRule>
    <cfRule type="cellIs" dxfId="1" priority="313" operator="greaterThan">
      <formula>120</formula>
    </cfRule>
    <cfRule type="containsText" dxfId="3" priority="104" operator="between" text="库存">
      <formula>NOT(ISERROR(SEARCH("库存",AS111)))</formula>
    </cfRule>
  </conditionalFormatting>
  <conditionalFormatting sqref="AS112">
    <cfRule type="cellIs" dxfId="0" priority="521" operator="lessThan">
      <formula>20</formula>
    </cfRule>
    <cfRule type="cellIs" dxfId="1" priority="312" operator="greaterThan">
      <formula>120</formula>
    </cfRule>
    <cfRule type="containsText" dxfId="3" priority="103" operator="between" text="库存">
      <formula>NOT(ISERROR(SEARCH("库存",AS112)))</formula>
    </cfRule>
  </conditionalFormatting>
  <conditionalFormatting sqref="AS113">
    <cfRule type="cellIs" dxfId="0" priority="520" operator="lessThan">
      <formula>20</formula>
    </cfRule>
    <cfRule type="cellIs" dxfId="1" priority="311" operator="greaterThan">
      <formula>120</formula>
    </cfRule>
    <cfRule type="containsText" dxfId="3" priority="102" operator="between" text="库存">
      <formula>NOT(ISERROR(SEARCH("库存",AS113)))</formula>
    </cfRule>
  </conditionalFormatting>
  <conditionalFormatting sqref="AS114">
    <cfRule type="cellIs" dxfId="0" priority="519" operator="lessThan">
      <formula>20</formula>
    </cfRule>
    <cfRule type="cellIs" dxfId="1" priority="310" operator="greaterThan">
      <formula>120</formula>
    </cfRule>
    <cfRule type="containsText" dxfId="3" priority="101" operator="between" text="库存">
      <formula>NOT(ISERROR(SEARCH("库存",AS114)))</formula>
    </cfRule>
  </conditionalFormatting>
  <conditionalFormatting sqref="AS115">
    <cfRule type="cellIs" dxfId="0" priority="518" operator="lessThan">
      <formula>20</formula>
    </cfRule>
    <cfRule type="cellIs" dxfId="1" priority="309" operator="greaterThan">
      <formula>120</formula>
    </cfRule>
    <cfRule type="containsText" dxfId="3" priority="100" operator="between" text="库存">
      <formula>NOT(ISERROR(SEARCH("库存",AS115)))</formula>
    </cfRule>
  </conditionalFormatting>
  <conditionalFormatting sqref="AS116">
    <cfRule type="cellIs" dxfId="0" priority="517" operator="lessThan">
      <formula>20</formula>
    </cfRule>
    <cfRule type="cellIs" dxfId="1" priority="308" operator="greaterThan">
      <formula>120</formula>
    </cfRule>
    <cfRule type="containsText" dxfId="3" priority="99" operator="between" text="库存">
      <formula>NOT(ISERROR(SEARCH("库存",AS116)))</formula>
    </cfRule>
  </conditionalFormatting>
  <conditionalFormatting sqref="AS117">
    <cfRule type="cellIs" dxfId="0" priority="516" operator="lessThan">
      <formula>20</formula>
    </cfRule>
    <cfRule type="cellIs" dxfId="1" priority="307" operator="greaterThan">
      <formula>120</formula>
    </cfRule>
    <cfRule type="containsText" dxfId="3" priority="98" operator="between" text="库存">
      <formula>NOT(ISERROR(SEARCH("库存",AS117)))</formula>
    </cfRule>
  </conditionalFormatting>
  <conditionalFormatting sqref="AS118">
    <cfRule type="cellIs" dxfId="0" priority="515" operator="lessThan">
      <formula>20</formula>
    </cfRule>
    <cfRule type="cellIs" dxfId="1" priority="306" operator="greaterThan">
      <formula>120</formula>
    </cfRule>
    <cfRule type="containsText" dxfId="3" priority="97" operator="between" text="库存">
      <formula>NOT(ISERROR(SEARCH("库存",AS118)))</formula>
    </cfRule>
  </conditionalFormatting>
  <conditionalFormatting sqref="AS119">
    <cfRule type="cellIs" dxfId="0" priority="514" operator="lessThan">
      <formula>20</formula>
    </cfRule>
    <cfRule type="cellIs" dxfId="1" priority="305" operator="greaterThan">
      <formula>120</formula>
    </cfRule>
    <cfRule type="containsText" dxfId="3" priority="96" operator="between" text="库存">
      <formula>NOT(ISERROR(SEARCH("库存",AS119)))</formula>
    </cfRule>
  </conditionalFormatting>
  <conditionalFormatting sqref="AS120">
    <cfRule type="cellIs" dxfId="0" priority="513" operator="lessThan">
      <formula>20</formula>
    </cfRule>
    <cfRule type="cellIs" dxfId="1" priority="304" operator="greaterThan">
      <formula>120</formula>
    </cfRule>
    <cfRule type="containsText" dxfId="3" priority="95" operator="between" text="库存">
      <formula>NOT(ISERROR(SEARCH("库存",AS120)))</formula>
    </cfRule>
  </conditionalFormatting>
  <conditionalFormatting sqref="AS121">
    <cfRule type="cellIs" dxfId="0" priority="512" operator="lessThan">
      <formula>20</formula>
    </cfRule>
    <cfRule type="cellIs" dxfId="1" priority="303" operator="greaterThan">
      <formula>120</formula>
    </cfRule>
    <cfRule type="containsText" dxfId="3" priority="94" operator="between" text="库存">
      <formula>NOT(ISERROR(SEARCH("库存",AS121)))</formula>
    </cfRule>
  </conditionalFormatting>
  <conditionalFormatting sqref="AS122">
    <cfRule type="cellIs" dxfId="0" priority="511" operator="lessThan">
      <formula>20</formula>
    </cfRule>
    <cfRule type="cellIs" dxfId="1" priority="302" operator="greaterThan">
      <formula>120</formula>
    </cfRule>
    <cfRule type="containsText" dxfId="3" priority="93" operator="between" text="库存">
      <formula>NOT(ISERROR(SEARCH("库存",AS122)))</formula>
    </cfRule>
  </conditionalFormatting>
  <conditionalFormatting sqref="AS123">
    <cfRule type="cellIs" dxfId="0" priority="510" operator="lessThan">
      <formula>20</formula>
    </cfRule>
    <cfRule type="cellIs" dxfId="1" priority="301" operator="greaterThan">
      <formula>120</formula>
    </cfRule>
    <cfRule type="containsText" dxfId="3" priority="92" operator="between" text="库存">
      <formula>NOT(ISERROR(SEARCH("库存",AS123)))</formula>
    </cfRule>
  </conditionalFormatting>
  <conditionalFormatting sqref="AS124">
    <cfRule type="cellIs" dxfId="0" priority="509" operator="lessThan">
      <formula>20</formula>
    </cfRule>
    <cfRule type="cellIs" dxfId="1" priority="300" operator="greaterThan">
      <formula>120</formula>
    </cfRule>
    <cfRule type="containsText" dxfId="3" priority="91" operator="between" text="库存">
      <formula>NOT(ISERROR(SEARCH("库存",AS124)))</formula>
    </cfRule>
  </conditionalFormatting>
  <conditionalFormatting sqref="AS125">
    <cfRule type="cellIs" dxfId="0" priority="508" operator="lessThan">
      <formula>20</formula>
    </cfRule>
    <cfRule type="cellIs" dxfId="1" priority="299" operator="greaterThan">
      <formula>120</formula>
    </cfRule>
    <cfRule type="containsText" dxfId="3" priority="90" operator="between" text="库存">
      <formula>NOT(ISERROR(SEARCH("库存",AS125)))</formula>
    </cfRule>
  </conditionalFormatting>
  <conditionalFormatting sqref="AS126">
    <cfRule type="cellIs" dxfId="0" priority="507" operator="lessThan">
      <formula>20</formula>
    </cfRule>
    <cfRule type="cellIs" dxfId="1" priority="298" operator="greaterThan">
      <formula>120</formula>
    </cfRule>
    <cfRule type="containsText" dxfId="3" priority="89" operator="between" text="库存">
      <formula>NOT(ISERROR(SEARCH("库存",AS126)))</formula>
    </cfRule>
  </conditionalFormatting>
  <conditionalFormatting sqref="AS127">
    <cfRule type="cellIs" dxfId="0" priority="506" operator="lessThan">
      <formula>20</formula>
    </cfRule>
    <cfRule type="cellIs" dxfId="1" priority="297" operator="greaterThan">
      <formula>120</formula>
    </cfRule>
    <cfRule type="containsText" dxfId="3" priority="88" operator="between" text="库存">
      <formula>NOT(ISERROR(SEARCH("库存",AS127)))</formula>
    </cfRule>
  </conditionalFormatting>
  <conditionalFormatting sqref="AS128">
    <cfRule type="cellIs" dxfId="0" priority="505" operator="lessThan">
      <formula>20</formula>
    </cfRule>
    <cfRule type="cellIs" dxfId="1" priority="296" operator="greaterThan">
      <formula>120</formula>
    </cfRule>
    <cfRule type="containsText" dxfId="3" priority="87" operator="between" text="库存">
      <formula>NOT(ISERROR(SEARCH("库存",AS128)))</formula>
    </cfRule>
  </conditionalFormatting>
  <conditionalFormatting sqref="AS129">
    <cfRule type="cellIs" dxfId="0" priority="504" operator="lessThan">
      <formula>20</formula>
    </cfRule>
    <cfRule type="cellIs" dxfId="1" priority="295" operator="greaterThan">
      <formula>120</formula>
    </cfRule>
    <cfRule type="containsText" dxfId="3" priority="86" operator="between" text="库存">
      <formula>NOT(ISERROR(SEARCH("库存",AS129)))</formula>
    </cfRule>
  </conditionalFormatting>
  <conditionalFormatting sqref="AS130">
    <cfRule type="cellIs" dxfId="0" priority="503" operator="lessThan">
      <formula>20</formula>
    </cfRule>
    <cfRule type="cellIs" dxfId="1" priority="294" operator="greaterThan">
      <formula>120</formula>
    </cfRule>
    <cfRule type="containsText" dxfId="3" priority="85" operator="between" text="库存">
      <formula>NOT(ISERROR(SEARCH("库存",AS130)))</formula>
    </cfRule>
  </conditionalFormatting>
  <conditionalFormatting sqref="AS131">
    <cfRule type="cellIs" dxfId="0" priority="502" operator="lessThan">
      <formula>20</formula>
    </cfRule>
    <cfRule type="cellIs" dxfId="1" priority="293" operator="greaterThan">
      <formula>120</formula>
    </cfRule>
    <cfRule type="containsText" dxfId="3" priority="84" operator="between" text="库存">
      <formula>NOT(ISERROR(SEARCH("库存",AS131)))</formula>
    </cfRule>
  </conditionalFormatting>
  <conditionalFormatting sqref="AS132">
    <cfRule type="cellIs" dxfId="0" priority="501" operator="lessThan">
      <formula>20</formula>
    </cfRule>
    <cfRule type="cellIs" dxfId="1" priority="292" operator="greaterThan">
      <formula>120</formula>
    </cfRule>
    <cfRule type="containsText" dxfId="3" priority="83" operator="between" text="库存">
      <formula>NOT(ISERROR(SEARCH("库存",AS132)))</formula>
    </cfRule>
  </conditionalFormatting>
  <conditionalFormatting sqref="AS133">
    <cfRule type="cellIs" dxfId="0" priority="500" operator="lessThan">
      <formula>20</formula>
    </cfRule>
    <cfRule type="cellIs" dxfId="1" priority="291" operator="greaterThan">
      <formula>120</formula>
    </cfRule>
    <cfRule type="containsText" dxfId="3" priority="82" operator="between" text="库存">
      <formula>NOT(ISERROR(SEARCH("库存",AS133)))</formula>
    </cfRule>
  </conditionalFormatting>
  <conditionalFormatting sqref="AS134">
    <cfRule type="cellIs" dxfId="0" priority="499" operator="lessThan">
      <formula>20</formula>
    </cfRule>
    <cfRule type="cellIs" dxfId="1" priority="290" operator="greaterThan">
      <formula>120</formula>
    </cfRule>
    <cfRule type="containsText" dxfId="3" priority="81" operator="between" text="库存">
      <formula>NOT(ISERROR(SEARCH("库存",AS134)))</formula>
    </cfRule>
  </conditionalFormatting>
  <conditionalFormatting sqref="AS135">
    <cfRule type="cellIs" dxfId="0" priority="498" operator="lessThan">
      <formula>20</formula>
    </cfRule>
    <cfRule type="cellIs" dxfId="1" priority="289" operator="greaterThan">
      <formula>120</formula>
    </cfRule>
    <cfRule type="containsText" dxfId="3" priority="80" operator="between" text="库存">
      <formula>NOT(ISERROR(SEARCH("库存",AS135)))</formula>
    </cfRule>
  </conditionalFormatting>
  <conditionalFormatting sqref="AS136">
    <cfRule type="cellIs" dxfId="0" priority="497" operator="lessThan">
      <formula>20</formula>
    </cfRule>
    <cfRule type="cellIs" dxfId="1" priority="288" operator="greaterThan">
      <formula>120</formula>
    </cfRule>
    <cfRule type="containsText" dxfId="3" priority="79" operator="between" text="库存">
      <formula>NOT(ISERROR(SEARCH("库存",AS136)))</formula>
    </cfRule>
  </conditionalFormatting>
  <conditionalFormatting sqref="AS137">
    <cfRule type="cellIs" dxfId="0" priority="496" operator="lessThan">
      <formula>20</formula>
    </cfRule>
    <cfRule type="cellIs" dxfId="1" priority="287" operator="greaterThan">
      <formula>120</formula>
    </cfRule>
    <cfRule type="containsText" dxfId="3" priority="78" operator="between" text="库存">
      <formula>NOT(ISERROR(SEARCH("库存",AS137)))</formula>
    </cfRule>
  </conditionalFormatting>
  <conditionalFormatting sqref="AS138">
    <cfRule type="cellIs" dxfId="0" priority="495" operator="lessThan">
      <formula>20</formula>
    </cfRule>
    <cfRule type="cellIs" dxfId="1" priority="286" operator="greaterThan">
      <formula>120</formula>
    </cfRule>
    <cfRule type="containsText" dxfId="3" priority="77" operator="between" text="库存">
      <formula>NOT(ISERROR(SEARCH("库存",AS138)))</formula>
    </cfRule>
  </conditionalFormatting>
  <conditionalFormatting sqref="AS139">
    <cfRule type="cellIs" dxfId="0" priority="494" operator="lessThan">
      <formula>20</formula>
    </cfRule>
    <cfRule type="cellIs" dxfId="1" priority="285" operator="greaterThan">
      <formula>120</formula>
    </cfRule>
    <cfRule type="containsText" dxfId="3" priority="76" operator="between" text="库存">
      <formula>NOT(ISERROR(SEARCH("库存",AS139)))</formula>
    </cfRule>
  </conditionalFormatting>
  <conditionalFormatting sqref="AS140">
    <cfRule type="cellIs" dxfId="0" priority="493" operator="lessThan">
      <formula>20</formula>
    </cfRule>
    <cfRule type="cellIs" dxfId="1" priority="284" operator="greaterThan">
      <formula>120</formula>
    </cfRule>
    <cfRule type="containsText" dxfId="3" priority="75" operator="between" text="库存">
      <formula>NOT(ISERROR(SEARCH("库存",AS140)))</formula>
    </cfRule>
  </conditionalFormatting>
  <conditionalFormatting sqref="AS141">
    <cfRule type="cellIs" dxfId="0" priority="492" operator="lessThan">
      <formula>20</formula>
    </cfRule>
    <cfRule type="cellIs" dxfId="1" priority="283" operator="greaterThan">
      <formula>120</formula>
    </cfRule>
    <cfRule type="containsText" dxfId="3" priority="74" operator="between" text="库存">
      <formula>NOT(ISERROR(SEARCH("库存",AS141)))</formula>
    </cfRule>
  </conditionalFormatting>
  <conditionalFormatting sqref="AS142">
    <cfRule type="cellIs" dxfId="0" priority="491" operator="lessThan">
      <formula>20</formula>
    </cfRule>
    <cfRule type="cellIs" dxfId="1" priority="282" operator="greaterThan">
      <formula>120</formula>
    </cfRule>
    <cfRule type="containsText" dxfId="3" priority="73" operator="between" text="库存">
      <formula>NOT(ISERROR(SEARCH("库存",AS142)))</formula>
    </cfRule>
  </conditionalFormatting>
  <conditionalFormatting sqref="AS143">
    <cfRule type="cellIs" dxfId="0" priority="490" operator="lessThan">
      <formula>20</formula>
    </cfRule>
    <cfRule type="cellIs" dxfId="1" priority="281" operator="greaterThan">
      <formula>120</formula>
    </cfRule>
    <cfRule type="containsText" dxfId="3" priority="72" operator="between" text="库存">
      <formula>NOT(ISERROR(SEARCH("库存",AS143)))</formula>
    </cfRule>
  </conditionalFormatting>
  <conditionalFormatting sqref="AS144">
    <cfRule type="cellIs" dxfId="0" priority="489" operator="lessThan">
      <formula>20</formula>
    </cfRule>
    <cfRule type="cellIs" dxfId="1" priority="280" operator="greaterThan">
      <formula>120</formula>
    </cfRule>
    <cfRule type="containsText" dxfId="3" priority="71" operator="between" text="库存">
      <formula>NOT(ISERROR(SEARCH("库存",AS144)))</formula>
    </cfRule>
  </conditionalFormatting>
  <conditionalFormatting sqref="AS145">
    <cfRule type="cellIs" dxfId="0" priority="488" operator="lessThan">
      <formula>20</formula>
    </cfRule>
    <cfRule type="cellIs" dxfId="1" priority="279" operator="greaterThan">
      <formula>120</formula>
    </cfRule>
    <cfRule type="containsText" dxfId="3" priority="70" operator="between" text="库存">
      <formula>NOT(ISERROR(SEARCH("库存",AS145)))</formula>
    </cfRule>
  </conditionalFormatting>
  <conditionalFormatting sqref="AS146">
    <cfRule type="cellIs" dxfId="0" priority="487" operator="lessThan">
      <formula>20</formula>
    </cfRule>
    <cfRule type="cellIs" dxfId="1" priority="278" operator="greaterThan">
      <formula>120</formula>
    </cfRule>
    <cfRule type="containsText" dxfId="3" priority="69" operator="between" text="库存">
      <formula>NOT(ISERROR(SEARCH("库存",AS146)))</formula>
    </cfRule>
  </conditionalFormatting>
  <conditionalFormatting sqref="AS147">
    <cfRule type="cellIs" dxfId="0" priority="486" operator="lessThan">
      <formula>20</formula>
    </cfRule>
    <cfRule type="cellIs" dxfId="1" priority="277" operator="greaterThan">
      <formula>120</formula>
    </cfRule>
    <cfRule type="containsText" dxfId="3" priority="68" operator="between" text="库存">
      <formula>NOT(ISERROR(SEARCH("库存",AS147)))</formula>
    </cfRule>
  </conditionalFormatting>
  <conditionalFormatting sqref="AS148">
    <cfRule type="cellIs" dxfId="0" priority="485" operator="lessThan">
      <formula>20</formula>
    </cfRule>
    <cfRule type="cellIs" dxfId="1" priority="276" operator="greaterThan">
      <formula>120</formula>
    </cfRule>
    <cfRule type="containsText" dxfId="3" priority="67" operator="between" text="库存">
      <formula>NOT(ISERROR(SEARCH("库存",AS148)))</formula>
    </cfRule>
  </conditionalFormatting>
  <conditionalFormatting sqref="AS149">
    <cfRule type="cellIs" dxfId="0" priority="484" operator="lessThan">
      <formula>20</formula>
    </cfRule>
    <cfRule type="cellIs" dxfId="1" priority="275" operator="greaterThan">
      <formula>120</formula>
    </cfRule>
    <cfRule type="containsText" dxfId="3" priority="66" operator="between" text="库存">
      <formula>NOT(ISERROR(SEARCH("库存",AS149)))</formula>
    </cfRule>
  </conditionalFormatting>
  <conditionalFormatting sqref="AS150">
    <cfRule type="cellIs" dxfId="0" priority="483" operator="lessThan">
      <formula>20</formula>
    </cfRule>
    <cfRule type="cellIs" dxfId="1" priority="274" operator="greaterThan">
      <formula>120</formula>
    </cfRule>
    <cfRule type="containsText" dxfId="3" priority="65" operator="between" text="库存">
      <formula>NOT(ISERROR(SEARCH("库存",AS150)))</formula>
    </cfRule>
  </conditionalFormatting>
  <conditionalFormatting sqref="AS151">
    <cfRule type="cellIs" dxfId="0" priority="482" operator="lessThan">
      <formula>20</formula>
    </cfRule>
    <cfRule type="cellIs" dxfId="1" priority="273" operator="greaterThan">
      <formula>120</formula>
    </cfRule>
    <cfRule type="containsText" dxfId="3" priority="64" operator="between" text="库存">
      <formula>NOT(ISERROR(SEARCH("库存",AS151)))</formula>
    </cfRule>
  </conditionalFormatting>
  <conditionalFormatting sqref="AS152">
    <cfRule type="cellIs" dxfId="0" priority="481" operator="lessThan">
      <formula>20</formula>
    </cfRule>
    <cfRule type="cellIs" dxfId="1" priority="272" operator="greaterThan">
      <formula>120</formula>
    </cfRule>
    <cfRule type="containsText" dxfId="3" priority="63" operator="between" text="库存">
      <formula>NOT(ISERROR(SEARCH("库存",AS152)))</formula>
    </cfRule>
  </conditionalFormatting>
  <conditionalFormatting sqref="AS153">
    <cfRule type="cellIs" dxfId="0" priority="480" operator="lessThan">
      <formula>20</formula>
    </cfRule>
    <cfRule type="cellIs" dxfId="1" priority="271" operator="greaterThan">
      <formula>120</formula>
    </cfRule>
    <cfRule type="containsText" dxfId="3" priority="62" operator="between" text="库存">
      <formula>NOT(ISERROR(SEARCH("库存",AS153)))</formula>
    </cfRule>
  </conditionalFormatting>
  <conditionalFormatting sqref="AS154">
    <cfRule type="cellIs" dxfId="0" priority="479" operator="lessThan">
      <formula>20</formula>
    </cfRule>
    <cfRule type="cellIs" dxfId="1" priority="270" operator="greaterThan">
      <formula>120</formula>
    </cfRule>
    <cfRule type="containsText" dxfId="3" priority="61" operator="between" text="库存">
      <formula>NOT(ISERROR(SEARCH("库存",AS154)))</formula>
    </cfRule>
  </conditionalFormatting>
  <conditionalFormatting sqref="AS155">
    <cfRule type="cellIs" dxfId="0" priority="478" operator="lessThan">
      <formula>20</formula>
    </cfRule>
    <cfRule type="cellIs" dxfId="1" priority="269" operator="greaterThan">
      <formula>120</formula>
    </cfRule>
    <cfRule type="containsText" dxfId="3" priority="60" operator="between" text="库存">
      <formula>NOT(ISERROR(SEARCH("库存",AS155)))</formula>
    </cfRule>
  </conditionalFormatting>
  <conditionalFormatting sqref="AS156">
    <cfRule type="cellIs" dxfId="0" priority="477" operator="lessThan">
      <formula>20</formula>
    </cfRule>
    <cfRule type="cellIs" dxfId="1" priority="268" operator="greaterThan">
      <formula>120</formula>
    </cfRule>
    <cfRule type="containsText" dxfId="3" priority="59" operator="between" text="库存">
      <formula>NOT(ISERROR(SEARCH("库存",AS156)))</formula>
    </cfRule>
  </conditionalFormatting>
  <conditionalFormatting sqref="AS157">
    <cfRule type="cellIs" dxfId="0" priority="476" operator="lessThan">
      <formula>20</formula>
    </cfRule>
    <cfRule type="cellIs" dxfId="1" priority="267" operator="greaterThan">
      <formula>120</formula>
    </cfRule>
    <cfRule type="containsText" dxfId="3" priority="58" operator="between" text="库存">
      <formula>NOT(ISERROR(SEARCH("库存",AS157)))</formula>
    </cfRule>
  </conditionalFormatting>
  <conditionalFormatting sqref="AS158">
    <cfRule type="cellIs" dxfId="0" priority="475" operator="lessThan">
      <formula>20</formula>
    </cfRule>
    <cfRule type="cellIs" dxfId="1" priority="266" operator="greaterThan">
      <formula>120</formula>
    </cfRule>
    <cfRule type="containsText" dxfId="3" priority="57" operator="between" text="库存">
      <formula>NOT(ISERROR(SEARCH("库存",AS158)))</formula>
    </cfRule>
  </conditionalFormatting>
  <conditionalFormatting sqref="AS159">
    <cfRule type="cellIs" dxfId="0" priority="474" operator="lessThan">
      <formula>20</formula>
    </cfRule>
    <cfRule type="cellIs" dxfId="1" priority="265" operator="greaterThan">
      <formula>120</formula>
    </cfRule>
    <cfRule type="containsText" dxfId="3" priority="56" operator="between" text="库存">
      <formula>NOT(ISERROR(SEARCH("库存",AS159)))</formula>
    </cfRule>
  </conditionalFormatting>
  <conditionalFormatting sqref="AS160">
    <cfRule type="cellIs" dxfId="0" priority="473" operator="lessThan">
      <formula>20</formula>
    </cfRule>
    <cfRule type="cellIs" dxfId="1" priority="264" operator="greaterThan">
      <formula>120</formula>
    </cfRule>
    <cfRule type="containsText" dxfId="3" priority="55" operator="between" text="库存">
      <formula>NOT(ISERROR(SEARCH("库存",AS160)))</formula>
    </cfRule>
  </conditionalFormatting>
  <conditionalFormatting sqref="AS161">
    <cfRule type="cellIs" dxfId="0" priority="472" operator="lessThan">
      <formula>20</formula>
    </cfRule>
    <cfRule type="cellIs" dxfId="1" priority="263" operator="greaterThan">
      <formula>120</formula>
    </cfRule>
    <cfRule type="containsText" dxfId="3" priority="54" operator="between" text="库存">
      <formula>NOT(ISERROR(SEARCH("库存",AS161)))</formula>
    </cfRule>
  </conditionalFormatting>
  <conditionalFormatting sqref="AS162">
    <cfRule type="cellIs" dxfId="0" priority="471" operator="lessThan">
      <formula>20</formula>
    </cfRule>
    <cfRule type="cellIs" dxfId="1" priority="262" operator="greaterThan">
      <formula>120</formula>
    </cfRule>
    <cfRule type="containsText" dxfId="3" priority="53" operator="between" text="库存">
      <formula>NOT(ISERROR(SEARCH("库存",AS162)))</formula>
    </cfRule>
  </conditionalFormatting>
  <conditionalFormatting sqref="AS163">
    <cfRule type="cellIs" dxfId="0" priority="470" operator="lessThan">
      <formula>20</formula>
    </cfRule>
    <cfRule type="cellIs" dxfId="1" priority="261" operator="greaterThan">
      <formula>120</formula>
    </cfRule>
    <cfRule type="containsText" dxfId="3" priority="52" operator="between" text="库存">
      <formula>NOT(ISERROR(SEARCH("库存",AS163)))</formula>
    </cfRule>
  </conditionalFormatting>
  <conditionalFormatting sqref="AS164">
    <cfRule type="cellIs" dxfId="0" priority="469" operator="lessThan">
      <formula>20</formula>
    </cfRule>
    <cfRule type="cellIs" dxfId="1" priority="260" operator="greaterThan">
      <formula>120</formula>
    </cfRule>
    <cfRule type="containsText" dxfId="3" priority="51" operator="between" text="库存">
      <formula>NOT(ISERROR(SEARCH("库存",AS164)))</formula>
    </cfRule>
  </conditionalFormatting>
  <conditionalFormatting sqref="AS165">
    <cfRule type="cellIs" dxfId="0" priority="468" operator="lessThan">
      <formula>20</formula>
    </cfRule>
    <cfRule type="cellIs" dxfId="1" priority="259" operator="greaterThan">
      <formula>120</formula>
    </cfRule>
    <cfRule type="containsText" dxfId="3" priority="50" operator="between" text="库存">
      <formula>NOT(ISERROR(SEARCH("库存",AS165)))</formula>
    </cfRule>
  </conditionalFormatting>
  <conditionalFormatting sqref="AS166">
    <cfRule type="cellIs" dxfId="0" priority="467" operator="lessThan">
      <formula>20</formula>
    </cfRule>
    <cfRule type="cellIs" dxfId="1" priority="258" operator="greaterThan">
      <formula>120</formula>
    </cfRule>
    <cfRule type="containsText" dxfId="3" priority="49" operator="between" text="库存">
      <formula>NOT(ISERROR(SEARCH("库存",AS166)))</formula>
    </cfRule>
  </conditionalFormatting>
  <conditionalFormatting sqref="AS167">
    <cfRule type="cellIs" dxfId="0" priority="466" operator="lessThan">
      <formula>20</formula>
    </cfRule>
    <cfRule type="cellIs" dxfId="1" priority="257" operator="greaterThan">
      <formula>120</formula>
    </cfRule>
    <cfRule type="containsText" dxfId="3" priority="48" operator="between" text="库存">
      <formula>NOT(ISERROR(SEARCH("库存",AS167)))</formula>
    </cfRule>
  </conditionalFormatting>
  <conditionalFormatting sqref="AS168">
    <cfRule type="cellIs" dxfId="0" priority="465" operator="lessThan">
      <formula>20</formula>
    </cfRule>
    <cfRule type="cellIs" dxfId="1" priority="256" operator="greaterThan">
      <formula>120</formula>
    </cfRule>
    <cfRule type="containsText" dxfId="3" priority="47" operator="between" text="库存">
      <formula>NOT(ISERROR(SEARCH("库存",AS168)))</formula>
    </cfRule>
  </conditionalFormatting>
  <conditionalFormatting sqref="AS169">
    <cfRule type="cellIs" dxfId="0" priority="464" operator="lessThan">
      <formula>20</formula>
    </cfRule>
    <cfRule type="cellIs" dxfId="1" priority="255" operator="greaterThan">
      <formula>120</formula>
    </cfRule>
    <cfRule type="containsText" dxfId="3" priority="46" operator="between" text="库存">
      <formula>NOT(ISERROR(SEARCH("库存",AS169)))</formula>
    </cfRule>
  </conditionalFormatting>
  <conditionalFormatting sqref="AS170">
    <cfRule type="cellIs" dxfId="0" priority="463" operator="lessThan">
      <formula>20</formula>
    </cfRule>
    <cfRule type="cellIs" dxfId="1" priority="254" operator="greaterThan">
      <formula>120</formula>
    </cfRule>
    <cfRule type="containsText" dxfId="3" priority="45" operator="between" text="库存">
      <formula>NOT(ISERROR(SEARCH("库存",AS170)))</formula>
    </cfRule>
  </conditionalFormatting>
  <conditionalFormatting sqref="AS171">
    <cfRule type="cellIs" dxfId="0" priority="462" operator="lessThan">
      <formula>20</formula>
    </cfRule>
    <cfRule type="cellIs" dxfId="1" priority="253" operator="greaterThan">
      <formula>120</formula>
    </cfRule>
    <cfRule type="containsText" dxfId="3" priority="44" operator="between" text="库存">
      <formula>NOT(ISERROR(SEARCH("库存",AS171)))</formula>
    </cfRule>
  </conditionalFormatting>
  <conditionalFormatting sqref="AS172">
    <cfRule type="cellIs" dxfId="0" priority="461" operator="lessThan">
      <formula>20</formula>
    </cfRule>
    <cfRule type="cellIs" dxfId="1" priority="252" operator="greaterThan">
      <formula>120</formula>
    </cfRule>
    <cfRule type="containsText" dxfId="3" priority="43" operator="between" text="库存">
      <formula>NOT(ISERROR(SEARCH("库存",AS172)))</formula>
    </cfRule>
  </conditionalFormatting>
  <conditionalFormatting sqref="AS173">
    <cfRule type="cellIs" dxfId="0" priority="460" operator="lessThan">
      <formula>20</formula>
    </cfRule>
    <cfRule type="cellIs" dxfId="1" priority="251" operator="greaterThan">
      <formula>120</formula>
    </cfRule>
    <cfRule type="containsText" dxfId="3" priority="42" operator="between" text="库存">
      <formula>NOT(ISERROR(SEARCH("库存",AS173)))</formula>
    </cfRule>
  </conditionalFormatting>
  <conditionalFormatting sqref="AS174">
    <cfRule type="cellIs" dxfId="0" priority="459" operator="lessThan">
      <formula>20</formula>
    </cfRule>
    <cfRule type="cellIs" dxfId="1" priority="250" operator="greaterThan">
      <formula>120</formula>
    </cfRule>
    <cfRule type="containsText" dxfId="3" priority="41" operator="between" text="库存">
      <formula>NOT(ISERROR(SEARCH("库存",AS174)))</formula>
    </cfRule>
  </conditionalFormatting>
  <conditionalFormatting sqref="AS175">
    <cfRule type="cellIs" dxfId="0" priority="458" operator="lessThan">
      <formula>20</formula>
    </cfRule>
    <cfRule type="cellIs" dxfId="1" priority="249" operator="greaterThan">
      <formula>120</formula>
    </cfRule>
    <cfRule type="containsText" dxfId="3" priority="40" operator="between" text="库存">
      <formula>NOT(ISERROR(SEARCH("库存",AS175)))</formula>
    </cfRule>
  </conditionalFormatting>
  <conditionalFormatting sqref="AS176">
    <cfRule type="cellIs" dxfId="0" priority="457" operator="lessThan">
      <formula>20</formula>
    </cfRule>
    <cfRule type="cellIs" dxfId="1" priority="248" operator="greaterThan">
      <formula>120</formula>
    </cfRule>
    <cfRule type="containsText" dxfId="3" priority="39" operator="between" text="库存">
      <formula>NOT(ISERROR(SEARCH("库存",AS176)))</formula>
    </cfRule>
  </conditionalFormatting>
  <conditionalFormatting sqref="AS177">
    <cfRule type="cellIs" dxfId="0" priority="456" operator="lessThan">
      <formula>20</formula>
    </cfRule>
    <cfRule type="cellIs" dxfId="1" priority="247" operator="greaterThan">
      <formula>120</formula>
    </cfRule>
    <cfRule type="containsText" dxfId="3" priority="38" operator="between" text="库存">
      <formula>NOT(ISERROR(SEARCH("库存",AS177)))</formula>
    </cfRule>
  </conditionalFormatting>
  <conditionalFormatting sqref="AS178">
    <cfRule type="cellIs" dxfId="0" priority="455" operator="lessThan">
      <formula>20</formula>
    </cfRule>
    <cfRule type="cellIs" dxfId="1" priority="246" operator="greaterThan">
      <formula>120</formula>
    </cfRule>
    <cfRule type="containsText" dxfId="3" priority="37" operator="between" text="库存">
      <formula>NOT(ISERROR(SEARCH("库存",AS178)))</formula>
    </cfRule>
  </conditionalFormatting>
  <conditionalFormatting sqref="AS179">
    <cfRule type="cellIs" dxfId="0" priority="454" operator="lessThan">
      <formula>20</formula>
    </cfRule>
    <cfRule type="cellIs" dxfId="1" priority="245" operator="greaterThan">
      <formula>120</formula>
    </cfRule>
    <cfRule type="containsText" dxfId="3" priority="36" operator="between" text="库存">
      <formula>NOT(ISERROR(SEARCH("库存",AS179)))</formula>
    </cfRule>
  </conditionalFormatting>
  <conditionalFormatting sqref="AS180">
    <cfRule type="cellIs" dxfId="0" priority="453" operator="lessThan">
      <formula>20</formula>
    </cfRule>
    <cfRule type="cellIs" dxfId="1" priority="244" operator="greaterThan">
      <formula>120</formula>
    </cfRule>
    <cfRule type="containsText" dxfId="3" priority="35" operator="between" text="库存">
      <formula>NOT(ISERROR(SEARCH("库存",AS180)))</formula>
    </cfRule>
  </conditionalFormatting>
  <conditionalFormatting sqref="AS181">
    <cfRule type="cellIs" dxfId="0" priority="452" operator="lessThan">
      <formula>20</formula>
    </cfRule>
    <cfRule type="cellIs" dxfId="1" priority="243" operator="greaterThan">
      <formula>120</formula>
    </cfRule>
    <cfRule type="containsText" dxfId="3" priority="34" operator="between" text="库存">
      <formula>NOT(ISERROR(SEARCH("库存",AS181)))</formula>
    </cfRule>
  </conditionalFormatting>
  <conditionalFormatting sqref="AS182">
    <cfRule type="cellIs" dxfId="0" priority="451" operator="lessThan">
      <formula>20</formula>
    </cfRule>
    <cfRule type="cellIs" dxfId="1" priority="242" operator="greaterThan">
      <formula>120</formula>
    </cfRule>
    <cfRule type="containsText" dxfId="3" priority="33" operator="between" text="库存">
      <formula>NOT(ISERROR(SEARCH("库存",AS182)))</formula>
    </cfRule>
  </conditionalFormatting>
  <conditionalFormatting sqref="AS183">
    <cfRule type="cellIs" dxfId="0" priority="450" operator="lessThan">
      <formula>20</formula>
    </cfRule>
    <cfRule type="cellIs" dxfId="1" priority="241" operator="greaterThan">
      <formula>120</formula>
    </cfRule>
    <cfRule type="containsText" dxfId="3" priority="32" operator="between" text="库存">
      <formula>NOT(ISERROR(SEARCH("库存",AS183)))</formula>
    </cfRule>
  </conditionalFormatting>
  <conditionalFormatting sqref="AS184">
    <cfRule type="cellIs" dxfId="0" priority="449" operator="lessThan">
      <formula>20</formula>
    </cfRule>
    <cfRule type="cellIs" dxfId="1" priority="240" operator="greaterThan">
      <formula>120</formula>
    </cfRule>
    <cfRule type="containsText" dxfId="3" priority="31" operator="between" text="库存">
      <formula>NOT(ISERROR(SEARCH("库存",AS184)))</formula>
    </cfRule>
  </conditionalFormatting>
  <conditionalFormatting sqref="AS185">
    <cfRule type="cellIs" dxfId="0" priority="448" operator="lessThan">
      <formula>20</formula>
    </cfRule>
    <cfRule type="cellIs" dxfId="1" priority="239" operator="greaterThan">
      <formula>120</formula>
    </cfRule>
    <cfRule type="containsText" dxfId="3" priority="30" operator="between" text="库存">
      <formula>NOT(ISERROR(SEARCH("库存",AS185)))</formula>
    </cfRule>
  </conditionalFormatting>
  <conditionalFormatting sqref="AS186">
    <cfRule type="cellIs" dxfId="0" priority="447" operator="lessThan">
      <formula>20</formula>
    </cfRule>
    <cfRule type="cellIs" dxfId="1" priority="238" operator="greaterThan">
      <formula>120</formula>
    </cfRule>
    <cfRule type="containsText" dxfId="3" priority="29" operator="between" text="库存">
      <formula>NOT(ISERROR(SEARCH("库存",AS186)))</formula>
    </cfRule>
  </conditionalFormatting>
  <conditionalFormatting sqref="AS187">
    <cfRule type="cellIs" dxfId="0" priority="446" operator="lessThan">
      <formula>20</formula>
    </cfRule>
    <cfRule type="cellIs" dxfId="1" priority="237" operator="greaterThan">
      <formula>120</formula>
    </cfRule>
    <cfRule type="containsText" dxfId="3" priority="28" operator="between" text="库存">
      <formula>NOT(ISERROR(SEARCH("库存",AS187)))</formula>
    </cfRule>
  </conditionalFormatting>
  <conditionalFormatting sqref="AS188">
    <cfRule type="cellIs" dxfId="0" priority="445" operator="lessThan">
      <formula>20</formula>
    </cfRule>
    <cfRule type="cellIs" dxfId="1" priority="236" operator="greaterThan">
      <formula>120</formula>
    </cfRule>
    <cfRule type="containsText" dxfId="3" priority="27" operator="between" text="库存">
      <formula>NOT(ISERROR(SEARCH("库存",AS188)))</formula>
    </cfRule>
  </conditionalFormatting>
  <conditionalFormatting sqref="AS189">
    <cfRule type="cellIs" dxfId="0" priority="444" operator="lessThan">
      <formula>20</formula>
    </cfRule>
    <cfRule type="cellIs" dxfId="1" priority="235" operator="greaterThan">
      <formula>120</formula>
    </cfRule>
    <cfRule type="containsText" dxfId="3" priority="26" operator="between" text="库存">
      <formula>NOT(ISERROR(SEARCH("库存",AS189)))</formula>
    </cfRule>
  </conditionalFormatting>
  <conditionalFormatting sqref="AS190">
    <cfRule type="cellIs" dxfId="0" priority="443" operator="lessThan">
      <formula>20</formula>
    </cfRule>
    <cfRule type="cellIs" dxfId="1" priority="234" operator="greaterThan">
      <formula>120</formula>
    </cfRule>
    <cfRule type="containsText" dxfId="3" priority="25" operator="between" text="库存">
      <formula>NOT(ISERROR(SEARCH("库存",AS190)))</formula>
    </cfRule>
  </conditionalFormatting>
  <conditionalFormatting sqref="AS191">
    <cfRule type="cellIs" dxfId="0" priority="442" operator="lessThan">
      <formula>20</formula>
    </cfRule>
    <cfRule type="cellIs" dxfId="1" priority="233" operator="greaterThan">
      <formula>120</formula>
    </cfRule>
    <cfRule type="containsText" dxfId="3" priority="24" operator="between" text="库存">
      <formula>NOT(ISERROR(SEARCH("库存",AS191)))</formula>
    </cfRule>
  </conditionalFormatting>
  <conditionalFormatting sqref="AS192">
    <cfRule type="cellIs" dxfId="0" priority="441" operator="lessThan">
      <formula>20</formula>
    </cfRule>
    <cfRule type="cellIs" dxfId="1" priority="232" operator="greaterThan">
      <formula>120</formula>
    </cfRule>
    <cfRule type="containsText" dxfId="3" priority="23" operator="between" text="库存">
      <formula>NOT(ISERROR(SEARCH("库存",AS192)))</formula>
    </cfRule>
  </conditionalFormatting>
  <conditionalFormatting sqref="AS193">
    <cfRule type="cellIs" dxfId="0" priority="440" operator="lessThan">
      <formula>20</formula>
    </cfRule>
    <cfRule type="cellIs" dxfId="1" priority="231" operator="greaterThan">
      <formula>120</formula>
    </cfRule>
    <cfRule type="containsText" dxfId="3" priority="22" operator="between" text="库存">
      <formula>NOT(ISERROR(SEARCH("库存",AS193)))</formula>
    </cfRule>
  </conditionalFormatting>
  <conditionalFormatting sqref="AS194">
    <cfRule type="cellIs" dxfId="0" priority="439" operator="lessThan">
      <formula>20</formula>
    </cfRule>
    <cfRule type="cellIs" dxfId="1" priority="230" operator="greaterThan">
      <formula>120</formula>
    </cfRule>
    <cfRule type="containsText" dxfId="3" priority="21" operator="between" text="库存">
      <formula>NOT(ISERROR(SEARCH("库存",AS194)))</formula>
    </cfRule>
  </conditionalFormatting>
  <conditionalFormatting sqref="AS195">
    <cfRule type="cellIs" dxfId="0" priority="438" operator="lessThan">
      <formula>20</formula>
    </cfRule>
    <cfRule type="cellIs" dxfId="1" priority="229" operator="greaterThan">
      <formula>120</formula>
    </cfRule>
    <cfRule type="containsText" dxfId="3" priority="20" operator="between" text="库存">
      <formula>NOT(ISERROR(SEARCH("库存",AS195)))</formula>
    </cfRule>
  </conditionalFormatting>
  <conditionalFormatting sqref="AS196">
    <cfRule type="cellIs" dxfId="0" priority="437" operator="lessThan">
      <formula>20</formula>
    </cfRule>
    <cfRule type="cellIs" dxfId="1" priority="228" operator="greaterThan">
      <formula>120</formula>
    </cfRule>
    <cfRule type="containsText" dxfId="3" priority="19" operator="between" text="库存">
      <formula>NOT(ISERROR(SEARCH("库存",AS196)))</formula>
    </cfRule>
  </conditionalFormatting>
  <conditionalFormatting sqref="AS197">
    <cfRule type="cellIs" dxfId="0" priority="436" operator="lessThan">
      <formula>20</formula>
    </cfRule>
    <cfRule type="cellIs" dxfId="1" priority="227" operator="greaterThan">
      <formula>120</formula>
    </cfRule>
    <cfRule type="containsText" dxfId="3" priority="18" operator="between" text="库存">
      <formula>NOT(ISERROR(SEARCH("库存",AS197)))</formula>
    </cfRule>
  </conditionalFormatting>
  <conditionalFormatting sqref="AS198">
    <cfRule type="cellIs" dxfId="0" priority="435" operator="lessThan">
      <formula>20</formula>
    </cfRule>
    <cfRule type="cellIs" dxfId="1" priority="226" operator="greaterThan">
      <formula>120</formula>
    </cfRule>
    <cfRule type="containsText" dxfId="3" priority="17" operator="between" text="库存">
      <formula>NOT(ISERROR(SEARCH("库存",AS198)))</formula>
    </cfRule>
  </conditionalFormatting>
  <conditionalFormatting sqref="AS199">
    <cfRule type="cellIs" dxfId="0" priority="434" operator="lessThan">
      <formula>20</formula>
    </cfRule>
    <cfRule type="cellIs" dxfId="1" priority="225" operator="greaterThan">
      <formula>120</formula>
    </cfRule>
    <cfRule type="containsText" dxfId="3" priority="16" operator="between" text="库存">
      <formula>NOT(ISERROR(SEARCH("库存",AS199)))</formula>
    </cfRule>
  </conditionalFormatting>
  <conditionalFormatting sqref="AS200">
    <cfRule type="cellIs" dxfId="0" priority="433" operator="lessThan">
      <formula>20</formula>
    </cfRule>
    <cfRule type="cellIs" dxfId="1" priority="224" operator="greaterThan">
      <formula>120</formula>
    </cfRule>
    <cfRule type="containsText" dxfId="3" priority="15" operator="between" text="库存">
      <formula>NOT(ISERROR(SEARCH("库存",AS200)))</formula>
    </cfRule>
  </conditionalFormatting>
  <conditionalFormatting sqref="AS201">
    <cfRule type="cellIs" dxfId="0" priority="432" operator="lessThan">
      <formula>20</formula>
    </cfRule>
    <cfRule type="cellIs" dxfId="1" priority="223" operator="greaterThan">
      <formula>120</formula>
    </cfRule>
    <cfRule type="containsText" dxfId="3" priority="14" operator="between" text="库存">
      <formula>NOT(ISERROR(SEARCH("库存",AS201)))</formula>
    </cfRule>
  </conditionalFormatting>
  <conditionalFormatting sqref="AS202">
    <cfRule type="cellIs" dxfId="0" priority="431" operator="lessThan">
      <formula>20</formula>
    </cfRule>
    <cfRule type="cellIs" dxfId="1" priority="222" operator="greaterThan">
      <formula>120</formula>
    </cfRule>
    <cfRule type="containsText" dxfId="3" priority="13" operator="between" text="库存">
      <formula>NOT(ISERROR(SEARCH("库存",AS202)))</formula>
    </cfRule>
  </conditionalFormatting>
  <conditionalFormatting sqref="AS203">
    <cfRule type="cellIs" dxfId="0" priority="430" operator="lessThan">
      <formula>20</formula>
    </cfRule>
    <cfRule type="cellIs" dxfId="1" priority="221" operator="greaterThan">
      <formula>120</formula>
    </cfRule>
    <cfRule type="containsText" dxfId="3" priority="12" operator="between" text="库存">
      <formula>NOT(ISERROR(SEARCH("库存",AS203)))</formula>
    </cfRule>
  </conditionalFormatting>
  <conditionalFormatting sqref="AS204">
    <cfRule type="cellIs" dxfId="0" priority="429" operator="lessThan">
      <formula>20</formula>
    </cfRule>
    <cfRule type="cellIs" dxfId="1" priority="220" operator="greaterThan">
      <formula>120</formula>
    </cfRule>
    <cfRule type="containsText" dxfId="3" priority="11" operator="between" text="库存">
      <formula>NOT(ISERROR(SEARCH("库存",AS204)))</formula>
    </cfRule>
  </conditionalFormatting>
  <conditionalFormatting sqref="AS205">
    <cfRule type="cellIs" dxfId="0" priority="428" operator="lessThan">
      <formula>20</formula>
    </cfRule>
    <cfRule type="cellIs" dxfId="1" priority="219" operator="greaterThan">
      <formula>120</formula>
    </cfRule>
    <cfRule type="containsText" dxfId="3" priority="10" operator="between" text="库存">
      <formula>NOT(ISERROR(SEARCH("库存",AS205)))</formula>
    </cfRule>
  </conditionalFormatting>
  <conditionalFormatting sqref="AS206">
    <cfRule type="cellIs" dxfId="0" priority="427" operator="lessThan">
      <formula>20</formula>
    </cfRule>
    <cfRule type="cellIs" dxfId="1" priority="218" operator="greaterThan">
      <formula>120</formula>
    </cfRule>
    <cfRule type="containsText" dxfId="3" priority="9" operator="between" text="库存">
      <formula>NOT(ISERROR(SEARCH("库存",AS206)))</formula>
    </cfRule>
  </conditionalFormatting>
  <conditionalFormatting sqref="AS207">
    <cfRule type="cellIs" dxfId="0" priority="426" operator="lessThan">
      <formula>20</formula>
    </cfRule>
    <cfRule type="cellIs" dxfId="1" priority="217" operator="greaterThan">
      <formula>120</formula>
    </cfRule>
    <cfRule type="containsText" dxfId="3" priority="8" operator="between" text="库存">
      <formula>NOT(ISERROR(SEARCH("库存",AS207)))</formula>
    </cfRule>
  </conditionalFormatting>
  <conditionalFormatting sqref="AS208">
    <cfRule type="cellIs" dxfId="0" priority="425" operator="lessThan">
      <formula>20</formula>
    </cfRule>
    <cfRule type="cellIs" dxfId="1" priority="216" operator="greaterThan">
      <formula>120</formula>
    </cfRule>
    <cfRule type="containsText" dxfId="3" priority="7" operator="between" text="库存">
      <formula>NOT(ISERROR(SEARCH("库存",AS208)))</formula>
    </cfRule>
  </conditionalFormatting>
  <conditionalFormatting sqref="AS209">
    <cfRule type="cellIs" dxfId="0" priority="424" operator="lessThan">
      <formula>20</formula>
    </cfRule>
    <cfRule type="cellIs" dxfId="1" priority="215" operator="greaterThan">
      <formula>120</formula>
    </cfRule>
    <cfRule type="containsText" dxfId="3" priority="6" operator="between" text="库存">
      <formula>NOT(ISERROR(SEARCH("库存",AS209)))</formula>
    </cfRule>
  </conditionalFormatting>
  <conditionalFormatting sqref="AS210">
    <cfRule type="cellIs" dxfId="0" priority="423" operator="lessThan">
      <formula>20</formula>
    </cfRule>
    <cfRule type="cellIs" dxfId="1" priority="214" operator="greaterThan">
      <formula>120</formula>
    </cfRule>
    <cfRule type="containsText" dxfId="3" priority="5" operator="between" text="库存">
      <formula>NOT(ISERROR(SEARCH("库存",AS210)))</formula>
    </cfRule>
  </conditionalFormatting>
  <conditionalFormatting sqref="AS211">
    <cfRule type="cellIs" dxfId="0" priority="422" operator="lessThan">
      <formula>20</formula>
    </cfRule>
    <cfRule type="cellIs" dxfId="1" priority="213" operator="greaterThan">
      <formula>120</formula>
    </cfRule>
    <cfRule type="containsText" dxfId="3" priority="4" operator="between" text="库存">
      <formula>NOT(ISERROR(SEARCH("库存",AS211)))</formula>
    </cfRule>
  </conditionalFormatting>
  <conditionalFormatting sqref="AS212">
    <cfRule type="cellIs" dxfId="0" priority="421" operator="lessThan">
      <formula>20</formula>
    </cfRule>
    <cfRule type="cellIs" dxfId="1" priority="212" operator="greaterThan">
      <formula>120</formula>
    </cfRule>
    <cfRule type="containsText" dxfId="3" priority="3" operator="between" text="库存">
      <formula>NOT(ISERROR(SEARCH("库存",AS212)))</formula>
    </cfRule>
  </conditionalFormatting>
  <conditionalFormatting sqref="AS213">
    <cfRule type="cellIs" dxfId="0" priority="420" operator="lessThan">
      <formula>20</formula>
    </cfRule>
    <cfRule type="cellIs" dxfId="1" priority="211" operator="greaterThan">
      <formula>120</formula>
    </cfRule>
    <cfRule type="containsText" dxfId="3" priority="2" operator="between" text="库存">
      <formula>NOT(ISERROR(SEARCH("库存",AS213)))</formula>
    </cfRule>
  </conditionalFormatting>
  <conditionalFormatting sqref="AS214">
    <cfRule type="cellIs" dxfId="0" priority="419" operator="lessThan">
      <formula>20</formula>
    </cfRule>
    <cfRule type="cellIs" dxfId="1" priority="210" operator="greaterThan">
      <formula>120</formula>
    </cfRule>
    <cfRule type="containsText" dxfId="3" priority="1" operator="between" text="库存">
      <formula>NOT(ISERROR(SEARCH("库存",AS214)))</formula>
    </cfRule>
  </conditionalFormatting>
  <conditionalFormatting sqref="AS1 AS3:AS5 AS215:AS1048576">
    <cfRule type="containsText" dxfId="3" priority="6238" operator="between" text="库存">
      <formula>NOT(ISERROR(SEARCH("库存",AS1)))</formula>
    </cfRule>
    <cfRule type="cellIs" dxfId="1" priority="6239" operator="greaterThan">
      <formula>120</formula>
    </cfRule>
    <cfRule type="cellIs" dxfId="0" priority="624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2441</v>
      </c>
      <c r="B1" s="1">
        <f>B12</f>
        <v>43304</v>
      </c>
    </row>
    <row r="2" spans="1:2">
      <c r="A2" t="s">
        <v>2442</v>
      </c>
      <c r="B2" s="1">
        <v>43331</v>
      </c>
    </row>
    <row r="4" spans="1:2">
      <c r="A4" t="s">
        <v>2443</v>
      </c>
      <c r="B4" s="2">
        <f>B2+1</f>
        <v>43332</v>
      </c>
    </row>
    <row r="5" spans="1:2">
      <c r="A5" t="s">
        <v>2444</v>
      </c>
      <c r="B5" s="3">
        <f>B2</f>
        <v>43331</v>
      </c>
    </row>
    <row r="6" spans="1:2">
      <c r="A6" t="s">
        <v>2445</v>
      </c>
      <c r="B6" s="2">
        <f>B5-6</f>
        <v>43325</v>
      </c>
    </row>
    <row r="7" spans="1:2">
      <c r="A7" t="s">
        <v>2446</v>
      </c>
      <c r="B7" s="2">
        <f>B5-7</f>
        <v>43324</v>
      </c>
    </row>
    <row r="8" spans="1:2">
      <c r="A8" t="s">
        <v>2447</v>
      </c>
      <c r="B8" s="2">
        <f>B5-13</f>
        <v>43318</v>
      </c>
    </row>
    <row r="9" spans="1:2">
      <c r="A9" t="s">
        <v>2448</v>
      </c>
      <c r="B9" s="2">
        <f>B5-14</f>
        <v>43317</v>
      </c>
    </row>
    <row r="10" spans="1:2">
      <c r="A10" t="s">
        <v>2449</v>
      </c>
      <c r="B10" s="2">
        <f>B5-20</f>
        <v>43311</v>
      </c>
    </row>
    <row r="11" spans="1:2">
      <c r="A11" t="s">
        <v>2450</v>
      </c>
      <c r="B11" s="2">
        <f>B5-21</f>
        <v>43310</v>
      </c>
    </row>
    <row r="12" spans="1:2">
      <c r="A12" t="s">
        <v>2451</v>
      </c>
      <c r="B12" s="2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2018-08-21T03:45:08Z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