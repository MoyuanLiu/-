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0" hidden="1">预留库存!$A$1:$H$1</definedName>
    <definedName name="_xlnm._FilterDatabase" localSheetId="2" hidden="1">管理亚马逊库存!$A$1:$R$878</definedName>
    <definedName name="_xlnm._FilterDatabase" localSheetId="1" hidden="1">库龄!$A$1:$AH$8228</definedName>
  </definedNames>
  <calcPr calcId="144525" concurrentCalc="0"/>
</workbook>
</file>

<file path=xl/sharedStrings.xml><?xml version="1.0" encoding="utf-8"?>
<sst xmlns="http://schemas.openxmlformats.org/spreadsheetml/2006/main" count="3957">
  <si>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</si>
  <si>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</si>
  <si>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</si>
  <si>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</si>
  <si>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</si>
  <si>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</si>
  <si>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</si>
  <si>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</si>
  <si>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AWFSNANKU-HBWYB5822BS-36</t>
  </si>
  <si>
    <t>X001G5VXQ9</t>
  </si>
  <si>
    <t>B07193G3ZX</t>
  </si>
  <si>
    <t>Men's Relaxed Fit Solid Long Cargo Shorts Capri Pants (no belt)(White, 36)</t>
  </si>
  <si>
    <t>CWGQYS-BDR0XL</t>
  </si>
  <si>
    <t>X001O1U807</t>
  </si>
  <si>
    <t>B07844VFWQ</t>
  </si>
  <si>
    <t>luciphia The Original Control Dog Harness No Pull &amp; No Choke Design, Luxurious Padded Vest, Eco-Friendly, For Puppies and Dogs</t>
  </si>
  <si>
    <t>ETYIMC-L-3</t>
  </si>
  <si>
    <t>X001UJ16BN</t>
  </si>
  <si>
    <t>B07FZY7P2X</t>
  </si>
  <si>
    <t>LINENLUX Kids Lightweight Jacket Waterproof Outwear Raincoat</t>
  </si>
  <si>
    <t>ETYIBLUE-M-2</t>
  </si>
  <si>
    <t>X001TURG4T</t>
  </si>
  <si>
    <t>B07F9RX9DD</t>
  </si>
  <si>
    <t>ETYIBLUE-L</t>
  </si>
  <si>
    <t>X001JEUCFZ</t>
  </si>
  <si>
    <t>B073QPMMCK</t>
  </si>
  <si>
    <t>ETYIYELLOW-M</t>
  </si>
  <si>
    <t>X001JFALN7</t>
  </si>
  <si>
    <t>B073QPBC2V</t>
  </si>
  <si>
    <t>ETYIYELLOW-L</t>
  </si>
  <si>
    <t>X001JFALMN</t>
  </si>
  <si>
    <t>B073QP8N2J</t>
  </si>
  <si>
    <t>ETYIYUANDIAN-M</t>
  </si>
  <si>
    <t>X001NHNTAX</t>
  </si>
  <si>
    <t>B0771L2H52</t>
  </si>
  <si>
    <t>ETYIYUANDIAN-S-2</t>
  </si>
  <si>
    <t>X001TV1C8T</t>
  </si>
  <si>
    <t>B07FJMCFZM</t>
  </si>
  <si>
    <t>ETYIMC-M-2</t>
  </si>
  <si>
    <t>X001TUX4G3</t>
  </si>
  <si>
    <t>B07F9S6B2N</t>
  </si>
  <si>
    <t>ETYIYELLOW-XL</t>
  </si>
  <si>
    <t>X001JF9BV5</t>
  </si>
  <si>
    <t>B073QPRGCH</t>
  </si>
  <si>
    <t>GMSNH-LUHM001-W0</t>
  </si>
  <si>
    <t>X001U0DJ21</t>
  </si>
  <si>
    <t>B07DQLKY6N</t>
  </si>
  <si>
    <t>Small Foldable Storage Basket waterproof Oxford Storage Bins for Toy Storage(White,7.9x5.5x6.3In)</t>
  </si>
  <si>
    <t>ETYIMC-XL</t>
  </si>
  <si>
    <t>X001JF9BVF</t>
  </si>
  <si>
    <t>B073QP2NR8</t>
  </si>
  <si>
    <t>HUAPET-1PPS-XL</t>
  </si>
  <si>
    <t>X001NCXL4R</t>
  </si>
  <si>
    <t>B077GV5S1X</t>
  </si>
  <si>
    <t>luciphia Winter Dog Pet Vest Coat Waterproof Jacket With Zipper Purple XL</t>
  </si>
  <si>
    <t>GMZYL-FLQ06-BF-40</t>
  </si>
  <si>
    <t>X001U0ZH2V</t>
  </si>
  <si>
    <t>B076P8S1LC</t>
  </si>
  <si>
    <t>Dirty Clothes Laundry Storage Basket for Bedroom Bathroom Kids Linen Cotton White and Batman 15.7"x15.7"x19.7"</t>
  </si>
  <si>
    <t>LQXFLS85*85CM</t>
  </si>
  <si>
    <t>X0016P398T</t>
  </si>
  <si>
    <t>B01FS78IA8</t>
  </si>
  <si>
    <t>LINENLUX Embroidery Hollow Square Tablecloths Cover Towel Refrigerator Dust Cover Tv (33.4 X 33.4In)</t>
  </si>
  <si>
    <t>MTX-IULHY-M1759-GR-27</t>
  </si>
  <si>
    <t>X001U8L9EN</t>
  </si>
  <si>
    <t>B07FPDVC3D</t>
  </si>
  <si>
    <t>LINENLUX Open-Toe Home Slippers, Memory Foam Winter Casual Shoes Women/Men</t>
  </si>
  <si>
    <t>MZYSMZ01140*210cm</t>
  </si>
  <si>
    <t>X0012TO46Z</t>
  </si>
  <si>
    <t>B01BHQVSLK</t>
  </si>
  <si>
    <t>LINENLUX Map Printed Lace Table Cloth for Round&amp;Rectangular&amp;Oval Table (55.1x82In, White)</t>
  </si>
  <si>
    <t>MZYSZHUOBUDTLEIS140*140CM</t>
  </si>
  <si>
    <t>X001JSFNRX</t>
  </si>
  <si>
    <t>B074PM11B6</t>
  </si>
  <si>
    <t>LINENLUX Map Printed Lace Table Cloth for Round&amp;Rectangular&amp;Oval Table(55x55In)</t>
  </si>
  <si>
    <t>MZYSZHUOBUDTMAP140*250CM</t>
  </si>
  <si>
    <t>X001EGMBE3</t>
  </si>
  <si>
    <t>B0727P48K4</t>
  </si>
  <si>
    <t>LINENLUX Linens Tablecloths Picnic Burlap Tablecloth for Round&amp;Rectangular&amp;Oval Table Cover with Map Printed(Map,55.1x98.4In)</t>
  </si>
  <si>
    <t>MZYSZHUOBUDTLEIS60*60CM</t>
  </si>
  <si>
    <t>X001JSIC1R</t>
  </si>
  <si>
    <t>B074PLDC18</t>
  </si>
  <si>
    <t>LINENLUX Map Printed Lace Table Cloth for Round&amp;Rectangular&amp;Oval Table(23x23In)</t>
  </si>
  <si>
    <t>MZYSMZ0170*140cm</t>
  </si>
  <si>
    <t>X0013X85P1</t>
  </si>
  <si>
    <t>B01BHQVOS2</t>
  </si>
  <si>
    <t>LINENLUX Map Printed Lace Table Cloth for Round&amp;Rectangular&amp;Oval Table (55.1x66.9In, White)</t>
  </si>
  <si>
    <t>MZYSZHUOBUDTMAP100*140CM</t>
  </si>
  <si>
    <t>X001EG1ZS1</t>
  </si>
  <si>
    <t>B06XXBVWRG</t>
  </si>
  <si>
    <t>LINENLUX Linens Tablecloths Picnic Burlap Tablecloth for Round&amp;Rectangular&amp;Oval Table Cover with Map Printed(Map,39.3x55In)</t>
  </si>
  <si>
    <t>MZYSZHUOBUDTLEIS100*140CM</t>
  </si>
  <si>
    <t>X001JRMNLX</t>
  </si>
  <si>
    <t>B074PL73NX</t>
  </si>
  <si>
    <t>LINENLUX Map Printed Lace Table Cloth for Round&amp;Rectangular&amp;Oval Table(39.3x55In)</t>
  </si>
  <si>
    <t>MZYSZHUOBUDTMAP140*180CM</t>
  </si>
  <si>
    <t>X001EFP3G7</t>
  </si>
  <si>
    <t>B06XWZGBSS</t>
  </si>
  <si>
    <t>LINENLUX Linens Tablecloths Picnic Burlap Tablecloth for Round&amp;Rectangular&amp;Oval Table Cover with Map Printed(Map,55x70.7In)</t>
  </si>
  <si>
    <t>MZYSZHUOBUDTLEIS140*250CM</t>
  </si>
  <si>
    <t>X001JSJZZT</t>
  </si>
  <si>
    <t>B074PLCZ8Z</t>
  </si>
  <si>
    <t>LINENLUX Map Printed Lace Table Cloth for Round&amp;Rectangular&amp;Oval Table(55.1x98.4In)</t>
  </si>
  <si>
    <t>MZYSZHUOBUDTMAP60*60CM</t>
  </si>
  <si>
    <t>X001EFV1IB</t>
  </si>
  <si>
    <t>B071V5YMVC</t>
  </si>
  <si>
    <t>LINENLUX Linens Tablecloths Picnic Burlap Tablecloth for Round&amp;Rectangular&amp;Oval Table Cover with Map Printed(Map,23x23In)</t>
  </si>
  <si>
    <t>MZYSZHUOBUDTMAP140*220CM</t>
  </si>
  <si>
    <t>X001EFOGBP</t>
  </si>
  <si>
    <t>B06XX6W66W</t>
  </si>
  <si>
    <t>LINENLUX Linens Tablecloths Picnic Burlap Tablecloth for Round&amp;Rectangular&amp;Oval Table Cover with Map Printed(Map,55x86.5In)</t>
  </si>
  <si>
    <t>MZYSZHUOBUDTMAP140*140CM</t>
  </si>
  <si>
    <t>X001E0CY4V</t>
  </si>
  <si>
    <t>B06XXGBRDS</t>
  </si>
  <si>
    <t>LINENLUX Linens Tablecloths Picnic Burlap Tablecloth for Round&amp;Rectangular&amp;Oval Table Cover with Map Printed(Map,55x55In)</t>
  </si>
  <si>
    <t>NEWCBLUE-XL</t>
  </si>
  <si>
    <t>X001O4U025</t>
  </si>
  <si>
    <t>B077XVFP3Q</t>
  </si>
  <si>
    <t>LINENLUX Children Raincoat, Kids Rain Poncho, Rain Jacket Rainwear With Hoods and Sleeves For Boys Girls (XL, Blue)</t>
  </si>
  <si>
    <t>MZYSZHUOBUDTLEIS90*90CM</t>
  </si>
  <si>
    <t>X001JSJWS9</t>
  </si>
  <si>
    <t>B074PLW9HM</t>
  </si>
  <si>
    <t>LINENLUX Map Printed Lace Table Cloth for Round&amp;Rectangular&amp;Oval Table(35.4x35.4In)</t>
  </si>
  <si>
    <t>SB-100-K0</t>
  </si>
  <si>
    <t>X001TZQ9MT</t>
  </si>
  <si>
    <t>B07DVBN2KT</t>
  </si>
  <si>
    <t>LINENLUX Mesh Beach Tote Bag with Zipper Top and Insulated Picnic Cooler and Free Bonus Waterproof Cellphone Case Black</t>
  </si>
  <si>
    <t>SB-101-B0</t>
  </si>
  <si>
    <t>X001TZJSFJ</t>
  </si>
  <si>
    <t>B07FJQJ4XP</t>
  </si>
  <si>
    <t>LINENLUX Mesh Beach Tote Bag with Zipper Top and Insulated Picnic Cooler and Free Bonus Waterproof Cellphone Case Blue</t>
  </si>
  <si>
    <t>SB-100-G0</t>
  </si>
  <si>
    <t>X001TZL6XL</t>
  </si>
  <si>
    <t>B07DVLM761</t>
  </si>
  <si>
    <t>LINENLUX Mesh Beach Tote Bag with Zipper Top and Insulated Picnic Cooler and Free Bonus Waterproof Cellphone Case Green</t>
  </si>
  <si>
    <t>SB-100-R0</t>
  </si>
  <si>
    <t>X001TZJP2P</t>
  </si>
  <si>
    <t>B07DVK4HKX</t>
  </si>
  <si>
    <t>LINENLUX Mesh Beach Tote Bag with Zipper Top and Insulated Picnic Cooler and Free Bonus Waterproof Cellphone Case Red</t>
  </si>
  <si>
    <t>TBYPRBTWO-M</t>
  </si>
  <si>
    <t>X001DAX8O7</t>
  </si>
  <si>
    <t>B01MXWAV9T</t>
  </si>
  <si>
    <t>LINENLUX Hooded Waterproof Rain Ponchos with Zipper Outdoor Windbreak Bike Hike Poncho</t>
  </si>
  <si>
    <t>TBYPJBLACK</t>
  </si>
  <si>
    <t>X001L3MW3J</t>
  </si>
  <si>
    <t>B075WTPCQ5</t>
  </si>
  <si>
    <t>LINENLUX SiYang Rain Poncho Jacket Coat for Adults Ponchos Rain Hooded Waterproof with Zipper Outdoor (Black)</t>
  </si>
  <si>
    <t>TBYPRBONE-M</t>
  </si>
  <si>
    <t>X001D65BXH</t>
  </si>
  <si>
    <t>B01N0OX2DR</t>
  </si>
  <si>
    <t>LINENLUX Stylish Unisex Hooded Waterproof Raincoat with Zipper Outdoor Windbreak Rain Jacket Bike Poncho Point Cloak</t>
  </si>
  <si>
    <t>TBYY0ROINT</t>
  </si>
  <si>
    <t>X001KPKXZH</t>
  </si>
  <si>
    <t>B075J94VLL</t>
  </si>
  <si>
    <t>LINENLUX SiYang Rain Poncho Jacket Coat for Adults Hooded Waterproof with Zipper Outdoor (Pink Point)</t>
  </si>
  <si>
    <t>SXHLYITAO2-LH-001SKFS40x60CM</t>
  </si>
  <si>
    <t>X001JLBATF</t>
  </si>
  <si>
    <t>B072HHBCK2</t>
  </si>
  <si>
    <t>LINENLUX Set of 2pcs Polyester Spandex Banquet Wedding Party Chair Covers(Coffee)</t>
  </si>
  <si>
    <t>SXHLYITAO1-LH-001WI40x60CM</t>
  </si>
  <si>
    <t>X001MVZ8JP</t>
  </si>
  <si>
    <t>B077FLHKK7</t>
  </si>
  <si>
    <t>LINENLUX Set of 2 Removable Short Stretch Spandex Dining Chair Slipcovers Protector, Super Fit Banquet Chair Seat Cover for Hotel and Wedding Ceremony, Washable (Package Quantity: 2, White)</t>
  </si>
  <si>
    <t>TBYWHITE</t>
  </si>
  <si>
    <t>X001L39K3T</t>
  </si>
  <si>
    <t>B075XK4TVD</t>
  </si>
  <si>
    <t>LINENLUX SiYang Rain Poncho Jacket Coat for Adults Hooded Waterproof with Zipper Outdoor (White)</t>
  </si>
  <si>
    <t>TBYPRBFOUR-M</t>
  </si>
  <si>
    <t>X001BT71DJ</t>
  </si>
  <si>
    <t>B01NBIQ076</t>
  </si>
  <si>
    <t>Hooded Waterproof Rain Poncho with Zipper Outdoor Windbreak Colorful Ripple Rain Jacket</t>
  </si>
  <si>
    <t>SXHLYITAO1-LH-001MHS40x60CM</t>
  </si>
  <si>
    <t>X001JLAB6D</t>
  </si>
  <si>
    <t>B0718Y1XP3</t>
  </si>
  <si>
    <t>LINENLUX Stretch Polyester Spandex Dining Chair Cover for Wedding Banquet Party Many Colors Set of 2(Pink)</t>
  </si>
  <si>
    <t>TM-IULCY-300-AG</t>
  </si>
  <si>
    <t>X001TZULKF</t>
  </si>
  <si>
    <t>B07FF5XBYR</t>
  </si>
  <si>
    <t>LINENLUX Muti-functional Tent Camping Tarp Waterproof Shelter Sunshade for Picnic, Hiking,Travel,Fishing(army-green)</t>
  </si>
  <si>
    <t>TBYPRBTHREE-M</t>
  </si>
  <si>
    <t>X001DAKZLB</t>
  </si>
  <si>
    <t>B01NGTXV1B</t>
  </si>
  <si>
    <t>TBYGREEN</t>
  </si>
  <si>
    <t>X001LG3CWB</t>
  </si>
  <si>
    <t>B075XFFYG6</t>
  </si>
  <si>
    <t>LINENLUX SiYang Rain Poncho Jacket Coat for Adults Hooded Waterproof with Zipper Outdoor (Green)</t>
  </si>
  <si>
    <t>TBYPJBOGO</t>
  </si>
  <si>
    <t>X001KQTLVX</t>
  </si>
  <si>
    <t>B075J7NJV2</t>
  </si>
  <si>
    <t>LINENLUX SiYang Rain Poncho Jacket Coat for Adults Hooded Waterproof with Zipper Outdoor (Kenzo)</t>
  </si>
  <si>
    <t>TBYSTARRED</t>
  </si>
  <si>
    <t>X001L3QKWD</t>
  </si>
  <si>
    <t>B075ZSTCLF</t>
  </si>
  <si>
    <t>LINENLUX Rain Poncho Jacket Coat for Adults Hooded Waterproof with Zipper Outdoor</t>
  </si>
  <si>
    <t>TBYY0POINT</t>
  </si>
  <si>
    <t>X001JS7EH5</t>
  </si>
  <si>
    <t>B074V4W4MJ</t>
  </si>
  <si>
    <t>LINENLUX SiYang Stylish Unisex Hooded Waterproof Rain Poncho with Zipper Outdoor Windbreak Colorful Ripple Rain Jacket (Yellow Point)</t>
  </si>
  <si>
    <t>YDYPFS-S</t>
  </si>
  <si>
    <t>X001QNDCBF</t>
  </si>
  <si>
    <t>B074KDD9P4</t>
  </si>
  <si>
    <t>YDYPFS-XL</t>
  </si>
  <si>
    <t>X001MFH19V</t>
  </si>
  <si>
    <t>B074K8RKK4</t>
  </si>
  <si>
    <t>YI-IUYLTBH-Y0</t>
  </si>
  <si>
    <t>X001Q82Q6R</t>
  </si>
  <si>
    <t>B07BK4DF3D</t>
  </si>
  <si>
    <t>LINENLUX Stylish Unisex Hooded Waterproof Raincoat with Zipper Outdoor Windbreak Rain Jacket Bike Poncho Point Cloak (Yellow)</t>
  </si>
  <si>
    <t>YHJRBHS-M</t>
  </si>
  <si>
    <t>X001O74VW7</t>
  </si>
  <si>
    <t>B075CJ14DX</t>
  </si>
  <si>
    <t>SiYang YoGa Fleece Lined Leggings For Women High Waist,Elastic and Slimming(Yellow,M)</t>
  </si>
  <si>
    <t>YDY-YUNDONGK-8756BLS-XL</t>
  </si>
  <si>
    <t>X001L8TPDJ</t>
  </si>
  <si>
    <t>B071VW5TN7</t>
  </si>
  <si>
    <t>Men's Gym Sport Pants Bodybuilding Workout Running Jogger(Blue,L)</t>
  </si>
  <si>
    <t>YMQYQJISZMSS100*140CM</t>
  </si>
  <si>
    <t>X0013YIUIR</t>
  </si>
  <si>
    <t>B01C8QK07Q</t>
  </si>
  <si>
    <t>LINENLUX Cloth Cotton Linen Tablecloth Living Room Table Cover Table Linen Alphabet (Shads,39.4x55.1In)</t>
  </si>
  <si>
    <t>YMQYQJISZMZM60*60CM</t>
  </si>
  <si>
    <t>X001KE1HFN</t>
  </si>
  <si>
    <t>B0747KXTTW</t>
  </si>
  <si>
    <t>LINENLUX Cloth Cotton Linen Tablecloth Living Room Table Cover (23.5x23.5In)</t>
  </si>
  <si>
    <t>YMQYQDZMZM100*140CM</t>
  </si>
  <si>
    <t>X0015FVZCR</t>
  </si>
  <si>
    <t>B01C8QGVS8</t>
  </si>
  <si>
    <t>LINENLUX Ablecloth Square Cotton Feel Tablecloth (Letter,39.4x55.1In)</t>
  </si>
  <si>
    <t>YMQYQJISZMSS140*140CM</t>
  </si>
  <si>
    <t>X000ZX6JSZ</t>
  </si>
  <si>
    <t>B01C8QK1DY</t>
  </si>
  <si>
    <t>LINENLUX Cloth Cotton Linen Tablecloth Living Room Table Cover Table Linen Alphabet (Shads,55.1x55.1In)</t>
  </si>
  <si>
    <t>YMQYQXDHKF140*220CM</t>
  </si>
  <si>
    <t>X001GL5HI3</t>
  </si>
  <si>
    <t>B01C8QJV4Y</t>
  </si>
  <si>
    <t>LINENLUX Cotton and Hemp, Machine Washable, Dinner, Summer &amp; Picnic Tablecloth, (Coffee,55.1x86.6In)</t>
  </si>
  <si>
    <t>YMQYQJISZMSS140*180CM</t>
  </si>
  <si>
    <t>X000ZX6JSP</t>
  </si>
  <si>
    <t>B01C8QK38M</t>
  </si>
  <si>
    <t>LINENLUX Cloth Cotton Linen Tablecloth Living Room Table Cover Table Linen Alphabet (Shads,55.1x70.9In)</t>
  </si>
  <si>
    <t>YMQYQXDHG0140*200CM</t>
  </si>
  <si>
    <t>X001OXYGGR</t>
  </si>
  <si>
    <t>B076DLYXWT</t>
  </si>
  <si>
    <t>LINENLUX Cotton Linen Tablecloth Macrame Lace Table Cloths Linen Rectangle Table Covers Table Top for Dinner Parties Christmas Holidays or Everyday Use (55.1x78.7In, Green)</t>
  </si>
  <si>
    <t>YMQYQXDHPO90*90CM</t>
  </si>
  <si>
    <t>X001I61LY5</t>
  </si>
  <si>
    <t>B0745BY58P</t>
  </si>
  <si>
    <t>LINENLUX Cotton and Hemp, Machine Washable, Dinner, Summer &amp; Picnic Tablecloth, (35.4x35.4In, Pink)</t>
  </si>
  <si>
    <t>YMQYQHCZQ100*140CM</t>
  </si>
  <si>
    <t>X00143QUO3</t>
  </si>
  <si>
    <t>B01C8QIRLW</t>
  </si>
  <si>
    <t>LINENLUX Washable Cotton Linen Fabric Vintage Navy Damask Pattern Decorative Macrame Lace Rectangle Tablecloth Dinner Picnic Table Cloth Home Decorative Oblong Table Cover Assorted (39.455.1In)</t>
  </si>
  <si>
    <t>YI-IUYLTBY-N5</t>
  </si>
  <si>
    <t>X001OWYYO7</t>
  </si>
  <si>
    <t>B079JBWM3Q</t>
  </si>
  <si>
    <t>LINENLUX Rain Poncho Jacket Coat for Adults Hooded Waterproof with Zipper Outdoor (Point Coffee)</t>
  </si>
  <si>
    <t>YMQYQJISZMSS90*90CM</t>
  </si>
  <si>
    <t>X0013ZTNE1</t>
  </si>
  <si>
    <t>B01C8QJZ3Q</t>
  </si>
  <si>
    <t>LINENLUX Cloth Cotton Linen Tablecloth Living Room Table Cover Table Linen Alphabet (Shads,35.4x35.4In)</t>
  </si>
  <si>
    <t>YMQYQXDHKF90*90CM</t>
  </si>
  <si>
    <t>X001GX81YX</t>
  </si>
  <si>
    <t>B01C8QJNVA</t>
  </si>
  <si>
    <t>LINENLUX Cotton and Hemp, Machine Washable, Dinner, Summer &amp; Picnic Tablecloth, (Coffee,35.4x35.4In)</t>
  </si>
  <si>
    <t>YMQYQJISZMSS60*60CM</t>
  </si>
  <si>
    <t>X0015CKCDD</t>
  </si>
  <si>
    <t>B01C8QJY0K</t>
  </si>
  <si>
    <t>LINENLUX Cloth Cotton Linen Tablecloth Living Room Table Cover Table Linen Alphabet (Shads,23x23In)</t>
  </si>
  <si>
    <t>YMQYQXDHKF140*250CM</t>
  </si>
  <si>
    <t>X001CR3SDR</t>
  </si>
  <si>
    <t>B01C8QJWB6</t>
  </si>
  <si>
    <t>LINENLUX Cotton and Hemp, Machine Washable, Dinner, Summer &amp; Picnic Tablecloth, (Coffee,55.1x98.4In)</t>
  </si>
  <si>
    <t>YMQYQJISZMZM140*180CM</t>
  </si>
  <si>
    <t>X001JTI03V</t>
  </si>
  <si>
    <t>B0747N1T3J</t>
  </si>
  <si>
    <t>LINENLUX Cloth Cotton Linen Tablecloth Living Room Table Cover (55x70.9In)</t>
  </si>
  <si>
    <t>YMQYQJISZMZM140*140CM</t>
  </si>
  <si>
    <t>X001JLH4KT</t>
  </si>
  <si>
    <t>B0747JKFNG</t>
  </si>
  <si>
    <t>LINENLUX Cloth Cotton Linen Tablecloth Living Room Table Cover (55.1x55.1In)</t>
  </si>
  <si>
    <t>YMQYQDZMZM140*140CM</t>
  </si>
  <si>
    <t>X0014OBM9Z</t>
  </si>
  <si>
    <t>B01C8QGX6I</t>
  </si>
  <si>
    <t>LINENLUX Ablecloth Square Cotton Feel Tablecloth (Letter,55.1x55.1In)</t>
  </si>
  <si>
    <t>YMQYQXDHW090*90CM</t>
  </si>
  <si>
    <t>X0015ZGB6H</t>
  </si>
  <si>
    <t>B01C8QJ1XU</t>
  </si>
  <si>
    <t>LINENLUX Cotton Linen Tablecloth Macrame Lace Table Cloths Linen Rectangle Table Covers Table Top for Dinner Parties Christmas Holidays or Everyday Use(Beige,35.4x35.4In)</t>
  </si>
  <si>
    <t>YMQYZBCSMS100*140CM</t>
  </si>
  <si>
    <t>X000ZDSNED</t>
  </si>
  <si>
    <t>B01C8QI90Q</t>
  </si>
  <si>
    <t>LINENLUX Everyday Kitchen Rectangular Tablecloth with Lace 6 Piece Table mat(White,39.4x55.1In) ...</t>
  </si>
  <si>
    <t>YMQYZBCSMS14*16CM</t>
  </si>
  <si>
    <t>X001646WYX</t>
  </si>
  <si>
    <t>B01FHNOCA8</t>
  </si>
  <si>
    <t>LINENLUX Everyday Kitchen Rectangular Tablecloth with Lace 6 Piece Table mat(5.5x6.2In) ...</t>
  </si>
  <si>
    <t>YMQYZHUOBUJXXHB0140x200CM</t>
  </si>
  <si>
    <t>X001F89HFL</t>
  </si>
  <si>
    <t>B06Y3WW4P7</t>
  </si>
  <si>
    <t>Cotton Linen Tablecloth Floral Embroidery Table Cover for Dinner Kitchen(Blue,55x78.6In)</t>
  </si>
  <si>
    <t>YMQYQZB05HS140*200CM</t>
  </si>
  <si>
    <t>X00189TT0Z</t>
  </si>
  <si>
    <t>B01C8QHC36</t>
  </si>
  <si>
    <t>SiYANG" Free Spirit Beach Throw Tapestry Hippy Boho Gypsy Cotton Tablecloth</t>
  </si>
  <si>
    <t>YMQYZBCSMS90*90CM</t>
  </si>
  <si>
    <t>X000ZW0CVB</t>
  </si>
  <si>
    <t>B01C8QI7U8</t>
  </si>
  <si>
    <t>LINENLUX Everyday Kitchen Rectangular Tablecloth with Lace(White,35.4x35.4In) ...</t>
  </si>
  <si>
    <t>YY-IULCY-HZYD200-LGSTAR-XL</t>
  </si>
  <si>
    <t>X001TCQ6K7</t>
  </si>
  <si>
    <t>B07DVKMPNT</t>
  </si>
  <si>
    <t>LINENLUX Kids Lightweight Jacket Waterproof Outwear Raincoat(Bag Cover,XL)</t>
  </si>
  <si>
    <t>YX-IUCY-819-WO-L</t>
  </si>
  <si>
    <t>X001SF14YX</t>
  </si>
  <si>
    <t>B07D75D4PM</t>
  </si>
  <si>
    <t>Waterproof Reusable Shoe Covers Foldable Rain Snow Boots Covers White Large</t>
  </si>
  <si>
    <t>YY-IULCY-KS371-GN-L</t>
  </si>
  <si>
    <t>X001S0IHZH</t>
  </si>
  <si>
    <t>B07CYS8MWX</t>
  </si>
  <si>
    <t>LINENLUX Waterproof Button Rain Poncho Jacket with Pockets Green Large</t>
  </si>
  <si>
    <t>YY-IULCY-KS371-BL-XL</t>
  </si>
  <si>
    <t>X001RZNICZ</t>
  </si>
  <si>
    <t>B07CYTR6YS</t>
  </si>
  <si>
    <t>LINENLUX Waterproof Button Rain Poncho Jacket with Pockets Blue X-Large</t>
  </si>
  <si>
    <t>YY-IULCY-KS377-ANCHOR-M</t>
  </si>
  <si>
    <t>X001RYEH0X</t>
  </si>
  <si>
    <t>B07CYPCKWV</t>
  </si>
  <si>
    <t>Waterproof Hooded Rain Poncho Jacket Transparent Patterned Print Coat for Kids Anchor Medium</t>
  </si>
  <si>
    <t>YY-IULCY-KS371-GN-XL</t>
  </si>
  <si>
    <t>X001RZKP2L</t>
  </si>
  <si>
    <t>B07CYQ7LMY</t>
  </si>
  <si>
    <t>LINENLUX Waterproof Button Rain Poncho Jacket with Pockets Green X-Large</t>
  </si>
  <si>
    <t>YY-IULCY-KS372-WT-M</t>
  </si>
  <si>
    <t>X001RYG7K1</t>
  </si>
  <si>
    <t>B07CYZFTT7</t>
  </si>
  <si>
    <t>LINENLUX Waterproof Rain Poncho Coat with Bag Cover White Medium</t>
  </si>
  <si>
    <t>YY-IULCY-KS371-YL-M</t>
  </si>
  <si>
    <t>X001S0STIH</t>
  </si>
  <si>
    <t>B07CYN2LST</t>
  </si>
  <si>
    <t>LINENLUX Waterproof Button Rain Poncho Jacket with Pockets Yellow Medium</t>
  </si>
  <si>
    <t>YY-IULCY-KS372-BL-XL</t>
  </si>
  <si>
    <t>X001RYE5Z5</t>
  </si>
  <si>
    <t>B07CYNJY36</t>
  </si>
  <si>
    <t>LINENLUX Waterproof Rain Poncho Coat with Bag Cover Blue X-Large</t>
  </si>
  <si>
    <t>YY-IULCY-KS372-PP-M</t>
  </si>
  <si>
    <t>X001RYC057</t>
  </si>
  <si>
    <t>B07CYQPSKD</t>
  </si>
  <si>
    <t>LINENLUX Waterproof Rain Poncho Coat with Bag Cover Purple Medium</t>
  </si>
  <si>
    <t>YY-IULCY-KS371-GN-M</t>
  </si>
  <si>
    <t>X001S0TNKP</t>
  </si>
  <si>
    <t>B07CYQ24CG</t>
  </si>
  <si>
    <t>LINENLUX Waterproof Button Rain Poncho Jacket with Pockets Green Medium</t>
  </si>
  <si>
    <t>YX-IUCY-819-WO-2XL</t>
  </si>
  <si>
    <t>X001SF1C2R</t>
  </si>
  <si>
    <t>B07D754SZQ</t>
  </si>
  <si>
    <t>Waterproof Reusable Shoe Covers Foldable Rain Snow Boots Covers White XX-Large</t>
  </si>
  <si>
    <t>YY-IULCY-KS371-BL-L</t>
  </si>
  <si>
    <t>X001S0F6SX</t>
  </si>
  <si>
    <t>B07CYG5LN8</t>
  </si>
  <si>
    <t>LINENLUX Waterproof Button Rain Poncho Jacket with Pockets Blue Large</t>
  </si>
  <si>
    <t>YY-IULCY-KS371-PP-L</t>
  </si>
  <si>
    <t>X001S0UXWR</t>
  </si>
  <si>
    <t>B07CYQ24CD</t>
  </si>
  <si>
    <t>LINENLUX Waterproof Button Rain Poncho Jacket with Pockets Purple Large</t>
  </si>
  <si>
    <t>YY-IULCY-KS371-YL-XL</t>
  </si>
  <si>
    <t>X001S0UBL5</t>
  </si>
  <si>
    <t>B07CYN4GVK</t>
  </si>
  <si>
    <t>LINENLUX Waterproof Button Rain Poncho Jacket with Pockets Yellow X-Large</t>
  </si>
  <si>
    <t>YY-IULCY-HZYD200-LGSTAR-M</t>
  </si>
  <si>
    <t>X001TCRZMZ</t>
  </si>
  <si>
    <t>B07FGD8C6J</t>
  </si>
  <si>
    <t>LINENLUX Kids Lightweight Jacket Waterproof Outwear Raincoat(Bag Cover,M)</t>
  </si>
  <si>
    <t>YY-IULCY-KS372-PK-XL</t>
  </si>
  <si>
    <t>X001RZ0EPT</t>
  </si>
  <si>
    <t>B07CYLRT43</t>
  </si>
  <si>
    <t>LINENLUX Waterproof Rain Poncho Coat with Bag Cover Pink X-Large</t>
  </si>
  <si>
    <t>YY2127GRYXL</t>
  </si>
  <si>
    <t>X00168D51H</t>
  </si>
  <si>
    <t>B01JTZJNMM</t>
  </si>
  <si>
    <t>SiYang Clothes Raincoat Women Rain Poncho Packable Jacket With Sleeves Womens Adult Hood Summer(XL)</t>
  </si>
  <si>
    <t>YY-IULCY-XW100-COLORFUL</t>
  </si>
  <si>
    <t>X001UVQ6FR</t>
  </si>
  <si>
    <t>B07G9W28KV</t>
  </si>
  <si>
    <t>LINENLUX Waterproof Rain Poncho Jacket Coat Adults Hooded Two Zippers(Colorful)</t>
  </si>
  <si>
    <t>ZAKKA0630B028*55CM</t>
  </si>
  <si>
    <t>X001CDFJKV</t>
  </si>
  <si>
    <t>B01H1X9J3W</t>
  </si>
  <si>
    <t>Linen Cotton Fabric Wall Door Cloth Hanging Storage Bag Home Organizer (Blue,11x21.2In)...</t>
  </si>
  <si>
    <t>YY-IULCY-XZM150-BK</t>
  </si>
  <si>
    <t>X001TCPB5D</t>
  </si>
  <si>
    <t>B07DVGRHZ6</t>
  </si>
  <si>
    <t>LINENLUX Waterproof Rain Poncho Jacket Coat for Adults Hooded with Zipper(Black Floral)</t>
  </si>
  <si>
    <t>ZAKKA0633B035*50CM</t>
  </si>
  <si>
    <t>X001DHJ7MH</t>
  </si>
  <si>
    <t>B01H1X9H2K</t>
  </si>
  <si>
    <t>Wall Door Closet Hanging Storage Bag Organizer Multilayer Nonwoven Fabric Pouch Debris Storage Multifunctional Room Bedroom Bath Organizer Space Saver Gift (Blue,23.6x13.3In)</t>
  </si>
  <si>
    <t>YY-IULCY-XZM150-LB</t>
  </si>
  <si>
    <t>X001TCOJ8D</t>
  </si>
  <si>
    <t>B07DVBR4HX</t>
  </si>
  <si>
    <t>LINENLUX Waterproof Rain Poncho Jacket Coat for Adults Hooded with Zipper(Blue Floral)</t>
  </si>
  <si>
    <t>YY5100R5XL</t>
  </si>
  <si>
    <t>X00104ZBK5</t>
  </si>
  <si>
    <t>B01AXMPWJ8</t>
  </si>
  <si>
    <t>LINENLUX Kids Raincoat Jacket Waterproof Rainwear with Backpack Cover</t>
  </si>
  <si>
    <t>YY1100G0M</t>
  </si>
  <si>
    <t>X0018S1PAX</t>
  </si>
  <si>
    <t>B01AXMP04U</t>
  </si>
  <si>
    <t>LINENLUX Rain Poncho Jacket Coat Hooded for Adults with Zipper (Black)</t>
  </si>
  <si>
    <t>ZAKKA0466LTW25*65CM</t>
  </si>
  <si>
    <t>X001D0LI1R</t>
  </si>
  <si>
    <t>B01H1X9NS8</t>
  </si>
  <si>
    <t>Linen Cotton Fabric 5 Pockets Wall Hold Pocket Household Back Door Pouch (Blue Stripes,13.7x17.7In)</t>
  </si>
  <si>
    <t>YY1100W0M</t>
  </si>
  <si>
    <t>X001CBNAW7</t>
  </si>
  <si>
    <t>B01AXMOX9I</t>
  </si>
  <si>
    <t>LINENLUX Waterproof Rain Poncho Hooded for Adults with Pockets (Black Point)</t>
  </si>
  <si>
    <t>YY1100G0L</t>
  </si>
  <si>
    <t>X0018HD8T5</t>
  </si>
  <si>
    <t>B01AXMP1NA</t>
  </si>
  <si>
    <t>LINENLUX Rain Poncho Jacket Coat Hooded for Adults with Zipper?Blue?</t>
  </si>
  <si>
    <t>ZAKKA0589R035*50CM</t>
  </si>
  <si>
    <t>X001CSEY2Z</t>
  </si>
  <si>
    <t>B01H1X9LNA</t>
  </si>
  <si>
    <t>Cotton/Linen Fabric Wall Hanging Organizer Hanging Storage Bag (Red,13.7x17.7In)</t>
  </si>
  <si>
    <t>YY-IULCY-KS377-PLANT-M</t>
  </si>
  <si>
    <t>X001RYQKRL</t>
  </si>
  <si>
    <t>B07CYTRZVB</t>
  </si>
  <si>
    <t>LINENLUX Waterproof Hooded Rain Poncho Jacket Transparent Patterned Print Coat for Kids Plant Medium</t>
  </si>
  <si>
    <t>YY2127GR</t>
  </si>
  <si>
    <t>X00103TOGX</t>
  </si>
  <si>
    <t>B01AXMOPYQ</t>
  </si>
  <si>
    <t>Raincoat Outdoor Jacket Poncho columbia rain jacket women Olive rain jacket (M)</t>
  </si>
  <si>
    <t>YY5100B0XL</t>
  </si>
  <si>
    <t>X00160X5YH</t>
  </si>
  <si>
    <t>B01AXMQ3YQ</t>
  </si>
  <si>
    <t>YY-IULCY-XW100-DOG</t>
  </si>
  <si>
    <t>X001UVRGJH</t>
  </si>
  <si>
    <t>B07G9T8HS2</t>
  </si>
  <si>
    <t>LINENLUX Waterproof Rain Poncho Jacket Coat Adults Hooded Two Zippers(Dog)</t>
  </si>
  <si>
    <t>YY1100W0L</t>
  </si>
  <si>
    <t>X001D9N2H1</t>
  </si>
  <si>
    <t>B01AXMOYLU</t>
  </si>
  <si>
    <t>LINENLUX Waterproof Rain Poncho Hooded for Adults with Zipper Outdoor (Pink)</t>
  </si>
  <si>
    <t>ZAKKA0631R030*65CM</t>
  </si>
  <si>
    <t>X0017K7C1X</t>
  </si>
  <si>
    <t>B01H1X9QAI</t>
  </si>
  <si>
    <t>LINENLUX Over the Door Organizer Wall Closet Hanging Storage Bag Multilayer Linen Fabric Pouch Debris (Red,11.8x25.1In)</t>
  </si>
  <si>
    <t>YY-IULCY-XZM150-PK</t>
  </si>
  <si>
    <t>X001TCRWG9</t>
  </si>
  <si>
    <t>B07DVBDXSH</t>
  </si>
  <si>
    <t>LINENLUX Waterproof Rain Poncho Jacket Coat for Adults Hooded with Zipper(Pink Floral)</t>
  </si>
  <si>
    <t>YY-IULCY-XZM100-BKNWT</t>
  </si>
  <si>
    <t>X001TBM46N</t>
  </si>
  <si>
    <t>B07DV9BMHF</t>
  </si>
  <si>
    <t>LINENLUX Waterproof Rain Poncho Jacket Coat Hooded Colorblock(Black and Creamy-White)</t>
  </si>
  <si>
    <t>YY1100PR</t>
  </si>
  <si>
    <t>X001JLFE1Z</t>
  </si>
  <si>
    <t>B07148FBL8</t>
  </si>
  <si>
    <t>LINENLUX Rain Poncho Jacket Coat Hooded for Adults with Pockets (Green)</t>
  </si>
  <si>
    <t>ZAKKA0589B035*50CM</t>
  </si>
  <si>
    <t>X001FG45HX</t>
  </si>
  <si>
    <t>B01H1X9LZS</t>
  </si>
  <si>
    <t>Over the Door Organizer Wall Closet Hanging Storage Bag Multilayer Linen Fabric Pouch Debris (Blue,9.8x12.5In)</t>
  </si>
  <si>
    <t>YY-IULUY-KS374-DB-XL</t>
  </si>
  <si>
    <t>X001RZ1IMH</t>
  </si>
  <si>
    <t>B07CYNMJL8</t>
  </si>
  <si>
    <t>LINENLUX Waterproof Hooded Rain Poncho Jacket Coat for Kids with Pockets Blue X-Large</t>
  </si>
  <si>
    <t>ZAKKA0631B030*65CM</t>
  </si>
  <si>
    <t>X0017K4BPN</t>
  </si>
  <si>
    <t>B01H1X9QL2</t>
  </si>
  <si>
    <t>LINENLUX Over the Door Organizer Wall Closet Hanging Storage Bag Multilayer Linen Fabric Pouch Debris (Blue,11.8x25.1In)</t>
  </si>
  <si>
    <t>ZCGTZ-IUCY001-AE</t>
  </si>
  <si>
    <t>X001SNKO4V</t>
  </si>
  <si>
    <t>B07DFFK33K</t>
  </si>
  <si>
    <t>LINENLUX Adjustable Tarp Poles Set of 2 for Tents,Camping,Shelters,Hiking,Awnings(Aluminum pole)</t>
  </si>
  <si>
    <t>ZB-IULCY-YMQY100-CF140*180</t>
  </si>
  <si>
    <t>X001TRSUWJ</t>
  </si>
  <si>
    <t>B07F6Y2H7G</t>
  </si>
  <si>
    <t>LINENLUX Linen Cotton Rectangular Tablecloths with Tassel for Home Decoration(Coffee,55.12 X70.87 inch)</t>
  </si>
  <si>
    <t>ZXXBHO-M</t>
  </si>
  <si>
    <t>X001LSH9Z5</t>
  </si>
  <si>
    <t>B074W525HZ</t>
  </si>
  <si>
    <t>LINENLUX Waterproof Rain Coat Slicker for Kids, Girls, Boys, Poncho Jacket Gear</t>
  </si>
  <si>
    <t>ZB-IULCY-YMQY100-GR140*140</t>
  </si>
  <si>
    <t>X001TRKVRL</t>
  </si>
  <si>
    <t>B07F71KQX8</t>
  </si>
  <si>
    <t>LINENLUX Linen Cotton Rectangular Tablecloths with Tassel for Home Decoration(Gray,55.12 X55.12 inch)</t>
  </si>
  <si>
    <t>ZPSD-LAHM-800-BK-S</t>
  </si>
  <si>
    <t>X001TG55H3</t>
  </si>
  <si>
    <t>B07DWQTW7P</t>
  </si>
  <si>
    <t>LINENLUX Weight Bags Leg Weights for Pop Up Canopy (16.54x17.32 Inch,4 Pcs-Pack)</t>
  </si>
  <si>
    <t>ZB-IULCY-YMQY100-CF100*140</t>
  </si>
  <si>
    <t>X001TRKVRB</t>
  </si>
  <si>
    <t>B07F71JBF4</t>
  </si>
  <si>
    <t>LINENLUX Linen Cotton Rectangular Tablecloths with Tassel for Home Decoration(Coffee,39.37 X 55.12 inch)</t>
  </si>
  <si>
    <t>ZB-IULCY-YMQY100-GR100*140</t>
  </si>
  <si>
    <t>X001TRKVXZ</t>
  </si>
  <si>
    <t>B07F7G63C5</t>
  </si>
  <si>
    <t>LINENLUX Linen Cotton Rectangular Tablecloths with Tassel for Home Decoration(Gray,39.37 X 55.12 inch)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</si>
  <si>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</si>
  <si>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</si>
  <si>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</si>
  <si>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</si>
  <si>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</si>
  <si>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</si>
  <si>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</si>
  <si>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</si>
  <si>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</si>
  <si>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</si>
  <si>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</si>
  <si>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</si>
  <si>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</si>
  <si>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</si>
  <si>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</si>
  <si>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</si>
  <si>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</si>
  <si>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</si>
  <si>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</si>
  <si>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</si>
  <si>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</si>
  <si>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</si>
  <si>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</si>
  <si>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</si>
  <si>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</si>
  <si>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</si>
  <si>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</si>
  <si>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</si>
  <si>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</si>
  <si>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</si>
  <si>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</si>
  <si>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</si>
  <si>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</si>
  <si>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</si>
  <si>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</si>
  <si>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MTX-IULHY-DBW8022-PK-25</t>
  </si>
  <si>
    <t>X001UVRPVV</t>
  </si>
  <si>
    <t>B07G9V4ZJK</t>
  </si>
  <si>
    <t>Rabbit Fur House Slippers Warm Winter Cartoon Casual Shoes for Women/Men</t>
  </si>
  <si>
    <t>New</t>
  </si>
  <si>
    <t>USD</t>
  </si>
  <si>
    <t>Low traffic</t>
  </si>
  <si>
    <t>Advertise listing</t>
  </si>
  <si>
    <t>Footwear</t>
  </si>
  <si>
    <t>YMQYQDZMZM140*160CM</t>
  </si>
  <si>
    <t>X0016BPL4D</t>
  </si>
  <si>
    <t>B01C8QGY08</t>
  </si>
  <si>
    <t>LINENLUX Ablecloth Square Cotton Feel Tablecloth (Letter,55.1x63In)</t>
  </si>
  <si>
    <t>Update inventory settings for:</t>
  </si>
  <si>
    <t>Standard</t>
  </si>
  <si>
    <t>FSFZB006J0RO220CM</t>
  </si>
  <si>
    <t>X001B3TGA1</t>
  </si>
  <si>
    <t>B01F5LQLW4</t>
  </si>
  <si>
    <t>LINENLUX Luxurious Round Tablecloths for Wedding,Meeting,Hotel,Restaurant,Party</t>
  </si>
  <si>
    <t>Low conversion</t>
  </si>
  <si>
    <t>YMQYQXDHY0140*140CM</t>
  </si>
  <si>
    <t>X001P08FQL</t>
  </si>
  <si>
    <t>B076DYFG4G</t>
  </si>
  <si>
    <t>LINENLUX Cotton Linen Tablecloth Macrame Lace Table Cloths Linen Rectangle Table Covers Table Top for Dinner parties Christmas Holidays or Everyday Use (55.1x55.1In, Yellow)</t>
  </si>
  <si>
    <t>BYZBFS90*90CM</t>
  </si>
  <si>
    <t>X001JGP0KZ</t>
  </si>
  <si>
    <t>B0746JYN2R</t>
  </si>
  <si>
    <t>LINENLUX Cotton and Hemp, Machine Washable, Dinner, Summer &amp; Picnic Tablecloth, (Pink,35.4x35.4In) </t>
  </si>
  <si>
    <t>Create Sale</t>
  </si>
  <si>
    <t>YMQYQZBXHGSS140*180CM</t>
  </si>
  <si>
    <t>X0014OBMA9</t>
  </si>
  <si>
    <t>B01C8QKGNY</t>
  </si>
  <si>
    <t>LINENLUX Luxurious Heavy Weight Macrame Trim Fabric Tablecloth Assorted Sizes &amp; Colors (Shads,55.1x70.9In)</t>
  </si>
  <si>
    <t>YX-IUCY-518-N5-L</t>
  </si>
  <si>
    <t>X001SE78DP</t>
  </si>
  <si>
    <t>B07D741QQ7</t>
  </si>
  <si>
    <t>LINENLUX Waterproof Shoes Cover Non-slip Rain Snow Overshoes for Outdoors</t>
  </si>
  <si>
    <t>HUAPET-1PPS-2XL</t>
  </si>
  <si>
    <t>X001ODFW9H</t>
  </si>
  <si>
    <t>B077GTQ56H</t>
  </si>
  <si>
    <t>luciphia Winter Dog Pet Vest Coat Waterproof Jacket With Zipper Purple 2XL</t>
  </si>
  <si>
    <t>ZAKKA0040B035*50CM</t>
  </si>
  <si>
    <t>X001OYCE8D</t>
  </si>
  <si>
    <t>B01H1X9MTS</t>
  </si>
  <si>
    <t>Over the Door Organizer Wall Closet Hanging Storage Bag Multilayer Linen Fabric Pouch Debris (Blue,13.7x19.6In)</t>
  </si>
  <si>
    <t>XQ-IUYL320-RD-S</t>
  </si>
  <si>
    <t>X001Q3E9Y9</t>
  </si>
  <si>
    <t>B07BFPT6FV</t>
  </si>
  <si>
    <t>SiYang Winner Basic Classic Handmade Genuine Leather Dog Collar, Durable and Comfortable Adjustable Small Medium Large Puppy</t>
  </si>
  <si>
    <t>YMQYQXDHPO60*60CM</t>
  </si>
  <si>
    <t>X001I6LC71</t>
  </si>
  <si>
    <t>B0745BHBNH</t>
  </si>
  <si>
    <t>LINENLUX Cotton and Hemp, Machine Washable, Dinner, Summer &amp; Picnic Tablecloth, (23.5x23.5In, Pink)</t>
  </si>
  <si>
    <t>MTX-IULHY-WT836-GN-26</t>
  </si>
  <si>
    <t>X001UVFIM9</t>
  </si>
  <si>
    <t>B07G9X4T2V</t>
  </si>
  <si>
    <t>LINENLUX Women Home Slippers Thicken Winter Casual Shoes with Bow Indoors/Outdoors</t>
  </si>
  <si>
    <t>YY-IULCY-KS377-BIRD-L</t>
  </si>
  <si>
    <t>X001RYYBZJ</t>
  </si>
  <si>
    <t>B07CZ2TXXQ</t>
  </si>
  <si>
    <t>LINENLUX Waterproof Hooded Rain Poncho Jacket Transparent Patterned Print Coat for Kids Bird Large</t>
  </si>
  <si>
    <t>Edit listing</t>
  </si>
  <si>
    <t>Apparel</t>
  </si>
  <si>
    <t>YY-IULCY-KS377-ANCHOR-L</t>
  </si>
  <si>
    <t>X001RYCIJF</t>
  </si>
  <si>
    <t>B07CYZ9KY7</t>
  </si>
  <si>
    <t>Waterproof Hooded Rain Poncho Jacket Transparent Patterned Print Coat for Kids Anchor Large</t>
  </si>
  <si>
    <t>YY5100XB0L</t>
  </si>
  <si>
    <t>X0015ZPVMH</t>
  </si>
  <si>
    <t>B01AXMO99M</t>
  </si>
  <si>
    <t>LINENLUX Double Breasted Rain Coat Jacket for Women Plus Size (Rose Red)</t>
  </si>
  <si>
    <t>YMQYGZZBGZ90*90CM</t>
  </si>
  <si>
    <t>X0015FTW3V</t>
  </si>
  <si>
    <t>B01C8QHWKO</t>
  </si>
  <si>
    <t>LINENLUX DII 100% Cotton, Machine Washable, Dinner, Summer &amp; Picnic Tablecloth Country Plaid, Seats 8 to 10 People (Lattice,35.4x35.4In)</t>
  </si>
  <si>
    <t>MTX-IULHY-GBWS90-PK-25</t>
  </si>
  <si>
    <t>X001UXJ3Y1</t>
  </si>
  <si>
    <t>B07GBXTLGS</t>
  </si>
  <si>
    <t>Rabbit Fur Home Slippers with Bow-Knot Winter House Shoes for Women</t>
  </si>
  <si>
    <t>MTX-IULHY-WA86-GR-39</t>
  </si>
  <si>
    <t>X001UVR895</t>
  </si>
  <si>
    <t>B07G9X61BC</t>
  </si>
  <si>
    <t>LINENLUX Women Home Slippers Slip-On Memory Foam Winter Casual Shoes(Star)</t>
  </si>
  <si>
    <t>BYZBFS140*220CM</t>
  </si>
  <si>
    <t>X001JH2MB9</t>
  </si>
  <si>
    <t>B0746JHCMC</t>
  </si>
  <si>
    <t>LINENLUX Cotton and Hemp, Machine Washable, Dinner, Summer &amp; Picnic Tablecloth, (Pink,55.1x86.6In) </t>
  </si>
  <si>
    <t>P6XB6X-03Y0L</t>
  </si>
  <si>
    <t>X001G61CCN</t>
  </si>
  <si>
    <t>B01CFH91NW</t>
  </si>
  <si>
    <t>LINENLUX Light Weight Easy Carry Wind Raincoat and Outdoor Rain Jacket Poncho (L, Khaki)</t>
  </si>
  <si>
    <t>YY2127GRYL</t>
  </si>
  <si>
    <t>X0016AGDX7</t>
  </si>
  <si>
    <t>B01JTZC25C</t>
  </si>
  <si>
    <t>Rain Jacket Clothes For Women Columbia Jacket Women Charles River Rain Womens Spring (L)</t>
  </si>
  <si>
    <t>YY-IULCY-XZM100-RDNWT</t>
  </si>
  <si>
    <t>X001TCN68R</t>
  </si>
  <si>
    <t>B07DTZB3NP</t>
  </si>
  <si>
    <t>LINENLUX Waterproof Rain Poncho Jacket Coat Hooded Colorblock(Rose Red and Creamy-White)</t>
  </si>
  <si>
    <t>YY-IULCY-KS372-BL-M</t>
  </si>
  <si>
    <t>X001RYGQ3J</t>
  </si>
  <si>
    <t>B07CYZHFYJ</t>
  </si>
  <si>
    <t>LINENLUX Waterproof Rain Poncho Coat with Bag Cover Blue Medium</t>
  </si>
  <si>
    <t>6958140000000-36</t>
  </si>
  <si>
    <t>X0019PYB0L</t>
  </si>
  <si>
    <t>B019V6P53K</t>
  </si>
  <si>
    <t>luciphia Stainless Steel Pet Dog Bowl For Small Middle Large Cats Dogs Calibre-8.9In</t>
  </si>
  <si>
    <t>SQ-XLEJ-496F</t>
  </si>
  <si>
    <t>X001AGYUOB</t>
  </si>
  <si>
    <t>B01NGTHW1H</t>
  </si>
  <si>
    <t>Decorbox Cotton Linen Decorative Throw Pillow Case Cushion Cover (18" x 18", Big Elephant)</t>
  </si>
  <si>
    <t>FSFZB001W0RO220CM</t>
  </si>
  <si>
    <t>X001TNJUM7</t>
  </si>
  <si>
    <t>B01F5LQ0MA</t>
  </si>
  <si>
    <t>MTX-IULHY-W188-GN-35/37</t>
  </si>
  <si>
    <t>X001U3Z8V3</t>
  </si>
  <si>
    <t>B07FMM2HXQ</t>
  </si>
  <si>
    <t>Lower price</t>
  </si>
  <si>
    <t>MTX-IULHY-W1758-PK-27</t>
  </si>
  <si>
    <t>X001U4JSUT</t>
  </si>
  <si>
    <t>B07FM42JD2</t>
  </si>
  <si>
    <t>LINENLUX Natural Cotton-Blend Thicken Stripe Slipper Indoor</t>
  </si>
  <si>
    <t>MTX-IULHY-WT836-GN-27</t>
  </si>
  <si>
    <t>X001UVRIIL</t>
  </si>
  <si>
    <t>B07G9W47RL</t>
  </si>
  <si>
    <t>YX-IUCY-518-WO-L</t>
  </si>
  <si>
    <t>X001SF0F43</t>
  </si>
  <si>
    <t>B07D74JGP3</t>
  </si>
  <si>
    <t>YMQYQXDHY0100*140CM</t>
  </si>
  <si>
    <t>X001OY6LK5</t>
  </si>
  <si>
    <t>B076DPGDHH</t>
  </si>
  <si>
    <t>LINENLUX Cotton Linen Tablecloth Macrame Lace Table Cloths Linen Rectangle Table Covers Table Top for Dinner Parties Christmas Holidays or Everyday Use (39.4x55.1In, Yellow)</t>
  </si>
  <si>
    <t>HUAPET-1LVS-5XL</t>
  </si>
  <si>
    <t>X001ODE7NJ</t>
  </si>
  <si>
    <t>B077GVPYG5</t>
  </si>
  <si>
    <t>luciphia Winter Dog Pet Vest Coat Waterproof Jacket With Zipper Green 5XL</t>
  </si>
  <si>
    <t>LINENLUX Everyday Kitchen Rectangular Tablecloth with Lace 6 Piece Table mat(White,39.4x55.1In) </t>
  </si>
  <si>
    <t>FSFZB006J0RO180CM</t>
  </si>
  <si>
    <t>X00169D5DJ</t>
  </si>
  <si>
    <t>B01F5LQBSI</t>
  </si>
  <si>
    <t>YMQYZBJTE0140*180CM</t>
  </si>
  <si>
    <t>X001E10QXV</t>
  </si>
  <si>
    <t>B01JIXIBZU</t>
  </si>
  <si>
    <t>LINENLUX Art Small Fresh Geometric Cotton Linen Tablecloth Cloth Rectangular Tea Table Desk Cover</t>
  </si>
  <si>
    <t>XQ-IUYL320-CF-M</t>
  </si>
  <si>
    <t>X001Q1QFYN</t>
  </si>
  <si>
    <t>B07BFPCZ6K</t>
  </si>
  <si>
    <t>GMZYL-FLQ06-TZ-40</t>
  </si>
  <si>
    <t>X001U0LHOD</t>
  </si>
  <si>
    <t>B075R4RWDL</t>
  </si>
  <si>
    <t>Waterproof Laundry Storage Basket for Bedroom Bathroom Kids Linen Cotton White and Rabbits 15.7"x15.7"x19.7"</t>
  </si>
  <si>
    <t>MIDUQF46W0L</t>
  </si>
  <si>
    <t>X001E47VFT</t>
  </si>
  <si>
    <t>B01MY2YM1G</t>
  </si>
  <si>
    <t>SiYang YoGa Butterfly 3D Printing Yoga Pants Women Running Fitness Sportswear Dance Pants(Pants,L)</t>
  </si>
  <si>
    <t>FSFZB001JHRO160CM</t>
  </si>
  <si>
    <t>X00169DPDT</t>
  </si>
  <si>
    <t>B01F5LQH4Q</t>
  </si>
  <si>
    <t>YDWJQWHQWH60*60CM</t>
  </si>
  <si>
    <t>X0019WZN5V</t>
  </si>
  <si>
    <t>B01HHQ4PSM</t>
  </si>
  <si>
    <t>Vintage Lace Design Tablecloth Rectangle Flower Color (Rapala Rhoda,23.623.6In)</t>
  </si>
  <si>
    <t>YMQYZBCSMS140*140CM</t>
  </si>
  <si>
    <t>X000ZW0CVL</t>
  </si>
  <si>
    <t>B01C8QIA0U</t>
  </si>
  <si>
    <t>LINENLUX Everyday Kitchen Rectangular Tablecloth with Lace 6 Piece Table mat(White,55.1x55.1In) </t>
  </si>
  <si>
    <t>MTX-IULHY-DBWS90-KK-27</t>
  </si>
  <si>
    <t>X001UXG6JL</t>
  </si>
  <si>
    <t>B07GBXLQPJ</t>
  </si>
  <si>
    <t>HUAPET-1JS-4XL</t>
  </si>
  <si>
    <t>X001OXDR9J</t>
  </si>
  <si>
    <t>B077GTT4DB</t>
  </si>
  <si>
    <t>luciphia Winter Dog Pet Vest Coat Waterproof Jacket With Zipper Orange 4XL</t>
  </si>
  <si>
    <t>YMQYQDZMZM140*220CM</t>
  </si>
  <si>
    <t>X0016D6UNH</t>
  </si>
  <si>
    <t>B01C8QH28Q</t>
  </si>
  <si>
    <t>LINENLUX Ablecloth Square Cotton Feel Tablecloth (Letter,55.1x86.6In)</t>
  </si>
  <si>
    <t>YMQYZBCSMS140*180CM</t>
  </si>
  <si>
    <t>X0013NG1UH</t>
  </si>
  <si>
    <t>B01C8QIC08</t>
  </si>
  <si>
    <t>LINENLUX Everyday Kitchen Rectangular Tablecloth with Lace 6 Piece Table mat(White,55.1x70.9In) </t>
  </si>
  <si>
    <t>GMSNT-CY001-DX</t>
  </si>
  <si>
    <t>X001U6AG0D</t>
  </si>
  <si>
    <t>B07DQPRJPR</t>
  </si>
  <si>
    <t>Clothes and toys organizer Waterproof hamper Foldable laundry basket for storage(Elephant,13.8x13.8x17.7In)</t>
  </si>
  <si>
    <t>Oversize</t>
  </si>
  <si>
    <t>MZYSWZ8590*90CM</t>
  </si>
  <si>
    <t>X001NCKYVZ</t>
  </si>
  <si>
    <t>B01BHQWEQS</t>
  </si>
  <si>
    <t>LINENLUX Art Small Fresh Geometric Cotton And Linen Tablecloth cloth Rectangular Tea Table Desk Cover(Grey,55x62.9In)</t>
  </si>
  <si>
    <t>MTX-IULHY-W188-PK-35/37</t>
  </si>
  <si>
    <t>X001U3Z8X1</t>
  </si>
  <si>
    <t>B07FM6M66H</t>
  </si>
  <si>
    <t>HUAPET-1JS-M</t>
  </si>
  <si>
    <t>X001OZIPA3</t>
  </si>
  <si>
    <t>B077GTHYN3</t>
  </si>
  <si>
    <t>luciphia Winter Dog Pet Vest Coat Waterproof Jacket With Zipper Orange M</t>
  </si>
  <si>
    <t>HZ-SILVER</t>
  </si>
  <si>
    <t>X001LCOQLV</t>
  </si>
  <si>
    <t>B073WX3KWG</t>
  </si>
  <si>
    <t>Premium Toiletry Bag By SiYang - Extra Large Travel Essentials Organizer - Durable Hanging Hook - For Men &amp; Women - Perfect For Accessories, Cosmetics, Personal Items, Shampoo, Body Wash  (Silver)</t>
  </si>
  <si>
    <t>TZ-IUYL240-BONE-M</t>
  </si>
  <si>
    <t>X001OTNQMB</t>
  </si>
  <si>
    <t>B079G44DCB</t>
  </si>
  <si>
    <t>luciphia Pet Dog Blanket Fleece Fabric Puppy Cat Soft Blankets Bed Mat Cover with Bone Print for Puppies Kitties and Other Small Animals?20x30?</t>
  </si>
  <si>
    <t>FSFZB001W0RO200CM</t>
  </si>
  <si>
    <t>X001TNI9AB</t>
  </si>
  <si>
    <t>B01F5LPZG2</t>
  </si>
  <si>
    <t>LINENLUX Everyday Kitchen Rectangular Tablecloth with Lace 6 Piece Table mat(5.5x6.2In) </t>
  </si>
  <si>
    <t>Create removal order</t>
  </si>
  <si>
    <t>XQ-IUYL320-BL-L</t>
  </si>
  <si>
    <t>X001Q28AEP</t>
  </si>
  <si>
    <t>B07BFPMF8V</t>
  </si>
  <si>
    <t>MTX-IULHY-DBW8022-PP-26</t>
  </si>
  <si>
    <t>X001UVVMMJ</t>
  </si>
  <si>
    <t>B07G9Y9Y7L</t>
  </si>
  <si>
    <t>NEWZXXCFS-S</t>
  </si>
  <si>
    <t>X001N9UPZ3</t>
  </si>
  <si>
    <t>B076DG23GL</t>
  </si>
  <si>
    <t>LINENLUX Children Raincoat, Kids Rain Poncho, Rain Jacket Rainwear With Hoods and Sleeves For Boys Girls</t>
  </si>
  <si>
    <t>MTX-IULHY-W8003-PK-26</t>
  </si>
  <si>
    <t>X001UXHSZ7</t>
  </si>
  <si>
    <t>B07GBWJH61</t>
  </si>
  <si>
    <t>Rabbit Fur House Slippers with Full Ball for Women</t>
  </si>
  <si>
    <t>YY-IULCY-KS371-PP-XL</t>
  </si>
  <si>
    <t>X001S0UOFN</t>
  </si>
  <si>
    <t>B07CYLDY29</t>
  </si>
  <si>
    <t>LINENLUX Waterproof Button Rain Poncho Jacket with Pockets Purple X-Large</t>
  </si>
  <si>
    <t>MTX-IULHY-DBW8022-PK-26</t>
  </si>
  <si>
    <t>X001UVF9U5</t>
  </si>
  <si>
    <t>B07G9ZK3XN</t>
  </si>
  <si>
    <t>MTX-IULHY-W1759-OR-27</t>
  </si>
  <si>
    <t>X001U9JWYL</t>
  </si>
  <si>
    <t>B07FPLD45J</t>
  </si>
  <si>
    <t>YMQYQDZMZM140*250CM</t>
  </si>
  <si>
    <t>X0016BOTL9</t>
  </si>
  <si>
    <t>B01C8QH38A</t>
  </si>
  <si>
    <t>LINENLUX Ablecloth Square Cotton Feel Tablecloth (Letter,55.1x98.4In)</t>
  </si>
  <si>
    <t>YMQYQZBBKSC90*90CM</t>
  </si>
  <si>
    <t>X0013TL0W5</t>
  </si>
  <si>
    <t>B01C8QI9QK</t>
  </si>
  <si>
    <t>LINENLUX SiYANG Tablecloth Coastal Shell Batik Indoor Outdoor Black White (Dark,35.435.4In)</t>
  </si>
  <si>
    <t>MTX-IULHY-DBWS90-PK-27</t>
  </si>
  <si>
    <t>X001UXG6JV</t>
  </si>
  <si>
    <t>B07GBWH74H</t>
  </si>
  <si>
    <t>YMQYQXDHW0140*140CM</t>
  </si>
  <si>
    <t>X0015WF0X5</t>
  </si>
  <si>
    <t>B01C8QJ4SC</t>
  </si>
  <si>
    <t>LINENLUX Cotton Linen Tablecloth Macrame Lace Table Cloths Linen Rectangle Table Covers Table Top for Dinner Parties Christmas Holidays or Everyday Use(Beige,55.1x55.1In)</t>
  </si>
  <si>
    <t>HUAPET-1JS-XL</t>
  </si>
  <si>
    <t>X001OZL4SN</t>
  </si>
  <si>
    <t>B077GWG4J3</t>
  </si>
  <si>
    <t>luciphia Winter Dog Pet Vest Coat Waterproof Jacket With Zipper Orange XL</t>
  </si>
  <si>
    <t>DJSCZHUOBUCSAQHS110*140CM</t>
  </si>
  <si>
    <t>X001F97IV5</t>
  </si>
  <si>
    <t>B06Y1Z87TL</t>
  </si>
  <si>
    <t>LINENLUX Cotton Linen Tablecloth For Dinner Parties Kitchen Outdoor Picnics(Gray,43.2x55In)</t>
  </si>
  <si>
    <t>MTX-IULHY-W8003-RD-25</t>
  </si>
  <si>
    <t>X001UXEMQ5</t>
  </si>
  <si>
    <t>B07GBW5XQY</t>
  </si>
  <si>
    <t>MTX-IULHY-W8003-BK-25</t>
  </si>
  <si>
    <t>X001UXGS6R</t>
  </si>
  <si>
    <t>B07GBVXZX9</t>
  </si>
  <si>
    <t>LGQ-IUYL100-RD</t>
  </si>
  <si>
    <t>X001ONDDAH</t>
  </si>
  <si>
    <t>B0798LYM3Y</t>
  </si>
  <si>
    <t>luciphia SiYang Retractable Dog Leash 16.4 ft Dog Walking Leash for Small Medium Large Dogs - Up To 88 lb Dog - Ergonomic Grip - Waste Bag Dispenser and Collapsible Water Bowl included?Red?</t>
  </si>
  <si>
    <t>YY-IULCY-KS372-YL-L</t>
  </si>
  <si>
    <t>X001RYEM7V</t>
  </si>
  <si>
    <t>B07CYQNFSP</t>
  </si>
  <si>
    <t>LINENLUX Waterproof Rain Poncho Coat with Bag Cover Yellow Large</t>
  </si>
  <si>
    <t>AQD-IUCY330-OR-2</t>
  </si>
  <si>
    <t>X001R6XPPJ</t>
  </si>
  <si>
    <t>B07C8CRQ9V</t>
  </si>
  <si>
    <t>SiYang Winner Pet Seat Belt 3 Packs Adjustable Pet Dog Vehicle Seatbelt Durable Nylon Pet Safety Leads Harness Seat-belt Strap For Cats Animals Orange</t>
  </si>
  <si>
    <t>MTX-IULHY-WT836-PK-26</t>
  </si>
  <si>
    <t>X001UVFIHT</t>
  </si>
  <si>
    <t>B07G9VVNM7</t>
  </si>
  <si>
    <t>MTX-IULHY-W8001-LB-27</t>
  </si>
  <si>
    <t>X001UXD4FZ</t>
  </si>
  <si>
    <t>B07GBV4K3T</t>
  </si>
  <si>
    <t>Rabbit Fur Suede Home Slippers Winter Shoes Indoors/Outdoors</t>
  </si>
  <si>
    <t>YX-IUCY-819-N5-XL</t>
  </si>
  <si>
    <t>X001SDUXHJ</t>
  </si>
  <si>
    <t>B07D769HPR</t>
  </si>
  <si>
    <t>Waterproof Reusable Shoe Covers Foldable Rain Snow Boots Covers Brown X-Large</t>
  </si>
  <si>
    <t>YMQYQXDHKF140*160CM</t>
  </si>
  <si>
    <t>X0019SNGD1</t>
  </si>
  <si>
    <t>B01C8QJRM0</t>
  </si>
  <si>
    <t>LINENLUX Cotton and Hemp, Machine Washable, Dinner, Summer &amp; Picnic Tablecloth, (Coffee,55.1x63In)</t>
  </si>
  <si>
    <t>YY-IULCY-KS372-WT-XL</t>
  </si>
  <si>
    <t>X001RYBPI5</t>
  </si>
  <si>
    <t>B07CYY6NGR</t>
  </si>
  <si>
    <t>LINENLUX Waterproof Rain Poncho Coat with Bag Cover White X-Large</t>
  </si>
  <si>
    <t>MTX-IULHY-WA86-PK-37</t>
  </si>
  <si>
    <t>X001UVRBY7</t>
  </si>
  <si>
    <t>B07G9WY1Q7</t>
  </si>
  <si>
    <t>FSFZB001BLRO160CM</t>
  </si>
  <si>
    <t>X001TNJGRL</t>
  </si>
  <si>
    <t>B01F5LOTZK</t>
  </si>
  <si>
    <t>YMQYGZZBGZ60*60CM</t>
  </si>
  <si>
    <t>X0015FVZCH</t>
  </si>
  <si>
    <t>B01C8RELTS</t>
  </si>
  <si>
    <t>LINENLUX DII 100% Cotton, Machine Washable, Dinner, Summer &amp; Picnic Tablecloth Country Plaid, Seats 8 to 10 People(Lattice,23.6x23.6In)</t>
  </si>
  <si>
    <t>JCHOME-AXW140*180CM</t>
  </si>
  <si>
    <t>X001O3WIZN</t>
  </si>
  <si>
    <t>B076GWWM8X</t>
  </si>
  <si>
    <t>SiYang Geometric Pattern Cotton Linen Tablecloth for Dining Kitchen Living Decor Tabletop Cover(55.1 X 70.9In)</t>
  </si>
  <si>
    <t>LQXFMS1H80*140</t>
  </si>
  <si>
    <t>X001JE5YD5</t>
  </si>
  <si>
    <t>B0748DH3DB</t>
  </si>
  <si>
    <t>LINENLUX White Lace Reusable Tablecloth Rectangle</t>
  </si>
  <si>
    <t>MTX-IULHY-WA89-PK-37</t>
  </si>
  <si>
    <t>X001UVE40L</t>
  </si>
  <si>
    <t>B07G9W2CKD</t>
  </si>
  <si>
    <t>LINENLUX Women Home Slippers Slip-On Memory Foam Winter Casual Shoes?Milk Cow</t>
  </si>
  <si>
    <t>HNJDZBSB45*45CM</t>
  </si>
  <si>
    <t>X001A4WKSV</t>
  </si>
  <si>
    <t>B01JIXJIHA</t>
  </si>
  <si>
    <t>Romantic Capital City Household Linen Printed Sofa Pillow By Pillowcase(Blue Pairs,17.7x17.7In)</t>
  </si>
  <si>
    <t>XQ-IUYL320-YL-M</t>
  </si>
  <si>
    <t>X001Q3F7R7</t>
  </si>
  <si>
    <t>B07BFP8PZB</t>
  </si>
  <si>
    <t>XQ-IUYL320-PK-M</t>
  </si>
  <si>
    <t>X001Q3F36R</t>
  </si>
  <si>
    <t>B07BFP1QR6</t>
  </si>
  <si>
    <t>LQXFTY132*132CM</t>
  </si>
  <si>
    <t>X0018B9BQ5</t>
  </si>
  <si>
    <t>B01FS78GPU</t>
  </si>
  <si>
    <t>White Lace Reusable Tablecloth Rectangle</t>
  </si>
  <si>
    <t>YY5100B1XL</t>
  </si>
  <si>
    <t>X001F6DA6Z</t>
  </si>
  <si>
    <t>B0719C6QGW</t>
  </si>
  <si>
    <t>GMZYL-FLQ06-HG-40</t>
  </si>
  <si>
    <t>X001U0DJ5N</t>
  </si>
  <si>
    <t>B075R4XJZV</t>
  </si>
  <si>
    <t>Folding Laundry Basket Hamper for Bedroom Bathroom Kids Linen Cotton Black and Plaid 15.7"x15.7"x19.7"</t>
  </si>
  <si>
    <t>MTX-IULHY-W188-PP-38/39</t>
  </si>
  <si>
    <t>X001U4XOAJ</t>
  </si>
  <si>
    <t>B07FM19C5B</t>
  </si>
  <si>
    <t>BYZBFS140*250CM</t>
  </si>
  <si>
    <t>X001JGQOUP</t>
  </si>
  <si>
    <t>B074SJ3FPV</t>
  </si>
  <si>
    <t>LINENLUX Cotton and Hemp, Machine Washable, Dinner, Summer &amp; Picnic Tablecloth, (55.1x98.4In, Pink-1) </t>
  </si>
  <si>
    <t>YX-IUCY-518-WO-2XL</t>
  </si>
  <si>
    <t>X001SDT49H</t>
  </si>
  <si>
    <t>B07D74DSFC</t>
  </si>
  <si>
    <t>H5-F378-ECJO</t>
  </si>
  <si>
    <t>X001AOH879</t>
  </si>
  <si>
    <t>B01N7ENPJR</t>
  </si>
  <si>
    <t>Peacock Decorative Linen Cloth Pillow Cover Cushion Case Size 18" x 18"</t>
  </si>
  <si>
    <t>MTX-IULHY-GBWS90-KK-26</t>
  </si>
  <si>
    <t>X001UXHFJV</t>
  </si>
  <si>
    <t>B07GBXSG3W</t>
  </si>
  <si>
    <t>MTX-IULHY-WA89-PK-39</t>
  </si>
  <si>
    <t>X001UVPVLR</t>
  </si>
  <si>
    <t>B07G9TTV9Q</t>
  </si>
  <si>
    <t>XQ-IUYL320-DB-XL</t>
  </si>
  <si>
    <t>X001Q1QFQ1</t>
  </si>
  <si>
    <t>B07BFPGKMP</t>
  </si>
  <si>
    <t>YMQYQJISZMZM140*200CM</t>
  </si>
  <si>
    <t>X001JQTMLX</t>
  </si>
  <si>
    <t>B0747JGPQB</t>
  </si>
  <si>
    <t>LINENLUX Cloth Cotton Linen Tablecloth Living Room Table Cover (55.1x78.7In)</t>
  </si>
  <si>
    <t>JCHOME-AXW140*200CM</t>
  </si>
  <si>
    <t>X001O4R43N</t>
  </si>
  <si>
    <t>B076GZ17CW</t>
  </si>
  <si>
    <t>SiYang Geometric Pattern Cotton Linen Tablecloth for Dining Kitchen Living Decor Tabletop Cover(55.1 X 78.7In)</t>
  </si>
  <si>
    <t>AQD-IUCY330-PP</t>
  </si>
  <si>
    <t>X001R6TLCF</t>
  </si>
  <si>
    <t>B07C899TPG</t>
  </si>
  <si>
    <t>SiYang Winner Pet Seat Belt 3 Packs Adjustable Pet Dog Vehicle Seatbelt Durable Nylon Pet Safety Leads Harness Seat-belt Strap For Cats Animals Purple</t>
  </si>
  <si>
    <t>AWFSNANKU-HBWYB5822BS-34</t>
  </si>
  <si>
    <t>X001G5WNA9</t>
  </si>
  <si>
    <t>B071DTPN9C</t>
  </si>
  <si>
    <t>Men's Relaxed Fit Solid Long Cargo Shorts Capri Pants (no belt)(White,32)</t>
  </si>
  <si>
    <t>MTX-IULHY-W8003-BK-26</t>
  </si>
  <si>
    <t>X001UXEMO7</t>
  </si>
  <si>
    <t>B07GBYQWJ4</t>
  </si>
  <si>
    <t>YY-IULCY-C9002-OR</t>
  </si>
  <si>
    <t>X001RYLLU7</t>
  </si>
  <si>
    <t>B07CYR86BT</t>
  </si>
  <si>
    <t>LINENLUX 3 in 1 Multifunctional Outdoor Rain Poncho Waterproof Camping Hooded Raincoat Orange</t>
  </si>
  <si>
    <t>YMQYQXDHKF60*60CM</t>
  </si>
  <si>
    <t>X001J8N541</t>
  </si>
  <si>
    <t>B072XFQHM5</t>
  </si>
  <si>
    <t>LINENLUX Cotton and Hemp, Machine Washable, Dinner, Summer &amp; Picnic Tablecloth, (23.5x23.5In, Coffee)</t>
  </si>
  <si>
    <t>MTX-IULHY-W1758-GN-27</t>
  </si>
  <si>
    <t>X001U4E3FJ</t>
  </si>
  <si>
    <t>B07FM5D6V7</t>
  </si>
  <si>
    <t>YY-IULCY-KS377-HEAD-L</t>
  </si>
  <si>
    <t>X001RYWFFR</t>
  </si>
  <si>
    <t>B07CYXD7TM</t>
  </si>
  <si>
    <t>Waterproof Hooded Rain Poncho Jacket Transparent Patterned Print Coat for Kids Head Large</t>
  </si>
  <si>
    <t>ZB-IULCY-YMQY100-CF140*140</t>
  </si>
  <si>
    <t>X001TRQU0X</t>
  </si>
  <si>
    <t>B07F71J9RX</t>
  </si>
  <si>
    <t>LINENLUX Linen Cotton Rectangular Tablecloths with Tassel for Home Decoration(Coffee,55.12 X55.12 inch)</t>
  </si>
  <si>
    <t>LINENLUX Everyday Kitchen Rectangular Tablecloth with Lace(White,35.4x35.4In) </t>
  </si>
  <si>
    <t>NEWZXXCZS-M</t>
  </si>
  <si>
    <t>X001NAJG0H</t>
  </si>
  <si>
    <t>B076DM92CL</t>
  </si>
  <si>
    <t>GMZYL-FLQ59-BF-32</t>
  </si>
  <si>
    <t>X001U0ZSC5</t>
  </si>
  <si>
    <t>B078JQ3KLW</t>
  </si>
  <si>
    <t>Folding Storage Cube Basket for Bedroom Bathroom Kids Cotton Linen White and Batman 12.5"x12.5"x12.5"</t>
  </si>
  <si>
    <t>XQ-IUYL320-YL-XL</t>
  </si>
  <si>
    <t>X001Q2JEKJ</t>
  </si>
  <si>
    <t>B07BFPJC83</t>
  </si>
  <si>
    <t>YY-IULCY-XZM100-CFNWT</t>
  </si>
  <si>
    <t>X001TBM46D</t>
  </si>
  <si>
    <t>B07DV5JV44</t>
  </si>
  <si>
    <t>LINENLUX Waterproof Rain Poncho Jacket Coat Hooded Colorblock(Dark Brown and Creamy-White)</t>
  </si>
  <si>
    <t>XQ-IUYL320-GN-XL</t>
  </si>
  <si>
    <t>X001Q28B2B</t>
  </si>
  <si>
    <t>B07BFP2PHH</t>
  </si>
  <si>
    <t>MTX-IULHY-W8001-LB-25</t>
  </si>
  <si>
    <t>X001UXD4JL</t>
  </si>
  <si>
    <t>B07GBVL2BP</t>
  </si>
  <si>
    <t>MTX-IULHY-DBWS90-PK-26</t>
  </si>
  <si>
    <t>X001UXETR7</t>
  </si>
  <si>
    <t>B07GBZRPF7</t>
  </si>
  <si>
    <t>MTX-IULHY-DBW8022-WT-25</t>
  </si>
  <si>
    <t>X001UVVKEJ</t>
  </si>
  <si>
    <t>B07G9ZW5H9</t>
  </si>
  <si>
    <t>YMQYQDZMZM60*60CM</t>
  </si>
  <si>
    <t>X0015EY58J</t>
  </si>
  <si>
    <t>B01C8QGSYU</t>
  </si>
  <si>
    <t>LINENLUX Ablecloth Square Cotton Feel Tablecloth (Letter,23.6x23.6In)</t>
  </si>
  <si>
    <t>MTX-IULHY-GBWS90-KK-27</t>
  </si>
  <si>
    <t>X001UXIAQD</t>
  </si>
  <si>
    <t>B07GBXR5T5</t>
  </si>
  <si>
    <t>YX-IUCY-819-WO-XL</t>
  </si>
  <si>
    <t>X001SF183F</t>
  </si>
  <si>
    <t>B07D75MGJ7</t>
  </si>
  <si>
    <t>Waterproof Reusable Shoe Covers Foldable Rain Snow Boots Covers White X-Large</t>
  </si>
  <si>
    <t>BYZBLANS90*140CM</t>
  </si>
  <si>
    <t>X001IXAZGN</t>
  </si>
  <si>
    <t>B0746J9RTZ</t>
  </si>
  <si>
    <t>Cotton And Hemp, Machine Washable, Dinner, Summer &amp; Picnic Tablecloth, Available In Various Sizes(Blue,35.4x55.1In)</t>
  </si>
  <si>
    <t>GMZYL-FLQ2013-YO-36</t>
  </si>
  <si>
    <t>X001U0OTZR</t>
  </si>
  <si>
    <t>B078JQVN4Q</t>
  </si>
  <si>
    <t>Collapsible Laundry Storage Basket for Bedroom Bathroom Kids Cotton with EVA Lining White 14.3"x14.3"x14.9"</t>
  </si>
  <si>
    <t>ZXXBLV-XL</t>
  </si>
  <si>
    <t>X001LTDIUT</t>
  </si>
  <si>
    <t>B074W3PDMT</t>
  </si>
  <si>
    <t>BYZBLANS140*140CM</t>
  </si>
  <si>
    <t>X001IVK2EF</t>
  </si>
  <si>
    <t>B0746JNMF8</t>
  </si>
  <si>
    <t>LINENLUX Cotton and Hemp, Machine Washable, Dinner, Summer &amp; Picnic Tablecloth, (Blue,55.1x55.1In)</t>
  </si>
  <si>
    <t>YY-IULCY-XW100-LIGHT</t>
  </si>
  <si>
    <t>X001UVQVP7</t>
  </si>
  <si>
    <t>B07G9VZ3NG</t>
  </si>
  <si>
    <t>LINENLUX Waterproof Rain Poncho Jacket Coat Adults Hooded Two Zippers(Light)</t>
  </si>
  <si>
    <t>ETYIYUANDIAN-L</t>
  </si>
  <si>
    <t>X001NHNENP</t>
  </si>
  <si>
    <t>B07856FYRX</t>
  </si>
  <si>
    <t>MTX-IULHY-GBW8022-WT-25</t>
  </si>
  <si>
    <t>X001UVF9TV</t>
  </si>
  <si>
    <t>B07G9Y3SCC</t>
  </si>
  <si>
    <t>YY-IULCY-KS371-WT-XL</t>
  </si>
  <si>
    <t>X001S0U8EZ</t>
  </si>
  <si>
    <t>B07CYDQFTF</t>
  </si>
  <si>
    <t>LINENLUX Waterproof Button Rain Poncho Jacket with Pockets White X-Large</t>
  </si>
  <si>
    <t>YY-IULUY-KS374-YL-L</t>
  </si>
  <si>
    <t>X001RYYCMV</t>
  </si>
  <si>
    <t>B07CZ14M68</t>
  </si>
  <si>
    <t>LINENLUX Waterproof Hooded Rain Poncho Jacket Coat for Kids with Pockets Yellow Large</t>
  </si>
  <si>
    <t>MTX-IULHY-WA86-KK-37</t>
  </si>
  <si>
    <t>X001UVQC4H</t>
  </si>
  <si>
    <t>B07G9W98NW</t>
  </si>
  <si>
    <t>XQ-IUYL320-BK-S</t>
  </si>
  <si>
    <t>X001Q28KGX</t>
  </si>
  <si>
    <t>B07BFPW4Y9</t>
  </si>
  <si>
    <t>YY-IULCY-KS369-ANCHOR-L</t>
  </si>
  <si>
    <t>X001RYRD5J</t>
  </si>
  <si>
    <t>B07CYQP2WB</t>
  </si>
  <si>
    <t>Waterproof Raincoat Polka Dot Hooded Rain Jacket Poncho Anchor Large</t>
  </si>
  <si>
    <t>HUAPET-1LVS-XL</t>
  </si>
  <si>
    <t>X001OZG74J</t>
  </si>
  <si>
    <t>B077GV12XZ</t>
  </si>
  <si>
    <t>luciphia Winter Dog Pet Vest Coat Waterproof Jacket With Zipper Green XL</t>
  </si>
  <si>
    <t>YY-IULCY-KS372-WT-L</t>
  </si>
  <si>
    <t>X001RYQVP7</t>
  </si>
  <si>
    <t>B07CYXSSQR</t>
  </si>
  <si>
    <t>LINENLUX Waterproof Rain Poncho Coat with Bag Cover White Large</t>
  </si>
  <si>
    <t>YY-IULCY-HZYD200-LGSTAR-L</t>
  </si>
  <si>
    <t>X001TCE0CX</t>
  </si>
  <si>
    <t>B07DVF2N43</t>
  </si>
  <si>
    <t>LINENLUX Kids Lightweight Jacket Waterproof Outwear Raincoat(Bag Cover,L)</t>
  </si>
  <si>
    <t>MTX-IULHY-DBWS90-GR-25</t>
  </si>
  <si>
    <t>X001UXFFD9</t>
  </si>
  <si>
    <t>B07GBY4S4L</t>
  </si>
  <si>
    <t>RSDZSJH27*16CM</t>
  </si>
  <si>
    <t>X0019PBN93</t>
  </si>
  <si>
    <t>B01M3R3CVA</t>
  </si>
  <si>
    <t>luciphia Stainless Steel Pet Dog Bowl For Small Middle Large Cats Dogs Calibre-10In</t>
  </si>
  <si>
    <t>NEWZXXCLV-M</t>
  </si>
  <si>
    <t>X001O1E8RB</t>
  </si>
  <si>
    <t>B076DB8YWB</t>
  </si>
  <si>
    <t>XQ-IUYL320-BL-M</t>
  </si>
  <si>
    <t>X001Q28A7H</t>
  </si>
  <si>
    <t>B07BFPGV4J</t>
  </si>
  <si>
    <t>Basic Classic Handmade Genuine Leather Dog Collar, Durable and Comfortable Adjustable Small Medium Large Puppy</t>
  </si>
  <si>
    <t>MTX-IULHY-W1759-OR-26</t>
  </si>
  <si>
    <t>X001U8VORZ</t>
  </si>
  <si>
    <t>B07FP7WW37</t>
  </si>
  <si>
    <t>GMZYL-FLQ2013-DX-36</t>
  </si>
  <si>
    <t>X001U10DIX</t>
  </si>
  <si>
    <t>B078JK429P</t>
  </si>
  <si>
    <t>Folding Laundry Basket Hamper for Bedroom Bathroom Kids Cotton with EVA Lining White 14.3"x14.3"x14.9"</t>
  </si>
  <si>
    <t>SJJJZHUOBUXTWB0100x140cm</t>
  </si>
  <si>
    <t>X001IG5A0V</t>
  </si>
  <si>
    <t>B06Y5QY9XG</t>
  </si>
  <si>
    <t>Single Face Strips Tablecloths Rectangle &amp; Oblong Blue Table Top Decoration(Blue,39.3x55In)</t>
  </si>
  <si>
    <t>AQD-IUCY330-RD</t>
  </si>
  <si>
    <t>X001R6SVK3</t>
  </si>
  <si>
    <t>B07C899437</t>
  </si>
  <si>
    <t>SiYang Winner Pet Seat Belt 3 Packs Adjustable Pet Dog Vehicle Seatbelt Durable Nylon Pet Safety Leads Harness Seat-belt Strap For Cats Animals Red</t>
  </si>
  <si>
    <t>AQD-IUCY330-LP</t>
  </si>
  <si>
    <t>X001R72H9D</t>
  </si>
  <si>
    <t>B07C88MRHF</t>
  </si>
  <si>
    <t>SiYang Winner Pet Seat Belt 3 Packs Adjustable Pet Dog Vehicle Seatbelt Durable Nylon Pet Safety Leads Harness Seat-Belt Strap for Cats Animals Light Purple</t>
  </si>
  <si>
    <t>TM-IULCY-300-LB</t>
  </si>
  <si>
    <t>X001TZR167</t>
  </si>
  <si>
    <t>B07FF3JGFS</t>
  </si>
  <si>
    <t>LINENLUX Muti-functional Tent Camping Tarp Waterproof Shelter Sunshade for Picnic, Hiking,Travel,Fishing(sky-blue)</t>
  </si>
  <si>
    <t>HUAPET-1JS-5XL</t>
  </si>
  <si>
    <t>X001OXDRCL</t>
  </si>
  <si>
    <t>B077GTB515</t>
  </si>
  <si>
    <t>luciphia Winter Dog Pet Vest Coat Waterproof Jacket With Zipper Orange 5XL</t>
  </si>
  <si>
    <t>0A-OLK7-ZS6V</t>
  </si>
  <si>
    <t>X001AJ8247</t>
  </si>
  <si>
    <t>B01N5F80GD</t>
  </si>
  <si>
    <t>SiYang Man Cable Knitted Hat With Visor Bill Winter Warm Hat For Women Man Blue</t>
  </si>
  <si>
    <t>MTX-IULHY-W1798-PK-25</t>
  </si>
  <si>
    <t>X001U4KU65</t>
  </si>
  <si>
    <t>B07FML2VJ1</t>
  </si>
  <si>
    <t>LINENLUX Women Comfort Thicken Cotton Slippers Winter House Shoes Indoor</t>
  </si>
  <si>
    <t>YY-IULCY-KS370-BL-M</t>
  </si>
  <si>
    <t>X001RYEVY5</t>
  </si>
  <si>
    <t>B07CYRF2RW</t>
  </si>
  <si>
    <t>LINENLUX Polka Dot Rain Poncho Jacket Drawstring Hooded Waterproof Raincoat Blue Medium</t>
  </si>
  <si>
    <t>YY-IULCY-KS372-PP-L</t>
  </si>
  <si>
    <t>X001RYQFGR</t>
  </si>
  <si>
    <t>B07CYTYVLF</t>
  </si>
  <si>
    <t>LINENLUX Waterproof Rain Poncho Coat with Bag Cover Purple Large</t>
  </si>
  <si>
    <t>MTX-IULHY-W8003-RD-26</t>
  </si>
  <si>
    <t>X001UXHQQ3</t>
  </si>
  <si>
    <t>B07GBX8GG1</t>
  </si>
  <si>
    <t>NEWZXXCHO-XL</t>
  </si>
  <si>
    <t>X001N9TM89</t>
  </si>
  <si>
    <t>B076DPB4MZ</t>
  </si>
  <si>
    <t>MZYSMMSX140*140CM</t>
  </si>
  <si>
    <t>X0017VRVOF</t>
  </si>
  <si>
    <t>B01BHQWRLU</t>
  </si>
  <si>
    <t>Rectangular Polyester Tablecloth Flower (54.654.6in)</t>
  </si>
  <si>
    <t>GMSNH-CY001-Y0</t>
  </si>
  <si>
    <t>X001U6AG0N</t>
  </si>
  <si>
    <t>B07DQL4VVL</t>
  </si>
  <si>
    <t>Small Foldable Storage Basket waterproof Oxford Storage Bins for Toy Storage(Yellow,7.9x5.5x6.3In)</t>
  </si>
  <si>
    <t>YY-IULUY-KS374-YL-XL</t>
  </si>
  <si>
    <t>X001RZ02FL</t>
  </si>
  <si>
    <t>B07CYMV2ZC</t>
  </si>
  <si>
    <t>LINENLUX Waterproof Hooded Rain Poncho Jacket Coat for Kids with Pockets Yellow X-Large</t>
  </si>
  <si>
    <t>MIDUYD037K0L</t>
  </si>
  <si>
    <t>X001BLDVEF</t>
  </si>
  <si>
    <t>B01MY2YKZD</t>
  </si>
  <si>
    <t>SiYang YoGa Octopus Printing Yoga Pants Women High Elasticity Thin Fitness Clothes(Pants,L)</t>
  </si>
  <si>
    <t>MTX-IULHY-W8001-DPK-25</t>
  </si>
  <si>
    <t>X001UXDRXT</t>
  </si>
  <si>
    <t>B07GBWJRS6</t>
  </si>
  <si>
    <t>MTX-IULHY-W188-PK-38/39</t>
  </si>
  <si>
    <t>X001U4XOA9</t>
  </si>
  <si>
    <t>B07FM66H7Y</t>
  </si>
  <si>
    <t>TZ-IUYL240-PAW-L</t>
  </si>
  <si>
    <t>X001ORTBPT</t>
  </si>
  <si>
    <t>B079G2PMNQ</t>
  </si>
  <si>
    <t>luciphia Pet Dog Blanket Fleece Fabric Puppy Cat Soft Blankets Bed Mat Cover with Paw Print for Puppies Kitties and Other Small Animals?30x41?</t>
  </si>
  <si>
    <t>TZ-IUYL240-STRAWBERRY-M</t>
  </si>
  <si>
    <t>X001R6U92L</t>
  </si>
  <si>
    <t>B07C848ML4</t>
  </si>
  <si>
    <t>SiYang Winner Pet Dog Blanket Fleece Fabric Puppy Cat Soft Blankets Bed Mat Cover Strawberry Print Puppies Kitties Other Small Animals?20x30?</t>
  </si>
  <si>
    <t>YY-IULCY-KS369-HEAD-L</t>
  </si>
  <si>
    <t>X001RYGUWV</t>
  </si>
  <si>
    <t>B07CYQC82N</t>
  </si>
  <si>
    <t>Waterproof Raincoat Polka Dot Hooded Rain Jacket Poncho Head Large</t>
  </si>
  <si>
    <t>TZ-IUYL240-STAR-M</t>
  </si>
  <si>
    <t>X001ORTBIL</t>
  </si>
  <si>
    <t>B079G44DC9</t>
  </si>
  <si>
    <t>luciphia Pet Dog Blanket Fleece Fabric Puppy Cat Soft Blankets Bed Mat Cover with Star Print for Puppies Kitties and Other Small Animals?20x30?</t>
  </si>
  <si>
    <t>YMQYQXDHY0140*200CM</t>
  </si>
  <si>
    <t>X001P0J9Y3</t>
  </si>
  <si>
    <t>B076DTK34H</t>
  </si>
  <si>
    <t>LINENLUX Cotton Linen Tablecloth Macrame Lace Table Cloths Linen Rectangle Table Covers Table Top for Dinner parties Christmas Holidays or Everyday Use (55.1x78.7In, Yellow)</t>
  </si>
  <si>
    <t>HNJJBZSDJSDH45*45CM</t>
  </si>
  <si>
    <t>X001A7X0XR</t>
  </si>
  <si>
    <t>B01JIQOZ6G</t>
  </si>
  <si>
    <t>Home Office Sofa Cushion Pillow Creative Nap Linen Cushion Coverswith Pillow InnerWith pillow inner(Christmas Red Deer,17.7x17.7In)</t>
  </si>
  <si>
    <t>XQ-IUYL320-BK-XL</t>
  </si>
  <si>
    <t>X001Q1QFYD</t>
  </si>
  <si>
    <t>B07BFPYGMN</t>
  </si>
  <si>
    <t>YMQYQDZMZM140*180CM</t>
  </si>
  <si>
    <t>X0016A7QZV</t>
  </si>
  <si>
    <t>B01C8QGZKC</t>
  </si>
  <si>
    <t>LINENLUX Ablecloth Square Cotton Feel Tablecloth (Letter,55.1x70.9In)</t>
  </si>
  <si>
    <t>MTX-IULHY-WT836-GN-25</t>
  </si>
  <si>
    <t>X001UVVW8D</t>
  </si>
  <si>
    <t>B07G9WLG2X</t>
  </si>
  <si>
    <t>MID46-069-2XL</t>
  </si>
  <si>
    <t>X001O1V9P5</t>
  </si>
  <si>
    <t>B0776QVRRT</t>
  </si>
  <si>
    <t>SiYang YoGa Space Cat 3D Printing Fashion Fitness Pants Yoga Sports Trousers High Stretch Fast Dry Pants For Women(Pants,2XL)</t>
  </si>
  <si>
    <t>YY-IULCY-KS371-WT-M</t>
  </si>
  <si>
    <t>X001S0IFOZ</t>
  </si>
  <si>
    <t>B07CYYVMF8</t>
  </si>
  <si>
    <t>LINENLUX Waterproof Button Rain Poncho Jacket with Pockets White Medium</t>
  </si>
  <si>
    <t>MIDUYD037K0MX</t>
  </si>
  <si>
    <t>X001BDXDMX</t>
  </si>
  <si>
    <t>B01N5K66OY</t>
  </si>
  <si>
    <t>Octopus Printing Yoga Pants Women High Elasticity Thin Fitness Clothes(Pants, Medium)</t>
  </si>
  <si>
    <t>XQ-IUYL320-PK-XL</t>
  </si>
  <si>
    <t>X001Q28KGN</t>
  </si>
  <si>
    <t>B07BFPFC9Z</t>
  </si>
  <si>
    <t>MTX-IULHY-WA89-GR-39</t>
  </si>
  <si>
    <t>X001UVRAPH</t>
  </si>
  <si>
    <t>B07G9V2WJ5</t>
  </si>
  <si>
    <t>HUAPET-1LVS-S</t>
  </si>
  <si>
    <t>X001OXDRFN</t>
  </si>
  <si>
    <t>B077GTG3DN</t>
  </si>
  <si>
    <t>luciphia Winter Dog Pet Vest Coat Waterproof Jacket With Zipper Green S</t>
  </si>
  <si>
    <t>HNJZDCGSDS345*45CM</t>
  </si>
  <si>
    <t>X001A2JC3T</t>
  </si>
  <si>
    <t>B01JIXJ7AS</t>
  </si>
  <si>
    <t>Christmas Series Flax Home Office Sofa Cushion By Pillowcase(Christmas Tree 3,17.7x17.7In)</t>
  </si>
  <si>
    <t>MTX-IULHY-W1758-PK-26</t>
  </si>
  <si>
    <t>X001U3YDCN</t>
  </si>
  <si>
    <t>B07FM8L625</t>
  </si>
  <si>
    <t>MTX-IULHY-W8001-LB-26</t>
  </si>
  <si>
    <t>X001UXDS15</t>
  </si>
  <si>
    <t>B07GBT5XRP</t>
  </si>
  <si>
    <t>TZ-IUYL240-STAR-L</t>
  </si>
  <si>
    <t>X001OTW055</t>
  </si>
  <si>
    <t>B079G3L78V</t>
  </si>
  <si>
    <t>luciphia Pet Dog Blanket Fleece Fabric Puppy Cat Soft Blankets Bed Mat Cover with Star Print for Puppies Kitties and Other Small Animals?30x41?</t>
  </si>
  <si>
    <t>DLJJZHUOBU-BGZW070x70CM</t>
  </si>
  <si>
    <t>X001HNDA2Z</t>
  </si>
  <si>
    <t>B071RKG97D</t>
  </si>
  <si>
    <t>Rectangle Contemporary Plaid Tablecloth Stain Resistant Fabric Table Cover for Square Table White Checker(White,27.5x27.5In)</t>
  </si>
  <si>
    <t>HUAPET-1JS-L</t>
  </si>
  <si>
    <t>X001OXY531</t>
  </si>
  <si>
    <t>B077GSTK1N</t>
  </si>
  <si>
    <t>luciphia Winter Dog Pet Vest Coat Waterproof Jacket With Zipper Orange L</t>
  </si>
  <si>
    <t>MTX-IULHY-M1759-DB-27</t>
  </si>
  <si>
    <t>X001U9I0IZ</t>
  </si>
  <si>
    <t>B07FPF1V6Z</t>
  </si>
  <si>
    <t>MTX-IULHY-GBWS90-GR-26</t>
  </si>
  <si>
    <t>X001UXHFJL</t>
  </si>
  <si>
    <t>B07GBY8DGQ</t>
  </si>
  <si>
    <t>FSFZB006J0RO320CM</t>
  </si>
  <si>
    <t>X001TNJ1PD</t>
  </si>
  <si>
    <t>B01F5LRA0G</t>
  </si>
  <si>
    <t>MTX-IULHY-W1758-OR-26</t>
  </si>
  <si>
    <t>X001U4JSV3</t>
  </si>
  <si>
    <t>B07FM6GKHY</t>
  </si>
  <si>
    <t>GMSNH-LUHM001-G0</t>
  </si>
  <si>
    <t>X001U0ZH35</t>
  </si>
  <si>
    <t>B07DQMT2TL</t>
  </si>
  <si>
    <t>Small Foldable Storage Basket waterproof Oxford Storage Bins for Toy Storage(Green,7.9x5.5x6.3In)</t>
  </si>
  <si>
    <t>MTX-IULHY-W1759-GN-27</t>
  </si>
  <si>
    <t>X001U8AAV1</t>
  </si>
  <si>
    <t>B07FP7MJYC</t>
  </si>
  <si>
    <t>LINENLUX Open-Toe Home Slippers, Memory Foam Winter Casual Shoes for Women/Men</t>
  </si>
  <si>
    <t>YY-IULCY-KS372-BL-L</t>
  </si>
  <si>
    <t>X001RYEM7L</t>
  </si>
  <si>
    <t>B07CZ286DW</t>
  </si>
  <si>
    <t>LINENLUX Waterproof Rain Poncho Coat with Bag Cover Blue Large</t>
  </si>
  <si>
    <t>GMBZKQM</t>
  </si>
  <si>
    <t>X001AGZLB7</t>
  </si>
  <si>
    <t>B01N7A9Z1L</t>
  </si>
  <si>
    <t>Decorbox Cotton Linen Decorative Throw Pillow Case Cushion Cover (Feathers)</t>
  </si>
  <si>
    <t>MTX-IULHY-W188-GN-38/39</t>
  </si>
  <si>
    <t>X001U4EY5D</t>
  </si>
  <si>
    <t>B07FM6LRHB</t>
  </si>
  <si>
    <t>YY-IULCY-KS372-PP-XL</t>
  </si>
  <si>
    <t>X001RYEM7B</t>
  </si>
  <si>
    <t>B07CYNFKBJ</t>
  </si>
  <si>
    <t>LINENLUX Waterproof Rain Poncho Coat with Bag Cover Purple X-Large</t>
  </si>
  <si>
    <t>YMQYQXDHW0140*250CM</t>
  </si>
  <si>
    <t>X001634XWR</t>
  </si>
  <si>
    <t>B01C8QJADG</t>
  </si>
  <si>
    <t>LINENLUX SiYANG Cotton And Hemp, Machine Washable, Dinner, Summer &amp; Picnic Tablecloth, Available In Various Sizes(Beige,55.1x98.4In)</t>
  </si>
  <si>
    <t>YX-IUCY-819-N5-2XL</t>
  </si>
  <si>
    <t>X001SF14YN</t>
  </si>
  <si>
    <t>B07D75GJW1</t>
  </si>
  <si>
    <t>Waterproof Reusable Shoe Covers Foldable Rain Snow Boots Covers Brown XX-Large</t>
  </si>
  <si>
    <t>MTX-IULHY-GBW8022-WT-27</t>
  </si>
  <si>
    <t>X001UVF5IL</t>
  </si>
  <si>
    <t>B07G9WZFV2</t>
  </si>
  <si>
    <t>YY-IULUY-KS374-DB-M</t>
  </si>
  <si>
    <t>X001RYFU0J</t>
  </si>
  <si>
    <t>B07CYRZCR1</t>
  </si>
  <si>
    <t>LINENLUX Waterproof Hooded Rain Poncho Jacket Coat for Kids with Pockets Blue Medium</t>
  </si>
  <si>
    <t>MTX-IULHY-W1798-OR-25</t>
  </si>
  <si>
    <t>X001U3Z9ZN</t>
  </si>
  <si>
    <t>B07FMBSRYX</t>
  </si>
  <si>
    <t>MTX-IULHY-DBWS90-KK-26</t>
  </si>
  <si>
    <t>X001UXI0G3</t>
  </si>
  <si>
    <t>B07GBXQQLG</t>
  </si>
  <si>
    <t>XQ-IUYL320-RD-XL</t>
  </si>
  <si>
    <t>X001Q3F371</t>
  </si>
  <si>
    <t>B07BFPM3NH</t>
  </si>
  <si>
    <t>MTX-IULHY-DBWS90-GR-27</t>
  </si>
  <si>
    <t>X001UXETP9</t>
  </si>
  <si>
    <t>B07GBX646L</t>
  </si>
  <si>
    <t>YMQYQXDHPO140*160CM</t>
  </si>
  <si>
    <t>X001JSGZKR</t>
  </si>
  <si>
    <t>B0745BHDGZ</t>
  </si>
  <si>
    <t>LINENLUX Cotton and Hemp, Machine Washable, Dinner, Summer &amp; Picnic Tablecloth, (55.1x63In, Pink)</t>
  </si>
  <si>
    <t>MTX-IULHY-W1758-OR-27</t>
  </si>
  <si>
    <t>X001U3A8OZ</t>
  </si>
  <si>
    <t>B07FM5CQBS</t>
  </si>
  <si>
    <t>MTX-IULHY-WT836-PK-25</t>
  </si>
  <si>
    <t>X001UVFIDX</t>
  </si>
  <si>
    <t>B07G9X1J2T</t>
  </si>
  <si>
    <t>YMQYQXDHY0140*180CM</t>
  </si>
  <si>
    <t>X001P0I8SB</t>
  </si>
  <si>
    <t>B076DPGDHG</t>
  </si>
  <si>
    <t>LINENLUX Cotton Linen Tablecloth Macrame Lace Table Cloths Linen Rectangle Table Covers Table Top for Dinner Parties Christmas Holidays or Everyday Use (55.1x70.9In, Yellow)</t>
  </si>
  <si>
    <t>TZ-IUYL240-BONE-L</t>
  </si>
  <si>
    <t>X001OTNQGH</t>
  </si>
  <si>
    <t>B079G5QNWG</t>
  </si>
  <si>
    <t>luciphia Pet Dog Blanket Fleece Fabric Puppy Cat Soft Blankets Bed Mat Cover with Bone Print for Puppies Kitties and Other Small Animals?30x41?</t>
  </si>
  <si>
    <t>MTX-IULHY-WT836-PP-25</t>
  </si>
  <si>
    <t>X001UVVQNJ</t>
  </si>
  <si>
    <t>B07G9XGJP8</t>
  </si>
  <si>
    <t>HNJAX2SW045*45CM</t>
  </si>
  <si>
    <t>X0019ZUN1H</t>
  </si>
  <si>
    <t>B01JIWOFRY</t>
  </si>
  <si>
    <t>Christmas Characters Written In Black Linen Home Office Sofa Cushion By Pillowcase(White,17.7x17.7In)</t>
  </si>
  <si>
    <t>YHJRBMHS-XL</t>
  </si>
  <si>
    <t>X001O7801F</t>
  </si>
  <si>
    <t>B075CMX72N</t>
  </si>
  <si>
    <t>SiYang YoGa Fleece Lined Leggings Girls High Waist,Elastic and Slimming 2-Pack((Rose Red,XL)</t>
  </si>
  <si>
    <t>ZXXBHO-L</t>
  </si>
  <si>
    <t>X001LTFO97</t>
  </si>
  <si>
    <t>B074W13L99</t>
  </si>
  <si>
    <t>MTX-IULHY-W8003-BK-27</t>
  </si>
  <si>
    <t>X001UXHSZH</t>
  </si>
  <si>
    <t>B07GBVR5PP</t>
  </si>
  <si>
    <t>ETYIBLUE-S-2</t>
  </si>
  <si>
    <t>X001TU57JZ</t>
  </si>
  <si>
    <t>B07F9N2KBW</t>
  </si>
  <si>
    <t>XQ-IUYL320-PP-XL</t>
  </si>
  <si>
    <t>X001Q1QFCZ</t>
  </si>
  <si>
    <t>B07BFP5FH3</t>
  </si>
  <si>
    <t>BYZBLANS140*200CM</t>
  </si>
  <si>
    <t>X001IWMQYD</t>
  </si>
  <si>
    <t>B0746JC58W</t>
  </si>
  <si>
    <t>LINENLUX Cotton and Hemp, Machine Washable, Dinner, Summer &amp; Picnic Tablecloth, (Blue,55.1x78.7In)</t>
  </si>
  <si>
    <t>XQ-IUYL320-DB-M</t>
  </si>
  <si>
    <t>X001Q28A81</t>
  </si>
  <si>
    <t>B07BFP7H3J</t>
  </si>
  <si>
    <t>YY-IULCY-HZYD100-BIGEYED-L</t>
  </si>
  <si>
    <t>X001TCK5O5</t>
  </si>
  <si>
    <t>B07DVPGVTQ</t>
  </si>
  <si>
    <t>LINENLUX Waterproof Hooded Rain Poncho Jacket Coat for Kids with Pockets(Big Eyes,L)</t>
  </si>
  <si>
    <t>YY-IULCY-KS372-GN-L</t>
  </si>
  <si>
    <t>X001RYBVXT</t>
  </si>
  <si>
    <t>B07CYZ1TYG</t>
  </si>
  <si>
    <t>LINENLUX Waterproof Rain Poncho Coat with Bag Cover Green Large</t>
  </si>
  <si>
    <t>XQ-IUYL320-RD-L</t>
  </si>
  <si>
    <t>X001Q1QFJD</t>
  </si>
  <si>
    <t>B07BFPBRX6</t>
  </si>
  <si>
    <t>MIDUYD46-059KZL</t>
  </si>
  <si>
    <t>X001D7XWF5</t>
  </si>
  <si>
    <t>B01N11KD8V</t>
  </si>
  <si>
    <t>Color Gradient Fish Scale Printed Yoga Pants Female Hip Tights (Pants,L)</t>
  </si>
  <si>
    <t>MTX-IULHY-W1759-PK-27</t>
  </si>
  <si>
    <t>X001U8AF8J</t>
  </si>
  <si>
    <t>B07FPGYWZ9</t>
  </si>
  <si>
    <t>AQD-IUCY330-YL</t>
  </si>
  <si>
    <t>X001R6ZW7N</t>
  </si>
  <si>
    <t>B07C8CXBNT</t>
  </si>
  <si>
    <t>SiYang Winner Pet Seat Belt 3 Packs Adjustable Pet Dog Vehicle Seatbelt Durable Nylon Pet Safety Leads Harness Seat-belt Strap For Cats Animals Yellow</t>
  </si>
  <si>
    <t>ZAKKA0633R035*50CM</t>
  </si>
  <si>
    <t>X001DLE3G3</t>
  </si>
  <si>
    <t>B01H1X9GOY</t>
  </si>
  <si>
    <t>Linen/Cotton Fabric Wall Door Closet Hanging Storage Bag Case 8 Pockets Home Organizer (Red,23.6x13)</t>
  </si>
  <si>
    <t>YMQYQXDHKF140*180CM</t>
  </si>
  <si>
    <t>X001HCXTSV</t>
  </si>
  <si>
    <t>B01C8QJSTM</t>
  </si>
  <si>
    <t>LINENLUX Cotton and Hemp, Machine Washable, Dinner, Summer &amp; Picnic Tablecloth, (Coffee,55.1x70.9In)</t>
  </si>
  <si>
    <t>YX-IUCY-518-BO-XL</t>
  </si>
  <si>
    <t>X001SEZV7Z</t>
  </si>
  <si>
    <t>B07D74TWXY</t>
  </si>
  <si>
    <t>YY-IULCY-XZM100-GNNWT</t>
  </si>
  <si>
    <t>X001TB6N3N</t>
  </si>
  <si>
    <t>B07DV3LV6M</t>
  </si>
  <si>
    <t>LINENLUX Waterproof Rain Poncho Jacket Coat Hooded Colorblock(Green and Creamy-White)</t>
  </si>
  <si>
    <t>MTX-IULHY-DBW8022-WT-26</t>
  </si>
  <si>
    <t>X001UVQVXT</t>
  </si>
  <si>
    <t>B07G9W44K4</t>
  </si>
  <si>
    <t>MTX-IULHY-W188-PP-35/37</t>
  </si>
  <si>
    <t>X001U3Z9IP</t>
  </si>
  <si>
    <t>B07FM4B2M4</t>
  </si>
  <si>
    <t>YMQYZBJTE0140*220CM</t>
  </si>
  <si>
    <t>X001E10QY5</t>
  </si>
  <si>
    <t>B01JIXJQZY</t>
  </si>
  <si>
    <t>LINENLUX Art Small Fresh Geometric Cotton And Linen Tablecloth cloth Rectangular Tea Table Desk Cover(Grey,55x86.5In)</t>
  </si>
  <si>
    <t>MTX-IULHY-W8001-LPK-25</t>
  </si>
  <si>
    <t>X001UXDRSJ</t>
  </si>
  <si>
    <t>B07GBVXJHB</t>
  </si>
  <si>
    <t>Rabbit Fur Suede Home Slippers Winter Shoes for Women/Men</t>
  </si>
  <si>
    <t>DLJJZHUOBU-BGZW0140x140CM</t>
  </si>
  <si>
    <t>X001HNJFM9</t>
  </si>
  <si>
    <t>B071NDLM15</t>
  </si>
  <si>
    <t>Rectangle Contemporary Plaid Tablecloth Stain Resistant Fabric Table Cover for Square Table White Checker(White,55x55In)</t>
  </si>
  <si>
    <t>GMSNH-LUHM001-E0</t>
  </si>
  <si>
    <t>X001U0DLHJ</t>
  </si>
  <si>
    <t>B07DQM6N3W</t>
  </si>
  <si>
    <t>Small Foldable Storage Basket waterproof Oxford Storage Bins for Toy Storage(Grey,7.9x5.5x6.3In)</t>
  </si>
  <si>
    <t>MZYSTYMM100*140CM</t>
  </si>
  <si>
    <t>X0016D5STT</t>
  </si>
  <si>
    <t>B01BHQVM1Q</t>
  </si>
  <si>
    <t>Tablecloth Rectangular Floral Tablecloth Rectangular Thanksgiving Blue Valentine Day Gifts (3954.6in)</t>
  </si>
  <si>
    <t>XQ-IUYL320-BL-XL</t>
  </si>
  <si>
    <t>X001Q28ARH</t>
  </si>
  <si>
    <t>B07BFPF8BC</t>
  </si>
  <si>
    <t>SGZ-LULHY-001</t>
  </si>
  <si>
    <t>X001T87WU9</t>
  </si>
  <si>
    <t>B07DQNVQYY</t>
  </si>
  <si>
    <t>LINENLUX Dog Cork-Screw Tie Out Stake (Chrome?Pack of 4)</t>
  </si>
  <si>
    <t>XQ-IUYL320-DB-L</t>
  </si>
  <si>
    <t>X001Q3D2FB</t>
  </si>
  <si>
    <t>B07BFPSGHP</t>
  </si>
  <si>
    <t>YY-IULCY-KS372-GN-XL</t>
  </si>
  <si>
    <t>X001RYYI7F</t>
  </si>
  <si>
    <t>B07CYNNW22</t>
  </si>
  <si>
    <t>LINENLUX Waterproof Rain Poncho Coat with Bag Cover Green X-Large</t>
  </si>
  <si>
    <t>SJJJZHUOBUXTWB0140x220cm</t>
  </si>
  <si>
    <t>X001IG97YV</t>
  </si>
  <si>
    <t>B06Y5DBBRQ</t>
  </si>
  <si>
    <t>Single Face Strips Tablecloths Rectangle &amp; Oblong Blue Table Top Decoration(Blue,55x86.5In)</t>
  </si>
  <si>
    <t>MTX-IULHY-DBW8022-WT-27</t>
  </si>
  <si>
    <t>X001UVW1JR</t>
  </si>
  <si>
    <t>B07G9VD23M</t>
  </si>
  <si>
    <t>MTX-IULHY-WT836-PP-26</t>
  </si>
  <si>
    <t>X001UVWA39</t>
  </si>
  <si>
    <t>B07G9ZRV4P</t>
  </si>
  <si>
    <t>YY-IULCY-C9002-DB</t>
  </si>
  <si>
    <t>X001RYO3W5</t>
  </si>
  <si>
    <t>B07CYQHDTT</t>
  </si>
  <si>
    <t>LINENLUX 3 in 1 Multifunctional Outdoor Rain Poncho Waterproof Camping Hooded Raincoat deep Blue</t>
  </si>
  <si>
    <t>MTX-IULHY-W1759-PK-25</t>
  </si>
  <si>
    <t>X001U9JW8R</t>
  </si>
  <si>
    <t>B07FP74CT9</t>
  </si>
  <si>
    <t>ZXXBHO-XL</t>
  </si>
  <si>
    <t>X001LTJMXB</t>
  </si>
  <si>
    <t>B074W5TPJ2</t>
  </si>
  <si>
    <t>MTX-IULHY-M1759-GR-28</t>
  </si>
  <si>
    <t>X001U8AAQV</t>
  </si>
  <si>
    <t>B07FPBTZTD</t>
  </si>
  <si>
    <t>SWEATPETRO24</t>
  </si>
  <si>
    <t>X001NJIPM3</t>
  </si>
  <si>
    <t>B07842C2Q3</t>
  </si>
  <si>
    <t>luciphia Winter Dog Sweater Vest Warm Coat for Small Medium Dogs</t>
  </si>
  <si>
    <t>YY-IULCY-C9002-LG</t>
  </si>
  <si>
    <t>X001RY9EYR</t>
  </si>
  <si>
    <t>B07CYP3SMP</t>
  </si>
  <si>
    <t>LINENLUX 3 in 1 Multifunctional Outdoor Rain Poncho Waterproof Camping Hooded Raincoat Lawn Green</t>
  </si>
  <si>
    <t>MTX-IULHY-W1759-GN-26</t>
  </si>
  <si>
    <t>X001U8AFE3</t>
  </si>
  <si>
    <t>B07FP915GV</t>
  </si>
  <si>
    <t>MTX-IULHY-W1758-GN-26</t>
  </si>
  <si>
    <t>X001U3A8LN</t>
  </si>
  <si>
    <t>B07FM16RR3</t>
  </si>
  <si>
    <t>MTX-IULHY-GBW8022-PK-26</t>
  </si>
  <si>
    <t>X001UVVMLZ</t>
  </si>
  <si>
    <t>B07G9W4LQN</t>
  </si>
  <si>
    <t>GMZYL-06-BG-40</t>
  </si>
  <si>
    <t>X001UG9I07</t>
  </si>
  <si>
    <t>B075RCQD9P</t>
  </si>
  <si>
    <t>Laundry Storage Basket Bin for Bedroom Bathroom Kids Linen Cotton White and Plaid 15.7"x15.7"x19.7"</t>
  </si>
  <si>
    <t>MZYSZHUOBUDTMAP140*200CM</t>
  </si>
  <si>
    <t>X001E9509X</t>
  </si>
  <si>
    <t>B06XX63P51</t>
  </si>
  <si>
    <t>LINENLUX Linens Tablecloths Picnic Burlap Tablecloth for Round&amp;Rectangular&amp;Oval Table Cover with Map Printed(Map,55x78.6In)</t>
  </si>
  <si>
    <t>YMQYQXDHPO140*180CM</t>
  </si>
  <si>
    <t>X001JSGZJN</t>
  </si>
  <si>
    <t>B0745BVQ73</t>
  </si>
  <si>
    <t>LINENLUX Cotton and Hemp, Machine Washable, Dinner, Summer &amp; Picnic Tablecloth, (55.1x70.9In, Pink)</t>
  </si>
  <si>
    <t>YY5100B0L</t>
  </si>
  <si>
    <t>X001612JMF</t>
  </si>
  <si>
    <t>B01AXMQ23I</t>
  </si>
  <si>
    <t>AQD-IUCY330-OR</t>
  </si>
  <si>
    <t>X001R6SUZ9</t>
  </si>
  <si>
    <t>B07C857S61</t>
  </si>
  <si>
    <t>SiYang Winner Pet Seat Belt 3 Packs Adjustable Pet Dog Vehicle Seatbelt Durable Nylon Pet Safety Leads Harness Seat-Belt Strap for Cats Animals Orange</t>
  </si>
  <si>
    <t>YMQYZBCSMS140*250CM</t>
  </si>
  <si>
    <t>X000ZX5ZJ9</t>
  </si>
  <si>
    <t>B01C8QIF4Q</t>
  </si>
  <si>
    <t>LINENLUX Everyday Kitchen Rectangular Tablecloth with Lace 6 Piece Table mat(White,55.1x98.4In) </t>
  </si>
  <si>
    <t>BYZBFS140*140CM</t>
  </si>
  <si>
    <t>X001JGPTOR</t>
  </si>
  <si>
    <t>B0746KC71K</t>
  </si>
  <si>
    <t>LINENLUX Cotton and Hemp, Machine Washable, Dinner, Summer &amp; Picnic Tablecloth, (Pink,55.1x55.1In) </t>
  </si>
  <si>
    <t>YY-IULCY-KS372-YL-M</t>
  </si>
  <si>
    <t>X001RZ0EPJ</t>
  </si>
  <si>
    <t>B07CYN7Z12</t>
  </si>
  <si>
    <t>LINENLUX Waterproof Rain Poncho Coat with Bag Cover Yellow Medium</t>
  </si>
  <si>
    <t>HUAPET-1PPS-M</t>
  </si>
  <si>
    <t>X001NBSKS5</t>
  </si>
  <si>
    <t>B077GTMLLQ</t>
  </si>
  <si>
    <t>luciphia Winter Dog Pet Vest Coat Waterproof Jacket With Zipper Purple M</t>
  </si>
  <si>
    <t>YMQYZBCSMS60*60CM</t>
  </si>
  <si>
    <t>X0013NG9NL</t>
  </si>
  <si>
    <t>B01C8QI73A</t>
  </si>
  <si>
    <t>LINENLUX Everyday Kitchen Rectangular Tablecloth with Lace(White,23.5x23.5In) </t>
  </si>
  <si>
    <t>FSFZB006QSRO200CM</t>
  </si>
  <si>
    <t>X001TNK87X</t>
  </si>
  <si>
    <t>B01F5LSKQ4</t>
  </si>
  <si>
    <t>YY-IULCY-KS371-WT-L</t>
  </si>
  <si>
    <t>X001S0UBLP</t>
  </si>
  <si>
    <t>B07CYMDHK9</t>
  </si>
  <si>
    <t>LINENLUX Waterproof Button Rain Poncho Jacket with Pockets White Large</t>
  </si>
  <si>
    <t>YY5100Y0M</t>
  </si>
  <si>
    <t>X00160ZAO5</t>
  </si>
  <si>
    <t>B01AXMPKZE</t>
  </si>
  <si>
    <t>SXHLYITAO1-LH-001GO40x60CM</t>
  </si>
  <si>
    <t>X001JLBZ3B</t>
  </si>
  <si>
    <t>B072L36CJW</t>
  </si>
  <si>
    <t>LINENLUX Stretch Polyester Spandex Dining Chair Cover for Wedding Banquet Party Many Colors Set of 2(Gold)</t>
  </si>
  <si>
    <t>YY-IULCY-KS370-RD-M</t>
  </si>
  <si>
    <t>X001RYXSPN</t>
  </si>
  <si>
    <t>B07CYNLHMM</t>
  </si>
  <si>
    <t>LINENLUX Polka Dot Rain Poncho Jacket Drawstring Hooded Waterproof Raincoat red Medium</t>
  </si>
  <si>
    <t>HUAPET-1JS-3XL</t>
  </si>
  <si>
    <t>X001OZIIFZ</t>
  </si>
  <si>
    <t>B077GVFQ2V</t>
  </si>
  <si>
    <t>luciphia Winter Dog Pet Vest Coat Waterproof Jacket With Zipper Orange 3XL</t>
  </si>
  <si>
    <t>YMQYZBJTE0140*200CM</t>
  </si>
  <si>
    <t>X001E4BFAV</t>
  </si>
  <si>
    <t>B01JIXJRRQ</t>
  </si>
  <si>
    <t>ETYIM-S-2</t>
  </si>
  <si>
    <t>X001TV890N</t>
  </si>
  <si>
    <t>B07F9KQ2X6</t>
  </si>
  <si>
    <t>MTX-IULHY-WA86-PK-39</t>
  </si>
  <si>
    <t>X001UVQZO9</t>
  </si>
  <si>
    <t>B07G9XJYF8</t>
  </si>
  <si>
    <t>YMQYQDZMZM90*90CM</t>
  </si>
  <si>
    <t>X0014OBD2B</t>
  </si>
  <si>
    <t>B01C8QGUDY</t>
  </si>
  <si>
    <t>LINENLUX Ablecloth Square Cotton Feel Tablecloth (Letter,35.4x35.4In)</t>
  </si>
  <si>
    <t>XQ-IUYL320-YL-S</t>
  </si>
  <si>
    <t>X001Q28AS1</t>
  </si>
  <si>
    <t>B07BFPFSK5</t>
  </si>
  <si>
    <t>SXHLYITAO5-LH-001YHS40x60CM</t>
  </si>
  <si>
    <t>X001FIVGNH</t>
  </si>
  <si>
    <t>B071YNH8GF</t>
  </si>
  <si>
    <t>LINENLUX Set of 2 Removable Short Stretch Spandex Dining Chair Slipcovers Protector, Super Fit Banquet Chair Seat Cover for Hotel and Wedding Ceremony, Washable(Smoky Gray)</t>
  </si>
  <si>
    <t>HUAPET-1PKS-XL</t>
  </si>
  <si>
    <t>X001NCYPK1</t>
  </si>
  <si>
    <t>B077GTSW3V</t>
  </si>
  <si>
    <t>luciphia Winter Dog Pet Vest Coat Waterproof Jacket With Zipper Pink XL</t>
  </si>
  <si>
    <t>MTX-IULHY-GBW8022-WT-26</t>
  </si>
  <si>
    <t>X001UVVP0N</t>
  </si>
  <si>
    <t>B07G9WV1C8</t>
  </si>
  <si>
    <t>YMQYQDZMZM140*200CM</t>
  </si>
  <si>
    <t>X0014ODTYB</t>
  </si>
  <si>
    <t>B01C8QH11E</t>
  </si>
  <si>
    <t>LINENLUX Ablecloth Square Cotton Feel Tablecloth (Letter,55.1x78.7In)</t>
  </si>
  <si>
    <t>ETYIYUANDIAN-S</t>
  </si>
  <si>
    <t>X001NHN2Q9</t>
  </si>
  <si>
    <t>B077VQ29GQ</t>
  </si>
  <si>
    <t>XQ-IUYL320-CF-XL</t>
  </si>
  <si>
    <t>X001Q1QFY3</t>
  </si>
  <si>
    <t>B07BFQCXYT</t>
  </si>
  <si>
    <t>FSFZB006QSRO180CM</t>
  </si>
  <si>
    <t>X001B0T83J</t>
  </si>
  <si>
    <t>B01F5LSIVQ</t>
  </si>
  <si>
    <t>MTX-IULHY-W1759-OR-25</t>
  </si>
  <si>
    <t>X001U8WK0P</t>
  </si>
  <si>
    <t>B07FPHM3MP</t>
  </si>
  <si>
    <t>BYZBLANS90*90CM</t>
  </si>
  <si>
    <t>X001IXCNTP</t>
  </si>
  <si>
    <t>B0746JPNZJ</t>
  </si>
  <si>
    <t>Cotton And Hemp, Machine Washable, Dinner, Summer &amp; Picnic Tablecloth, Available In Various Sizes(Blue,35.4x35.4In)</t>
  </si>
  <si>
    <t>YY-IULCY-C9002-AG</t>
  </si>
  <si>
    <t>X001RYKVGR</t>
  </si>
  <si>
    <t>B07CYRQX7L</t>
  </si>
  <si>
    <t>LINENLUX 3 in 1 Multifunctional Outdoor Rain Poncho Waterproof Camping Hooded Raincoat Army Green</t>
  </si>
  <si>
    <t>LQXFMS1H140*200CM</t>
  </si>
  <si>
    <t>X001JE5YCV</t>
  </si>
  <si>
    <t>B0748CMBS7</t>
  </si>
  <si>
    <t>TZ-IUYL240-ELPH-L</t>
  </si>
  <si>
    <t>X001Q3JTWL</t>
  </si>
  <si>
    <t>B07BGTNL76</t>
  </si>
  <si>
    <t>SiYang Winner Pet Dog Blanket Fleece Fabric Puppy Cat Soft Blankets Bed Mat Cover with Elephant Print for Puppies Kitties and Other Small Animals?30x41?</t>
  </si>
  <si>
    <t>SXHLYITAO5-LH-001QKS40x60CM</t>
  </si>
  <si>
    <t>X001JLG4U5</t>
  </si>
  <si>
    <t>B071YNHCL8</t>
  </si>
  <si>
    <t>LINENLUX Set of 2 Removable Short Stretch Spandex Dining Chair Slipcovers Protector, Super Fit Banquet Chair Seat Cover for Hotel and Wedding Ceremony, Washable(Light Coffee)</t>
  </si>
  <si>
    <t>MZYSMZ01140*140cm</t>
  </si>
  <si>
    <t>X0012TO5E1</t>
  </si>
  <si>
    <t>B01BHQVPS6</t>
  </si>
  <si>
    <t>LINENLUX Map Printed Lace Table Cloth for Round&amp;Rectangular&amp;Oval Table (55.1x55.1In, White)</t>
  </si>
  <si>
    <t>MTX-IULHY-DBW8022-PP-27</t>
  </si>
  <si>
    <t>X001UVRN7H</t>
  </si>
  <si>
    <t>B07G9WYB4G</t>
  </si>
  <si>
    <t>DLJJZHUOBU-BGZW0140x220CM</t>
  </si>
  <si>
    <t>X001HND9WL</t>
  </si>
  <si>
    <t>B072L19WL7</t>
  </si>
  <si>
    <t>Rectangle Contemporary Plaid Tablecloth Stain Resistant Fabric Table Cover for Square Table White Checker(White,55x86.5In)</t>
  </si>
  <si>
    <t>YY-IULCY-KS371-PP-M</t>
  </si>
  <si>
    <t>X001RZNID9</t>
  </si>
  <si>
    <t>B07CYTN2MZ</t>
  </si>
  <si>
    <t>LINENLUX Waterproof Button Rain Poncho Jacket with Pockets Purple Medium</t>
  </si>
  <si>
    <t>YY-IULCY-KS370-RD-L</t>
  </si>
  <si>
    <t>X001RYC0E3</t>
  </si>
  <si>
    <t>B07CYNGKTC</t>
  </si>
  <si>
    <t>LINENLUX Polka Dot Rain Poncho Jacket Drawstring Hooded Waterproof Raincoat red Large</t>
  </si>
  <si>
    <t>BYZBFS140*180CM</t>
  </si>
  <si>
    <t>X001JHANT7</t>
  </si>
  <si>
    <t>B0746J3Z2M</t>
  </si>
  <si>
    <t>LINENLUX Cotton and Hemp, Machine Washable, Dinner, Summer &amp; Picnic Tablecloth, (Pink,55.1x70.9In) </t>
  </si>
  <si>
    <t>GMSNT-LUHM001-HW</t>
  </si>
  <si>
    <t>X001U0ZSBV</t>
  </si>
  <si>
    <t>B07DQP8MPM</t>
  </si>
  <si>
    <t>Clothes and toys organizer Waterproof hamper Foldable laundry basket for storage(English,11x11x13.8In)</t>
  </si>
  <si>
    <t>MTX-IULHY-M1759-DB-28</t>
  </si>
  <si>
    <t>X001U8L9EX</t>
  </si>
  <si>
    <t>B07FP8X2TC</t>
  </si>
  <si>
    <t>SND-IUYLZAK-BE</t>
  </si>
  <si>
    <t>X001PZU1BX</t>
  </si>
  <si>
    <t>B07BCFLQFZ</t>
  </si>
  <si>
    <t>LINENLUX Decorative Canvas Wall Hanging Organizer/5 Pocket Craft Supplies Nursery Storage Bag (5 Pockets,13.7X23.6In)</t>
  </si>
  <si>
    <t>FSFZB007KWRO160CM</t>
  </si>
  <si>
    <t>X00169TMUJ</t>
  </si>
  <si>
    <t>B01F5LPRMY</t>
  </si>
  <si>
    <t>LINENLUX Luxurious Round Tablecloths for Wedding,Meeting,Hotel,Restaurant,Party(Round 62.8In,Black/White)</t>
  </si>
  <si>
    <t>HUAPET-1LVS-4XL</t>
  </si>
  <si>
    <t>X001OZJ7E1</t>
  </si>
  <si>
    <t>B077GTC3DD</t>
  </si>
  <si>
    <t>luciphia Winter Dog Pet Vest Coat Waterproof Jacket With Zipper Green 4XL</t>
  </si>
  <si>
    <t>FSFZB001W0RO180CM</t>
  </si>
  <si>
    <t>X00168SRDX</t>
  </si>
  <si>
    <t>B01F5LPYAO</t>
  </si>
  <si>
    <t>MTX-IULHY-W8003-RD-27</t>
  </si>
  <si>
    <t>X001UXI79X</t>
  </si>
  <si>
    <t>B07GBWP9QB</t>
  </si>
  <si>
    <t>YY-IULCY-XZM200-KK</t>
  </si>
  <si>
    <t>X001UNWEL5</t>
  </si>
  <si>
    <t>B07G3XSNGG</t>
  </si>
  <si>
    <t>LINENLUX Wind Rain Poncho Jacket Coat Hooded with Pocket Outdoor</t>
  </si>
  <si>
    <t>AWFSNANKU-2292B0-31</t>
  </si>
  <si>
    <t>X001GKYZG9</t>
  </si>
  <si>
    <t>B0727S2N9C</t>
  </si>
  <si>
    <t>SiYang Man Men's Cotton Loose Fit Multi Pocket Cargo Shorts(No Belt)(Blue,30)</t>
  </si>
  <si>
    <t>FSFZB001JHRO180CM</t>
  </si>
  <si>
    <t>X00169UEID</t>
  </si>
  <si>
    <t>B01F5LQI72</t>
  </si>
  <si>
    <t>MZYSTYMM60*60CM</t>
  </si>
  <si>
    <t>X0016D5Z5L</t>
  </si>
  <si>
    <t>B01BHQVKJA</t>
  </si>
  <si>
    <t>Tablecloth Rectangular Floral Tablecloth Rectangular Thanksgiving Blue Valentine Day Gifts (23.423.4in)</t>
  </si>
  <si>
    <t>FSFZB001W0RO160CM</t>
  </si>
  <si>
    <t>X0018S4TGP</t>
  </si>
  <si>
    <t>B01F5LPX32</t>
  </si>
  <si>
    <t>MTX-IULHY-W1798-OR-27</t>
  </si>
  <si>
    <t>X001U4KT11</t>
  </si>
  <si>
    <t>B07FM6X59M</t>
  </si>
  <si>
    <t>YMQYQXDHKF140*140CM</t>
  </si>
  <si>
    <t>X0019R0J87</t>
  </si>
  <si>
    <t>B01C8QJQGM</t>
  </si>
  <si>
    <t>LINENLUX Cotton and Hemp, Machine Washable, Dinner, Summer &amp; Picnic Tablecloth, (Coffee,55.1x55.1In)</t>
  </si>
  <si>
    <t>MTX-IULHY-WA89-GR-37</t>
  </si>
  <si>
    <t>X001UVE7Z3</t>
  </si>
  <si>
    <t>B07G9YDQYV</t>
  </si>
  <si>
    <t>YMQYQXDHPO140*200CM</t>
  </si>
  <si>
    <t>X001I68B3T</t>
  </si>
  <si>
    <t>B0745CCWQ1</t>
  </si>
  <si>
    <t>LINENLUX Cotton and Hemp, Machine Washable, Dinner, Summer &amp; Picnic Tablecloth, (55.1x78.7In, Pink)</t>
  </si>
  <si>
    <t>SXHLYITAO1-LH-001BO40x60CM</t>
  </si>
  <si>
    <t>X001MNMU4T</t>
  </si>
  <si>
    <t>B077FZ185H</t>
  </si>
  <si>
    <t>LINENLUX Set of 2 Removable Short Stretch Spandex Dining Chair Slipcovers Protector, Super Fit Banquet Chair Seat Cover for Hotel and Wedding Ceremony, Washable (Package Quantity: 2, Black)</t>
  </si>
  <si>
    <t>MTX-IULHY-DBWS90-GR-26</t>
  </si>
  <si>
    <t>X001UXFEXP</t>
  </si>
  <si>
    <t>B07GBXQQLJ</t>
  </si>
  <si>
    <t>YMQYQXDHKF100*140CM</t>
  </si>
  <si>
    <t>X0019UD2UB</t>
  </si>
  <si>
    <t>B01C8QJP7W</t>
  </si>
  <si>
    <t>LINENLUX Cotton and Hemp, Machine Washable, Dinner, Summer &amp; Picnic Tablecloth, (Coffee,39.4x55.1In)</t>
  </si>
  <si>
    <t>HNJJBDWYAXS45*45CM</t>
  </si>
  <si>
    <t>X001AI0IDL</t>
  </si>
  <si>
    <t>B01JIVDZ4O</t>
  </si>
  <si>
    <t>Mr. Flax Animal Home Office Sofa Cushion By Pillowcase(Mr. Yang,17.7x17.7In)</t>
  </si>
  <si>
    <t>TZ-IUYL240-DOT-L</t>
  </si>
  <si>
    <t>X001R7JPN9</t>
  </si>
  <si>
    <t>B07C8NVMGF</t>
  </si>
  <si>
    <t>SiYang Winner Pet Dog Blanket Fleece Fabric Puppy Cat Soft Blankets Bed Mat Cover with Dot Print for Puppies Kitties and Other Small Animals?30x41?</t>
  </si>
  <si>
    <t>MTX-IULHY-W8003-PK-27</t>
  </si>
  <si>
    <t>X001UXFDFJ</t>
  </si>
  <si>
    <t>B07GBW2V4L</t>
  </si>
  <si>
    <t>YMQYQXDHKF140*200CM</t>
  </si>
  <si>
    <t>X001GKJST3</t>
  </si>
  <si>
    <t>B01C8QJU2C</t>
  </si>
  <si>
    <t>LINENLUX Cotton and Hemp, Machine Washable, Dinner, Summer &amp; Picnic Tablecloth, (Coffee,55.1x78.7In)</t>
  </si>
  <si>
    <t>YY-IULCY-KS369-BIRD-M</t>
  </si>
  <si>
    <t>X001RYCCJ1</t>
  </si>
  <si>
    <t>B07CYN58NP</t>
  </si>
  <si>
    <t>LINENLUX Waterproof Raincoat Polka Dot Hooded Rain Jacket Poncho Bird Medium</t>
  </si>
  <si>
    <t>YMQYQXDHY0140*220CM</t>
  </si>
  <si>
    <t>X001P0EVDR</t>
  </si>
  <si>
    <t>B076DW1RH6</t>
  </si>
  <si>
    <t>LINENLUX Cotton Linen Tablecloth Macrame Lace Table Cloths Linen Rectangle Table Covers Table Top for Dinner parties Christmas Holidays or Everyday Use (55.1x86.6In, Yellow)</t>
  </si>
  <si>
    <t>ETYIBLUE-XL</t>
  </si>
  <si>
    <t>X001JFALMX</t>
  </si>
  <si>
    <t>B073QP5GLR</t>
  </si>
  <si>
    <t>FSFZB001BLRO220CM</t>
  </si>
  <si>
    <t>X001TNJCY3</t>
  </si>
  <si>
    <t>B01F5LOYG4</t>
  </si>
  <si>
    <t>HNJDZLUD45*45CM</t>
  </si>
  <si>
    <t>X001A2A6U7</t>
  </si>
  <si>
    <t>B01JIXJGGI</t>
  </si>
  <si>
    <t>Romantic Capital City Household Linen Printed Sofa Pillow By Pillowcase(London,17.7x17.7In)</t>
  </si>
  <si>
    <t>MTX-IULHY-GBW8022-PP-27</t>
  </si>
  <si>
    <t>X001UVVO3V</t>
  </si>
  <si>
    <t>B07G9Y47X4</t>
  </si>
  <si>
    <t>YX-IUCY-518-N5-XL</t>
  </si>
  <si>
    <t>X001SDT49R</t>
  </si>
  <si>
    <t>B07D74DCPD</t>
  </si>
  <si>
    <t>FSFZB006J0RO280CM</t>
  </si>
  <si>
    <t>X001B6J3ND</t>
  </si>
  <si>
    <t>B01F5LQV9W</t>
  </si>
  <si>
    <t>ZXXBLV-S</t>
  </si>
  <si>
    <t>X001LTDNWH</t>
  </si>
  <si>
    <t>B074W79F2H</t>
  </si>
  <si>
    <t>BBSA140*240CM</t>
  </si>
  <si>
    <t>X001O1WJAJ</t>
  </si>
  <si>
    <t>B0756F238Y</t>
  </si>
  <si>
    <t>Modern Style Washable Tablecloth Colorful Floral Pattern Polyester Table Cover for Kitchen Dinning Tabletop Decoration(Flower 55x94.5In)</t>
  </si>
  <si>
    <t>YMQYQXDHY0140*250CM</t>
  </si>
  <si>
    <t>X001P0F36B</t>
  </si>
  <si>
    <t>B076DR81SV</t>
  </si>
  <si>
    <t>LINENLUX Cotton Linen Tablecloth Macrame Lace Table Cloths Linen Rectangle Table Covers Table Top for Dinner Parties Christmas Holidays or Everyday Use (55.1x98.4In, Yellow)</t>
  </si>
  <si>
    <t>BBSA140*180CM</t>
  </si>
  <si>
    <t>X001O1SJ53</t>
  </si>
  <si>
    <t>B0756CHGKN</t>
  </si>
  <si>
    <t>Modern Style Washable Tablecloth Colorful Floral Pattern Polyester Table Cover for Kitchen Dinning Tabletop Decoration(Flower 55x70.7In)</t>
  </si>
  <si>
    <t>GS-IUYL280-2</t>
  </si>
  <si>
    <t>X001OUQ3S9</t>
  </si>
  <si>
    <t>B079GSZKVK</t>
  </si>
  <si>
    <t>Braided Leather Dog Leash Cowhide(Never Fading) Walking Training Leads for for Large/ Medium/ Small Dogs - Heavy Duty Dog Leash Leather</t>
  </si>
  <si>
    <t>FSFZB007KWRO200CM</t>
  </si>
  <si>
    <t>X001TNKGC5</t>
  </si>
  <si>
    <t>B01F5LPV52</t>
  </si>
  <si>
    <t>LINENLUX Luxurious Round Tablecloths for Wedding,Meeting,Hotel,Restaurant,Party (Round 78.7In,Black/White)</t>
  </si>
  <si>
    <t>XQ-IUYL320-GN-M</t>
  </si>
  <si>
    <t>X001Q3D4WR</t>
  </si>
  <si>
    <t>B07BFPH9ND</t>
  </si>
  <si>
    <t>YDYPFS-M</t>
  </si>
  <si>
    <t>X001MFCPAB</t>
  </si>
  <si>
    <t>B074KBZ2Z1</t>
  </si>
  <si>
    <t>YY5100R5XXL</t>
  </si>
  <si>
    <t>X00104ZBKF</t>
  </si>
  <si>
    <t>B01AXMPXWO</t>
  </si>
  <si>
    <t>YMQYQXDHW0140*220CM</t>
  </si>
  <si>
    <t>X0015X3ABD</t>
  </si>
  <si>
    <t>B01C8QJ9AU</t>
  </si>
  <si>
    <t>LINENLUX Cotton Linen Tablecloth Macrame Lace Table Cloths Linen Rectangle Table Covers Table Top for Dinner Parties Christmas Holidays or Everyday Use(Beige,55.1x86.6In)</t>
  </si>
  <si>
    <t>YMQYQXDHG090*90CM</t>
  </si>
  <si>
    <t>X001P0D0WZ</t>
  </si>
  <si>
    <t>B076DSWJN4</t>
  </si>
  <si>
    <t>LINENLUX Cotton Linen Tablecloth Macrame Lace Table Cloths Linen Rectangle Table Covers Table Top for Dinner Parties Christmas Holidays or Everyday Use (35.4x35.4In, Green)</t>
  </si>
  <si>
    <t>JDDKLNFS-M</t>
  </si>
  <si>
    <t>X001O6JOPR</t>
  </si>
  <si>
    <t>B077N2B7N1</t>
  </si>
  <si>
    <t>luciphia Fleece Dog Vest Coat Turtleneck Jacket for Small Medium Dogs Orange S</t>
  </si>
  <si>
    <t>GMSNH-LUHM001-K0</t>
  </si>
  <si>
    <t>X001U10DJ7</t>
  </si>
  <si>
    <t>B07DQLZ5KK</t>
  </si>
  <si>
    <t>Small Foldable Storage Basket waterproof Oxford Storage Bins for Toy Storage(Black,7.9x5.5x6.3In)</t>
  </si>
  <si>
    <t>FMHSGJH67*20CM</t>
  </si>
  <si>
    <t>X001KY6OR9</t>
  </si>
  <si>
    <t>B073R8G5PX</t>
  </si>
  <si>
    <t>LINENLUX Over the Door Organizer Wall Closet Hanging Storage Bag Multilayer Linen Fabric Pouch Debris (Grey)</t>
  </si>
  <si>
    <t>ZXXBHO-S</t>
  </si>
  <si>
    <t>X001LTDIV3</t>
  </si>
  <si>
    <t>B074W6RWL6</t>
  </si>
  <si>
    <t>MTX-IULHY-W1798-RD-25</t>
  </si>
  <si>
    <t>X001U4XR0V</t>
  </si>
  <si>
    <t>B07FMGXFBR</t>
  </si>
  <si>
    <t>AQD-IUCY330-CF</t>
  </si>
  <si>
    <t>X001R72H93</t>
  </si>
  <si>
    <t>B07C89F6X2</t>
  </si>
  <si>
    <t>SiYang Winner Pet Seat Belt 3 Packs Adjustable Pet Dog Vehicle Seatbelt Durable Nylon Pet Safety Leads Harness Seat-Belt Strap for Cats Animals Gray</t>
  </si>
  <si>
    <t>MTX-IULHY-DBW8022-PP-25</t>
  </si>
  <si>
    <t>X001UVW1K1</t>
  </si>
  <si>
    <t>B07G9WMKBY</t>
  </si>
  <si>
    <t>MZYSTYMM90*90CM</t>
  </si>
  <si>
    <t>X0016AY8YX</t>
  </si>
  <si>
    <t>B01BHQVLCQ</t>
  </si>
  <si>
    <t>Tablecloth Rectangular Floral Tablecloth Rectangular Thanksgiving Blue Valentine Day Gifts (35.135.1in)</t>
  </si>
  <si>
    <t>YMQYQJISZMSS140*220CM</t>
  </si>
  <si>
    <t>X000ZX6JT9</t>
  </si>
  <si>
    <t>B01C8QK5OO</t>
  </si>
  <si>
    <t>LINENLUX Cloth Cotton Linen Tablecloth Living Room Table Cover Table Linen Alphabet (Shads,55.1x86.6In)</t>
  </si>
  <si>
    <t>YY-IULCY-KS370-BL-L</t>
  </si>
  <si>
    <t>X001RYC2Z5</t>
  </si>
  <si>
    <t>B07CYZ7JMS</t>
  </si>
  <si>
    <t>LINENLUX Polka Dot Rain Poncho Jacket Drawstring Hooded Waterproof Raincoat Blue Large</t>
  </si>
  <si>
    <t>NEWZXXCHO-S</t>
  </si>
  <si>
    <t>X001NA0543</t>
  </si>
  <si>
    <t>B076DG33CT</t>
  </si>
  <si>
    <t>XQ-IUYL320-PK-L</t>
  </si>
  <si>
    <t>X001Q1QFJN</t>
  </si>
  <si>
    <t>B07BFPHBTY</t>
  </si>
  <si>
    <t>YY-IULCY-KS372-YL-XL</t>
  </si>
  <si>
    <t>X001RYYI7P</t>
  </si>
  <si>
    <t>B07CYSSGYK</t>
  </si>
  <si>
    <t>LINENLUX Waterproof Rain Poncho Coat with Bag Cover Yellow X-Large</t>
  </si>
  <si>
    <t>XQ-IUYL320-BK-L</t>
  </si>
  <si>
    <t>X001Q3F36H</t>
  </si>
  <si>
    <t>B07BFPB578</t>
  </si>
  <si>
    <t>MIDUYD037K0XL</t>
  </si>
  <si>
    <t>X001D2DM5Z</t>
  </si>
  <si>
    <t>B06XGC4JMJ</t>
  </si>
  <si>
    <t>Octopus Printing Yoga Pants Women High Elasticity Thin Fitness Clothes (X-Large, Pants)</t>
  </si>
  <si>
    <t>MTX-IULHY-GBWS90-PK-27</t>
  </si>
  <si>
    <t>X001UXETQX</t>
  </si>
  <si>
    <t>B07GBXRX9P</t>
  </si>
  <si>
    <t>YY-IULCY-KS372-GN-M</t>
  </si>
  <si>
    <t>X001RYQVPR</t>
  </si>
  <si>
    <t>B07CZ14MHG</t>
  </si>
  <si>
    <t>LINENLUX Waterproof Rain Poncho Coat with Bag Cover Green Medium</t>
  </si>
  <si>
    <t>YMQYQXDHG0100*140CM</t>
  </si>
  <si>
    <t>X001P0EVDH</t>
  </si>
  <si>
    <t>B076DR4BK4</t>
  </si>
  <si>
    <t>LINENLUX Cotton Linen Tablecloth Macrame Lace Table Cloths Linen Rectangle Table Covers Table Top for Dinner Parties Christmas Holidays or Everyday Use (39.4x55.1In, Green)</t>
  </si>
  <si>
    <t>TZ-IUYL240-STRAWBERRY-L</t>
  </si>
  <si>
    <t>X001R6ZKL1</t>
  </si>
  <si>
    <t>B07C89YKT7</t>
  </si>
  <si>
    <t>SiYang Winner Pet Dog Blanket Fleece Fabric Puppy Cat Soft Blankets Bed Mat Cover with Strawberry Print for Puppies Kitties and Other Small Animals?30x41?</t>
  </si>
  <si>
    <t>9CUE9N-00TLXXXL</t>
  </si>
  <si>
    <t>X0018VSDBJ</t>
  </si>
  <si>
    <t>B01CFH87G4</t>
  </si>
  <si>
    <t>LINENLUX Waterproof Poncho Rain Jacket Hooded for Cycling Bicycle</t>
  </si>
  <si>
    <t>XQ-IUYL320-BL-S</t>
  </si>
  <si>
    <t>X001Q2JEK9</t>
  </si>
  <si>
    <t>B07BFPJNMC</t>
  </si>
  <si>
    <t>BYZBLANS140*250CM</t>
  </si>
  <si>
    <t>X001JI0PLH</t>
  </si>
  <si>
    <t>B074SJS9D2</t>
  </si>
  <si>
    <t>LINENLUX Cotton Linen Tablecloth Macrame Lace Table Cloths Linen Rectangle Table Covers Table Top for Dinner Parties Christmas Holidays or Everyday Use (55.1x98.4In, Blue)</t>
  </si>
  <si>
    <t>MTX-IULHY-DBWS90-PK-25</t>
  </si>
  <si>
    <t>X001UXJ5RV</t>
  </si>
  <si>
    <t>B07GBYNXTC</t>
  </si>
  <si>
    <t>MTX-IULHY-W1758-OR-25</t>
  </si>
  <si>
    <t>X001U3A8PT</t>
  </si>
  <si>
    <t>B07FM8LS9R</t>
  </si>
  <si>
    <t>YDWJQWHQWH150*200CM</t>
  </si>
  <si>
    <t>X0019WVB6L</t>
  </si>
  <si>
    <t>B01HI25JNK</t>
  </si>
  <si>
    <t>LINENLUX Embroidery Hollow Square Tablecloths Cover Towel Refrigerator Dust Cover (Rapala Rhoda)</t>
  </si>
  <si>
    <t>MTX-IULHY-W1798-PK-26</t>
  </si>
  <si>
    <t>X001U4FPAL</t>
  </si>
  <si>
    <t>B07FMCPM5H</t>
  </si>
  <si>
    <t>GMZYL-FLQ2013-RO-36</t>
  </si>
  <si>
    <t>X001U0DLHT</t>
  </si>
  <si>
    <t>B078JQ7B7M</t>
  </si>
  <si>
    <t>Storage Basket Bin for Bedroom Bathroom Kids Cotton with EVA Lining White 14.3"x14.3"x14.9"</t>
  </si>
  <si>
    <t>YMQYQHCZQ140*220CM</t>
  </si>
  <si>
    <t>X001543N9L</t>
  </si>
  <si>
    <t>B01C8QIX4S</t>
  </si>
  <si>
    <t>LINENLUX Washable Cotton Linen Fabric Vintage Navy Damask Pattern Decorative Macrame Lace Rectangle Tablecloth Dinner Picnic Table Cloth Home Decorative Oblong Table Cover Assorted Size (55.186.6In)</t>
  </si>
  <si>
    <t>XQ-IUYL320-BK-M</t>
  </si>
  <si>
    <t>X001Q28SL5</t>
  </si>
  <si>
    <t>B07BFPM4KZ</t>
  </si>
  <si>
    <t>ETYIYELLOW-S-2</t>
  </si>
  <si>
    <t>X001TUS2JR</t>
  </si>
  <si>
    <t>B07FJLYDMK</t>
  </si>
  <si>
    <t>MTX-IULHY-M1759-GR-29</t>
  </si>
  <si>
    <t>X001U8WK0F</t>
  </si>
  <si>
    <t>B07FPWYGND</t>
  </si>
  <si>
    <t>MTX-IULHY-GBW8022-PP-25</t>
  </si>
  <si>
    <t>X001UVVCKL</t>
  </si>
  <si>
    <t>B07G9ZD75W</t>
  </si>
  <si>
    <t>MTX-IULHY-W1798-RD-27</t>
  </si>
  <si>
    <t>X001U4F0CT</t>
  </si>
  <si>
    <t>B07FMFCJL5</t>
  </si>
  <si>
    <t>MID46-069HSLX</t>
  </si>
  <si>
    <t>X001C6RT9R</t>
  </si>
  <si>
    <t>B01N6LLBPH</t>
  </si>
  <si>
    <t>SiYang YoGa Space Cat 3D Printing Fashion Fitness Pants Yoga Sports Trousers High Stretch Fast Dry Pants For Women(Pants,L)</t>
  </si>
  <si>
    <t>YHJRBHIS-L</t>
  </si>
  <si>
    <t>X001O77IK9</t>
  </si>
  <si>
    <t>B075CMYF9L</t>
  </si>
  <si>
    <t>SiYang YoGa Fleece Lined Leggings For Women High Waist,Elastic and Slimming(Black,L)</t>
  </si>
  <si>
    <t>FSFZB007KWRO220CM</t>
  </si>
  <si>
    <t>X001TNJKDB</t>
  </si>
  <si>
    <t>B01F5LPWZQ</t>
  </si>
  <si>
    <t>LINENLUX Luxurious Round Tablecloths for Wedding,Meeting,Hotel,Restaurant,Party (Round 86.6In,Black/White)</t>
  </si>
  <si>
    <t>YMQYQXDHW060*60CM</t>
  </si>
  <si>
    <t>X001H7G5RN</t>
  </si>
  <si>
    <t>B072XFTL1N</t>
  </si>
  <si>
    <t>LINENLUX Cotton Linen Tablecloth Macrame Lace Table Cloths Linen Rectangle Table Covers Table Top for Dinner Parties Christmas Holidays or Everyday Use(23.5x23.5In, Beige)</t>
  </si>
  <si>
    <t>MIDUYD037K0S</t>
  </si>
  <si>
    <t>X001BFYFRD</t>
  </si>
  <si>
    <t>B01MZ4IUXK</t>
  </si>
  <si>
    <t>SiYang YoGa Octopus Printing Yoga Pants Women High Elasticity Thin Fitness Clothes(Pants,S)</t>
  </si>
  <si>
    <t>MIDUYD036G0L</t>
  </si>
  <si>
    <t>X001F0T5SN</t>
  </si>
  <si>
    <t>B01N6LLCID</t>
  </si>
  <si>
    <t>SiYang YoGa Yoga Mermaid Pants Digital Printing Tight Stretch Fitness Hip Movement Dance(Pants,L)</t>
  </si>
  <si>
    <t>SND-IUYL222-BE</t>
  </si>
  <si>
    <t>X001Q4H2X3</t>
  </si>
  <si>
    <t>B07BGWNBCR</t>
  </si>
  <si>
    <t>LINENLUX Over the Door Organizer Wall Closet Hanging Storage Bag Multilayer Linen Fabric Pouch Debris (5 Pockets, 9.8X12.5In)</t>
  </si>
  <si>
    <t>HUAPET-1PKS-3XL</t>
  </si>
  <si>
    <t>X001ODE7NT</t>
  </si>
  <si>
    <t>B077GVB9QZ</t>
  </si>
  <si>
    <t>luciphia Winter Dog Pet Vest Coat Waterproof Jacket With Zipper Pink 3XL</t>
  </si>
  <si>
    <t>AQD-IUCY330-GR</t>
  </si>
  <si>
    <t>X001R6SVJT</t>
  </si>
  <si>
    <t>B07C83LKZL</t>
  </si>
  <si>
    <t>SiYang Winner Pet Seat Belt 3 Packs Adjustable Pet Dog Vehicle Seatbelt Durable Nylon Pet Safety Leads Harness Seat-belt Strap For Cats Animals Gray</t>
  </si>
  <si>
    <t>YMQYQXDHG060*60CM</t>
  </si>
  <si>
    <t>X001OXYGOJ</t>
  </si>
  <si>
    <t>B076DXK13Z</t>
  </si>
  <si>
    <t>LINENLUX Cotton Linen Tablecloth Macrame Lace Table Cloths Linen Rectangle Table Covers Table Top for Dinner Parties Christmas Holidays or Everyday Use (23.5x23.5In, Green)</t>
  </si>
  <si>
    <t>ETYIMC-L-2</t>
  </si>
  <si>
    <t>X001TVBR25</t>
  </si>
  <si>
    <t>B07F9MHC8X</t>
  </si>
  <si>
    <t>MZYSZHUOBUDTLEIS140*220CM</t>
  </si>
  <si>
    <t>X001JSGZ89</t>
  </si>
  <si>
    <t>B074PL8264</t>
  </si>
  <si>
    <t>LINENLUX Map Printed Lace Table Cloth for Round&amp;Rectangular&amp;Oval Table(55x86.5In)</t>
  </si>
  <si>
    <t>MTX-IULHY-WA89-KK-39</t>
  </si>
  <si>
    <t>X001UVE8CZ</t>
  </si>
  <si>
    <t>B07G9WV44W</t>
  </si>
  <si>
    <t>YMQYQJISZMSS140*250CM</t>
  </si>
  <si>
    <t>X00137C8YL</t>
  </si>
  <si>
    <t>B01C8QK6YI</t>
  </si>
  <si>
    <t>LINENLUX Cloth Cotton Linen Tablecloth Living Room Table Cover Table Linen Alphabet (Shads,55.1x98.4In)</t>
  </si>
  <si>
    <t>BYZBFS60*60CM</t>
  </si>
  <si>
    <t>X001JGOS6R</t>
  </si>
  <si>
    <t>B0746JJJK4</t>
  </si>
  <si>
    <t>LINENLUX Cotton and Hemp, Machine Washable, Dinner, Summer &amp; Picnic Tablecloth, (Pink,23.5x23.5In) </t>
  </si>
  <si>
    <t>XQ-IUYL320-YL-L</t>
  </si>
  <si>
    <t>X001Q28B21</t>
  </si>
  <si>
    <t>B07BFPHH48</t>
  </si>
  <si>
    <t>BZXKHH628C</t>
  </si>
  <si>
    <t>X001DNX9K7</t>
  </si>
  <si>
    <t>B01N6EZKR8</t>
  </si>
  <si>
    <t>LINENLUX Minimalist Style Linen Pillow Home By Pillowcase</t>
  </si>
  <si>
    <t>XQ-IUYL320-DB-S</t>
  </si>
  <si>
    <t>X001Q3DHI3</t>
  </si>
  <si>
    <t>B07BFPYYHX</t>
  </si>
  <si>
    <t>GMZYL-06-WZ-40</t>
  </si>
  <si>
    <t>X001UG5MV1</t>
  </si>
  <si>
    <t>B078J1MVB6</t>
  </si>
  <si>
    <t>Laundry Storage Basket for Bedroom Bathroom Kids Linen Cotton White and Letters 15.7"x15.7"x19.7"</t>
  </si>
  <si>
    <t>HNJJBZSDJSDS45*45CM</t>
  </si>
  <si>
    <t>X001AGVWQZ</t>
  </si>
  <si>
    <t>B01JIQOP7K</t>
  </si>
  <si>
    <t>Home Office Sofa Cushion Pillow Creative Nap Linen Cushion Covers(Christmas Tree,17.7x17.7In)</t>
  </si>
  <si>
    <t>SXHLYITAO4-LH-001DHS40x60CM</t>
  </si>
  <si>
    <t>X001JLG4UF</t>
  </si>
  <si>
    <t>B071NGGPFS</t>
  </si>
  <si>
    <t>LINENLUX Set of 2 Stretchy Removable Washable Seat Covers Hotel Dining Room Ceremony Kitchen Bar Dining Chair Cover Restaurant Wedding Part Decor(Red)</t>
  </si>
  <si>
    <t>YMQYQXDHG0140*250CM</t>
  </si>
  <si>
    <t>X001P0J9XT</t>
  </si>
  <si>
    <t>B076DYK2G6</t>
  </si>
  <si>
    <t>LINENLUX Cotton Linen Tablecloth Macrame Lace Table Cloths Linen Rectangle Table Covers Table Top for Dinner Parties Christmas Holidays or Everyday Use (55.1x98.4In, Green)</t>
  </si>
  <si>
    <t>YY5100Y0XXL</t>
  </si>
  <si>
    <t>X00104ZBI7</t>
  </si>
  <si>
    <t>B01AXMPPJU</t>
  </si>
  <si>
    <t>YY-IULCY-KS369-ANCHOR-M</t>
  </si>
  <si>
    <t>X001RYGUWL</t>
  </si>
  <si>
    <t>B07CYXWHHL</t>
  </si>
  <si>
    <t>Waterproof Raincoat Polka Dot Hooded Rain Jacket Poncho Anchor Medium</t>
  </si>
  <si>
    <t>YMQYQJISZMSS140*200CM</t>
  </si>
  <si>
    <t>X000ZX6JSF</t>
  </si>
  <si>
    <t>B01C8QK4B8</t>
  </si>
  <si>
    <t>LINENLUX Cloth Cotton Linen Tablecloth Living Room Table Cover Table Linen Alphabet (Shads,55.1x78.7In)</t>
  </si>
  <si>
    <t>YMQYQJISZMZM140*250CM</t>
  </si>
  <si>
    <t>X001JLESMB</t>
  </si>
  <si>
    <t>B0747JGPQG</t>
  </si>
  <si>
    <t>LINENLUX Cloth Cotton Linen Tablecloth Living Room Table Cover (55.1x98.4In)</t>
  </si>
  <si>
    <t>DJSCZHUOBUCSAQHS140*180CM</t>
  </si>
  <si>
    <t>X001F8YHD3</t>
  </si>
  <si>
    <t>B06Y21CNQ5</t>
  </si>
  <si>
    <t>Cotton and Linen, Machine Washable, Everyday Chambray Kitchen Tablecloth For Dinner Parties, Summer &amp; Outdoor Picnics(Gray,55x70.7In)</t>
  </si>
  <si>
    <t>ZXXBLV-L</t>
  </si>
  <si>
    <t>X001LSOC9V</t>
  </si>
  <si>
    <t>B074W2S5BX</t>
  </si>
  <si>
    <t>MZYSZHUOBUDTLEIS140*200CM</t>
  </si>
  <si>
    <t>X001JRMOM1</t>
  </si>
  <si>
    <t>B074PL1QFY</t>
  </si>
  <si>
    <t>LINENLUX Map Printed Lace Table Cloth Round&amp;Rectangular&amp;Oval Table(55x78.6In)</t>
  </si>
  <si>
    <t>LQXFMS1H100*160CM</t>
  </si>
  <si>
    <t>X001AHS84D</t>
  </si>
  <si>
    <t>B01FS78RKY</t>
  </si>
  <si>
    <t>AQD-IUCY330-BK</t>
  </si>
  <si>
    <t>X001R6XPP9</t>
  </si>
  <si>
    <t>B07C7Y23N5</t>
  </si>
  <si>
    <t>SiYang Winner Pet Seat Belt 3 Packs Adjustable Pet Dog Vehicle Seatbelt Durable Nylon Pet Safety Leads Harness Seat-belt Strap For Cats Animals Black</t>
  </si>
  <si>
    <t>GMSNT-LUHM001-BS</t>
  </si>
  <si>
    <t>X001U0LH61</t>
  </si>
  <si>
    <t>B07DQN9ZJT</t>
  </si>
  <si>
    <t>Clothes and toys organizer Waterproof hamper Foldable laundry basket for storage(Black Tree,13.8x13.8x17.7In)</t>
  </si>
  <si>
    <t>SJJJZHUOBUXTWB0140x200cm</t>
  </si>
  <si>
    <t>X001IFXUXL</t>
  </si>
  <si>
    <t>B06Y5DS5M8</t>
  </si>
  <si>
    <t>Single Face Strips Tablecloths Rectangle &amp; Oblong Blue Table Top Decoration(Blue,55x78.6In)</t>
  </si>
  <si>
    <t>AQD-IUCY330-LB</t>
  </si>
  <si>
    <t>X001R6TEQX</t>
  </si>
  <si>
    <t>B07C86GY6V</t>
  </si>
  <si>
    <t>SiYang Winner Pet Seat Belt 3 Packs Adjustable Pet Dog Vehicle Seatbelt Durable Nylon Pet Safety Leads Harness Seat-belt Strap For Cats Animals Light Blue</t>
  </si>
  <si>
    <t>YMQYQXDHPO100*140CM</t>
  </si>
  <si>
    <t>X001I607X1</t>
  </si>
  <si>
    <t>B0745B7VHV</t>
  </si>
  <si>
    <t>LINENLUX Cotton and Hemp, Machine Washable, Dinner, Summer &amp; Picnic Tablecloth, (39.4x55.1In, Pink)</t>
  </si>
  <si>
    <t>HNJZDCGSDS245*45CM</t>
  </si>
  <si>
    <t>X001A3YUI5</t>
  </si>
  <si>
    <t>B01JIXJ6JU</t>
  </si>
  <si>
    <t>Christmas Series Flax Home Office Sofa Cushion By Pillowcase(Christmas Tree 2,17.7x17.7In)</t>
  </si>
  <si>
    <t>YMQYQW011W0140*200CM</t>
  </si>
  <si>
    <t>X0010882A7</t>
  </si>
  <si>
    <t>B01C8QL8B8</t>
  </si>
  <si>
    <t>LINENLUXLinenTablecloth Rectangular Polyester Tablecloth (White,55.1x78.7In)</t>
  </si>
  <si>
    <t>DLJJZHUOBU-DSGZGZ140x140CM</t>
  </si>
  <si>
    <t>X001FG32XL</t>
  </si>
  <si>
    <t>B0713QQ11B</t>
  </si>
  <si>
    <t>LINENLUX Cotton and Linen, Machine Washable, Dinner, Summer &amp; Picnic Tablecloth,Black &amp; White &amp; Grey Check(Checker,55x55In)</t>
  </si>
  <si>
    <t>MTX-IULHY-W8001-LPK-26</t>
  </si>
  <si>
    <t>X001UXEBQ1</t>
  </si>
  <si>
    <t>B07GBVMLL6</t>
  </si>
  <si>
    <t>FSFZB001BLRO200CM</t>
  </si>
  <si>
    <t>X00169UEFL</t>
  </si>
  <si>
    <t>B01F5LOXBU</t>
  </si>
  <si>
    <t>MIDUYD037K1M</t>
  </si>
  <si>
    <t>X001FEMFTF</t>
  </si>
  <si>
    <t>B07234VYL2</t>
  </si>
  <si>
    <t>SiYang YoGa Octopus Printing Yoga Pants Women High Elasticity Thin Fitness Clothes (M, Pants)</t>
  </si>
  <si>
    <t>FSFZB006J0RO160CM</t>
  </si>
  <si>
    <t>X00169D5JX</t>
  </si>
  <si>
    <t>B01F5LQ57U</t>
  </si>
  <si>
    <t>YY-IULCY-XZM100-KKNWT</t>
  </si>
  <si>
    <t>X001TCN691</t>
  </si>
  <si>
    <t>B07DV73JMF</t>
  </si>
  <si>
    <t>LINENLUX Waterproof Rain Poncho Jacket Coat Hooded Colorblock(Light Brown and Creamy-White)</t>
  </si>
  <si>
    <t>YY-IULCY-KS369-HEAD-M</t>
  </si>
  <si>
    <t>X001RYQOLN</t>
  </si>
  <si>
    <t>B07CZ3KCQJ</t>
  </si>
  <si>
    <t>Waterproof Raincoat Polka Dot Hooded Rain Jacket Poncho Head Medium</t>
  </si>
  <si>
    <t>YMQYQZBXHGSS140*250CM</t>
  </si>
  <si>
    <t>X0014O89ZF</t>
  </si>
  <si>
    <t>B01C8QKK44</t>
  </si>
  <si>
    <t>LINENLUX Luxurious Heavy Weight Macrame Trim Fabric Tablecloth Assorted Sizes &amp; Colors (Shads,55.1x98.4In)</t>
  </si>
  <si>
    <t>MTX-IULHY-W1758-GN-25</t>
  </si>
  <si>
    <t>X001U4XQD9</t>
  </si>
  <si>
    <t>B07FM41G3Z</t>
  </si>
  <si>
    <t>YY-IULCY-KS369-PLANT-M</t>
  </si>
  <si>
    <t>X001RYGUX5</t>
  </si>
  <si>
    <t>B07CYZ9NDG</t>
  </si>
  <si>
    <t>LINENLUX Waterproof Raincoat Polka Dot Hooded Rain Jacket Poncho Plant Medium</t>
  </si>
  <si>
    <t>AQD-IUCY330-YL-2</t>
  </si>
  <si>
    <t>X001R6TER7</t>
  </si>
  <si>
    <t>B07C8NV7TC</t>
  </si>
  <si>
    <t>BYZBFS90*140CM</t>
  </si>
  <si>
    <t>X001JGPKIR</t>
  </si>
  <si>
    <t>B0746JKPG1</t>
  </si>
  <si>
    <t>LINENLUX Cotton and Hemp, Machine Washable, Dinner, Summer &amp; Picnic Tablecloth, (Pink,35.4x55.1In) </t>
  </si>
  <si>
    <t>MZYSZHUOBUDTLEIS140*180CM</t>
  </si>
  <si>
    <t>X001JSL10V</t>
  </si>
  <si>
    <t>B074PKRJP6</t>
  </si>
  <si>
    <t>LINENLUX Map Printed Lace Table Cloth for Round&amp;Rectangular&amp;Oval Table(55x70.7In)</t>
  </si>
  <si>
    <t>YX-IUCY-518-N5-2XL</t>
  </si>
  <si>
    <t>X001SE78PX</t>
  </si>
  <si>
    <t>B07D7445L3</t>
  </si>
  <si>
    <t>MTX-IULHY-W1798-PK-27</t>
  </si>
  <si>
    <t>X001U3Z97V</t>
  </si>
  <si>
    <t>B07FMBTXMF</t>
  </si>
  <si>
    <t>LGQ-IUYL100-PK</t>
  </si>
  <si>
    <t>X001OLQ1D5</t>
  </si>
  <si>
    <t>B0798MFCBV</t>
  </si>
  <si>
    <t>luciphia Retractable Dog Leash 16.4 ft Dog Walking Leash for Small Medium Large Dogs - Up To 88 lb Dog - Ergonomic Grip - Waste Bag Dispenser and Collapsible Water Bowl included?Pink?</t>
  </si>
  <si>
    <t>YMQYQXDHW0140*200CM</t>
  </si>
  <si>
    <t>X0015X51SN</t>
  </si>
  <si>
    <t>B01C8QJ89C</t>
  </si>
  <si>
    <t>LINENLUX Cotton Linen Tablecloth Macrame Lace Table Cloths Linen Rectangle Table Covers Table Top for Dinner Parties Christmas Holidays or Everyday Use(Beige,55.1x78.7In)</t>
  </si>
  <si>
    <t>YY-IULCY-XZM200-GN</t>
  </si>
  <si>
    <t>X001UNYW7T</t>
  </si>
  <si>
    <t>B07G3SRXP2</t>
  </si>
  <si>
    <t>YMQYQXDHG0140*180CM</t>
  </si>
  <si>
    <t>X001OXYGOT</t>
  </si>
  <si>
    <t>B076DW59RG</t>
  </si>
  <si>
    <t>LINENLUX Cotton Linen Tablecloth Macrame Lace Table Cloths Linen Rectangle Table Covers Table Top for Dinner Parties Christmas Holidays or Everyday Use (55.1x70.9In, Green)</t>
  </si>
  <si>
    <t>ZAKKA0630R028*55CM</t>
  </si>
  <si>
    <t>X001CJXQK5</t>
  </si>
  <si>
    <t>B01H1X9IS8</t>
  </si>
  <si>
    <t>pocket storage bag wall pocket household back door pouch (Red,11x21.2In?</t>
  </si>
  <si>
    <t>MTX-IULHY-GBWS90-GR-27</t>
  </si>
  <si>
    <t>X001UXG6K5</t>
  </si>
  <si>
    <t>B07GBWJ1W3</t>
  </si>
  <si>
    <t>YY-IULCY-KS377-PLANT-L</t>
  </si>
  <si>
    <t>X001RYFFU9</t>
  </si>
  <si>
    <t>B07CYP8DFK</t>
  </si>
  <si>
    <t>LINENLUX Waterproof Hooded Rain Poncho Jacket Transparent Patterned Print Coat for Kids Plant Large</t>
  </si>
  <si>
    <t>YY-IULCY-XZM100-BLNWT</t>
  </si>
  <si>
    <t>X001TBO1OB</t>
  </si>
  <si>
    <t>B07DV1KGJ4</t>
  </si>
  <si>
    <t>LINENLUX Waterproof Rain Poncho Jacket Coat Hooded Colorblock(Blue and Creamy-White)</t>
  </si>
  <si>
    <t>MTX-IULHY-WT836-PP-27</t>
  </si>
  <si>
    <t>X001UVVTXB</t>
  </si>
  <si>
    <t>B07G9Y2DNT</t>
  </si>
  <si>
    <t>YMQYCSCMR0140*160CM</t>
  </si>
  <si>
    <t>X0019ROK7N</t>
  </si>
  <si>
    <t>B01C8QGY0I</t>
  </si>
  <si>
    <t>LINENLUX Weight Sand Bags Leg Weights for Pop Up Canopy (Medium (18.0818.08 Inch))</t>
  </si>
  <si>
    <t>HUAPET-1JS-2XL</t>
  </si>
  <si>
    <t>X001OXY9NR</t>
  </si>
  <si>
    <t>B077GTTW6F</t>
  </si>
  <si>
    <t>luciphia Winter Dog Pet Vest Coat Waterproof Jacket With Zipper Orange 2XL</t>
  </si>
  <si>
    <t>YMQYZHUOBUJXXHB090x90CM</t>
  </si>
  <si>
    <t>X001F968AR</t>
  </si>
  <si>
    <t>B06Y3VWWSZ</t>
  </si>
  <si>
    <t>Cotton Linen Tablecloth Floral Embroidery Table Cover for Dinner Kitchen(Blue,35.4x35.4In)</t>
  </si>
  <si>
    <t>BZXKHH628B</t>
  </si>
  <si>
    <t>X001DO3CQ7</t>
  </si>
  <si>
    <t>B01N1QHOWE</t>
  </si>
  <si>
    <t>Minimalist Style Linen Pillow Home By Pillowcase Flower 1</t>
  </si>
  <si>
    <t>NEWZXXCZS-S</t>
  </si>
  <si>
    <t>X001O4R4P1</t>
  </si>
  <si>
    <t>B076DKQK72</t>
  </si>
  <si>
    <t>MTX-IULHY-W8001-LPK-27</t>
  </si>
  <si>
    <t>X001UXH4ZV</t>
  </si>
  <si>
    <t>B07GBV4VTT</t>
  </si>
  <si>
    <t>YDY-YUNDONGK-NK03KQ-S</t>
  </si>
  <si>
    <t>X001FVTURD</t>
  </si>
  <si>
    <t>B071VMQGXB</t>
  </si>
  <si>
    <t>SiYang Man Athletic Spandex Shorts Men's Compression Shorts Dry Fit Running Tights Camo(Peacock,S)</t>
  </si>
  <si>
    <t>YY-IULCY-KS371-BL-M</t>
  </si>
  <si>
    <t>X001S0RHCL</t>
  </si>
  <si>
    <t>B07CYX5S6S</t>
  </si>
  <si>
    <t>LINENLUX Waterproof Button Rain Poncho Jacket with Pockets Blue Medium</t>
  </si>
  <si>
    <t>FSFZB006QSRO160CM</t>
  </si>
  <si>
    <t>X001TNJN4R</t>
  </si>
  <si>
    <t>B01F5LSHAI</t>
  </si>
  <si>
    <t>FSFZB001BLRO180CM</t>
  </si>
  <si>
    <t>X001TN5LNT</t>
  </si>
  <si>
    <t>B01F5LOVPI</t>
  </si>
  <si>
    <t>YMQYQZBXHGSS140*140CM</t>
  </si>
  <si>
    <t>X0016JFJVP</t>
  </si>
  <si>
    <t>B01C8QKE2M</t>
  </si>
  <si>
    <t>LINENLUX Luxurious Heavy Weight Macrame Trim Fabric Tablecloth Assorted Sizes &amp; Colors (Shads,55.1x55.1In)</t>
  </si>
  <si>
    <t>YMQYQXDHG0140*220CM</t>
  </si>
  <si>
    <t>X001P0F235</t>
  </si>
  <si>
    <t>B076DSM35T</t>
  </si>
  <si>
    <t>LINENLUX Cotton Linen Tablecloth Macrame Lace Table Cloths Linen Rectangle Table Covers Table Top for Dinner Parties Christmas Holidays or Everyday Use (55.1x86.6In, Green)</t>
  </si>
  <si>
    <t>YMQYZBCSMS140*200CM</t>
  </si>
  <si>
    <t>X00104WJDH</t>
  </si>
  <si>
    <t>B01C8QID6G</t>
  </si>
  <si>
    <t>LINENLUX Everyday Kitchen Rectangular Tablecloth with Lace 6 Piece Table mat(White,55.1x78.7In) </t>
  </si>
  <si>
    <t>MTX-IULHY-W1798-RD-26</t>
  </si>
  <si>
    <t>X001U4Z1EL</t>
  </si>
  <si>
    <t>B07FM5QXR1</t>
  </si>
  <si>
    <t>MTX-IULHY-WA86-KK-39</t>
  </si>
  <si>
    <t>X001UVRP4X</t>
  </si>
  <si>
    <t>B07G9VB6L1</t>
  </si>
  <si>
    <t>YMQYQXDHW0140*160CM</t>
  </si>
  <si>
    <t>X001GDDQST</t>
  </si>
  <si>
    <t>B071KBYH7N</t>
  </si>
  <si>
    <t>LINENLUX Cotton Linen Tablecloth Macrame Lace Table Cloths Linen Rectangle Table Covers Table Top for Dinner Parties Christmas Holidays or Everyday Use(Beige,55.1x63In)</t>
  </si>
  <si>
    <t>YMQYZBCSMS140*220CM</t>
  </si>
  <si>
    <t>X0010882AR</t>
  </si>
  <si>
    <t>B01C8QIE88</t>
  </si>
  <si>
    <t>LINENLUX Everyday Kitchen Rectangular Tablecloth with Lace 6 Piece Table mat(White,55.1x86.6In) </t>
  </si>
  <si>
    <t>MZYSZHUOBUDTMAP90*90CM</t>
  </si>
  <si>
    <t>X001EKWO2D</t>
  </si>
  <si>
    <t>B0718WW48R</t>
  </si>
  <si>
    <t>LINENLUX Linens Tablecloths Picnic Burlap Tablecloth for Round&amp;Rectangular&amp;Oval Table Cover with Map Printed(Map,35.4x35.4In)</t>
  </si>
  <si>
    <t>YMQYQXDHPO140*220CM</t>
  </si>
  <si>
    <t>X001I6QQ3B</t>
  </si>
  <si>
    <t>B0745BZ2BM</t>
  </si>
  <si>
    <t>LINENLUX Cotton and Hemp, Machine Washable, Dinner, Summer &amp; Picnic Tablecloth, (55.1x86.6In, Pink)</t>
  </si>
  <si>
    <t>SWEATPETLAN28</t>
  </si>
  <si>
    <t>X001NNBOGN</t>
  </si>
  <si>
    <t>B077NBB2XS</t>
  </si>
  <si>
    <t>AQD-IUCY330-DP</t>
  </si>
  <si>
    <t>X001R6T13T</t>
  </si>
  <si>
    <t>B07CG5ZWPD</t>
  </si>
  <si>
    <t>SiYang Winner Pet Seat Belt 3 Packs Adjustable Pet Dog Vehicle Seatbelt Durable Nylon Pet Safety Leads Harness Seat-Belt Strap for Cats Animals Deep Purple</t>
  </si>
  <si>
    <t>XQ-IUYL320-PK-S</t>
  </si>
  <si>
    <t>X001Q3D2XD</t>
  </si>
  <si>
    <t>B07BFPT6G5</t>
  </si>
  <si>
    <t>AQD-IUCY330-PK</t>
  </si>
  <si>
    <t>X001R6ZWLT</t>
  </si>
  <si>
    <t>B07C86RTJ9</t>
  </si>
  <si>
    <t>SiYang Winner Pet Seat Belt 3 Packs Adjustable Pet Dog Vehicle Seatbelt Durable Nylon Pet Safety Leads Harness Seat-belt Strap For Cats Animals Pink</t>
  </si>
  <si>
    <t>BDB-001-K0</t>
  </si>
  <si>
    <t>X001UGIOGL</t>
  </si>
  <si>
    <t>B07DQL77MR</t>
  </si>
  <si>
    <t>Lastia Large Capacity Soft Cooler Insulated Outdoor Picnic Lunch Bag/Makeup bag for Grocery, Camping, Car, Travel(Black,7.5x6.3x5.9In)</t>
  </si>
  <si>
    <t>YMQYQJISZMZM90*90CM</t>
  </si>
  <si>
    <t>X001JTITHD</t>
  </si>
  <si>
    <t>B0747N5YGY</t>
  </si>
  <si>
    <t>LINENLUX Cloth Cotton Linen Tablecloth Living Room Table Cover (35x35In)</t>
  </si>
  <si>
    <t>BZXKHH628E</t>
  </si>
  <si>
    <t>X001DO3CQH</t>
  </si>
  <si>
    <t>B01JLWM1S6</t>
  </si>
  <si>
    <t>Minimalist Style Linen Pillow Home By Pillowcase Flower 2</t>
  </si>
  <si>
    <t>FSFZB006QSRO220CM</t>
  </si>
  <si>
    <t>X001TNJJ4L</t>
  </si>
  <si>
    <t>B01F5LSPOG</t>
  </si>
  <si>
    <t>DLJJZHUOBU-BGZW0100x140CM</t>
  </si>
  <si>
    <t>X001HNISXL</t>
  </si>
  <si>
    <t>B0718W42Y4</t>
  </si>
  <si>
    <t>LINENLUX Rectangle Contemporary Plaid Tablecloth Stain Resistant Fabric Table Cover Square Table White Checker(White,39.3x55In)</t>
  </si>
  <si>
    <t>SWEATPETLAN8</t>
  </si>
  <si>
    <t>X001NMTSQR</t>
  </si>
  <si>
    <t>B077NB45R7</t>
  </si>
  <si>
    <t>YY-IULCY-XZM200-BL</t>
  </si>
  <si>
    <t>X001UO5MY5</t>
  </si>
  <si>
    <t>B07G3QLD7R</t>
  </si>
  <si>
    <t>YX-IUCY-518-BO-2XL</t>
  </si>
  <si>
    <t>X001SDT9SN</t>
  </si>
  <si>
    <t>B07D74JFT2</t>
  </si>
  <si>
    <t>YDY-YUNDONGK-NK03KQ-L</t>
  </si>
  <si>
    <t>X001FV7UGL</t>
  </si>
  <si>
    <t>B071S1W6MX</t>
  </si>
  <si>
    <t>SiYang Man Sports Short For Men Compression Shorts Dry Fit Running Tights Camo(Peacock,L)</t>
  </si>
  <si>
    <t>FSFZB001JHRO200CM</t>
  </si>
  <si>
    <t>X001LF02ST</t>
  </si>
  <si>
    <t>B01F5LQJMG</t>
  </si>
  <si>
    <t>YX-IUCY-518-BO-L</t>
  </si>
  <si>
    <t>X001SEZOVX</t>
  </si>
  <si>
    <t>B07D74SLC5</t>
  </si>
  <si>
    <t>XQ-IUYL320-CF-S</t>
  </si>
  <si>
    <t>X001Q28SKV</t>
  </si>
  <si>
    <t>B07BFPTTWV</t>
  </si>
  <si>
    <t>HUAPET-1PPS-5XL</t>
  </si>
  <si>
    <t>X001ODDAVJ</t>
  </si>
  <si>
    <t>B077GT9Y32</t>
  </si>
  <si>
    <t>luciphia Winter Dog Pet Vest Coat Waterproof Jacket With Zipper Purple 5XL</t>
  </si>
  <si>
    <t>ETYIYUANDIAN-XL</t>
  </si>
  <si>
    <t>X001NHNZPR</t>
  </si>
  <si>
    <t>B0771JJC17</t>
  </si>
  <si>
    <t>MTX-IULHY-W1798-GN-25</t>
  </si>
  <si>
    <t>X001U4KU5V</t>
  </si>
  <si>
    <t>B07FM6MQSS</t>
  </si>
  <si>
    <t>Linen Cotton Fabric Wall Door Cloth Hanging Storage Bag Home Organizer (Blue,11x21.2In)</t>
  </si>
  <si>
    <t>TM-IULCY-300-LG</t>
  </si>
  <si>
    <t>X001TZR11H</t>
  </si>
  <si>
    <t>B07FDVY7MN</t>
  </si>
  <si>
    <t>LINENLUX Muti-functional Tent Camping Tarp Waterproof Shelter Sunshade for Picnic, Hiking,Travel,Fishing(grass-green)</t>
  </si>
  <si>
    <t>YY-IULUY-KS374-YL-M</t>
  </si>
  <si>
    <t>X001RYE8V1</t>
  </si>
  <si>
    <t>B07CYMDJZV</t>
  </si>
  <si>
    <t>LINENLUX Waterproof Hooded Rain Poncho Jacket Coat for Kids with Pockets Yellow Medium</t>
  </si>
  <si>
    <t>MTX-IULHY-W1798-OR-26</t>
  </si>
  <si>
    <t>X001U4KXCV</t>
  </si>
  <si>
    <t>B07FM6WSYH</t>
  </si>
  <si>
    <t>MTX-IULHY-M1759-DB-29</t>
  </si>
  <si>
    <t>X001U8VP4R</t>
  </si>
  <si>
    <t>B07FR8YG78</t>
  </si>
  <si>
    <t>YY-IULCY-XZM200-BK</t>
  </si>
  <si>
    <t>X001UNWQHR</t>
  </si>
  <si>
    <t>B07G3S2G2D</t>
  </si>
  <si>
    <t>MTX-IULHY-WT836-PK-27</t>
  </si>
  <si>
    <t>X001UVFIMJ</t>
  </si>
  <si>
    <t>B07G9WY686</t>
  </si>
  <si>
    <t>MTX-IULHY-WA89-KK-37</t>
  </si>
  <si>
    <t>X001UVVCSX</t>
  </si>
  <si>
    <t>B07G9TS12W</t>
  </si>
  <si>
    <t>XQ-IUYL320-PP-S</t>
  </si>
  <si>
    <t>X001Q1QFPH</t>
  </si>
  <si>
    <t>B07BFPM9GJ</t>
  </si>
  <si>
    <t>SND-IUYL111-BE</t>
  </si>
  <si>
    <t>X001Q4H2LF</t>
  </si>
  <si>
    <t>B07BGWRB7M</t>
  </si>
  <si>
    <t>XQ-IUYL320-RD-M</t>
  </si>
  <si>
    <t>X001Q28KGD</t>
  </si>
  <si>
    <t>B07BFP3YDG</t>
  </si>
  <si>
    <t>HUAPET-1PPS-4XL</t>
  </si>
  <si>
    <t>X001ODXSGB</t>
  </si>
  <si>
    <t>B077GTDGCX</t>
  </si>
  <si>
    <t>luciphia Winter Dog Pet Vest Coat Waterproof Jacket With Zipper Purple 4XL</t>
  </si>
  <si>
    <t>AQD-IUCY330-PK-2</t>
  </si>
  <si>
    <t>X001R6SUYZ</t>
  </si>
  <si>
    <t>B07C8BHV83</t>
  </si>
  <si>
    <t>MTX-IULHY-W1759-GN-25</t>
  </si>
  <si>
    <t>X001U8AF8T</t>
  </si>
  <si>
    <t>B07FPBJZSY</t>
  </si>
  <si>
    <t>BYZBLANS140*220CM</t>
  </si>
  <si>
    <t>X001IW3OPX</t>
  </si>
  <si>
    <t>B0746HWXW9</t>
  </si>
  <si>
    <t>LINENLUX Cotton and Hemp, Machine Washable, Dinner, Summer &amp; Picnic Tablecloth, (Blue,55.1x86.6In)</t>
  </si>
  <si>
    <t>YMQYQJISZMZM140*220CM</t>
  </si>
  <si>
    <t>X001JLBFU9</t>
  </si>
  <si>
    <t>B0747NFJMX</t>
  </si>
  <si>
    <t>LINENLUX Cloth Cotton Linen Tablecloth Living Room Table Cover (55.1x86.6In)</t>
  </si>
  <si>
    <t>ZPSD-LAHM-800-BK-L</t>
  </si>
  <si>
    <t>X001TG4V8R</t>
  </si>
  <si>
    <t>B07DWTX22N</t>
  </si>
  <si>
    <t>LINENLUX Weight Bags Leg Weights for Pop up Canopy (20.08x20.67 Inch,4 Pcs-Pack)</t>
  </si>
  <si>
    <t>AQD-IUCY330-DB</t>
  </si>
  <si>
    <t>X001R72I8X</t>
  </si>
  <si>
    <t>B07C8D82T6</t>
  </si>
  <si>
    <t>SiYang Winner Pet Seat Belt 3 Packs Adjustable Pet Dog Vehicle Seatbelt Durable Nylon Pet Safety Leads Harness Seat-Belt Strap for Cats Animals Dark Blue</t>
  </si>
  <si>
    <t>MZYSTYMM140*180CM</t>
  </si>
  <si>
    <t>X0016AY8YN</t>
  </si>
  <si>
    <t>B01BHQVNQU</t>
  </si>
  <si>
    <t>Tablecloth Rectangular Floral Tablecloth Rectangular Thanksgiving Blue Valentine Day Gifts (54.670.2in)</t>
  </si>
  <si>
    <t>ZB-2044MS140*250cm</t>
  </si>
  <si>
    <t>X001D5SCQB</t>
  </si>
  <si>
    <t>B01DZVJKEM</t>
  </si>
  <si>
    <t>LINENLUX SiYang Beautiful Tablecloth For Resturant Decoration 2016 Cage Design</t>
  </si>
  <si>
    <t>MTX-IULHY-W1798-GN-27</t>
  </si>
  <si>
    <t>X001U3Z97L</t>
  </si>
  <si>
    <t>B07FMB6GKG</t>
  </si>
  <si>
    <t>MTX-IULHY-W8003-PK-25</t>
  </si>
  <si>
    <t>X001UXHH03</t>
  </si>
  <si>
    <t>B07GBWHHLZ</t>
  </si>
  <si>
    <t>SJJJZHUOBUKTWB090x90cm</t>
  </si>
  <si>
    <t>X001IFQDMB</t>
  </si>
  <si>
    <t>B06Y5WTT68</t>
  </si>
  <si>
    <t>Cotton Table Cover,Blue and White Strips Tablecloths, Rectangle &amp; Oblong Blue Table Top Decoration(Blue,35.4x35.4In)</t>
  </si>
  <si>
    <t>HUAPET-1JS-S</t>
  </si>
  <si>
    <t>X001OXDRCV</t>
  </si>
  <si>
    <t>B077GTPRNJ</t>
  </si>
  <si>
    <t>luciphia Winter Dog Pet Vest Coat Waterproof Jacket With Zipper Orange S</t>
  </si>
  <si>
    <t>YY5100R5L</t>
  </si>
  <si>
    <t>X00104ZBIR</t>
  </si>
  <si>
    <t>B01AXMPVDU</t>
  </si>
  <si>
    <t>ZAKKA0635R075.5*45.5CM</t>
  </si>
  <si>
    <t>X001OYCE8X</t>
  </si>
  <si>
    <t>B01H1X94SC</t>
  </si>
  <si>
    <t>LINENLUX Over the Door Organizer Wall Closet Hanging Storage Bag Multilayer Linen Fabric Pouch Debris (Red,28.1x17.9In)</t>
  </si>
  <si>
    <t>TZ-IUYL240-DOT-M</t>
  </si>
  <si>
    <t>X001R6Z2BJ</t>
  </si>
  <si>
    <t>B07C8D3877</t>
  </si>
  <si>
    <t>SiYang Winner Pet Dog Blanket Fleece Fabric Puppy Cat Soft Blankets Bed Mat Cover with Dot Print for Puppies Kitties and Other Small Animals?20x30?</t>
  </si>
  <si>
    <t>XQ-IUYL320-PP-L</t>
  </si>
  <si>
    <t>X001Q2JEJZ</t>
  </si>
  <si>
    <t>B07BFPGH14</t>
  </si>
  <si>
    <t>MTX-IULHY-GBW8022-PP-26</t>
  </si>
  <si>
    <t>X001UVQVXJ</t>
  </si>
  <si>
    <t>B07G9X3JTF</t>
  </si>
  <si>
    <t>ARDIANGOLD</t>
  </si>
  <si>
    <t>X001O4C4E7</t>
  </si>
  <si>
    <t>B077S7LWD7</t>
  </si>
  <si>
    <t>SiYang Placemats Woven Vinyl Heat-resistant Non Skid Washable PVC Waterproof Rectangle Table Mats Set of 4(Gold)</t>
  </si>
  <si>
    <t>YY-IULCY-HZYD100-BIGEYED-M</t>
  </si>
  <si>
    <t>X001TCXE7F</t>
  </si>
  <si>
    <t>B07DVHWQV6</t>
  </si>
  <si>
    <t>LINENLUX Waterproof Hooded Rain Poncho Jacket Coat for Kids with Pockets(Big Eyes,M)</t>
  </si>
  <si>
    <t>YMQYQZB05HS60*60CM</t>
  </si>
  <si>
    <t>X00188NGAP</t>
  </si>
  <si>
    <t>B01C8REPAI</t>
  </si>
  <si>
    <t>LQXFMS1H90*90CM</t>
  </si>
  <si>
    <t>X001JE5A5R</t>
  </si>
  <si>
    <t>B01FS78ER0</t>
  </si>
  <si>
    <t>FSFZB001JHRO220CM</t>
  </si>
  <si>
    <t>X001A4U7WR</t>
  </si>
  <si>
    <t>B01F5LQLA6</t>
  </si>
  <si>
    <t>XQ-IUYL320-GN-S</t>
  </si>
  <si>
    <t>X001Q3D4X1</t>
  </si>
  <si>
    <t>B07BFP4RZK</t>
  </si>
  <si>
    <t>XQ-IUYL320-PP-M</t>
  </si>
  <si>
    <t>X001Q1QFPR</t>
  </si>
  <si>
    <t>B07BFQDVJR</t>
  </si>
  <si>
    <t>MTX-IULHY-W8001-DPK-26</t>
  </si>
  <si>
    <t>X001UXDS0V</t>
  </si>
  <si>
    <t>B07GBV6FY7</t>
  </si>
  <si>
    <t>YY-IULCY-KS372-PK-M</t>
  </si>
  <si>
    <t>X001RYG7KB</t>
  </si>
  <si>
    <t>B07CYN5C1D</t>
  </si>
  <si>
    <t>LINENLUX Waterproof Rain Poncho Coat with Bag Cover Pink Medium</t>
  </si>
  <si>
    <t>YY-IULCY-C9002-LB</t>
  </si>
  <si>
    <t>X001RYKVGH</t>
  </si>
  <si>
    <t>B07CYQTRM3</t>
  </si>
  <si>
    <t>LINENLUX 3 in 1 Multifunctional Outdoor Rain Poncho Waterproof Camping Hooded Raincoat Light Blue</t>
  </si>
  <si>
    <t>GMSNT-LUHM001-KT</t>
  </si>
  <si>
    <t>X001U0ZSCF</t>
  </si>
  <si>
    <t>B07DQN92XD</t>
  </si>
  <si>
    <t>Clothes and toys organizer Waterproof hamper Foldable laundry basket for storage(Coffee Tower,11x11x13.8In)</t>
  </si>
  <si>
    <t>FSFZB007KWRO180CM</t>
  </si>
  <si>
    <t>X00169YJ3T</t>
  </si>
  <si>
    <t>B01F5LPTAO</t>
  </si>
  <si>
    <t>LINENLUX Luxurious Round Tablecloths for Wedding,Meeting,Hotel,Restaurant,Party (Round 70.74In,Black/White)</t>
  </si>
  <si>
    <t>YY-IULCY-KS377-HEAD-M</t>
  </si>
  <si>
    <t>X001RYYSKR</t>
  </si>
  <si>
    <t>B07CYVFKH9</t>
  </si>
  <si>
    <t>Waterproof Hooded Rain Poncho Jacket Transparent Patterned Print Coat for Kids Head Medium</t>
  </si>
  <si>
    <t>YY-IULCY-KS369-PLANT-L</t>
  </si>
  <si>
    <t>X001RYFNBF</t>
  </si>
  <si>
    <t>B07CYNNCMT</t>
  </si>
  <si>
    <t>LINENLUX Waterproof Raincoat Polka Dot Hooded Rain Jacket Poncho Plant Large</t>
  </si>
  <si>
    <t>MTX-IULHY-W8001-DPK-27</t>
  </si>
  <si>
    <t>X001UXGW13</t>
  </si>
  <si>
    <t>B07GBVBBP9</t>
  </si>
  <si>
    <t>ZAKKA0040R035*50CM</t>
  </si>
  <si>
    <t>X001OOU7CN</t>
  </si>
  <si>
    <t>B01H1X9MJI</t>
  </si>
  <si>
    <t>Over the Door Organizer Wall Closet Hanging Storage Bag Multilayer Linen Fabric Pouch Debris (Red,9.8x12.5In)</t>
  </si>
  <si>
    <t>YMQYQZB05HS140*220CM</t>
  </si>
  <si>
    <t>X001CBU0O3</t>
  </si>
  <si>
    <t>B01C8QHD8U</t>
  </si>
  <si>
    <t>XQ-IUYL320-CF-L</t>
  </si>
  <si>
    <t>X001Q3D2X3</t>
  </si>
  <si>
    <t>B07BFPGY4T</t>
  </si>
  <si>
    <t>SJJJZHUOBUXTWB0140x140cm</t>
  </si>
  <si>
    <t>X001IGCTAF</t>
  </si>
  <si>
    <t>B06Y5SKG6M</t>
  </si>
  <si>
    <t>Single Face Strips Tablecloths Rectangle &amp; Oblong Blue Table Top Decoration(Blue,55x55In)</t>
  </si>
  <si>
    <t>MTX-IULHY-W1759-PK-26</t>
  </si>
  <si>
    <t>X001U9JZ4X</t>
  </si>
  <si>
    <t>B07FPDK8GL</t>
  </si>
  <si>
    <t>XQ-IUYL320-GN-L</t>
  </si>
  <si>
    <t>X001Q28ARR</t>
  </si>
  <si>
    <t>B07BFP948J</t>
  </si>
  <si>
    <t>MTX-IULHY-GBW8022-PK-25</t>
  </si>
  <si>
    <t>X001UVF9UF</t>
  </si>
  <si>
    <t>B07G9XL6SP</t>
  </si>
  <si>
    <t>YMQYQXDHW0100*140CM</t>
  </si>
  <si>
    <t>X0015X493V</t>
  </si>
  <si>
    <t>B01C8QJ32O</t>
  </si>
  <si>
    <t>LINENLUX Cotton Linen Tablecloth Macrame Lace Table Cloths Linen Rectangle Table Covers Table Top for Dinner Parties Christmas Holidays or Everyday Use(Beige,39.4x55.1In)</t>
  </si>
  <si>
    <t>YY2127GRL</t>
  </si>
  <si>
    <t>X00156XMQ3</t>
  </si>
  <si>
    <t>B01HD5WM8C</t>
  </si>
  <si>
    <t>Cloak Rain Jacket Women clear raincoat pvc rain coat 2xl rain slicker kids korean summer clothes for women (XXL)</t>
  </si>
  <si>
    <t>YY-IULCY-KS369-BIRD-L</t>
  </si>
  <si>
    <t>X001RYC9AX</t>
  </si>
  <si>
    <t>B07CYXJH94</t>
  </si>
  <si>
    <t>LINENLUX Waterproof Raincoat Polka Dot Hooded Rain Jacket Poncho Bird Large</t>
  </si>
  <si>
    <t>YMQYGZZBGZ140*180CM</t>
  </si>
  <si>
    <t>X0015SMDXJ</t>
  </si>
  <si>
    <t>B01C8QI1HC</t>
  </si>
  <si>
    <t>LINENLUX DII 100% Cotton, Machine Washable, Dinner, Summer &amp; Picnic Tablecloth Country Plaid, Seats 8 to 10 People(Lattice,55.1x70.9In)</t>
  </si>
  <si>
    <t>YY-IULUY-KS374-DB-L</t>
  </si>
  <si>
    <t>X001RYPHN9</t>
  </si>
  <si>
    <t>B07CYHC2KN</t>
  </si>
  <si>
    <t>LINENLUX Waterproof Hooded Rain Poncho Jacket Coat for Kids with Pockets Blue Large</t>
  </si>
  <si>
    <t>MTX-IULHY-DBW8022-PK-27</t>
  </si>
  <si>
    <t>X001UVVZ1R</t>
  </si>
  <si>
    <t>B07G9XZQXC</t>
  </si>
  <si>
    <t>MTX-IULHY-W1758-PK-25</t>
  </si>
  <si>
    <t>X001U4F4FH</t>
  </si>
  <si>
    <t>B07FM16V9G</t>
  </si>
  <si>
    <t>YMQYQXDHG0140*140CM</t>
  </si>
  <si>
    <t>X001P08G5B</t>
  </si>
  <si>
    <t>B076DSB43Y</t>
  </si>
  <si>
    <t>LINENLUX Cotton Linen Tablecloth Macrame Lace Table Cloths Linen Rectangle Table Covers Table Top for Dinner Parties Christmas Holidays or Everyday Use (55.1x55.1In, Green)</t>
  </si>
  <si>
    <t>YMQYQXDHW0140*180CM</t>
  </si>
  <si>
    <t>X001621R2R</t>
  </si>
  <si>
    <t>B01C8QJ734</t>
  </si>
  <si>
    <t>LINENLUX Cotton Linen Tablecloth Macrame Lace Table Cloths Linen Rectangle Table Covers Table Top for Dinner Parties Christmas Holidays or Everyday Use(Beige,55.1x70.9In)</t>
  </si>
  <si>
    <t>BYZBLANS140*180CM</t>
  </si>
  <si>
    <t>X001IX21ZB</t>
  </si>
  <si>
    <t>B0746HTPDT</t>
  </si>
  <si>
    <t>Cotton And Hemp, Machine Washable, Dinner, Summer &amp; Picnic Tablecloth, Available In Various Sizes(Blue,55.1x70.9In)</t>
  </si>
  <si>
    <t>HNJJBDWBZXS45*45CM</t>
  </si>
  <si>
    <t>X001AESWPB</t>
  </si>
  <si>
    <t>B01JIVDTL8</t>
  </si>
  <si>
    <t>Polyester Oblong Tablecloth Fit for Rectangular Table White</t>
  </si>
  <si>
    <t>BYZBLANS60*60CM</t>
  </si>
  <si>
    <t>X001IW70OT</t>
  </si>
  <si>
    <t>B0746JQ2MS</t>
  </si>
  <si>
    <t>LINENLUX Cotton and Hemp, Machine Washable, Dinner, Summer &amp; Picnic Tablecloth, (Blue,23.5x23.5In)</t>
  </si>
  <si>
    <t>SXHLYITAO3-LH-001QLS40x60CM</t>
  </si>
  <si>
    <t>X001JLDNS1</t>
  </si>
  <si>
    <t>B0722JM9C8</t>
  </si>
  <si>
    <t>LINENLUX Stretch Removable Washable Short Dining Chair Protect Cover Slipcover Set of 2(Light Blue)</t>
  </si>
  <si>
    <t>ZXXBLV-M</t>
  </si>
  <si>
    <t>X001LSH9X7</t>
  </si>
  <si>
    <t>B074W1JXQW</t>
  </si>
  <si>
    <t>MTX-IULHY-W1798-GN-26</t>
  </si>
  <si>
    <t>X001U4Z1EV</t>
  </si>
  <si>
    <t>B07FM77G99</t>
  </si>
  <si>
    <t>YMQYQZBBKSC140*180CM</t>
  </si>
  <si>
    <t>X0014AH2B1</t>
  </si>
  <si>
    <t>B01C8QIE38</t>
  </si>
  <si>
    <t>LINENLUX SiYANG Tablecloth Coastal Shell Batik Indoor Outdoor Black White (Dark,55.170.9In)</t>
  </si>
  <si>
    <t>MTX-IULHY-DBWS90-KK-25</t>
  </si>
  <si>
    <t>X001UXIAQN</t>
  </si>
  <si>
    <t>B07GBW5LWW</t>
  </si>
  <si>
    <t>MTX-IULHY-GBW8022-PK-27</t>
  </si>
  <si>
    <t>X001UVVD6T</t>
  </si>
  <si>
    <t>B07GB1R3TF</t>
  </si>
  <si>
    <t>YMQYQJISZMZM100*140CM</t>
  </si>
  <si>
    <t>X001JTJH5V</t>
  </si>
  <si>
    <t>B0747L4P7Z</t>
  </si>
  <si>
    <t>LINENLUX Cloth Cotton Linen Tablecloth Living Room Table Cover (3954.5In)</t>
  </si>
  <si>
    <t>YMQYQXDHY090*90CM</t>
  </si>
  <si>
    <t>X001P0HE2R</t>
  </si>
  <si>
    <t>B076DX1XK9</t>
  </si>
  <si>
    <t>LINENLUX Cotton Linen Tablecloth Macrame Lace Table Cloths Linen Rectangle Table Covers Table Top for Dinner Parties Christmas Holidays or Everyday Use (35.4x35.4In, Yellow)</t>
  </si>
  <si>
    <t>MTX-IULHY-WA86-GR-37</t>
  </si>
  <si>
    <t>X001UVRP57</t>
  </si>
  <si>
    <t>B07G9V7VZY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</si>
  <si>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</si>
  <si>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</si>
  <si>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</si>
  <si>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</si>
  <si>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</si>
  <si>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</si>
  <si>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</si>
  <si>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</si>
  <si>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</si>
  <si>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</si>
  <si>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</si>
  <si>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</si>
  <si>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</si>
  <si>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</si>
  <si>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No</t>
  </si>
  <si>
    <t>Yes</t>
  </si>
  <si>
    <t>6958140000000-21</t>
  </si>
  <si>
    <t>X001O41YEX</t>
  </si>
  <si>
    <t>B019V6RKPQ</t>
  </si>
  <si>
    <t>Unknown</t>
  </si>
  <si>
    <t>8Y-T6OF-YUJY</t>
  </si>
  <si>
    <t>X001EQIC1T</t>
  </si>
  <si>
    <t>B06XY2ZCJ6</t>
  </si>
  <si>
    <t>LINENLUX Women's Raincoat Jacket Trench Ponchos for Adults (Pink)</t>
  </si>
  <si>
    <t>9CUE9N-01SLXXXL</t>
  </si>
  <si>
    <t>X0018HZM53</t>
  </si>
  <si>
    <t>B01CFH8836</t>
  </si>
  <si>
    <t>9CUE9N-03R0XXXL</t>
  </si>
  <si>
    <t>X0019IKQSJ</t>
  </si>
  <si>
    <t>B01CFH89QM</t>
  </si>
  <si>
    <t>9CUE9N-04Y0XXXL</t>
  </si>
  <si>
    <t>X0019M6ZT9</t>
  </si>
  <si>
    <t>B01CFH8ALQ</t>
  </si>
  <si>
    <t>SiYang Winner Pet Seat Belt 3 Packs Adjustable Pet Dog Vehicle Seatbelt Durable Nylon Pet Safety Leads Harness Seat-belt Strap For Cats Animals Light Purple</t>
  </si>
  <si>
    <t>ARDIANBS</t>
  </si>
  <si>
    <t>X001O4I4HX</t>
  </si>
  <si>
    <t>B0784P37N4</t>
  </si>
  <si>
    <t>SiYang Placemats Woven Vinyl Heat-resistant Non Skid Washable PVC Waterproof Rectangle Table Mats Set of 4(White)</t>
  </si>
  <si>
    <t>ARDIANCOF</t>
  </si>
  <si>
    <t>X001O4C45B</t>
  </si>
  <si>
    <t>B0784N7PCD</t>
  </si>
  <si>
    <t>SiYang Placemats Woven Vinyl Heat-resistant Non Skid Washable PVC Waterproof Rectangle Table Mats Set of 4(Coffee)</t>
  </si>
  <si>
    <t>AWFSNANKU-2292JLS-31</t>
  </si>
  <si>
    <t>X001GLD0MX</t>
  </si>
  <si>
    <t>B0722LH1R1</t>
  </si>
  <si>
    <t>SiYang Man Men's Cotton Loose Fit Multi Pocket Cargo Shorts(No Belt)(Army Green,30)</t>
  </si>
  <si>
    <t>BDB-001-B0</t>
  </si>
  <si>
    <t>X001UGN19B</t>
  </si>
  <si>
    <t>B07DQS5YP2</t>
  </si>
  <si>
    <t>Lastia Large Capacity Soft Cooler Insulated Outdoor Picnic Lunch Bag/Makeup bag for Grocery, Camping, Car, Travel(Blue Flower,7.5x6.3x5.9In)</t>
  </si>
  <si>
    <t>BDB-001-G0</t>
  </si>
  <si>
    <t>X001UG1C7J</t>
  </si>
  <si>
    <t>B07DQLVNSH</t>
  </si>
  <si>
    <t>Lastia Large Capacity Soft Cooler Insulated Outdoor Picnic Lunch Bag/Makeup Bag Grocery, Camping, Car, Travel(Green,7.5x6.3x5.9In)</t>
  </si>
  <si>
    <t>BDB-001-R0</t>
  </si>
  <si>
    <t>X001UGFD6F</t>
  </si>
  <si>
    <t>B07DQMJRJG</t>
  </si>
  <si>
    <t>Lastia Large Capacity Soft Cooler Insulated Outdoor Picnic Lunch Bag/Makeup Bag Grocery, Camping, Car, Travel(Red Flower,7.5x6.3x5.9In)</t>
  </si>
  <si>
    <t>BDB-001-Y0</t>
  </si>
  <si>
    <t>X001UGN2IL</t>
  </si>
  <si>
    <t>B07DQPGWNM</t>
  </si>
  <si>
    <t>Lastia Large Capacity Soft Cooler Insulated Outdoor Picnic Lunch Bag/Makeup bag for Grocery, Camping, Car, Travel(Yellow,7.5x6.3x5.9In)</t>
  </si>
  <si>
    <t>BDB-001-ZL</t>
  </si>
  <si>
    <t>X001UGNQRD</t>
  </si>
  <si>
    <t>B07DQT2DCN</t>
  </si>
  <si>
    <t>Large Capacity Soft Cooler Insulated Outdoor Picnic Lunch Bag/Makeup bag for Grocery, Camping, Car, Travel(Navy,7.5x6.3x5.9In)</t>
  </si>
  <si>
    <t>BDB-LUHM001-B0</t>
  </si>
  <si>
    <t>X001TYQYIJ</t>
  </si>
  <si>
    <t>BDB-LUHM001-G0</t>
  </si>
  <si>
    <t>X001TZR2JD</t>
  </si>
  <si>
    <t>BDB-LUHM001-K0</t>
  </si>
  <si>
    <t>X001TZRAT5</t>
  </si>
  <si>
    <t>BDB-LUHM001-R0</t>
  </si>
  <si>
    <t>X001TZR8X3</t>
  </si>
  <si>
    <t>BDB-LUHM001-Y0</t>
  </si>
  <si>
    <t>X001TZUPWJ</t>
  </si>
  <si>
    <t>BDB-LUHM001-ZL</t>
  </si>
  <si>
    <t>X001TZTS6X</t>
  </si>
  <si>
    <t>BH-E628-EYEA</t>
  </si>
  <si>
    <t>X001AJ827T</t>
  </si>
  <si>
    <t>B01MU0MJXX</t>
  </si>
  <si>
    <t>Men's Herringbone Wool Tweed Newsboy Ivy Cabbie Driving Hat, Grey</t>
  </si>
  <si>
    <t>BUDSNOWBO-L</t>
  </si>
  <si>
    <t>X001O76WBP</t>
  </si>
  <si>
    <t>B077SPDQMX</t>
  </si>
  <si>
    <t>luciphia Warm Pet Dog Sweater Hoodies For Small Dogs</t>
  </si>
  <si>
    <t>BUDSNOWBO-M</t>
  </si>
  <si>
    <t>X001O76FZN</t>
  </si>
  <si>
    <t>B0784T4MYY</t>
  </si>
  <si>
    <t>BUDSNOWBO-XL</t>
  </si>
  <si>
    <t>X001O745SH</t>
  </si>
  <si>
    <t>B078C5JLZV</t>
  </si>
  <si>
    <t>BUDSNOWBO-XXL</t>
  </si>
  <si>
    <t>X001O76WBZ</t>
  </si>
  <si>
    <t>B077SSQFMX</t>
  </si>
  <si>
    <t>BUDSNOWRO-L</t>
  </si>
  <si>
    <t>X001O67R65</t>
  </si>
  <si>
    <t>B077SPDT2V</t>
  </si>
  <si>
    <t>BUDSNOWRO-M</t>
  </si>
  <si>
    <t>X001O745SR</t>
  </si>
  <si>
    <t>B077SNBTYK</t>
  </si>
  <si>
    <t>BUDSNOWRO-S</t>
  </si>
  <si>
    <t>X001O772D7</t>
  </si>
  <si>
    <t>B077SSQ158</t>
  </si>
  <si>
    <t>BUDSNOWRO-XL</t>
  </si>
  <si>
    <t>X001O78AJ7</t>
  </si>
  <si>
    <t>B0784RRGDD</t>
  </si>
  <si>
    <t>BUDSNOWRO-XXL</t>
  </si>
  <si>
    <t>X001O68J8F</t>
  </si>
  <si>
    <t>B077SDYYKL</t>
  </si>
  <si>
    <t>BYZBFS140*200CM</t>
  </si>
  <si>
    <t>X001JH29X5</t>
  </si>
  <si>
    <t>B0746JDTRV</t>
  </si>
  <si>
    <t>LINENLUX Cotton and Hemp, Machine Washable, Dinner, Summer &amp; Picnic Tablecloth, (Pink,55.1x78.7In) </t>
  </si>
  <si>
    <t>CWGQYS-BDB0L</t>
  </si>
  <si>
    <t>X001O1V0LD</t>
  </si>
  <si>
    <t>B077P3W5CY</t>
  </si>
  <si>
    <t>CWGQYS-BDB0M</t>
  </si>
  <si>
    <t>X001O1WMW9</t>
  </si>
  <si>
    <t>B077PGPW9C</t>
  </si>
  <si>
    <t>CWGQYS-BDB0S</t>
  </si>
  <si>
    <t>X001O1SA89</t>
  </si>
  <si>
    <t>B077P4NDQF</t>
  </si>
  <si>
    <t>CWGQYS-BDB0XL</t>
  </si>
  <si>
    <t>X001O1U019</t>
  </si>
  <si>
    <t>B077PGPQKQ</t>
  </si>
  <si>
    <t>CWGQYS-BDG01L</t>
  </si>
  <si>
    <t>X001O1WTLD</t>
  </si>
  <si>
    <t>B077PBYWZS</t>
  </si>
  <si>
    <t>CWGQYS-BDG01M</t>
  </si>
  <si>
    <t>X001O1E637</t>
  </si>
  <si>
    <t>B077PC5BGR</t>
  </si>
  <si>
    <t>CWGQYS-BDG01S</t>
  </si>
  <si>
    <t>X001O1VKXB</t>
  </si>
  <si>
    <t>B077P4BJ4R</t>
  </si>
  <si>
    <t>CWGQYS-BDG01XL</t>
  </si>
  <si>
    <t>X001O1SA8J</t>
  </si>
  <si>
    <t>B077PGDGHH</t>
  </si>
  <si>
    <t>CWGQYS-BDK0L</t>
  </si>
  <si>
    <t>X001O1VKXL</t>
  </si>
  <si>
    <t>B077PGJY38</t>
  </si>
  <si>
    <t>CWGQYS-BDK0M</t>
  </si>
  <si>
    <t>X001O1W1MF</t>
  </si>
  <si>
    <t>B077P832FW</t>
  </si>
  <si>
    <t>CWGQYS-BDK0S</t>
  </si>
  <si>
    <t>X001O1RTRH</t>
  </si>
  <si>
    <t>B07846LZTV</t>
  </si>
  <si>
    <t>CWGQYS-BDK0XL</t>
  </si>
  <si>
    <t>X001O1VUV3</t>
  </si>
  <si>
    <t>B077P4DY6N</t>
  </si>
  <si>
    <t>CWGQYS-BDR0L</t>
  </si>
  <si>
    <t>X001O1WIMX</t>
  </si>
  <si>
    <t>B077P98RR5</t>
  </si>
  <si>
    <t>CWGQYS-BDR0M</t>
  </si>
  <si>
    <t>X001O1UVFJ</t>
  </si>
  <si>
    <t>B077PBWY75</t>
  </si>
  <si>
    <t>CWGQYS-BDR0S</t>
  </si>
  <si>
    <t>X001O1E8RL</t>
  </si>
  <si>
    <t>B077PC5F9V</t>
  </si>
  <si>
    <t>CWGQYS-XSB0L</t>
  </si>
  <si>
    <t>X001NAB7TZ</t>
  </si>
  <si>
    <t>B077PFD9LP</t>
  </si>
  <si>
    <t>luciphia Dog Leash Harness Adjustable &amp; Durable Leash Set &amp; Heavy Duty Denim Dog Leash Collar for Small Perfect for Daily Training Walking Running</t>
  </si>
  <si>
    <t>CWGQYS-XSB0M</t>
  </si>
  <si>
    <t>X001NACSAH</t>
  </si>
  <si>
    <t>B07843RDHP</t>
  </si>
  <si>
    <t>CWGQYS-XSB0S</t>
  </si>
  <si>
    <t>X001NABRFJ</t>
  </si>
  <si>
    <t>B077PD7WHY</t>
  </si>
  <si>
    <t>CWGQYS-XSB0XL</t>
  </si>
  <si>
    <t>X001NAE945</t>
  </si>
  <si>
    <t>B077PFB21G</t>
  </si>
  <si>
    <t>CWGQYS-XSR0L</t>
  </si>
  <si>
    <t>X001NADEFP</t>
  </si>
  <si>
    <t>B077PFB34T</t>
  </si>
  <si>
    <t>CWGQYS-XSR0M</t>
  </si>
  <si>
    <t>X001NAB7QD</t>
  </si>
  <si>
    <t>B077P822BJ</t>
  </si>
  <si>
    <t>CWGQYS-XSR0S</t>
  </si>
  <si>
    <t>X001NACX89</t>
  </si>
  <si>
    <t>B077P3P1K6</t>
  </si>
  <si>
    <t>CWGQYS-XSR0XL</t>
  </si>
  <si>
    <t>X001NABMDV</t>
  </si>
  <si>
    <t>B07843R3WG</t>
  </si>
  <si>
    <t>D7-K3RX-7XQQ</t>
  </si>
  <si>
    <t>X001CT4MS5</t>
  </si>
  <si>
    <t>B01MQVZTK6</t>
  </si>
  <si>
    <t>SiYang Men's Herringbone Tweed Newsboy Cabbie Flat Driving Hat Golf Cap</t>
  </si>
  <si>
    <t>DC-IULCY-001-BLNPK</t>
  </si>
  <si>
    <t>X001T83G7R</t>
  </si>
  <si>
    <t>B07DRCXG7C</t>
  </si>
  <si>
    <t>LINENLUX Nylon Camping Hammock</t>
  </si>
  <si>
    <t>DC-IULCY-001-GRNRD</t>
  </si>
  <si>
    <t>X001T6S417</t>
  </si>
  <si>
    <t>B07DR9W1FZ</t>
  </si>
  <si>
    <t>DC-IULCY-001-LBNGD</t>
  </si>
  <si>
    <t>X001T896ZX</t>
  </si>
  <si>
    <t>B07DR3MFMN</t>
  </si>
  <si>
    <t>DC-IULCY-001-PKNGR</t>
  </si>
  <si>
    <t>X001T7CMCD</t>
  </si>
  <si>
    <t>B07DR8ZGB4</t>
  </si>
  <si>
    <t>DDK2-L</t>
  </si>
  <si>
    <t>X001L5MTFX</t>
  </si>
  <si>
    <t>B074JBM8J1</t>
  </si>
  <si>
    <t>SiYang YoGa Leggings For Women With Designs High Waist Elastic and Slimming (Black/Red,L)</t>
  </si>
  <si>
    <t>DDK2-M</t>
  </si>
  <si>
    <t>X001L5MTG7</t>
  </si>
  <si>
    <t>B074J9LJHF</t>
  </si>
  <si>
    <t>SiYang YoGa Leggings Butt Lift For Women High Waist Elastic and Slimming (Black/Red,M)</t>
  </si>
  <si>
    <t>DDK2-S</t>
  </si>
  <si>
    <t>X001L57UVB</t>
  </si>
  <si>
    <t>B075XH5ZB8</t>
  </si>
  <si>
    <t>Leggings Butt Lift For Women High Waist Elastic and Slimming (Black/Red,S)</t>
  </si>
  <si>
    <t>DDK2-XL</t>
  </si>
  <si>
    <t>X001L55U3L</t>
  </si>
  <si>
    <t>B074JDBJFN</t>
  </si>
  <si>
    <t>SiYang YoGa Workout Leggings High Waist Elastic Slim Pencil Pants (Black/Red,XL)</t>
  </si>
  <si>
    <t>LINENLUX Cotton Linen Tablecloth for Dinner Parties Kitchen Outdoor Picnics(Gray,43.2x55In)</t>
  </si>
  <si>
    <t>DJSCZHUOBUCSAQHS140*140CM</t>
  </si>
  <si>
    <t>X001F6HEZD</t>
  </si>
  <si>
    <t>B06Y2FCQ18</t>
  </si>
  <si>
    <t>LINENLUX Cotton and Linen, Machine Washable, Everyday Chambray Kitchen Tablecloth For Dinner Parties, Summer &amp; Outdoor Picnics(Gray,55x55In)</t>
  </si>
  <si>
    <t>DJSCZHUOBUCSAQHS140*200CM</t>
  </si>
  <si>
    <t>X001F8RXX9</t>
  </si>
  <si>
    <t>B06Y2BJL8T</t>
  </si>
  <si>
    <t>Cotton and Linen, Machine Washable, Everyday Chambray Kitchen Tablecloth For Dinner Parties, Summer &amp; Outdoor Picnics(Gray,55x78.6In)</t>
  </si>
  <si>
    <t>DJSCZHUOBUCSAQHS140*220CM</t>
  </si>
  <si>
    <t>X001F7J8XD</t>
  </si>
  <si>
    <t>B06Y2CWNS2</t>
  </si>
  <si>
    <t>Cotton and Linen, Machine Washable, Everyday Chambray Kitchen Tablecloth For Dinner Parties, Summer &amp; Outdoor Picnics(Gray,55x86.5In)</t>
  </si>
  <si>
    <t>DL002-DX</t>
  </si>
  <si>
    <t>X001M804PB</t>
  </si>
  <si>
    <t>B0769WTB45</t>
  </si>
  <si>
    <t>Women's Yoga Pants Mesh Stretchy Workout Sportys Sexy Leggings Hollow Out Design (Free, Blue)</t>
  </si>
  <si>
    <t>DLJJZHUOBU-BGZW0140x200CM</t>
  </si>
  <si>
    <t>X001HNJ9JX</t>
  </si>
  <si>
    <t>B072L1B5LR</t>
  </si>
  <si>
    <t>Rectangle Contemporary Plaid Tablecloth Stain Resistant Fabric Table Cover for Square Table White Checker(White,55x78.6In)</t>
  </si>
  <si>
    <t>DLJJZHUOBU-BGZW0140x250CM</t>
  </si>
  <si>
    <t>X001HNJI6R</t>
  </si>
  <si>
    <t>B071DMDF82</t>
  </si>
  <si>
    <t>Rectangle Contemporary Plaid Tablecloth Stain Resistant Fabric Table Cover for Square Table White Checker(White,55x98.3In)</t>
  </si>
  <si>
    <t>DLJJZHUOBU-DSGZGZ100x100CM</t>
  </si>
  <si>
    <t>X001FEFZDD</t>
  </si>
  <si>
    <t>B071RLCCDQ</t>
  </si>
  <si>
    <t>LINENLUX Cotton and Linen, Machine Washable, Dinner, Summer &amp; Picnic Tablecloth,Black &amp; White &amp; Grey Check(Checker,39.3x39.3In)</t>
  </si>
  <si>
    <t>DZ-IUYL210-BK</t>
  </si>
  <si>
    <t>X001OSX8TN</t>
  </si>
  <si>
    <t>B079GS1FR8</t>
  </si>
  <si>
    <t>Pet Seat Cover Hammock Style And Cargo Liner For Cars, Trucks And Suv's - Waterproof, NonSlip Silicone Backing for Back Seat with the Clear View Window Side Flap and Dog Seat Belt Pet Seat Cover</t>
  </si>
  <si>
    <t>DZ-IUYL210-GR</t>
  </si>
  <si>
    <t>X001OTVM6X</t>
  </si>
  <si>
    <t>B079GSKBMP</t>
  </si>
  <si>
    <t>DZ-IUYL220-BK</t>
  </si>
  <si>
    <t>X001OUOQQF</t>
  </si>
  <si>
    <t>B079GSYW38</t>
  </si>
  <si>
    <t>Pet Seat Cover Hammock Style And Cargo Liner For Cars, Trucks And Suv's - Waterproof, NonSlip Silicone Backing for Back Seat with the Clear View Window Side Flap and Dog Seat Belt</t>
  </si>
  <si>
    <t>ETYI-IUBLUE-S</t>
  </si>
  <si>
    <t>X001V1QERV</t>
  </si>
  <si>
    <t>B07GFLX4QW</t>
  </si>
  <si>
    <t>LINENLUX Waterproof Hooded Raincoat Jacket Coat Kids Pockets</t>
  </si>
  <si>
    <t>ETYIBLUE-M</t>
  </si>
  <si>
    <t>X001JEU7WX</t>
  </si>
  <si>
    <t>B073QNJQ4Z</t>
  </si>
  <si>
    <t>ETYIBLUE-S</t>
  </si>
  <si>
    <t>X001JEUCOV</t>
  </si>
  <si>
    <t>B073QQ41MK</t>
  </si>
  <si>
    <t>ETYIMC-L</t>
  </si>
  <si>
    <t>X001JF862Z</t>
  </si>
  <si>
    <t>B073QPDXLG</t>
  </si>
  <si>
    <t>ETYIMC-M</t>
  </si>
  <si>
    <t>X001IW3W3H</t>
  </si>
  <si>
    <t>B073QNWCP5</t>
  </si>
  <si>
    <t>ETYIMC-S</t>
  </si>
  <si>
    <t>X001JFA7MR</t>
  </si>
  <si>
    <t>B073QNJC4J</t>
  </si>
  <si>
    <t>ETYIYELLOW-S</t>
  </si>
  <si>
    <t>X001IXEY5V</t>
  </si>
  <si>
    <t>B073QNY957</t>
  </si>
  <si>
    <t>ETYY-IUBHO-L</t>
  </si>
  <si>
    <t>X001V1MC95</t>
  </si>
  <si>
    <t>B07GFGD4Q1</t>
  </si>
  <si>
    <t>ETYY-IUBHO-M</t>
  </si>
  <si>
    <t>X001V1MCK9</t>
  </si>
  <si>
    <t>B07GFJS9CS</t>
  </si>
  <si>
    <t>ETYY-IUBHO-S</t>
  </si>
  <si>
    <t>X001V1FBWP</t>
  </si>
  <si>
    <t>B07GFG7DZG</t>
  </si>
  <si>
    <t>ETYY-IUBLUE-L</t>
  </si>
  <si>
    <t>X001V1RIGR</t>
  </si>
  <si>
    <t>B07GFDGKMN</t>
  </si>
  <si>
    <t>ETYY-IUBLUE-M</t>
  </si>
  <si>
    <t>X001V1MC8B</t>
  </si>
  <si>
    <t>B07GFBY99R</t>
  </si>
  <si>
    <t>ETYY-IUCHONGQI-BOM</t>
  </si>
  <si>
    <t>X001V1MCKT</t>
  </si>
  <si>
    <t>B07GFKVX1C</t>
  </si>
  <si>
    <t>ETYY-IUCHONGQI-BOXL</t>
  </si>
  <si>
    <t>X001V1PTEZ</t>
  </si>
  <si>
    <t>B07GFG7DZD</t>
  </si>
  <si>
    <t>ETYY-IUCHONGQI-P2XL</t>
  </si>
  <si>
    <t>X001V1RIPN</t>
  </si>
  <si>
    <t>B07GFDGYCG</t>
  </si>
  <si>
    <t>ETYY-IUCHONGQI-R5L</t>
  </si>
  <si>
    <t>X001V1MC8V</t>
  </si>
  <si>
    <t>B07GFDVYXL</t>
  </si>
  <si>
    <t>ETYY-IUCHONGQI-R5S</t>
  </si>
  <si>
    <t>X001V1FBWZ</t>
  </si>
  <si>
    <t>B07GFHJ332</t>
  </si>
  <si>
    <t>ETYY-IUCHONGQI-R5XL</t>
  </si>
  <si>
    <t>X001V1MC4F</t>
  </si>
  <si>
    <t>B07GFGQ926</t>
  </si>
  <si>
    <t>ETYY-IUFS-L</t>
  </si>
  <si>
    <t>X001V1FBFR</t>
  </si>
  <si>
    <t>B07GFH9VZH</t>
  </si>
  <si>
    <t>ETYY-IUFS-M</t>
  </si>
  <si>
    <t>X001V1MC4P</t>
  </si>
  <si>
    <t>B07GFHW69H</t>
  </si>
  <si>
    <t>ETYY-IUFS-XL</t>
  </si>
  <si>
    <t>X001V1PLZH</t>
  </si>
  <si>
    <t>B07GFFKZBM</t>
  </si>
  <si>
    <t>ETYY-IUKONGLONG-BOL</t>
  </si>
  <si>
    <t>X001V1PSP5</t>
  </si>
  <si>
    <t>B07GFJS9CV</t>
  </si>
  <si>
    <t>ETYY-IUKONGLONG-BOXL</t>
  </si>
  <si>
    <t>X001V1K66B</t>
  </si>
  <si>
    <t>B07GFHV1C2</t>
  </si>
  <si>
    <t>ETYY-IUKONGLONG-XXL</t>
  </si>
  <si>
    <t>X001V1JQIF</t>
  </si>
  <si>
    <t>B07GFH72DZ</t>
  </si>
  <si>
    <t>ETYY-IUKONGLONG-YOM</t>
  </si>
  <si>
    <t>X001V1PTF9</t>
  </si>
  <si>
    <t>B07GFBCNRL</t>
  </si>
  <si>
    <t>ETYY-IUKONGLONGLV-M</t>
  </si>
  <si>
    <t>X001V1MC8L</t>
  </si>
  <si>
    <t>B07GFH6M6Z</t>
  </si>
  <si>
    <t>ETYY-IUKONGLONGLV-XL</t>
  </si>
  <si>
    <t>X001V1RA7J</t>
  </si>
  <si>
    <t>B07GFHMMBM</t>
  </si>
  <si>
    <t>ETYY-IUKONGLONGYO-XL</t>
  </si>
  <si>
    <t>X001V1FBG1</t>
  </si>
  <si>
    <t>B07GFKDFCH</t>
  </si>
  <si>
    <t>ETYY-IULV-L</t>
  </si>
  <si>
    <t>X001V1FBFH</t>
  </si>
  <si>
    <t>B07GFJTDXG</t>
  </si>
  <si>
    <t>ETYY-IULV-M</t>
  </si>
  <si>
    <t>X001V1PSPF</t>
  </si>
  <si>
    <t>B07GFJ46RT</t>
  </si>
  <si>
    <t>ETYY-IULV-XL</t>
  </si>
  <si>
    <t>X001V1QDY5</t>
  </si>
  <si>
    <t>B07GFKW65J</t>
  </si>
  <si>
    <t>ETYY-IUPP-XL</t>
  </si>
  <si>
    <t>X001V1QES5</t>
  </si>
  <si>
    <t>B07GFJKG16</t>
  </si>
  <si>
    <t>ETYY-IUYELLOW-L</t>
  </si>
  <si>
    <t>X001V1UFH1</t>
  </si>
  <si>
    <t>B07GFJW13G</t>
  </si>
  <si>
    <t>ETYY-IUYELLOW-M</t>
  </si>
  <si>
    <t>X001V1R3ML</t>
  </si>
  <si>
    <t>B07GFJF2XR</t>
  </si>
  <si>
    <t>ETYY-IUZS-L</t>
  </si>
  <si>
    <t>X001V1MCKJ</t>
  </si>
  <si>
    <t>B07GF9M6L3</t>
  </si>
  <si>
    <t>FREEQYS</t>
  </si>
  <si>
    <t>X001O6KQ4F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</si>
  <si>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</si>
  <si>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</si>
  <si>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GB-035-B0</t>
  </si>
  <si>
    <t>X001TZBTKV</t>
  </si>
  <si>
    <t>B07F6546YQ</t>
  </si>
  <si>
    <t>Best Universal Stroller Organizer Grey Diaper Dag and Cup Holder for Mother</t>
  </si>
  <si>
    <t>GB-035-BE</t>
  </si>
  <si>
    <t>X001TZSF0N</t>
  </si>
  <si>
    <t>B07F64BTCD</t>
  </si>
  <si>
    <t>GB-035-P0</t>
  </si>
  <si>
    <t>X001TZQN1B</t>
  </si>
  <si>
    <t>B07F68CBMK</t>
  </si>
  <si>
    <t>GMSNT-LUHM001-GQ</t>
  </si>
  <si>
    <t>X001U0LH6B</t>
  </si>
  <si>
    <t>B07DQL4VVH</t>
  </si>
  <si>
    <t>Clothes and toys organizer Waterproof hamper Foldable laundry basket for storage(Flag and English,13.8x13.8x17.7In)</t>
  </si>
  <si>
    <t>GMSNT-LUHM001-WX</t>
  </si>
  <si>
    <t>X001U0DJ5D</t>
  </si>
  <si>
    <t>B07DQLKY6T</t>
  </si>
  <si>
    <t>Clothes and toys organizer Waterproof hamper Foldable laundry basket for storage(Pentastar,13.8x13.8x17.7In)</t>
  </si>
  <si>
    <t>GMZDD-FLQ07-MC-28</t>
  </si>
  <si>
    <t>X001U0LHO3</t>
  </si>
  <si>
    <t>B075QF56L3</t>
  </si>
  <si>
    <t>GMZDD-FLQ08-BO-28</t>
  </si>
  <si>
    <t>X001U10OEB</t>
  </si>
  <si>
    <t>B075QFP51N</t>
  </si>
  <si>
    <t>GMZDD-FLQ08-GR-28</t>
  </si>
  <si>
    <t>X001U007E9</t>
  </si>
  <si>
    <t>B075QG33T1</t>
  </si>
  <si>
    <t>GMZDD-FLQ08-PO-28</t>
  </si>
  <si>
    <t>X001U0LHNJ</t>
  </si>
  <si>
    <t>B075R92YGF</t>
  </si>
  <si>
    <t>GMZDD-FLQ08-RO-28</t>
  </si>
  <si>
    <t>X001U10DIN</t>
  </si>
  <si>
    <t>B075QFMG4P</t>
  </si>
  <si>
    <t>GMZYL-06-BY-40</t>
  </si>
  <si>
    <t>X001UGEU9V</t>
  </si>
  <si>
    <t>B075R56C85</t>
  </si>
  <si>
    <t>Folding Laundry Storage Basket for Bedroom Bathroom Kids Linen Cotton White and Semicircle 15.7"x15.7"x19.7"</t>
  </si>
  <si>
    <t>GMZYL-FLQ06-BG-40</t>
  </si>
  <si>
    <t>X001U0LHNT</t>
  </si>
  <si>
    <t>GMZYL-FLQ59-BY-32</t>
  </si>
  <si>
    <t>X001U0OU01</t>
  </si>
  <si>
    <t>B078JNY8M1</t>
  </si>
  <si>
    <t>Collapsible Laundry Storage Basket for Bedroom Bathroom Kids Cotton Linen White and Semicircle 12.5"x12.5"x12.5"</t>
  </si>
  <si>
    <t>GMZYL-FLQ59-TW-32</t>
  </si>
  <si>
    <t>X001U007AN</t>
  </si>
  <si>
    <t>B078JJ7KDP</t>
  </si>
  <si>
    <t>Storage Cube Basket Bin for Bedroom Bathroom Kids Cotton Linen White and Stripe 12.5"x12.5"x12.5"</t>
  </si>
  <si>
    <t>GMZYL-FLQ59-TZ-32</t>
  </si>
  <si>
    <t>X001U007AD</t>
  </si>
  <si>
    <t>B078JQXPDD</t>
  </si>
  <si>
    <t>Waterproof Laundry Storage Basket for Bedroom Bathroom Kids Cotton Linen White and Rabbits 12.5"x12.5"x12.5"</t>
  </si>
  <si>
    <t>GMZYL-FLQ59-YD-32</t>
  </si>
  <si>
    <t>X001U007AX</t>
  </si>
  <si>
    <t>B078JHC2WQ</t>
  </si>
  <si>
    <t>Folding Laundry Basket Hamper for Bedroom Bathroom Kids Cotton Linen Black and Dots 12.5"x12.5"x12.5"</t>
  </si>
  <si>
    <t>GS-IUYL270</t>
  </si>
  <si>
    <t>X001OTUI6N</t>
  </si>
  <si>
    <t>B079GWBWYN</t>
  </si>
  <si>
    <t>Brown Leather Dog Leash Cowhide(Never Fading) Walking Training Leads for for Large/ Medium/ Small Dogs - Heavy Duty Dog Leash Leather</t>
  </si>
  <si>
    <t>GS-IUYL280-1</t>
  </si>
  <si>
    <t>X001OUNU4T</t>
  </si>
  <si>
    <t>B079GRZ7K7</t>
  </si>
  <si>
    <t>GS-IUYL280-3</t>
  </si>
  <si>
    <t>X001OSW48J</t>
  </si>
  <si>
    <t>B079GPWYL7</t>
  </si>
  <si>
    <t>HATQHMZ</t>
  </si>
  <si>
    <t>X001DMTNV7</t>
  </si>
  <si>
    <t>B01F5LQQX8</t>
  </si>
  <si>
    <t>HNJDZAMS45*45CM</t>
  </si>
  <si>
    <t>X001A3H1Y5</t>
  </si>
  <si>
    <t>B01JIW7SWI</t>
  </si>
  <si>
    <t>Romantic Capital City Household Linen Printed Sofa Pillow By Pillowcase(Amsterdam,17.7x17.7In)</t>
  </si>
  <si>
    <t>HNJJBDWMAXS45*45CM</t>
  </si>
  <si>
    <t>X001ABG1MF</t>
  </si>
  <si>
    <t>B01JIVDUJY</t>
  </si>
  <si>
    <t>Mr. Flax Animal Home Office Sofa Cushion By Pillowcase Mr. Cat¡­</t>
  </si>
  <si>
    <t>HNJSDSWSZ45*45CM</t>
  </si>
  <si>
    <t>X001A3J62Z</t>
  </si>
  <si>
    <t>B01JIXJDWU</t>
  </si>
  <si>
    <t>HUAPET-1LVS-L</t>
  </si>
  <si>
    <t>X001OZL4SX</t>
  </si>
  <si>
    <t>B077GVL6JJ</t>
  </si>
  <si>
    <t>luciphia Winter Dog Pet Vest Coat Waterproof Jacket With Zipper Green L</t>
  </si>
  <si>
    <t>HUAPET-1PKS-2XL</t>
  </si>
  <si>
    <t>X001OCPY5F</t>
  </si>
  <si>
    <t>B077GTR5GP</t>
  </si>
  <si>
    <t>luciphia Winter Dog Pet Vest Coat Waterproof Jacket With Zipper Pink 2XL</t>
  </si>
  <si>
    <t>HUAPET-1PKS-4XL</t>
  </si>
  <si>
    <t>X001ODEE5P</t>
  </si>
  <si>
    <t>B077GVDKL1</t>
  </si>
  <si>
    <t>luciphia Winter Dog Pet Vest Coat Waterproof Jacket With Zipper Pink 4XL</t>
  </si>
  <si>
    <t>HUAPET-1ROS-2XL</t>
  </si>
  <si>
    <t>X001NCO7TP</t>
  </si>
  <si>
    <t>B077GT5NM7</t>
  </si>
  <si>
    <t>luciphia Winter Dog Pet Vest Coat Waterproof Jacket With Zipper Red 2XL</t>
  </si>
  <si>
    <t>HUAPET-1ROS-3XL</t>
  </si>
  <si>
    <t>X001OC7IJ5</t>
  </si>
  <si>
    <t>B077GW6SRH</t>
  </si>
  <si>
    <t>luciphia Winter Dog Pet Vest Coat Waterproof Jacket With Zipper Red 3XL</t>
  </si>
  <si>
    <t>HUAPET-1ROS-4XL</t>
  </si>
  <si>
    <t>X001ODEZTF</t>
  </si>
  <si>
    <t>B077GTCV4D</t>
  </si>
  <si>
    <t>luciphia Winter Dog Pet Vest Coat Waterproof Jacket With Zipper Red 4XL</t>
  </si>
  <si>
    <t>HUAPET-1ROS-5XL</t>
  </si>
  <si>
    <t>X001ODDAV9</t>
  </si>
  <si>
    <t>B077GVRC8H</t>
  </si>
  <si>
    <t>luciphia Winter Dog Pet Vest Coat Waterproof Jacket With Zipper Red 5XL</t>
  </si>
  <si>
    <t>JCHOME-AXLEIS100*140CM</t>
  </si>
  <si>
    <t>X001O4R40B</t>
  </si>
  <si>
    <t>B076GYW2LH</t>
  </si>
  <si>
    <t>SiYang Geometric Series Moroccan Pattern Cotton Linen Tablecloth for Dining Kitchen Living Decorative Tabletop Cover with Lace(39.4 X 55.1In)</t>
  </si>
  <si>
    <t>JDDKLNBOS-L</t>
  </si>
  <si>
    <t>X001O5ZF0V</t>
  </si>
  <si>
    <t>B077MXLJYR</t>
  </si>
  <si>
    <t>SiYang Dog Winter Coat Turtleneck Fleece Coat Jacket for Small Medium Dogs(Blue,L)</t>
  </si>
  <si>
    <t>JDDKLNBOS-M</t>
  </si>
  <si>
    <t>X001O6JIWV</t>
  </si>
  <si>
    <t>B077N5HSXR</t>
  </si>
  <si>
    <t>SiYang Dog Winter Coat Turtleneck Fleece Coat Jacket for Small Medium Dogs(Blue,M)</t>
  </si>
  <si>
    <t>JDDKLNBOS-S</t>
  </si>
  <si>
    <t>X001O786VJ</t>
  </si>
  <si>
    <t>B0784285GH</t>
  </si>
  <si>
    <t>SiYang Dog Winter Coat Turtleneck Fleece Coat Jacket for Small Medium Dogs(Blue,S)</t>
  </si>
  <si>
    <t>JDDKLNBOS-XL</t>
  </si>
  <si>
    <t>X001O77JBR</t>
  </si>
  <si>
    <t>B077N6RL2N</t>
  </si>
  <si>
    <t>SiYang Dog Winter Coat Turtleneck Fleece Coat Jacket for Small Medium Dogs(Blue,XL)</t>
  </si>
  <si>
    <t>JDDKLNBOS-XXL</t>
  </si>
  <si>
    <t>X001O68NMH</t>
  </si>
  <si>
    <t>B077NNVQ58</t>
  </si>
  <si>
    <t>SiYang Dog Winter Coat Turtleneck Fleece Coat Jacket for Small Medium Dogs(Blue,XXL)</t>
  </si>
  <si>
    <t>JDDKLNFS-L</t>
  </si>
  <si>
    <t>X001O68ZWZ</t>
  </si>
  <si>
    <t>B077MWZHRH</t>
  </si>
  <si>
    <t>luciphia Fleece Dog Vest Coat Turtleneck Jacket for Small Medium Dogs Orange M</t>
  </si>
  <si>
    <t>JDDKLNFS-XL</t>
  </si>
  <si>
    <t>X001O77NQN</t>
  </si>
  <si>
    <t>B077MXLJYL</t>
  </si>
  <si>
    <t>luciphia Fleece Dog Vest Coat Turtleneck Jacket for Small Medium Dogs Orange L</t>
  </si>
  <si>
    <t>JDDKLNFS-XXL</t>
  </si>
  <si>
    <t>X001O77FWZ</t>
  </si>
  <si>
    <t>B07842CPN5</t>
  </si>
  <si>
    <t>luciphia Fleece Dog Vest Coat Turtleneck Jacket for Small Medium Dogs Orange XL</t>
  </si>
  <si>
    <t>JDDKLNKQS-L</t>
  </si>
  <si>
    <t>X001O778Y5</t>
  </si>
  <si>
    <t>B077N91KX8</t>
  </si>
  <si>
    <t>luciphia Fleece Dog Vest Coat Turtleneck Jacket for Small Medium Dogs Red M</t>
  </si>
  <si>
    <t>JDDKLNKQS-M</t>
  </si>
  <si>
    <t>X001O77JBH</t>
  </si>
  <si>
    <t>B077N641W6</t>
  </si>
  <si>
    <t>luciphia Fleece Dog Vest Coat Turtleneck Jacket for Small Medium Dogs Red S</t>
  </si>
  <si>
    <t>JDDKLNKQS-S</t>
  </si>
  <si>
    <t>X001O76P6R</t>
  </si>
  <si>
    <t>B077N28DGY</t>
  </si>
  <si>
    <t>luciphia Fleece Dog Vest Coat Turtleneck Jacket for Small Medium Dogs Red XS</t>
  </si>
  <si>
    <t>JDDKLNKQS-XL</t>
  </si>
  <si>
    <t>X001O786VT</t>
  </si>
  <si>
    <t>B077MZVCLY</t>
  </si>
  <si>
    <t>luciphia Fleece Dog Vest Coat Turtleneck Jacket for Small Medium Dogs Red L</t>
  </si>
  <si>
    <t>JDDKLNKQS-XXL</t>
  </si>
  <si>
    <t>X001O74FXH</t>
  </si>
  <si>
    <t>B077N1HRR8</t>
  </si>
  <si>
    <t>luciphia Fleece Dog Vest Coat Turtleneck Jacket for Small Medium Dogs Red XL</t>
  </si>
  <si>
    <t>LGQ-IUYL100-BL</t>
  </si>
  <si>
    <t>X001OLPORJ</t>
  </si>
  <si>
    <t>B0798K6868</t>
  </si>
  <si>
    <t>luciphia Retractable Dog Leash 16.4 ft Dog Walking Leash for Small Medium Large Dogs - Up To 88 lb Dog - Ergonomic Grip - Waste Bag Dispenser and Collapsible Water Bowl included?Blue?</t>
  </si>
  <si>
    <t>LGQ-IUYL100-GN</t>
  </si>
  <si>
    <t>X001OLPOR9</t>
  </si>
  <si>
    <t>B0798LDZR1</t>
  </si>
  <si>
    <t>luciphia Retractable Dog Leash 16.4 ft Dog Walking Leash for Small Medium Large Dogs - Up To 88 lb Dog - Ergonomic Grip - Waste Bag Dispenser and Collapsible Water Bowl included?Green?</t>
  </si>
  <si>
    <t>LGQ-IUYL100-WT</t>
  </si>
  <si>
    <t>X001ONDC03</t>
  </si>
  <si>
    <t>B0798LP538</t>
  </si>
  <si>
    <t>luciphia Retractable Dog Leash 16.4 ft Dog Walking Leash for Small Medium Large Dogs - Up To 88 lb Dog - Ergonomic Grip - Waste Bag Dispenser and Collapsible Water Bowl included?White?</t>
  </si>
  <si>
    <t>LGQ-IUYL100-YL</t>
  </si>
  <si>
    <t>X001ONDDAR</t>
  </si>
  <si>
    <t>B0798LYWQ6</t>
  </si>
  <si>
    <t>luciphia Retractable Dog Leash 16.4 ft Dog Walking Leash for Small Medium Large Dogs - Up To 88 lb Dog - Ergonomic Grip - Waste Bag Dispenser and Collapsible Water Bowl included?Orange?</t>
  </si>
  <si>
    <t>LMZJYUJIAK-17028-K0-L</t>
  </si>
  <si>
    <t>X001FCHXCV</t>
  </si>
  <si>
    <t>B071CMK396</t>
  </si>
  <si>
    <t>SiYang YoGa Women's Yoga Pants Mesh Stretchy Workout Sportys Sexy Leggings Hollow Out Design(Black,Medium)</t>
  </si>
  <si>
    <t>LQXFLS135*135CM</t>
  </si>
  <si>
    <t>X0017K7C59</t>
  </si>
  <si>
    <t>B01FS78QPU</t>
  </si>
  <si>
    <t>LINENLUX Embroidery Hollow Square Tablecloths Cover Towel Refrigerator Dust Cover (Ribbon Embroidery Towl)</t>
  </si>
  <si>
    <t>LQXFMBS85*85CM</t>
  </si>
  <si>
    <t>X0017K4BOJ</t>
  </si>
  <si>
    <t>B01FS78D08</t>
  </si>
  <si>
    <t>LINENLUX Hand-Crocheted Cotton Crochet Round Tablecloths Cover Towel Multi-Purpose 33.433.4In</t>
  </si>
  <si>
    <t>LQXFTY135*175CM</t>
  </si>
  <si>
    <t>X0019CZ257</t>
  </si>
  <si>
    <t>B01FS78I3A</t>
  </si>
  <si>
    <t>LUXGW-PBOWL-2</t>
  </si>
  <si>
    <t>X001O4IN5B</t>
  </si>
  <si>
    <t>B078H79DCY</t>
  </si>
  <si>
    <t>MID46-069-3XL</t>
  </si>
  <si>
    <t>X001O1PB3V</t>
  </si>
  <si>
    <t>B0776Q3PVM</t>
  </si>
  <si>
    <t>SiYang YoGa Space Cat 3D Printing Fashion Fitness Pants Yoga Sports Trousers High Stretch Fast Dry Pants For Women(Pants,3XL)</t>
  </si>
  <si>
    <t>MID46-069-XL</t>
  </si>
  <si>
    <t>X001O1VGVH</t>
  </si>
  <si>
    <t>B0776SM4GN</t>
  </si>
  <si>
    <t>Space Cat 3D Printing Fashion Fitness Pants Yoga Sports Trousers High Stretch Fast Dry Pants For Women(Pants,XL)</t>
  </si>
  <si>
    <t>MID46-069HSM</t>
  </si>
  <si>
    <t>X001C65ZH5</t>
  </si>
  <si>
    <t>B01MT3TAJ5</t>
  </si>
  <si>
    <t>SiYang YoGa Space Cat 3D Printing Fashion Fitness Pants Yoga Sports Trousers High Stretch Fast Dry Pants For Women(Pants,M)</t>
  </si>
  <si>
    <t>MID46-069HSS</t>
  </si>
  <si>
    <t>X001C590RH</t>
  </si>
  <si>
    <t>B01N5K685I</t>
  </si>
  <si>
    <t>SiYang YoGa Space Cat 3D Printing Fashion Fitness Pants Yoga Sports Trousers High Stretch Fast Dry Pants For Women(Pants,S)</t>
  </si>
  <si>
    <t>MIDUQF46W0M</t>
  </si>
  <si>
    <t>X001E47VFJ</t>
  </si>
  <si>
    <t>B01MU5D7SA</t>
  </si>
  <si>
    <t>Butterfly 3D Printing Yoga Pants Women Running Fitness Sportswear Dance Pants(Pants,M)</t>
  </si>
  <si>
    <t>MIDUQF46W0SX</t>
  </si>
  <si>
    <t>X001E0X8PP</t>
  </si>
  <si>
    <t>B01NH0QNOS</t>
  </si>
  <si>
    <t>SiYang YoGa Butterfly 3D Printing Yoga Pants Women Running Fitness Sportswear Dance Pants(Pants,S)</t>
  </si>
  <si>
    <t>MIDUYD036G0SX</t>
  </si>
  <si>
    <t>X001F0QQCL</t>
  </si>
  <si>
    <t>B01NCQUN57</t>
  </si>
  <si>
    <t>SiYang YoGa Yoga Mermaid Pants Digital Printing Tight Stretch Fitness Hip Movement Dance(Pants,S)</t>
  </si>
  <si>
    <t>Octopus Printing Yoga Pants Women High Elasticity Thin Fitness Clothes(Pants,S)</t>
  </si>
  <si>
    <t>MJ-IUYL230-BL-L</t>
  </si>
  <si>
    <t>X001OSPF0N</t>
  </si>
  <si>
    <t>B079FT1CC6</t>
  </si>
  <si>
    <t>Quick Dry Ultra Absorbent Microfiber Chenille Shammy Dog Towel with Hand Pockets Blue 31 x 13 inch</t>
  </si>
  <si>
    <t>MJ-IUYL230-BL-S</t>
  </si>
  <si>
    <t>X001OTEQ5H</t>
  </si>
  <si>
    <t>B079FXP1KJ</t>
  </si>
  <si>
    <t>SiYang Winner Quick Dry Ultra Absorbent Microfiber Chenille Shammy Dog Towel Hand Pockets Blue 19 x 13 inch</t>
  </si>
  <si>
    <t>MJ-IUYL230-CF-L</t>
  </si>
  <si>
    <t>X001OTSNZL</t>
  </si>
  <si>
    <t>B079FTFFNT</t>
  </si>
  <si>
    <t>Quick Dry Ultra Absorbent Microfiber Chenille Shammy Dog Towel with Hand Pockets Coffee 31 x 13 inch</t>
  </si>
  <si>
    <t>MJ-IUYL230-CF-S</t>
  </si>
  <si>
    <t>X001OTS3X3</t>
  </si>
  <si>
    <t>B079FVVB6T</t>
  </si>
  <si>
    <t>SiYang Winner Quick Dry Ultra Absorbent Microfiber Chenille Shammy Dog Towel Hand Pockets Coffee 19 x 13 inch</t>
  </si>
  <si>
    <t>MJ-IUYL230-PK-S</t>
  </si>
  <si>
    <t>X001OSPNCX</t>
  </si>
  <si>
    <t>B079FX7DQ8</t>
  </si>
  <si>
    <t>SiYang Winner Quick Dry Ultra Absorbent Microfiber Chenille Shammy Dog Towel with Hand Pockets Pink 19 x 13 inch</t>
  </si>
  <si>
    <t>MTX-IULHY-GBWS90-GR-25</t>
  </si>
  <si>
    <t>X001UXI5GN</t>
  </si>
  <si>
    <t>B07GBWGQWJ</t>
  </si>
  <si>
    <t>MTX-IULHY-GBWS90-KK-25</t>
  </si>
  <si>
    <t>X001UXETOZ</t>
  </si>
  <si>
    <t>B07GBYFHBM</t>
  </si>
  <si>
    <t>LINENLUX Rabbit Fur Home Slippers with Bow-Knot Winter House Shoes for Women</t>
  </si>
  <si>
    <t>MTX-IULHY-GBWS90-PK-26</t>
  </si>
  <si>
    <t>X001UXI0FT</t>
  </si>
  <si>
    <t>B07GBWKMHL</t>
  </si>
  <si>
    <t>LINENLUX Rabbit Fur House Slippers with Full Ball for Women</t>
  </si>
  <si>
    <t>MTX-IULHY-WA8019-PK-37</t>
  </si>
  <si>
    <t>X001VAWU6B</t>
  </si>
  <si>
    <t>B07GPMCMZB</t>
  </si>
  <si>
    <t>LINENLUX Cotton-Blend Memory Foam Slippers Slip-on Winter Shoes for Women Indoor &amp; Outdoor</t>
  </si>
  <si>
    <t>MTX-IULHY-WA8019-PK-39</t>
  </si>
  <si>
    <t>X001VA43U7</t>
  </si>
  <si>
    <t>B07GPN8X1W</t>
  </si>
  <si>
    <t>MTX-IULHY-WA8019-RD-37</t>
  </si>
  <si>
    <t>X001VAIYEN</t>
  </si>
  <si>
    <t>B07GPZ7FRD</t>
  </si>
  <si>
    <t>MTX-IULHY-WA8019-RD-39</t>
  </si>
  <si>
    <t>X001VAYXS9</t>
  </si>
  <si>
    <t>B07GPMZZ7Y</t>
  </si>
  <si>
    <t>Cotton-Blend Memory Foam Slippers Slip-on Winter Shoes for Women Indoor &amp; Outdoor</t>
  </si>
  <si>
    <t>MTX-IULHY-WA8019-YL-37</t>
  </si>
  <si>
    <t>X001VA43RP</t>
  </si>
  <si>
    <t>B07GPRHBT6</t>
  </si>
  <si>
    <t>MTX-IULHY-WA8019-YL-39</t>
  </si>
  <si>
    <t>X001VAIYED</t>
  </si>
  <si>
    <t>B07GPGJ857</t>
  </si>
  <si>
    <t>MZYSLHY140*140CM</t>
  </si>
  <si>
    <t>X00104Z3ZX</t>
  </si>
  <si>
    <t>B01BHQWA0S</t>
  </si>
  <si>
    <t>MZYSTYMM140*140CM</t>
  </si>
  <si>
    <t>X00134AKML</t>
  </si>
  <si>
    <t>B01BHQVMT8</t>
  </si>
  <si>
    <t>LINENLUX Tablecloth Rectangular Floral Tablecloth Rectangular Thanksgiving Blue Valentine Day Gifts (54.654.6In)</t>
  </si>
  <si>
    <t>MZYSTYMM140*200CM</t>
  </si>
  <si>
    <t>X00134O26B</t>
  </si>
  <si>
    <t>B01BHQVOOQ</t>
  </si>
  <si>
    <t>LINENLUX Tablecloth Rectangular Floral Tablecloth Rectangular Thanksgiving Blue Valentine Day Gifts (54.678In)</t>
  </si>
  <si>
    <t>MZYSTYMM140*220CM</t>
  </si>
  <si>
    <t>X0012YXDQH</t>
  </si>
  <si>
    <t>B01BHQVPLS</t>
  </si>
  <si>
    <t>LINENLUX Tablecloth Rectangular Floral Tablecloth Rectangular Thanksgiving Blue (54.685.8In)</t>
  </si>
  <si>
    <t>MZYSZHUOBUQXPURE140*220CM</t>
  </si>
  <si>
    <t>X001J8Q67J</t>
  </si>
  <si>
    <t>B06XXKFJL6</t>
  </si>
  <si>
    <t>Pure Tablecloths with Fringed Edge,Cotton and Polyester,For Kitchen Dinning Tabletop Decoration(Fringed,55x86.5In)</t>
  </si>
  <si>
    <t>NEWCBLUE-L</t>
  </si>
  <si>
    <t>X001NAJO8V</t>
  </si>
  <si>
    <t>B077XS3R8F</t>
  </si>
  <si>
    <t>LINENLUX Children Raincoat, Kids Rain Poncho, Rain Jacket Rainwear With Hoods and Sleeves For Boys Girls (L, Blue)</t>
  </si>
  <si>
    <t>NEWCBLUE-M</t>
  </si>
  <si>
    <t>X001NAIZ77</t>
  </si>
  <si>
    <t>B077XTH6WP</t>
  </si>
  <si>
    <t>LINENLUX Children Raincoat, Kids Rain Poncho, Rain Jacket Rainwear With Hoods and Sleeves For Boys Girls (M, Blue)</t>
  </si>
  <si>
    <t>NEWCBLUE-S</t>
  </si>
  <si>
    <t>X001O4C12R</t>
  </si>
  <si>
    <t>B077XWPN84</t>
  </si>
  <si>
    <t>LINENLUX Children Raincoat, Kids Rain Poncho, Rain Jacket Rainwear With Hoods and Sleeves For Boys Girls (S, Blue)</t>
  </si>
  <si>
    <t>NEWZXXCFS-L</t>
  </si>
  <si>
    <t>X001O1WIMN</t>
  </si>
  <si>
    <t>B076D95DLR</t>
  </si>
  <si>
    <t>NEWZXXCFS-M</t>
  </si>
  <si>
    <t>X001O1WMWJ</t>
  </si>
  <si>
    <t>B076D9K9TV</t>
  </si>
  <si>
    <t>NEWZXXCFS-XL</t>
  </si>
  <si>
    <t>X001NA1TON</t>
  </si>
  <si>
    <t>B076DCRVPT</t>
  </si>
  <si>
    <t>NEWZXXCHO-L</t>
  </si>
  <si>
    <t>X001O1E62X</t>
  </si>
  <si>
    <t>B076D95TGK</t>
  </si>
  <si>
    <t>NEWZXXCHO-M</t>
  </si>
  <si>
    <t>X001NAJAD5</t>
  </si>
  <si>
    <t>B076DFJD7V</t>
  </si>
  <si>
    <t>NEWZXXCLV-L</t>
  </si>
  <si>
    <t>X001NA04RB</t>
  </si>
  <si>
    <t>B076DDQDQD</t>
  </si>
  <si>
    <t>NEWZXXCLV-S</t>
  </si>
  <si>
    <t>X001NA1U0B</t>
  </si>
  <si>
    <t>B076DBFV66</t>
  </si>
  <si>
    <t>NEWZXXCLV-XL</t>
  </si>
  <si>
    <t>X001O1U00Z</t>
  </si>
  <si>
    <t>B076DK9PCS</t>
  </si>
  <si>
    <t>NEWZXXCZS-L</t>
  </si>
  <si>
    <t>X001NAIHO3</t>
  </si>
  <si>
    <t>B076D8FH93</t>
  </si>
  <si>
    <t>NEWZXXCZS-XL</t>
  </si>
  <si>
    <t>X001O1WTLN</t>
  </si>
  <si>
    <t>B076D9QNK3</t>
  </si>
  <si>
    <t>PUJIANGBAIMAMRG-COFFEE</t>
  </si>
  <si>
    <t>X001LYU1YF</t>
  </si>
  <si>
    <t>B01N5K55XV</t>
  </si>
  <si>
    <t>SiYang YoGa Women's Yoga Pants Mesh Stretchy Workout Sportys Sexy Leggings Hollow Out Design (XL, Coffee)</t>
  </si>
  <si>
    <t>RAINBOWA-L</t>
  </si>
  <si>
    <t>X001MDS0YX</t>
  </si>
  <si>
    <t>B0768XVT5L</t>
  </si>
  <si>
    <t>RAINBOWA-M</t>
  </si>
  <si>
    <t>X001MDS133</t>
  </si>
  <si>
    <t>B0768XQJJB</t>
  </si>
  <si>
    <t>RAINBOWDP-L</t>
  </si>
  <si>
    <t>X001NOKJBN</t>
  </si>
  <si>
    <t>B0768Y5123</t>
  </si>
  <si>
    <t>RAINBOWDP-M</t>
  </si>
  <si>
    <t>X001NP4NLJ</t>
  </si>
  <si>
    <t>B0768XTJG3</t>
  </si>
  <si>
    <t>RAINBOWDP-S</t>
  </si>
  <si>
    <t>X001NP0DTP</t>
  </si>
  <si>
    <t>B0768XF3VF</t>
  </si>
  <si>
    <t>RAINBOWDP-XL</t>
  </si>
  <si>
    <t>X001NOKJ4Z</t>
  </si>
  <si>
    <t>B0768XKSYQ</t>
  </si>
  <si>
    <t>RSDXTXKXX12*10CM</t>
  </si>
  <si>
    <t>X001A57Q43</t>
  </si>
  <si>
    <t>B01M8JG0RY</t>
  </si>
  <si>
    <t>Cartoon Mini Hot Water Bottle Small Warm Hand Treasure Baby Warm Hand Treasure Bear 4.7x3.9In</t>
  </si>
  <si>
    <t>SG-050-K0</t>
  </si>
  <si>
    <t>X001TZPLYL</t>
  </si>
  <si>
    <t>B07F63TBYG</t>
  </si>
  <si>
    <t>Garden Hose 50 Feet Expandable Lightweight Hose Solid Brass Connector 8 Patterns High Pressure Spray Nozzle, Woven Strength Fabric Cover Hose Home, Garden, Shower Pets Wash Car</t>
  </si>
  <si>
    <t>SG-100-K0</t>
  </si>
  <si>
    <t>X001TZDMNN</t>
  </si>
  <si>
    <t>B07F634TZ1</t>
  </si>
  <si>
    <t>Garden Hose 100feet Heavy Duty Expandable Water Hose 8 Pattern Sprayer Nozzle, 3/4 Solid Brass Connector Extra Hose Holder Car Cleaning, Watering Lawn Showering Dogs</t>
  </si>
  <si>
    <t>SGZ-LULHY-002</t>
  </si>
  <si>
    <t>X001VA3VZP</t>
  </si>
  <si>
    <t>B07GPX9QBH</t>
  </si>
  <si>
    <t>LINENLUX Dog Cork-Screw Tie Out Stake (Chrome?1)</t>
  </si>
  <si>
    <t>SJJJZHUOBUKTWB0140x140cm</t>
  </si>
  <si>
    <t>X001IFZAN9</t>
  </si>
  <si>
    <t>B06Y5TB89Q</t>
  </si>
  <si>
    <t>LINENLUX Cotton Table Cover,Blue and White Strips Tablecloths, Rectangle &amp; Oblong Blue Table Top Decoration(Blue,55x55In)</t>
  </si>
  <si>
    <t>SND-IUYL00B-W0</t>
  </si>
  <si>
    <t>X001Q4GQXF</t>
  </si>
  <si>
    <t>B07BGT6DJG</t>
  </si>
  <si>
    <t>SNTG-CLBOS-L</t>
  </si>
  <si>
    <t>X001O1NNDL</t>
  </si>
  <si>
    <t>B07843N7TB</t>
  </si>
  <si>
    <t>SNTG-CLBOS-M</t>
  </si>
  <si>
    <t>X001O1UJHT</t>
  </si>
  <si>
    <t>B077P3Q2LJ</t>
  </si>
  <si>
    <t>SNTG-CLBOS-S</t>
  </si>
  <si>
    <t>X001O1VRRF</t>
  </si>
  <si>
    <t>B077P6GQ66</t>
  </si>
  <si>
    <t>SNTG-CLBOS-XL</t>
  </si>
  <si>
    <t>X001O1VELJ</t>
  </si>
  <si>
    <t>B077P1HZH5</t>
  </si>
  <si>
    <t>SNTG-CLROS-L</t>
  </si>
  <si>
    <t>X001N9OZSL</t>
  </si>
  <si>
    <t>B077P25L34</t>
  </si>
  <si>
    <t>SNTG-CLROS-M</t>
  </si>
  <si>
    <t>X001NABCW7</t>
  </si>
  <si>
    <t>B07844WCH2</t>
  </si>
  <si>
    <t>SNTG-CLROS-S</t>
  </si>
  <si>
    <t>X001N9JAK9</t>
  </si>
  <si>
    <t>B077P76342</t>
  </si>
  <si>
    <t>SNTG-CLROS-XL</t>
  </si>
  <si>
    <t>X001NA80E5</t>
  </si>
  <si>
    <t>B077P6GSLS</t>
  </si>
  <si>
    <t>SNTG-CLROS-XS</t>
  </si>
  <si>
    <t>X001N9OZXB</t>
  </si>
  <si>
    <t>B077P6DN7F</t>
  </si>
  <si>
    <t>STD-IULCY-001-BLNGR</t>
  </si>
  <si>
    <t>X001T7B7AL</t>
  </si>
  <si>
    <t>B07DR429JX</t>
  </si>
  <si>
    <t>LINENLUX Sand Free Blanket Beach Mat for Summer Beach, Picnic, Hiking, Outdoor Supplies</t>
  </si>
  <si>
    <t>STD-IULCY-001-LBNBL</t>
  </si>
  <si>
    <t>X001T6S3AT</t>
  </si>
  <si>
    <t>B07DR84RRP</t>
  </si>
  <si>
    <t>STD-IULCY-001-LBNGR</t>
  </si>
  <si>
    <t>X001T832Y9</t>
  </si>
  <si>
    <t>B07DRCXS13</t>
  </si>
  <si>
    <t>STD-IULCY-001-LGNGN</t>
  </si>
  <si>
    <t>X001T83AUP</t>
  </si>
  <si>
    <t>B07DR443X5</t>
  </si>
  <si>
    <t>SWEATPETJS10</t>
  </si>
  <si>
    <t>X001NMTT7P</t>
  </si>
  <si>
    <t>B077N24PG2</t>
  </si>
  <si>
    <t>SWEATPETJS12</t>
  </si>
  <si>
    <t>X001NNBBHZ</t>
  </si>
  <si>
    <t>B077N3LV33</t>
  </si>
  <si>
    <t>SWEATPETJS14</t>
  </si>
  <si>
    <t>X001NMG4NR</t>
  </si>
  <si>
    <t>B077MXMG77</t>
  </si>
  <si>
    <t>SWEATPETJS16</t>
  </si>
  <si>
    <t>X001NNATEV</t>
  </si>
  <si>
    <t>B07841ZNJ5</t>
  </si>
  <si>
    <t>SWEATPETJS20</t>
  </si>
  <si>
    <t>X001NMXF9D</t>
  </si>
  <si>
    <t>B077NBCRDS</t>
  </si>
  <si>
    <t>SWEATPETJS24</t>
  </si>
  <si>
    <t>X001NNDG23</t>
  </si>
  <si>
    <t>B077N7P2RN</t>
  </si>
  <si>
    <t>SWEATPETJS8</t>
  </si>
  <si>
    <t>X001NMXFF7</t>
  </si>
  <si>
    <t>B077N1QGPK</t>
  </si>
  <si>
    <t>SWEATPETLAN10</t>
  </si>
  <si>
    <t>X001NMTT2P</t>
  </si>
  <si>
    <t>B077MWVFXR</t>
  </si>
  <si>
    <t>SWEATPETLAN12</t>
  </si>
  <si>
    <t>X001NMG509</t>
  </si>
  <si>
    <t>B077N4VS3G</t>
  </si>
  <si>
    <t>SWEATPETLAN14</t>
  </si>
  <si>
    <t>X001NMXF3J</t>
  </si>
  <si>
    <t>B077N3LV38</t>
  </si>
  <si>
    <t>SWEATPETLAN16</t>
  </si>
  <si>
    <t>X001NMXFON</t>
  </si>
  <si>
    <t>B077N845BF</t>
  </si>
  <si>
    <t>SWEATPETLAN24</t>
  </si>
  <si>
    <t>X001NNB6LL</t>
  </si>
  <si>
    <t>B077N685Q4</t>
  </si>
  <si>
    <t>SWEATPETRO10</t>
  </si>
  <si>
    <t>X001NNBE95</t>
  </si>
  <si>
    <t>B077MTV31P</t>
  </si>
  <si>
    <t>SWEATPETRO12</t>
  </si>
  <si>
    <t>X001NMG1EJ</t>
  </si>
  <si>
    <t>B077N58RS3</t>
  </si>
  <si>
    <t>SWEATPETRO14</t>
  </si>
  <si>
    <t>X001NMG20H</t>
  </si>
  <si>
    <t>B077N3KY6X</t>
  </si>
  <si>
    <t>SWEATPETRO16</t>
  </si>
  <si>
    <t>X001NMRW15</t>
  </si>
  <si>
    <t>B077MYVL7W</t>
  </si>
  <si>
    <t>SWEATPETRO20</t>
  </si>
  <si>
    <t>X001NNADG5</t>
  </si>
  <si>
    <t>B077N9TKMC</t>
  </si>
  <si>
    <t>SWEATPETRO28</t>
  </si>
  <si>
    <t>X001NJV0W5</t>
  </si>
  <si>
    <t>B077N47MTG</t>
  </si>
  <si>
    <t>SWEATPETRO8</t>
  </si>
  <si>
    <t>X001NNC5PR</t>
  </si>
  <si>
    <t>B077ND3YXB</t>
  </si>
  <si>
    <t>SXHLYITAO4-LH-001SZS40x60CM</t>
  </si>
  <si>
    <t>X001JLEZTR</t>
  </si>
  <si>
    <t>B072DWNB73</t>
  </si>
  <si>
    <t>LINENLUX Set of 2 Stretchy Removable Washable Seat Covers Hotel Dining Room Ceremony Kitchen Bar Dining Chair Cover Restaurant Wedding Part Decor(Deep Purple)</t>
  </si>
  <si>
    <t>SZ-IUYL002</t>
  </si>
  <si>
    <t>X001OUNBX9</t>
  </si>
  <si>
    <t>B079GQ8FRF</t>
  </si>
  <si>
    <t>SiYang Winner Pet Grooming Glove 2-in-1 Pet Hair Glove - Grooming Tool  Furniture Pet Hair Remover Mitt - For Cat &amp; Dog - Long &amp; Short Fur - Slicker Brush and Pet Steel Comb Included</t>
  </si>
  <si>
    <t>TBYSTARBLUE</t>
  </si>
  <si>
    <t>X001L3FHU9</t>
  </si>
  <si>
    <t>B075ZTGQCC</t>
  </si>
  <si>
    <t>TTDNKJ-01SLM</t>
  </si>
  <si>
    <t>X000ZDSRF3</t>
  </si>
  <si>
    <t>B01CFH9OP2</t>
  </si>
  <si>
    <t>TXYY-1B0JM</t>
  </si>
  <si>
    <t>X0017VE9IV</t>
  </si>
  <si>
    <t>B01B5TXQRI</t>
  </si>
  <si>
    <t>TZ-IUYL240-BONE-S</t>
  </si>
  <si>
    <t>X001OTNQD5</t>
  </si>
  <si>
    <t>B079G3D72G</t>
  </si>
  <si>
    <t>luciphia Pet Dog Blanket Fleece Fabric Puppy Cat Soft Blankets Bed Mat Cover with Bone Print for Puppies Kitties and Other Small Animals?16x23?</t>
  </si>
  <si>
    <t>TZ-IUYL240-ELPH-M</t>
  </si>
  <si>
    <t>X001Q32RRZ</t>
  </si>
  <si>
    <t>B07BGTDP1C</t>
  </si>
  <si>
    <t>SiYang Winner Pet Dog Blanket Fleece Fabric Puppy Cat Soft Blankets Bed Mat Cover Elephant Print Puppies Kitties Other Small Animals?20x30?</t>
  </si>
  <si>
    <t>TZ-IUYL240-ELPH-S</t>
  </si>
  <si>
    <t>X001Q3K7JP</t>
  </si>
  <si>
    <t>B07BGYNNNN</t>
  </si>
  <si>
    <t>luciphia Pet Dog Blanket Fleece Fabric Puppy Cat Soft Blankets Bed Mat Cover Elephant Print Puppies Kitties Other Small Animals?16x23?</t>
  </si>
  <si>
    <t>TZ-IUYL240-PAW-M</t>
  </si>
  <si>
    <t>X001ORQNE1</t>
  </si>
  <si>
    <t>B079G5F913</t>
  </si>
  <si>
    <t>SiYang Winner Pet Dog Blanket Fleece Fabric Puppy Cat Soft Blankets Bed Mat Cover Paw Print Puppies Kitties Other Small Animals?20x30?</t>
  </si>
  <si>
    <t>TZ-IUYL240-PAW-S</t>
  </si>
  <si>
    <t>X001ORTB9P</t>
  </si>
  <si>
    <t>B079G55C2M</t>
  </si>
  <si>
    <t>SiYang Winner Pet Dog Blanket Fleece Fabric Puppy Cat Soft Blankets Bed Mat Cover Paw Print Puppies Kitties Other Small Animals?16x23?</t>
  </si>
  <si>
    <t>TZ-IUYL240-STAR-S</t>
  </si>
  <si>
    <t>X001ORTB09</t>
  </si>
  <si>
    <t>B079G3V13V</t>
  </si>
  <si>
    <t>Pet Dog Blanket Fleece Fabric Puppy Cat Soft Blankets Bed Mat Cover with Star Print for Puppies Kitties and Other Small Animals?16x23"?</t>
  </si>
  <si>
    <t>TZ-IUYL240-STRAWBERRY-S</t>
  </si>
  <si>
    <t>X001R6U3WH</t>
  </si>
  <si>
    <t>B07C8B4SK9</t>
  </si>
  <si>
    <t>luciphia Pet Dog Blanket Fleece Fabric Puppy Cat Soft Blankets Bed Mat Cover Strawberry Print Puppies Kitties Other Small Animals?16x23?</t>
  </si>
  <si>
    <t>WB-002-B0</t>
  </si>
  <si>
    <t>X001UGN2X1</t>
  </si>
  <si>
    <t>B07DVLSHLK</t>
  </si>
  <si>
    <t>Lastia Lunch Bag Insulated and Water Resistant Lunch Box for Kids and Adults Blue</t>
  </si>
  <si>
    <t>WB-002-E0</t>
  </si>
  <si>
    <t>X001UG1C7T</t>
  </si>
  <si>
    <t>B07DVHDT1N</t>
  </si>
  <si>
    <t>Lastia Lunch Bag Insulated and Water Resistant Lunch Box for Kids and Adults Grey</t>
  </si>
  <si>
    <t>WB-002-G0</t>
  </si>
  <si>
    <t>X001UGBZ21</t>
  </si>
  <si>
    <t>B07DVGSHDP</t>
  </si>
  <si>
    <t>Lastia Lunch Bag Insulated and Water Resistant Lunch Box for Kids and Adults Green</t>
  </si>
  <si>
    <t>WB-002-R0</t>
  </si>
  <si>
    <t>X001UGIORF</t>
  </si>
  <si>
    <t>B07DVK765T</t>
  </si>
  <si>
    <t>Lastia Lunch Bag Insulated and Water Resistant Lunch Box for Kids and Adults Red</t>
  </si>
  <si>
    <t>WB-LUHM002-B0</t>
  </si>
  <si>
    <t>X001TZRB03</t>
  </si>
  <si>
    <t>WB-LUHM002-E0</t>
  </si>
  <si>
    <t>X001TZL2ZX</t>
  </si>
  <si>
    <t>WB-LUHM002-G0</t>
  </si>
  <si>
    <t>X001TZDWXX</t>
  </si>
  <si>
    <t>WB-LUHM002-R0</t>
  </si>
  <si>
    <t>X001TZRAZT</t>
  </si>
  <si>
    <t>WEMIUHIS</t>
  </si>
  <si>
    <t>X001MU0L93</t>
  </si>
  <si>
    <t>B075QZ6H3D</t>
  </si>
  <si>
    <t>WEMIUSLANS</t>
  </si>
  <si>
    <t>X001N6UG1T</t>
  </si>
  <si>
    <t>B075QYWYL4</t>
  </si>
  <si>
    <t>XQ-IUYL260-BK-M</t>
  </si>
  <si>
    <t>X001ORMTUX</t>
  </si>
  <si>
    <t>B079FX7R86</t>
  </si>
  <si>
    <t>SiYang Cute PU Leather Dog Collar with Adorable Flowers</t>
  </si>
  <si>
    <t>XQ-IUYL260-BK-S</t>
  </si>
  <si>
    <t>X001OTBXWB</t>
  </si>
  <si>
    <t>B079FVRCX3</t>
  </si>
  <si>
    <t>XQ-IUYL260-BL1-M</t>
  </si>
  <si>
    <t>X001ORMTVH</t>
  </si>
  <si>
    <t>B079G7FNT3</t>
  </si>
  <si>
    <t>XQ-IUYL260-BL1-S</t>
  </si>
  <si>
    <t>X001OTR5RN</t>
  </si>
  <si>
    <t>B079FTJ6C1</t>
  </si>
  <si>
    <t>XQ-IUYL260-BL2-M</t>
  </si>
  <si>
    <t>X001OTBXWL</t>
  </si>
  <si>
    <t>B079G22H1J</t>
  </si>
  <si>
    <t>XQ-IUYL260-BL2-S</t>
  </si>
  <si>
    <t>X001ORMTV7</t>
  </si>
  <si>
    <t>B079G223GW</t>
  </si>
  <si>
    <t>XQ-IUYL260-GN-M</t>
  </si>
  <si>
    <t>X001OROFKF</t>
  </si>
  <si>
    <t>B079FXT799</t>
  </si>
  <si>
    <t>XQ-IUYL260-GN-S</t>
  </si>
  <si>
    <t>X001OTBXWV</t>
  </si>
  <si>
    <t>B079FTV86C</t>
  </si>
  <si>
    <t>XQ-IUYL260-PK-M</t>
  </si>
  <si>
    <t>X001OTBLWD</t>
  </si>
  <si>
    <t>B079FZKDFL</t>
  </si>
  <si>
    <t>XQ-IUYL260-PK-S</t>
  </si>
  <si>
    <t>X001ORMTXF</t>
  </si>
  <si>
    <t>B079FSNZN7</t>
  </si>
  <si>
    <t>XQ-IUYL260-PP-M</t>
  </si>
  <si>
    <t>X001OTBRYF</t>
  </si>
  <si>
    <t>B079FQX9Q1</t>
  </si>
  <si>
    <t>XQ-IUYL260-PP-S</t>
  </si>
  <si>
    <t>X001OTBY11</t>
  </si>
  <si>
    <t>B079G7M8MC</t>
  </si>
  <si>
    <t>XQ-IUYL260-RD-M</t>
  </si>
  <si>
    <t>X001ORMTVR</t>
  </si>
  <si>
    <t>B079G965RV</t>
  </si>
  <si>
    <t>XQ-IUYL260-RD-S</t>
  </si>
  <si>
    <t>X001OTBRY5</t>
  </si>
  <si>
    <t>B079G52PTQ</t>
  </si>
  <si>
    <t>XQ-IUYL260-YL-M</t>
  </si>
  <si>
    <t>X001OTR5RD</t>
  </si>
  <si>
    <t>B079FVMRBZ</t>
  </si>
  <si>
    <t>XQ-IUYL260-YL-S</t>
  </si>
  <si>
    <t>X001OTR5RX</t>
  </si>
  <si>
    <t>B079FQ4PDH</t>
  </si>
  <si>
    <t>YDY-YUNDONGK-8756BLS-L</t>
  </si>
  <si>
    <t>X001L8IQRF</t>
  </si>
  <si>
    <t>B072LPB2CP</t>
  </si>
  <si>
    <t>Men's Gym Sport Pants Bodybuilding Workout Running Jogger(Blue,M)</t>
  </si>
  <si>
    <t>YDY-YUNDONGK-8756BLS-M</t>
  </si>
  <si>
    <t>X001L8UBD7</t>
  </si>
  <si>
    <t>B071ZBCWCF</t>
  </si>
  <si>
    <t>Men's Gym Sport Pants Bodybuilding Workout Running Jogger(Blue,S)</t>
  </si>
  <si>
    <t>YDY-YUNDONGK-8756BLS-XXL</t>
  </si>
  <si>
    <t>X001L8TPD9</t>
  </si>
  <si>
    <t>B072BZ3NNG</t>
  </si>
  <si>
    <t>Men's Gym Sport Pants Bodybuilding Workout Running Jogger(Blue,XL)</t>
  </si>
  <si>
    <t>YDY-YUNDONGK-8756K0-L</t>
  </si>
  <si>
    <t>X001L8TMJV</t>
  </si>
  <si>
    <t>B07236P92V</t>
  </si>
  <si>
    <t>Men's Gym Sport Pants Bodybuilding Workout Running Jogger(Black,M)</t>
  </si>
  <si>
    <t>YDY-YUNDONGK-8756K0-M</t>
  </si>
  <si>
    <t>X001L8T0VB</t>
  </si>
  <si>
    <t>B0714FT7C8</t>
  </si>
  <si>
    <t>Men's Gym Sport Pants Bodybuilding Workout Running Jogger(Black,S)</t>
  </si>
  <si>
    <t>YDY-YUNDONGK-8756K0-XL</t>
  </si>
  <si>
    <t>X001L8T615</t>
  </si>
  <si>
    <t>B0725SGYT2</t>
  </si>
  <si>
    <t>SiYang Man Men's Gym Sport Pants Bodybuilding Workout Running Jogger(Black,L)</t>
  </si>
  <si>
    <t>YDY-YUNDONGK-NK03KQ-M</t>
  </si>
  <si>
    <t>X001FVVWSX</t>
  </si>
  <si>
    <t>B071S229RX</t>
  </si>
  <si>
    <t>SiYang Man Men's l Workout Shorts Dry Fit Running Tights Camo 3 Pack Of Shorts(Peacock,M)</t>
  </si>
  <si>
    <t>YDYPFS-L</t>
  </si>
  <si>
    <t>X001MFHAFV</t>
  </si>
  <si>
    <t>B074KDF6TV</t>
  </si>
  <si>
    <t>YDYPFS-M-2</t>
  </si>
  <si>
    <t>X001TUS2JH</t>
  </si>
  <si>
    <t>B07F9P1V67</t>
  </si>
  <si>
    <t>YHJRBBS-L</t>
  </si>
  <si>
    <t>X001O6K81B</t>
  </si>
  <si>
    <t>B075CN5CQM</t>
  </si>
  <si>
    <t>SiYang YoGa Girls Leggings 7-16 High Waist,Elastic and Slimming(White,L)</t>
  </si>
  <si>
    <t>YHJRBBS-M</t>
  </si>
  <si>
    <t>X001O74W1R</t>
  </si>
  <si>
    <t>B075CN3GW6</t>
  </si>
  <si>
    <t>Yellow Leeggings Girls High Waist,Elastic and Slimming(White,M)</t>
  </si>
  <si>
    <t>YHJRBBS-S</t>
  </si>
  <si>
    <t>X001O77XJ5</t>
  </si>
  <si>
    <t>B075CNY3N4</t>
  </si>
  <si>
    <t>SiYang YoGa Leggings Tops For Women High Waist,Elastic and Slimming(White,S)</t>
  </si>
  <si>
    <t>YHJRBBS-XL</t>
  </si>
  <si>
    <t>X001O77ERV</t>
  </si>
  <si>
    <t>B075CMYF9H</t>
  </si>
  <si>
    <t>SiYang YoGa Fleece Lined Leggings For Women High Waist,Elastic and Slimming(White,XL)</t>
  </si>
  <si>
    <t>YHJRBDZS-L</t>
  </si>
  <si>
    <t>X001MQU2V9</t>
  </si>
  <si>
    <t>B075CNC9Y3</t>
  </si>
  <si>
    <t>SiYang YoGa Fleece Lined Leggings for Women High Waist,Elastic and Slimming(Light Purple,L)</t>
  </si>
  <si>
    <t>YHJRBDZS-M</t>
  </si>
  <si>
    <t>X001MVULQZ</t>
  </si>
  <si>
    <t>B075CLLVBH</t>
  </si>
  <si>
    <t>SiYang YoGa Fleece Lined Leggings for Women High Waist,Elastic and Slimming(Light Purple,M)</t>
  </si>
  <si>
    <t>YHJRBDZS-S</t>
  </si>
  <si>
    <t>X001MQ0HLJ</t>
  </si>
  <si>
    <t>B075CNX4Q9</t>
  </si>
  <si>
    <t>SiYang YoGa Fleece Lined Leggings for Women High Waist,Elastic and Slimming(Light Purple,S)</t>
  </si>
  <si>
    <t>YHJRBDZS-XL</t>
  </si>
  <si>
    <t>X001MYZXDX</t>
  </si>
  <si>
    <t>B075CMBYLG</t>
  </si>
  <si>
    <t>Fleece Lined Leggings for Women High Waist,Elastic and Slimming(Light Purple,XL)</t>
  </si>
  <si>
    <t>YHJRBHIS-M</t>
  </si>
  <si>
    <t>X001O77KGL</t>
  </si>
  <si>
    <t>B075CNJ8RC</t>
  </si>
  <si>
    <t>SiYang YoGa Fleece Lined Leggings For Women High Waist,Elastic and Slimming(Black,M)</t>
  </si>
  <si>
    <t>YHJRBHIS-S</t>
  </si>
  <si>
    <t>X001O77KGB</t>
  </si>
  <si>
    <t>B075CM2SDV</t>
  </si>
  <si>
    <t>SiYang YoGa Fleece Lined Leggings For Women High Waist,Elastic and Slimming(Black,S)</t>
  </si>
  <si>
    <t>YHJRBHIS-XL</t>
  </si>
  <si>
    <t>X001O6K7NZ</t>
  </si>
  <si>
    <t>B075CNTLTN</t>
  </si>
  <si>
    <t>SiYang YoGa Fleece Lined Leggings For Women High Waist,Elastic and Slimming(Black,XL)</t>
  </si>
  <si>
    <t>YHJRBHS-L</t>
  </si>
  <si>
    <t>X001O77DCH</t>
  </si>
  <si>
    <t>B075CNRVLR</t>
  </si>
  <si>
    <t>SiYang YoGa Fleece Lined Leggings For Women High Waist,Elastic and Slimming(Yellow,L)</t>
  </si>
  <si>
    <t>YHJRBHS-S</t>
  </si>
  <si>
    <t>X001O6K81L</t>
  </si>
  <si>
    <t>B075CN5LX4</t>
  </si>
  <si>
    <t>SiYang YoGa Plus Size Leeggings 3X For Women High Waist,Elastic and Slimming 2-Pac(Yellow,S)</t>
  </si>
  <si>
    <t>YHJRBHS-XL</t>
  </si>
  <si>
    <t>X001MQVNJT</t>
  </si>
  <si>
    <t>B075CN5BTC</t>
  </si>
  <si>
    <t>SiYang YoGa Fleece Lined Leggings for Women High Waist,Elastic and Slimming(Yellow,XL)</t>
  </si>
  <si>
    <t>YHJRBJS-L</t>
  </si>
  <si>
    <t>X001O6917D</t>
  </si>
  <si>
    <t>B075CLNS1L</t>
  </si>
  <si>
    <t>SiYang YoGa Leggings Lined With Fleece For Women High Waist,Elastic and Slimming(Orange,L)</t>
  </si>
  <si>
    <t>YHJRBJS-M</t>
  </si>
  <si>
    <t>X001O77IJZ</t>
  </si>
  <si>
    <t>B075CJ26XY</t>
  </si>
  <si>
    <t>SiYang YoGa Fleece Lined Leggings For Women High Waist,Elastic and Slimming(Orange,M)</t>
  </si>
  <si>
    <t>YHJRBJS-S</t>
  </si>
  <si>
    <t>X001O78015</t>
  </si>
  <si>
    <t>B075CNRVWL</t>
  </si>
  <si>
    <t>SiYang YoGa Fleece Lined Leggings For Women High Waist,Elastic and Slimming(Orange,S)</t>
  </si>
  <si>
    <t>YHJRBJS-XL</t>
  </si>
  <si>
    <t>X001MSR5BH</t>
  </si>
  <si>
    <t>B075CM6XZ8</t>
  </si>
  <si>
    <t>Leggings Butt Lift for Women High Waist,Elastic and Slimming 2-Pack((Orange,XL)</t>
  </si>
  <si>
    <t>YHJRBMHS-L</t>
  </si>
  <si>
    <t>X001O74VWH</t>
  </si>
  <si>
    <t>B075CMX27Q</t>
  </si>
  <si>
    <t>SiYang YoGa Fleece Lined Leggings For Women High Waist,Elastic and Slimming(Rose Red,L)</t>
  </si>
  <si>
    <t>YHJRBMHS-M</t>
  </si>
  <si>
    <t>X001O77INV</t>
  </si>
  <si>
    <t>B075CNQLTP</t>
  </si>
  <si>
    <t>SiYang YoGa Fleece Lined Leggings For Women High Waist,Elastic and Slimming(Rose Red,M)</t>
  </si>
  <si>
    <t>YHJRBMHS-S</t>
  </si>
  <si>
    <t>X001O77S9P</t>
  </si>
  <si>
    <t>B075CN5Y4M</t>
  </si>
  <si>
    <t>SiYang YoGa Fleece Lined Leggings For Women High Waist,Elastic and Slimming(Rose Red,S)</t>
  </si>
  <si>
    <t>YHJRBZLS-L</t>
  </si>
  <si>
    <t>X001O77IO5</t>
  </si>
  <si>
    <t>B075CNLHM6</t>
  </si>
  <si>
    <t>SiYang YoGa Fleece Lined Leggings For Women High Waist,Elastic and Slimming(Navy Blue,L)</t>
  </si>
  <si>
    <t>YHJRBZLS-M</t>
  </si>
  <si>
    <t>X001O74W1H</t>
  </si>
  <si>
    <t>B075CMZTNT</t>
  </si>
  <si>
    <t>Fleece Lined Leggings Women High Waist,Elastic Slimming(Navy Blue,M)</t>
  </si>
  <si>
    <t>YHJRBZLS-S</t>
  </si>
  <si>
    <t>X001O77ERL</t>
  </si>
  <si>
    <t>B075CNDLKZ</t>
  </si>
  <si>
    <t>Fleece Lined Leggings Women High Waist,Elastic Slimming(Navy Blue,S)</t>
  </si>
  <si>
    <t>YHJRBZLS-XL</t>
  </si>
  <si>
    <t>X001O74W17</t>
  </si>
  <si>
    <t>B075CNDM2J</t>
  </si>
  <si>
    <t>SiYang YoGa Leggings For Women With Designs High Waist,Elastic and Slimming(Navy Blue,XL)</t>
  </si>
  <si>
    <t>YHJRBZS-L</t>
  </si>
  <si>
    <t>X001O77S9F</t>
  </si>
  <si>
    <t>B075CNH519</t>
  </si>
  <si>
    <t>SiYang YoGa Fleece Lined Leggings For Women High Waist,Elastic and Slimming(Purple,L)</t>
  </si>
  <si>
    <t>YHJRBZS-M</t>
  </si>
  <si>
    <t>X001O77XJF</t>
  </si>
  <si>
    <t>B075CM9YGG</t>
  </si>
  <si>
    <t>SiYang YoGa Fleece Lined Leggings For Women High Waist,Elastic and Slimming(Purple,M)</t>
  </si>
  <si>
    <t>YHJRBZS-S</t>
  </si>
  <si>
    <t>X001O77DCR</t>
  </si>
  <si>
    <t>B075CN4GC6</t>
  </si>
  <si>
    <t>SiYang YoGa Green Leggings Girls High Waist,Elastic and Slimming(Purple,S)</t>
  </si>
  <si>
    <t>YHJRBZS-XL</t>
  </si>
  <si>
    <t>X001O77INL</t>
  </si>
  <si>
    <t>B075CMT47H</t>
  </si>
  <si>
    <t>SiYang YoGa Fleece Lined Leggings Women High Waist,Elastic Slimming(Purple,XL)</t>
  </si>
  <si>
    <t>YMQYCSCMR0140*220CM</t>
  </si>
  <si>
    <t>X0019TQO39</t>
  </si>
  <si>
    <t>B01C8QH2A4</t>
  </si>
  <si>
    <t>SiYANG" Tablecloth Rectangular 100%Cotton - Black Tablecloth - Thanksgiving</t>
  </si>
  <si>
    <t>YMQYGZZBGZ140*220CM</t>
  </si>
  <si>
    <t>X001337X09</t>
  </si>
  <si>
    <t>B01C8QI3U2</t>
  </si>
  <si>
    <t>LINENLUX DII 100% Cotton, Machine Washable, Dinner, Summer &amp; Picnic Tablecloth Country Plaid, Seats 8 to 10 People(Lattice,55.1x86.6In)</t>
  </si>
  <si>
    <t>YMQYQHCZQ140*140CM</t>
  </si>
  <si>
    <t>X0012YXDC1</t>
  </si>
  <si>
    <t>B01C8QISIY</t>
  </si>
  <si>
    <t>LINENLUX Washable Cotton Linen Fabric Vintage Navy Damask Pattern Decorative Macrame Lace Rectangle Tablecloth Dinner Picnic Table Cloth Home Decorative Oblong Table Cover Assorted Size (55.155.1In)</t>
  </si>
  <si>
    <t>YMQYQHCZQ140*250CM</t>
  </si>
  <si>
    <t>X0014O8A45</t>
  </si>
  <si>
    <t>B01C8QIY6K</t>
  </si>
  <si>
    <t>LINENLUX Washable Cotton Linen Fabric Vintage Navy Damask Pattern Decorative Macrame Lace Rectangle Tablecloth Dinner Picnic Table Cloth Home Decorative Oblong Table Cover Assorted Size (55.198.4In)</t>
  </si>
  <si>
    <t>YMQYQW011W0140*160CM</t>
  </si>
  <si>
    <t>X0016HTZJ9</t>
  </si>
  <si>
    <t>B01C8QL660</t>
  </si>
  <si>
    <t>LINENLUXLinenTablecloth Rectangular Polyester Tablecloth (White,55.1x63In)</t>
  </si>
  <si>
    <t>YMQYQW011W0140*250CM</t>
  </si>
  <si>
    <t>X0015UR3Q9</t>
  </si>
  <si>
    <t>B01C8QLALQ</t>
  </si>
  <si>
    <t>LINENLUXLinenTablecloth Rectangular Polyester Tablecloth (White,55.1x98.4In)</t>
  </si>
  <si>
    <t>YMQYQXDHPO140*140CM</t>
  </si>
  <si>
    <t>X001I6A5PV</t>
  </si>
  <si>
    <t>B0745C4VZQ</t>
  </si>
  <si>
    <t>LINENLUX Cotton and Hemp, Machine Washable, Dinner, Summer &amp; Picnic Tablecloth, (55.1x55.1In, Pink)</t>
  </si>
  <si>
    <t>YMQYQXDHPO140*250CM</t>
  </si>
  <si>
    <t>X001I66WDP</t>
  </si>
  <si>
    <t>B0745BVSDV</t>
  </si>
  <si>
    <t>LINENLUX Cotton and Hemp, Machine Washable, Dinner, Summer &amp; Picnic Tablecloth, (55.1x98.4In, Pink)</t>
  </si>
  <si>
    <t>YMQYQXDHY060*60CM</t>
  </si>
  <si>
    <t>X001P0HE2H</t>
  </si>
  <si>
    <t>B076DT77BR</t>
  </si>
  <si>
    <t>LINENLUX Cotton Linen Tablecloth Macrame Lace Table Cloths Linen Rectangle Table Covers Table Top for Dinner parties Christmas Holidays or Everyday Use(23.5x23.5In, Yellow)</t>
  </si>
  <si>
    <t>YMQYQZB05HS100*140CM</t>
  </si>
  <si>
    <t>X001LCOMQP</t>
  </si>
  <si>
    <t>B01C8QH6YG</t>
  </si>
  <si>
    <t>YMQYQZB05HS140*180CM</t>
  </si>
  <si>
    <t>X001LCP543</t>
  </si>
  <si>
    <t>B01C8QHANI</t>
  </si>
  <si>
    <t>YMQYQZBBKSC140*200CM</t>
  </si>
  <si>
    <t>X0016IMEZZ</t>
  </si>
  <si>
    <t>B01C8QIF3M</t>
  </si>
  <si>
    <t>SiYANG" Tablecloth Coastal Shell Batik Indoor Outdoor Black White (Dark,55.178.7In)</t>
  </si>
  <si>
    <t>YMQYQZBXHGSS140*200CM</t>
  </si>
  <si>
    <t>X0016JFJSX</t>
  </si>
  <si>
    <t>B01C8QKHQA</t>
  </si>
  <si>
    <t>LINENLUX Luxurious Heavy Weight Macrame Trim Fabric Tablecloth Assorted Sizes &amp; Colors (Shads,55.1x78.7In)</t>
  </si>
  <si>
    <t>YMQYQZBXHGSS90*90CM</t>
  </si>
  <si>
    <t>X0016JFJVF</t>
  </si>
  <si>
    <t>B01C8QKBHK</t>
  </si>
  <si>
    <t>LINENLUX Luxurious Heavy Weight Macrame Trim Fabric Tablecloth Assorted Sizes &amp; Colors (Shads,35.4x35.4In)</t>
  </si>
  <si>
    <t>YMQYZB4DHD100*140CM</t>
  </si>
  <si>
    <t>X0016DF7N1</t>
  </si>
  <si>
    <t>B01CNJQ6T4</t>
  </si>
  <si>
    <t>YMQYZB4DHD140*140CM</t>
  </si>
  <si>
    <t>X0016DPQFZ</t>
  </si>
  <si>
    <t>B01CNJQ7TS</t>
  </si>
  <si>
    <t>LINENLUX SiYang Great Well-made Tablecloth For Home Decoration 2016 Hot Style (Butterfly,55.155.1in)</t>
  </si>
  <si>
    <t>YMQYZB4DHD140*180CM</t>
  </si>
  <si>
    <t>X0016DF7JZ</t>
  </si>
  <si>
    <t>B01CNJQ9MS</t>
  </si>
  <si>
    <t>SiYang Great Well-made Tablecloth For Home Decoration 2016 Hot Style (Butterfly,55.170.9in)</t>
  </si>
  <si>
    <t>YMQYZBJTE0100*140CM</t>
  </si>
  <si>
    <t>X001D7HQWZ</t>
  </si>
  <si>
    <t>B01JIXIEFM</t>
  </si>
  <si>
    <t>Art Small Fresh Geometric Cotton And Linen Tablecloth cloth Rectangular Tea Table Desk Cover(Grey,39x55In)</t>
  </si>
  <si>
    <t>YMQYZBJTE0140*140CM</t>
  </si>
  <si>
    <t>X001DZS9CD</t>
  </si>
  <si>
    <t>B01JIW6X56</t>
  </si>
  <si>
    <t>Art Small Fresh Geometric Cotton And Linen Tablecloth cloth Rectangular Tea Table Desk Cover(Grey,55x55In)</t>
  </si>
  <si>
    <t>YMQYZBJTE0140*250CM</t>
  </si>
  <si>
    <t>X001D7GHTD</t>
  </si>
  <si>
    <t>B01JIXJQ3Q</t>
  </si>
  <si>
    <t>LINENLUX Art Small Fresh Geometric Cotton And Linen Tablecloth cloth Rectangular Tea Table Desk Cover(Grey,55x98.5In)</t>
  </si>
  <si>
    <t>YMQYZBJTE059*59CM</t>
  </si>
  <si>
    <t>X001FTWYU5</t>
  </si>
  <si>
    <t>B072JTCMFR</t>
  </si>
  <si>
    <t>Art Small Fresh Geometric Cotton And Linen Tablecloth cloth Rectangular Tea Table Desk Cover (23x23In, Grey)</t>
  </si>
  <si>
    <t>YMQYZBJTE090*90CM</t>
  </si>
  <si>
    <t>X001E1INZT</t>
  </si>
  <si>
    <t>B01JIXIFK6</t>
  </si>
  <si>
    <t>Art Small Fresh Geometric Cotton Linen Tablecloth Cloth Rectangular Tea Table Desk Cover</t>
  </si>
  <si>
    <t>YMQYZBTZGY0140*140CM</t>
  </si>
  <si>
    <t>X001FYIR7J</t>
  </si>
  <si>
    <t>B01JINXDU8</t>
  </si>
  <si>
    <t>Modern Simple Tablecloths Linen Small Fresh Coffee Table Cloth Rectangular Living Room Meal (55x55In)</t>
  </si>
  <si>
    <t>YMQYZBTZGY0140*250CM</t>
  </si>
  <si>
    <t>X001FYIXZZ</t>
  </si>
  <si>
    <t>B01JIQOKMA</t>
  </si>
  <si>
    <t>Waterproof Reusable Shoe Covers Foldable Rain Snow Boots Covers Blue X-Large</t>
  </si>
  <si>
    <t>YMQYZHUOBUJXXHB0140x180CM</t>
  </si>
  <si>
    <t>X001F7INX9</t>
  </si>
  <si>
    <t>B06Y47NXM7</t>
  </si>
  <si>
    <t>Cotton Linen Tablecloth Floral Embroidery Table Cover for Dinner Kitchen(Blue,55x70.7In)</t>
  </si>
  <si>
    <t>YMQYZHUOBUJXXHB0140x250CM</t>
  </si>
  <si>
    <t>X001F8SEJL</t>
  </si>
  <si>
    <t>B06Y47R11C</t>
  </si>
  <si>
    <t>LINENLUX Cotton Linen Tablecloth Floral Embroidery Table Cover Dinner Kitchen(Blue,55x98.3In)</t>
  </si>
  <si>
    <t>YT-IUGOLDEN-40*60CM</t>
  </si>
  <si>
    <t>X001V8K4IJ</t>
  </si>
  <si>
    <t>B07GN2DKSF</t>
  </si>
  <si>
    <t>LINENLUX Stretchy Removable Chair Covers Restaurant Wedding Part Decor(Golden)</t>
  </si>
  <si>
    <t>YT-IUPURPLE-40*60CM</t>
  </si>
  <si>
    <t>X001V8ZU2J</t>
  </si>
  <si>
    <t>B07GN5DV47</t>
  </si>
  <si>
    <t>LINENLUX Stretchy Removable Chair Covers Restaurant Wedding Part Decor(Deep Purple)</t>
  </si>
  <si>
    <t>YX-IUCY-102-WO-L</t>
  </si>
  <si>
    <t>X001SAO5S5</t>
  </si>
  <si>
    <t>B07D5DQHJ9</t>
  </si>
  <si>
    <t>LINENLUX Waterproof Shoe Cover Non-slip Rain Snow Overshoes with Bandages</t>
  </si>
  <si>
    <t>YX-IUCY-518-WO-XL</t>
  </si>
  <si>
    <t>X001SE78OT</t>
  </si>
  <si>
    <t>B07D74FY1M</t>
  </si>
  <si>
    <t>YX-IUCY-819-N5-L</t>
  </si>
  <si>
    <t>X001SF177R</t>
  </si>
  <si>
    <t>B07D75HFLV</t>
  </si>
  <si>
    <t>Waterproof Reusable Shoe Covers Foldable Rain Snow Boots Covers Brown Large</t>
  </si>
  <si>
    <t>YY-IC100-BEDGR</t>
  </si>
  <si>
    <t>X001UMZET5</t>
  </si>
  <si>
    <t>YY-IC100-BEGO</t>
  </si>
  <si>
    <t>X001UN0BJH</t>
  </si>
  <si>
    <t>YY-IC100-BEKO</t>
  </si>
  <si>
    <t>X001UN01OH</t>
  </si>
  <si>
    <t>YY-IC100-BELGR</t>
  </si>
  <si>
    <t>X001UN06NN</t>
  </si>
  <si>
    <t>YY-IC100-BER2</t>
  </si>
  <si>
    <t>X001UN06O7</t>
  </si>
  <si>
    <t>YY-IC100-BEZL</t>
  </si>
  <si>
    <t>X001UN0A4N</t>
  </si>
  <si>
    <t>YY-IC150-B7</t>
  </si>
  <si>
    <t>X001UMP0RL</t>
  </si>
  <si>
    <t>YY-IC150-KO</t>
  </si>
  <si>
    <t>X001UMOWL1</t>
  </si>
  <si>
    <t>YY-IC150-P1</t>
  </si>
  <si>
    <t>X001UMP0RV</t>
  </si>
  <si>
    <t>YY-ICK29-BEYO</t>
  </si>
  <si>
    <t>X001UN06NX</t>
  </si>
  <si>
    <t>YY-ICK29-BO-FLOWER</t>
  </si>
  <si>
    <t>X001UMN9PB</t>
  </si>
  <si>
    <t>YY-ICK29-BO-MOUNTAIN</t>
  </si>
  <si>
    <t>X001UMVYET</t>
  </si>
  <si>
    <t>YY-ICK29-BO-POINT</t>
  </si>
  <si>
    <t>X001UMX5DR</t>
  </si>
  <si>
    <t>YY-ICK29-BO-STAR</t>
  </si>
  <si>
    <t>X001UMXQNB</t>
  </si>
  <si>
    <t>YY-ICK29-FBB7</t>
  </si>
  <si>
    <t>X001UMZLJD</t>
  </si>
  <si>
    <t>YY-ICK29-GO</t>
  </si>
  <si>
    <t>X001UMW2G3</t>
  </si>
  <si>
    <t>YY-ICK29-KO</t>
  </si>
  <si>
    <t>X001UMNDRP</t>
  </si>
  <si>
    <t>YY-ICK29-N5</t>
  </si>
  <si>
    <t>X001UMX5EB</t>
  </si>
  <si>
    <t>YY-ICK29-R2-POINT</t>
  </si>
  <si>
    <t>X001UMVYEJ</t>
  </si>
  <si>
    <t>YY-ICK29-RO-STAR</t>
  </si>
  <si>
    <t>X001UMXJY7</t>
  </si>
  <si>
    <t>YY-ICK29-WO</t>
  </si>
  <si>
    <t>X001UMX5E1</t>
  </si>
  <si>
    <t>YY-ICK29-YO-CLOUD</t>
  </si>
  <si>
    <t>X001UMXJPV</t>
  </si>
  <si>
    <t>YY-ICK29-YO-POINT</t>
  </si>
  <si>
    <t>X001UMW41B</t>
  </si>
  <si>
    <t>YY-IU2127GR-Green</t>
  </si>
  <si>
    <t>X001VBS4KB</t>
  </si>
  <si>
    <t>B07GQNB73Y</t>
  </si>
  <si>
    <t>LINENLUX Women Raincoat Poncho Packable Jacket with Sleeves Womens Adult Hood Summer(XL) </t>
  </si>
  <si>
    <t>YY-IULCY-HZYD100-BIGEYED-XL</t>
  </si>
  <si>
    <t>X001TCWIGD</t>
  </si>
  <si>
    <t>B07DVNV5FW</t>
  </si>
  <si>
    <t>LINENLUX Waterproof Hooded Rain Poncho Jacket Coat for Kids with Pockets(Big Eyes,XL)</t>
  </si>
  <si>
    <t>YY-IULCY-K29-R2</t>
  </si>
  <si>
    <t>X001VF71VZ</t>
  </si>
  <si>
    <t>B07GVFT3FF</t>
  </si>
  <si>
    <t>LINENLUX Waterproof Rain Poncho Coat Jacket Hooded with Two Zippers for Outdoors</t>
  </si>
  <si>
    <t>Waterproof Raincoat Polka Dot Hooded Rain Jacket Poncho Anchor Print(Large-No Pockets)</t>
  </si>
  <si>
    <t>YY-IULCY-KS371-YL-L</t>
  </si>
  <si>
    <t>X001S0U2OB</t>
  </si>
  <si>
    <t>B07CYT3T23</t>
  </si>
  <si>
    <t>LINENLUX Waterproof Button Rain Poncho Jacket with Pockets Yellow Large</t>
  </si>
  <si>
    <t>YY-IULCY-KS372-PK-L</t>
  </si>
  <si>
    <t>X001RYQVPH</t>
  </si>
  <si>
    <t>B07CYPM4KS</t>
  </si>
  <si>
    <t>LINENLUX Waterproof Rain Poncho Coat with Bag Cover Pink Large</t>
  </si>
  <si>
    <t>YY-IULCY-KS377-BIRD-M</t>
  </si>
  <si>
    <t>X001RYFFWR</t>
  </si>
  <si>
    <t>B07CYV2X4S</t>
  </si>
  <si>
    <t>LINENLUX Waterproof Hooded Rain Poncho Jacket Transparent Patterned Print Coat for Kids Bird Medium</t>
  </si>
  <si>
    <t>YY-IULCY-W9043-BK</t>
  </si>
  <si>
    <t>X001TCHGHJ</t>
  </si>
  <si>
    <t>B07DVHX1NQ</t>
  </si>
  <si>
    <t>LINENLUX Rain Poncho Jacket Coat Light-Weight(Black)</t>
  </si>
  <si>
    <t>YY-IULCY-W9043-CF</t>
  </si>
  <si>
    <t>X001TCIKZV</t>
  </si>
  <si>
    <t>B07DVHF8R4</t>
  </si>
  <si>
    <t>LINENLUX Rain Poncho Jacket Coat Light-Weight(Shallow Brown)</t>
  </si>
  <si>
    <t>YY-IULCY-W9043-DB</t>
  </si>
  <si>
    <t>X001TCFPOF</t>
  </si>
  <si>
    <t>B07FGG7LZF</t>
  </si>
  <si>
    <t>LINENLUX Rain Poncho Jacket Coat Light-Weight(Sapphire Blue)</t>
  </si>
  <si>
    <t>YY-IULCY-W9043-LB</t>
  </si>
  <si>
    <t>X001TCG1UR</t>
  </si>
  <si>
    <t>B07DVJJ2V2</t>
  </si>
  <si>
    <t>LINENLUX Rain Poncho Jacket Coat Light-Weight(Acid Blue)</t>
  </si>
  <si>
    <t>YY-IULCY-W9043-RR</t>
  </si>
  <si>
    <t>X001TCH9VH</t>
  </si>
  <si>
    <t>B07DVKWJGB</t>
  </si>
  <si>
    <t>LINENLUX Rain Poncho Jacket Coat Light-Weight(Rose Red)</t>
  </si>
  <si>
    <t>YY-IULCY-XZM300-BK</t>
  </si>
  <si>
    <t>X001VACL3X</t>
  </si>
  <si>
    <t>B07GPJDBRM</t>
  </si>
  <si>
    <t>LINENLUX Hoodie Raincoat Poncho Active Outdoor Windbreaker Jacket with Front Pocket</t>
  </si>
  <si>
    <t>YY-IULCY-XZM300-BL</t>
  </si>
  <si>
    <t>X001VAMPZR</t>
  </si>
  <si>
    <t>B07GPWW98J</t>
  </si>
  <si>
    <t>YY-IULCY-XZM300-GN</t>
  </si>
  <si>
    <t>X001VAFCJD</t>
  </si>
  <si>
    <t>B07GPP2YPN</t>
  </si>
  <si>
    <t>YY-IULCY-XZM300-LB</t>
  </si>
  <si>
    <t>X001VAMG7T</t>
  </si>
  <si>
    <t>B07GQQKBBN</t>
  </si>
  <si>
    <t>YY-IULCY-XZM300-WT</t>
  </si>
  <si>
    <t>X001VAEZOL</t>
  </si>
  <si>
    <t>B07GPR4FWG</t>
  </si>
  <si>
    <t>YY-IULCY-XZM300-YL</t>
  </si>
  <si>
    <t>X001VACI4P</t>
  </si>
  <si>
    <t>B07GPZLM8T</t>
  </si>
  <si>
    <t>YY-IULCY1004-GO</t>
  </si>
  <si>
    <t>X001VKM0ED</t>
  </si>
  <si>
    <t>B07GVFW8TD</t>
  </si>
  <si>
    <t>LINENLUX Hooded Rain Poncho Jacket with Pockets (Update Size)</t>
  </si>
  <si>
    <t>YY-IULCY1004-R2</t>
  </si>
  <si>
    <t>X001VKN2TZ</t>
  </si>
  <si>
    <t>B07GVF9G88</t>
  </si>
  <si>
    <t>YY5100B0M</t>
  </si>
  <si>
    <t>X00160IZL5</t>
  </si>
  <si>
    <t>B01AXMQ0X0</t>
  </si>
  <si>
    <t>LINENLUX Kids Raincoat for Girls and Boys Children's Waterproof Rainwear with Backpack Cover</t>
  </si>
  <si>
    <t>YY5100R5M</t>
  </si>
  <si>
    <t>X00104ZBJ1</t>
  </si>
  <si>
    <t>B01AXMPTUU</t>
  </si>
  <si>
    <t>YY5100R5S</t>
  </si>
  <si>
    <t>X0012TD45R</t>
  </si>
  <si>
    <t>B01AXMPS1A</t>
  </si>
  <si>
    <t>YY5100XGZG0</t>
  </si>
  <si>
    <t>X001EDLUVL</t>
  </si>
  <si>
    <t>B06XYCCH1V</t>
  </si>
  <si>
    <t>LINENLUX Raincoat Rain Coat Rain Jacket Raincoat Jacket Rain Poncho (Grid-Green)</t>
  </si>
  <si>
    <t>YY5100XR5L</t>
  </si>
  <si>
    <t>X00104ZBJL</t>
  </si>
  <si>
    <t>B01AXMQDYG</t>
  </si>
  <si>
    <t>LINENLUX Rain Coats for Men Rain Jacket for Men Rain Jacket Mens Rain Poncho for Adults Red Point (Chest:40In)</t>
  </si>
  <si>
    <t>YY5100XR5XL</t>
  </si>
  <si>
    <t>X00104ZBHX</t>
  </si>
  <si>
    <t>B01AXMQFKS</t>
  </si>
  <si>
    <t>LINENLUX Rain Jacket Women Raincoat Jacket Women Raincoat Women Rain Jacket for Women (Black Point(Chest:40In))</t>
  </si>
  <si>
    <t>YY5100XR5XXL</t>
  </si>
  <si>
    <t>X00104ZBKP</t>
  </si>
  <si>
    <t>B01AXMQH3I</t>
  </si>
  <si>
    <t>LINENLUX Raincoat Poncho Rain Jacket Trench Raincoat for Women Raincoat Pants (Green Point(Chest:40In))</t>
  </si>
  <si>
    <t>ZAKKA0627R025*32CM</t>
  </si>
  <si>
    <t>X001ECROW1</t>
  </si>
  <si>
    <t>B01H1X94E6</t>
  </si>
  <si>
    <t>Premium Toiletry Bag By SiYang - Extra Large Travel Essentials Organizer - Durable Hanging Hook - For Men &amp; Women - Perfect For Accessories, Cosmetics, Personal Items, Shampoo, Body Wash</t>
  </si>
  <si>
    <t>ZB-2035R070*70cm</t>
  </si>
  <si>
    <t>X0016A81P5</t>
  </si>
  <si>
    <t>B01DZVHBM0</t>
  </si>
  <si>
    <t>ZB-IULCY-YMQY100-GR140*180</t>
  </si>
  <si>
    <t>X001TRKOG9</t>
  </si>
  <si>
    <t>B07F72G9Q1</t>
  </si>
  <si>
    <t>LINENLUX Linen Cotton Rectangular Tablecloths with Tassel for Home Decoration(Gray,55.12 X70.87 Inch)</t>
  </si>
  <si>
    <t>ZB-IULETTER-140*180CM</t>
  </si>
  <si>
    <t>X001V8SZ6H</t>
  </si>
  <si>
    <t>B07GN5RY9K</t>
  </si>
  <si>
    <t>ZBCSXMXM140*200</t>
  </si>
  <si>
    <t>X0016JHHLF</t>
  </si>
  <si>
    <t>B01EG11EN0</t>
  </si>
  <si>
    <t>LINENLUX Flow Heavy Weight "Spillproof" 60-Inch By 100-Inch Fabric Tablecloth,Pony (Pony,55.02x78.6In)</t>
  </si>
  <si>
    <t>ZBIU-YMQYQXDHKF140*160CM</t>
  </si>
  <si>
    <t>X001VBZPM1</t>
  </si>
  <si>
    <t>B07GQNNCH5</t>
  </si>
  <si>
    <t>LINENLUX Cotton and Hemp Machine Washable Dinner Picnic Tablecloth(Coffee,55.1x63In)</t>
  </si>
  <si>
    <t>ZC2138MRG-ZHONGS</t>
  </si>
  <si>
    <t>X001MXJIS5</t>
  </si>
  <si>
    <t>B01N1TCE79</t>
  </si>
  <si>
    <t>SiYang YoGa Women's Yoga Pants Mesh Stretchy Workout Sportys Sexy Leggings Hollow Out Design (S, Coffee-1)</t>
  </si>
  <si>
    <t>ZDD-07-MC-28</t>
  </si>
  <si>
    <t>X001UF5X89</t>
  </si>
  <si>
    <t>Lastia Folding Stool for Camping Fishing Hiking Outdoor Camouflage 11.4"x11.4"x9.8"</t>
  </si>
  <si>
    <t>ZDD-08-BO-28</t>
  </si>
  <si>
    <t>X001UEEY3Z</t>
  </si>
  <si>
    <t>Folding Camping Stool for Camp Fishing Hiking Outdoor Four Legs Blue 11"x11"x13.7"</t>
  </si>
  <si>
    <t>ZDD-08-GR-28</t>
  </si>
  <si>
    <t>X001UEEQSD</t>
  </si>
  <si>
    <t>Mini Portable Folding Stool for Camping Fishing Hiking Outdoor Four Legs Gray 11"x11"x13.7"</t>
  </si>
  <si>
    <t>ZDD-08-PO-28</t>
  </si>
  <si>
    <t>X001UEF8KX</t>
  </si>
  <si>
    <t>Lastia Camping Tripod Stool for Fishing Hiking Outdoor Four Legs Purple 11"x11"x13.7"</t>
  </si>
  <si>
    <t>ZDD-08-RO-28</t>
  </si>
  <si>
    <t>X001UF5X8J</t>
  </si>
  <si>
    <t>Portable Tripod Stool for Camping Fishing Hiking Outdoor Four Legs Red 11"x11"x13.7"</t>
  </si>
  <si>
    <t>ZHUAPPPBO-L</t>
  </si>
  <si>
    <t>X001O76TN1</t>
  </si>
  <si>
    <t>B077YZQ4GF</t>
  </si>
  <si>
    <t>luciphia Winter Dog Vest Coats Reversible Warm Jackets for Small Medium Dogs Blue L</t>
  </si>
  <si>
    <t>ZHUAPPPBO-M</t>
  </si>
  <si>
    <t>X001O76BA7</t>
  </si>
  <si>
    <t>B077YZMM76</t>
  </si>
  <si>
    <t>luciphia Winter Dog Vest Coats Reversible Warm Jackets for Small Medium Dogs Blue M</t>
  </si>
  <si>
    <t>ZHUAPPPBO-S</t>
  </si>
  <si>
    <t>X001O67RC9</t>
  </si>
  <si>
    <t>B077YTW39Y</t>
  </si>
  <si>
    <t>luciphia Winter Dog Vest Coats Reversible Warm Jackets for Small Medium Dogs Blue S</t>
  </si>
  <si>
    <t>ZHUAPPPJS-L</t>
  </si>
  <si>
    <t>X001O76G25</t>
  </si>
  <si>
    <t>B077Z3273G</t>
  </si>
  <si>
    <t>luciphia Winter Dog Vest Coats Reversible Warm Jackets for Small Medium Dogs Orange L</t>
  </si>
  <si>
    <t>ZHUAPPPJS-S</t>
  </si>
  <si>
    <t>X001O76I5F</t>
  </si>
  <si>
    <t>B077YZQ6PF</t>
  </si>
  <si>
    <t>luciphia Winter Dog Vest Coats Reversible Warm Jackets for Small Medium Dogs Orange S</t>
  </si>
  <si>
    <t>ZHUAPPPJS-XL</t>
  </si>
  <si>
    <t>X001O7431B</t>
  </si>
  <si>
    <t>B0785NGDM9</t>
  </si>
  <si>
    <t>luciphia Winter Dog Vest Coats Reversible Warm Jackets for Small Medium Dogs Orange XL</t>
  </si>
  <si>
    <t>ZHUAPPPRO-XL</t>
  </si>
  <si>
    <t>X001O67QYD</t>
  </si>
  <si>
    <t>B077YZMR5R</t>
  </si>
  <si>
    <t>luciphia Winter Dog Vest Coats Reversible Warm Jackets for Small Medium Dogs Red XL</t>
  </si>
  <si>
    <t>ZXXABO-L</t>
  </si>
  <si>
    <t>X001KIC8FH</t>
  </si>
  <si>
    <t>B074W4L4ZX</t>
  </si>
  <si>
    <t>ZXXABO-M</t>
  </si>
  <si>
    <t>X001KIBYJD</t>
  </si>
  <si>
    <t>B074W1JZKB</t>
  </si>
  <si>
    <t>ZXXABO-NS</t>
  </si>
  <si>
    <t>X001LQ5O13</t>
  </si>
  <si>
    <t>B076CJN89B</t>
  </si>
  <si>
    <t>ZXXABO-S</t>
  </si>
  <si>
    <t>X001KIAYU3</t>
  </si>
  <si>
    <t>B074W22BF8</t>
  </si>
  <si>
    <t>ZXXAFS-L</t>
  </si>
  <si>
    <t>X001KI6ZOH</t>
  </si>
  <si>
    <t>B074W5TKDP</t>
  </si>
  <si>
    <t>ZXXAFS-M</t>
  </si>
  <si>
    <t>X001KIAYCV</t>
  </si>
  <si>
    <t>B074W4556B</t>
  </si>
  <si>
    <t>ZXXAFS-NM</t>
  </si>
  <si>
    <t>X001LQ5T4Z</t>
  </si>
  <si>
    <t>B076CN4Z2C</t>
  </si>
  <si>
    <t>ZXXAFS-S</t>
  </si>
  <si>
    <t>X001KIDAB3</t>
  </si>
  <si>
    <t>B074W7C5V5</t>
  </si>
  <si>
    <t>ZXXAHO-L</t>
  </si>
  <si>
    <t>X001KIDXQZ</t>
  </si>
  <si>
    <t>B074W73Z7D</t>
  </si>
  <si>
    <t>ZXXAHO-M</t>
  </si>
  <si>
    <t>X001KHYPTZ</t>
  </si>
  <si>
    <t>B074W5TRXY</t>
  </si>
  <si>
    <t>ZXXAHO-NM</t>
  </si>
  <si>
    <t>X001LQ6NI1</t>
  </si>
  <si>
    <t>B076CKZR2X</t>
  </si>
  <si>
    <t>ZXXAHO-S</t>
  </si>
  <si>
    <t>X001KIAR19</t>
  </si>
  <si>
    <t>B074VYY838</t>
  </si>
  <si>
    <t>ZXXALV-L</t>
  </si>
  <si>
    <t>X001LQ6NIB</t>
  </si>
  <si>
    <t>B074W3XHX4</t>
  </si>
  <si>
    <t>ZXXALV-XL</t>
  </si>
  <si>
    <t>X001LPKBJ9</t>
  </si>
  <si>
    <t>B074W6TKJ9</t>
  </si>
  <si>
    <t>ZXXAZS-M</t>
  </si>
  <si>
    <t>X001KI994Z</t>
  </si>
  <si>
    <t>B074W36NHQ</t>
  </si>
  <si>
    <t>ZXXAZS-S</t>
  </si>
  <si>
    <t>X001KIDI8N</t>
  </si>
  <si>
    <t>B074W3X93N</t>
  </si>
  <si>
    <t>ZXXCBO-S</t>
  </si>
  <si>
    <t>X001KHYOOL</t>
  </si>
  <si>
    <t>B074W49DXQ</t>
  </si>
  <si>
    <t>ZXXCLV-M</t>
  </si>
  <si>
    <t>X001KHYIZ1</t>
  </si>
  <si>
    <t>B074W6T3S1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</si>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</sst>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5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1" borderId="3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9" fillId="26" borderId="8" applyNumberFormat="0" applyAlignment="0" applyProtection="0">
      <alignment vertical="center"/>
    </xf>
    <xf numFmtId="0" fontId="14" fillId="26" borderId="2" applyNumberFormat="0" applyAlignment="0" applyProtection="0">
      <alignment vertical="center"/>
    </xf>
    <xf numFmtId="0" fontId="13" fillId="25" borderId="5" applyNumberFormat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9525</xdr:rowOff>
        </xdr:from>
        <xdr:to>
          <xdr:col>9</xdr:col>
          <xdr:colOff>10795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64570" y="9525"/>
              <a:ext cx="1495425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171450</xdr:rowOff>
        </xdr:from>
        <xdr:to>
          <xdr:col>15</xdr:col>
          <xdr:colOff>676275</xdr:colOff>
          <xdr:row>3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171450"/>
              <a:ext cx="6762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127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0</v>
      </c>
      <c r="H2" s="3">
        <v>1</v>
      </c>
      <c r="I2" s="9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</v>
      </c>
      <c r="F3" s="3">
        <v>0</v>
      </c>
      <c r="G3" s="3">
        <v>0</v>
      </c>
      <c r="H3" s="3">
        <v>1</v>
      </c>
      <c r="I3" s="9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1</v>
      </c>
      <c r="F4" s="3">
        <v>1</v>
      </c>
      <c r="G4" s="3">
        <v>0</v>
      </c>
      <c r="H4" s="3">
        <v>0</v>
      </c>
      <c r="I4" s="9"/>
    </row>
    <row r="5" spans="1:9">
      <c r="A5" s="3" t="s">
        <v>20</v>
      </c>
      <c r="B5" s="3" t="s">
        <v>21</v>
      </c>
      <c r="C5" s="3" t="s">
        <v>22</v>
      </c>
      <c r="D5" s="3" t="s">
        <v>19</v>
      </c>
      <c r="E5" s="3">
        <v>6</v>
      </c>
      <c r="F5" s="3">
        <v>3</v>
      </c>
      <c r="G5" s="3">
        <v>3</v>
      </c>
      <c r="H5" s="3">
        <v>0</v>
      </c>
      <c r="I5" s="9"/>
    </row>
    <row r="6" spans="1:9">
      <c r="A6" s="3" t="s">
        <v>23</v>
      </c>
      <c r="B6" s="3" t="s">
        <v>24</v>
      </c>
      <c r="C6" s="3" t="s">
        <v>25</v>
      </c>
      <c r="D6" s="3" t="s">
        <v>19</v>
      </c>
      <c r="E6" s="3">
        <v>1</v>
      </c>
      <c r="F6" s="3">
        <v>0</v>
      </c>
      <c r="G6" s="3">
        <v>0</v>
      </c>
      <c r="H6" s="3">
        <v>1</v>
      </c>
      <c r="I6" s="9"/>
    </row>
    <row r="7" spans="1:9">
      <c r="A7" s="3" t="s">
        <v>26</v>
      </c>
      <c r="B7" s="3" t="s">
        <v>27</v>
      </c>
      <c r="C7" s="3" t="s">
        <v>28</v>
      </c>
      <c r="D7" s="3" t="s">
        <v>19</v>
      </c>
      <c r="E7" s="3">
        <v>2</v>
      </c>
      <c r="F7" s="3">
        <v>1</v>
      </c>
      <c r="G7" s="3">
        <v>1</v>
      </c>
      <c r="H7" s="3">
        <v>0</v>
      </c>
      <c r="I7" s="9"/>
    </row>
    <row r="8" spans="1:9">
      <c r="A8" s="3" t="s">
        <v>29</v>
      </c>
      <c r="B8" s="3" t="s">
        <v>30</v>
      </c>
      <c r="C8" s="3" t="s">
        <v>31</v>
      </c>
      <c r="D8" s="3" t="s">
        <v>19</v>
      </c>
      <c r="E8" s="3">
        <v>3</v>
      </c>
      <c r="F8" s="3">
        <v>1</v>
      </c>
      <c r="G8" s="3">
        <v>2</v>
      </c>
      <c r="H8" s="3">
        <v>0</v>
      </c>
      <c r="I8" s="9"/>
    </row>
    <row r="9" spans="1:9">
      <c r="A9" s="3" t="s">
        <v>32</v>
      </c>
      <c r="B9" s="3" t="s">
        <v>33</v>
      </c>
      <c r="C9" s="3" t="s">
        <v>34</v>
      </c>
      <c r="D9" s="3" t="s">
        <v>19</v>
      </c>
      <c r="E9" s="3">
        <v>3</v>
      </c>
      <c r="F9" s="3">
        <v>1</v>
      </c>
      <c r="G9" s="3">
        <v>2</v>
      </c>
      <c r="H9" s="3">
        <v>0</v>
      </c>
      <c r="I9" s="9"/>
    </row>
    <row r="10" spans="1:9">
      <c r="A10" s="3" t="s">
        <v>35</v>
      </c>
      <c r="B10" s="3" t="s">
        <v>36</v>
      </c>
      <c r="C10" s="3" t="s">
        <v>37</v>
      </c>
      <c r="D10" s="3" t="s">
        <v>19</v>
      </c>
      <c r="E10" s="3">
        <v>2</v>
      </c>
      <c r="F10" s="3">
        <v>1</v>
      </c>
      <c r="G10" s="3">
        <v>0</v>
      </c>
      <c r="H10" s="3">
        <v>1</v>
      </c>
      <c r="I10" s="9"/>
    </row>
    <row r="11" spans="1:9">
      <c r="A11" s="3" t="s">
        <v>38</v>
      </c>
      <c r="B11" s="3" t="s">
        <v>39</v>
      </c>
      <c r="C11" s="3" t="s">
        <v>40</v>
      </c>
      <c r="D11" s="3" t="s">
        <v>19</v>
      </c>
      <c r="E11" s="3">
        <v>1</v>
      </c>
      <c r="F11" s="3">
        <v>0</v>
      </c>
      <c r="G11" s="3">
        <v>1</v>
      </c>
      <c r="H11" s="3">
        <v>0</v>
      </c>
      <c r="I11" s="9"/>
    </row>
    <row r="12" spans="1:9">
      <c r="A12" s="3" t="s">
        <v>41</v>
      </c>
      <c r="B12" s="3" t="s">
        <v>42</v>
      </c>
      <c r="C12" s="3" t="s">
        <v>43</v>
      </c>
      <c r="D12" s="3" t="s">
        <v>19</v>
      </c>
      <c r="E12" s="3">
        <v>3</v>
      </c>
      <c r="F12" s="3">
        <v>1</v>
      </c>
      <c r="G12" s="3">
        <v>1</v>
      </c>
      <c r="H12" s="3">
        <v>1</v>
      </c>
      <c r="I12" s="9"/>
    </row>
    <row r="13" spans="1:9">
      <c r="A13" s="3" t="s">
        <v>44</v>
      </c>
      <c r="B13" s="3" t="s">
        <v>45</v>
      </c>
      <c r="C13" s="3" t="s">
        <v>46</v>
      </c>
      <c r="D13" s="3" t="s">
        <v>47</v>
      </c>
      <c r="E13" s="3">
        <v>2</v>
      </c>
      <c r="F13" s="3">
        <v>0</v>
      </c>
      <c r="G13" s="3">
        <v>0</v>
      </c>
      <c r="H13" s="3">
        <v>2</v>
      </c>
      <c r="I13" s="9"/>
    </row>
    <row r="14" spans="1:9">
      <c r="A14" s="3" t="s">
        <v>48</v>
      </c>
      <c r="B14" s="3" t="s">
        <v>49</v>
      </c>
      <c r="C14" s="3" t="s">
        <v>50</v>
      </c>
      <c r="D14" s="3" t="s">
        <v>19</v>
      </c>
      <c r="E14" s="3">
        <v>1</v>
      </c>
      <c r="F14" s="3">
        <v>1</v>
      </c>
      <c r="G14" s="3">
        <v>0</v>
      </c>
      <c r="H14" s="3">
        <v>0</v>
      </c>
      <c r="I14" s="9"/>
    </row>
    <row r="15" spans="1:9">
      <c r="A15" s="3" t="s">
        <v>51</v>
      </c>
      <c r="B15" s="3" t="s">
        <v>52</v>
      </c>
      <c r="C15" s="3" t="s">
        <v>53</v>
      </c>
      <c r="D15" s="3" t="s">
        <v>54</v>
      </c>
      <c r="E15" s="3">
        <v>1</v>
      </c>
      <c r="F15" s="3">
        <v>0</v>
      </c>
      <c r="G15" s="3">
        <v>1</v>
      </c>
      <c r="H15" s="3">
        <v>0</v>
      </c>
      <c r="I15" s="9"/>
    </row>
    <row r="16" spans="1:9">
      <c r="A16" s="3" t="s">
        <v>55</v>
      </c>
      <c r="B16" s="3" t="s">
        <v>56</v>
      </c>
      <c r="C16" s="3" t="s">
        <v>57</v>
      </c>
      <c r="D16" s="3" t="s">
        <v>58</v>
      </c>
      <c r="E16" s="3">
        <v>10</v>
      </c>
      <c r="F16" s="3">
        <v>2</v>
      </c>
      <c r="G16" s="3">
        <v>6</v>
      </c>
      <c r="H16" s="3">
        <v>2</v>
      </c>
      <c r="I16" s="9"/>
    </row>
    <row r="17" spans="1:9">
      <c r="A17" s="3" t="s">
        <v>59</v>
      </c>
      <c r="B17" s="3" t="s">
        <v>60</v>
      </c>
      <c r="C17" s="3" t="s">
        <v>61</v>
      </c>
      <c r="D17" s="3" t="s">
        <v>62</v>
      </c>
      <c r="E17" s="3">
        <v>1</v>
      </c>
      <c r="F17" s="3">
        <v>0</v>
      </c>
      <c r="G17" s="3">
        <v>0</v>
      </c>
      <c r="H17" s="3">
        <v>1</v>
      </c>
      <c r="I17" s="9"/>
    </row>
    <row r="18" spans="1:9">
      <c r="A18" s="3" t="s">
        <v>63</v>
      </c>
      <c r="B18" s="3" t="s">
        <v>64</v>
      </c>
      <c r="C18" s="3" t="s">
        <v>65</v>
      </c>
      <c r="D18" s="3" t="s">
        <v>66</v>
      </c>
      <c r="E18" s="3">
        <v>1</v>
      </c>
      <c r="F18" s="3">
        <v>1</v>
      </c>
      <c r="G18" s="3">
        <v>0</v>
      </c>
      <c r="H18" s="3">
        <v>0</v>
      </c>
      <c r="I18" s="9"/>
    </row>
    <row r="19" spans="1:9">
      <c r="A19" s="3" t="s">
        <v>67</v>
      </c>
      <c r="B19" s="3" t="s">
        <v>68</v>
      </c>
      <c r="C19" s="3" t="s">
        <v>69</v>
      </c>
      <c r="D19" s="3" t="s">
        <v>70</v>
      </c>
      <c r="E19" s="3">
        <v>1</v>
      </c>
      <c r="F19" s="3">
        <v>0</v>
      </c>
      <c r="G19" s="3">
        <v>0</v>
      </c>
      <c r="H19" s="3">
        <v>1</v>
      </c>
      <c r="I19" s="9"/>
    </row>
    <row r="20" spans="1:9">
      <c r="A20" s="3" t="s">
        <v>71</v>
      </c>
      <c r="B20" s="3" t="s">
        <v>72</v>
      </c>
      <c r="C20" s="3" t="s">
        <v>73</v>
      </c>
      <c r="D20" s="3" t="s">
        <v>74</v>
      </c>
      <c r="E20" s="3">
        <v>1</v>
      </c>
      <c r="F20" s="3">
        <v>0</v>
      </c>
      <c r="G20" s="3">
        <v>1</v>
      </c>
      <c r="H20" s="3">
        <v>0</v>
      </c>
      <c r="I20" s="9"/>
    </row>
    <row r="21" spans="1:9">
      <c r="A21" s="3" t="s">
        <v>75</v>
      </c>
      <c r="B21" s="3" t="s">
        <v>76</v>
      </c>
      <c r="C21" s="3" t="s">
        <v>77</v>
      </c>
      <c r="D21" s="3" t="s">
        <v>78</v>
      </c>
      <c r="E21" s="3">
        <v>4</v>
      </c>
      <c r="F21" s="3">
        <v>1</v>
      </c>
      <c r="G21" s="3">
        <v>3</v>
      </c>
      <c r="H21" s="3">
        <v>0</v>
      </c>
      <c r="I21" s="9"/>
    </row>
    <row r="22" spans="1:9">
      <c r="A22" s="3" t="s">
        <v>79</v>
      </c>
      <c r="B22" s="3" t="s">
        <v>80</v>
      </c>
      <c r="C22" s="3" t="s">
        <v>81</v>
      </c>
      <c r="D22" s="3" t="s">
        <v>82</v>
      </c>
      <c r="E22" s="3">
        <v>2</v>
      </c>
      <c r="F22" s="3">
        <v>0</v>
      </c>
      <c r="G22" s="3">
        <v>1</v>
      </c>
      <c r="H22" s="3">
        <v>1</v>
      </c>
      <c r="I22" s="9"/>
    </row>
    <row r="23" spans="1:9">
      <c r="A23" s="3" t="s">
        <v>83</v>
      </c>
      <c r="B23" s="3" t="s">
        <v>84</v>
      </c>
      <c r="C23" s="3" t="s">
        <v>85</v>
      </c>
      <c r="D23" s="3" t="s">
        <v>86</v>
      </c>
      <c r="E23" s="3">
        <v>2</v>
      </c>
      <c r="F23" s="3">
        <v>0</v>
      </c>
      <c r="G23" s="3">
        <v>2</v>
      </c>
      <c r="H23" s="3">
        <v>0</v>
      </c>
      <c r="I23" s="9"/>
    </row>
    <row r="24" spans="1:9">
      <c r="A24" s="3" t="s">
        <v>87</v>
      </c>
      <c r="B24" s="3" t="s">
        <v>88</v>
      </c>
      <c r="C24" s="3" t="s">
        <v>89</v>
      </c>
      <c r="D24" s="3" t="s">
        <v>90</v>
      </c>
      <c r="E24" s="3">
        <v>1</v>
      </c>
      <c r="F24" s="3">
        <v>1</v>
      </c>
      <c r="G24" s="3">
        <v>0</v>
      </c>
      <c r="H24" s="3">
        <v>0</v>
      </c>
      <c r="I24" s="9"/>
    </row>
    <row r="25" spans="1:9">
      <c r="A25" s="3" t="s">
        <v>91</v>
      </c>
      <c r="B25" s="3" t="s">
        <v>92</v>
      </c>
      <c r="C25" s="3" t="s">
        <v>93</v>
      </c>
      <c r="D25" s="3" t="s">
        <v>94</v>
      </c>
      <c r="E25" s="3">
        <v>6</v>
      </c>
      <c r="F25" s="3">
        <v>2</v>
      </c>
      <c r="G25" s="3">
        <v>4</v>
      </c>
      <c r="H25" s="3">
        <v>0</v>
      </c>
      <c r="I25" s="9"/>
    </row>
    <row r="26" spans="1:9">
      <c r="A26" s="3" t="s">
        <v>95</v>
      </c>
      <c r="B26" s="3" t="s">
        <v>96</v>
      </c>
      <c r="C26" s="3" t="s">
        <v>97</v>
      </c>
      <c r="D26" s="3" t="s">
        <v>98</v>
      </c>
      <c r="E26" s="3">
        <v>4</v>
      </c>
      <c r="F26" s="3">
        <v>0</v>
      </c>
      <c r="G26" s="3">
        <v>4</v>
      </c>
      <c r="H26" s="3">
        <v>0</v>
      </c>
      <c r="I26" s="9"/>
    </row>
    <row r="27" spans="1:9">
      <c r="A27" s="3" t="s">
        <v>99</v>
      </c>
      <c r="B27" s="3" t="s">
        <v>100</v>
      </c>
      <c r="C27" s="3" t="s">
        <v>101</v>
      </c>
      <c r="D27" s="3" t="s">
        <v>102</v>
      </c>
      <c r="E27" s="3">
        <v>1</v>
      </c>
      <c r="F27" s="3">
        <v>0</v>
      </c>
      <c r="G27" s="3">
        <v>0</v>
      </c>
      <c r="H27" s="3">
        <v>1</v>
      </c>
      <c r="I27" s="9"/>
    </row>
    <row r="28" spans="1:9">
      <c r="A28" s="3" t="s">
        <v>103</v>
      </c>
      <c r="B28" s="3" t="s">
        <v>104</v>
      </c>
      <c r="C28" s="3" t="s">
        <v>105</v>
      </c>
      <c r="D28" s="3" t="s">
        <v>106</v>
      </c>
      <c r="E28" s="3">
        <v>2</v>
      </c>
      <c r="F28" s="3">
        <v>0</v>
      </c>
      <c r="G28" s="3">
        <v>0</v>
      </c>
      <c r="H28" s="3">
        <v>2</v>
      </c>
      <c r="I28" s="9"/>
    </row>
    <row r="29" spans="1:9">
      <c r="A29" s="3" t="s">
        <v>107</v>
      </c>
      <c r="B29" s="3" t="s">
        <v>108</v>
      </c>
      <c r="C29" s="3" t="s">
        <v>109</v>
      </c>
      <c r="D29" s="3" t="s">
        <v>110</v>
      </c>
      <c r="E29" s="3">
        <v>15</v>
      </c>
      <c r="F29" s="3">
        <v>0</v>
      </c>
      <c r="G29" s="3">
        <v>15</v>
      </c>
      <c r="H29" s="3">
        <v>0</v>
      </c>
      <c r="I29" s="9"/>
    </row>
    <row r="30" spans="1:9">
      <c r="A30" s="3" t="s">
        <v>111</v>
      </c>
      <c r="B30" s="3" t="s">
        <v>112</v>
      </c>
      <c r="C30" s="3" t="s">
        <v>113</v>
      </c>
      <c r="D30" s="3" t="s">
        <v>114</v>
      </c>
      <c r="E30" s="3">
        <v>2</v>
      </c>
      <c r="F30" s="3">
        <v>0</v>
      </c>
      <c r="G30" s="3">
        <v>1</v>
      </c>
      <c r="H30" s="3">
        <v>1</v>
      </c>
      <c r="I30" s="9"/>
    </row>
    <row r="31" spans="1:9">
      <c r="A31" s="3" t="s">
        <v>115</v>
      </c>
      <c r="B31" s="3" t="s">
        <v>116</v>
      </c>
      <c r="C31" s="3" t="s">
        <v>117</v>
      </c>
      <c r="D31" s="3" t="s">
        <v>118</v>
      </c>
      <c r="E31" s="3">
        <v>2</v>
      </c>
      <c r="F31" s="3">
        <v>0</v>
      </c>
      <c r="G31" s="3">
        <v>0</v>
      </c>
      <c r="H31" s="3">
        <v>2</v>
      </c>
      <c r="I31" s="9"/>
    </row>
    <row r="32" spans="1:9">
      <c r="A32" s="3" t="s">
        <v>119</v>
      </c>
      <c r="B32" s="3" t="s">
        <v>120</v>
      </c>
      <c r="C32" s="3" t="s">
        <v>121</v>
      </c>
      <c r="D32" s="3" t="s">
        <v>122</v>
      </c>
      <c r="E32" s="3">
        <v>4</v>
      </c>
      <c r="F32" s="3">
        <v>0</v>
      </c>
      <c r="G32" s="3">
        <v>4</v>
      </c>
      <c r="H32" s="3">
        <v>0</v>
      </c>
      <c r="I32" s="9"/>
    </row>
    <row r="33" spans="1:9">
      <c r="A33" s="3" t="s">
        <v>123</v>
      </c>
      <c r="B33" s="3" t="s">
        <v>124</v>
      </c>
      <c r="C33" s="3" t="s">
        <v>125</v>
      </c>
      <c r="D33" s="3" t="s">
        <v>126</v>
      </c>
      <c r="E33" s="3">
        <v>5</v>
      </c>
      <c r="F33" s="3">
        <v>0</v>
      </c>
      <c r="G33" s="3">
        <v>5</v>
      </c>
      <c r="H33" s="3">
        <v>0</v>
      </c>
      <c r="I33" s="9"/>
    </row>
    <row r="34" spans="1:9">
      <c r="A34" s="3" t="s">
        <v>127</v>
      </c>
      <c r="B34" s="3" t="s">
        <v>128</v>
      </c>
      <c r="C34" s="3" t="s">
        <v>129</v>
      </c>
      <c r="D34" s="3" t="s">
        <v>130</v>
      </c>
      <c r="E34" s="3">
        <v>1</v>
      </c>
      <c r="F34" s="3">
        <v>0</v>
      </c>
      <c r="G34" s="3">
        <v>0</v>
      </c>
      <c r="H34" s="3">
        <v>1</v>
      </c>
      <c r="I34" s="9"/>
    </row>
    <row r="35" spans="1:9">
      <c r="A35" s="3" t="s">
        <v>131</v>
      </c>
      <c r="B35" s="3" t="s">
        <v>132</v>
      </c>
      <c r="C35" s="3" t="s">
        <v>133</v>
      </c>
      <c r="D35" s="3" t="s">
        <v>134</v>
      </c>
      <c r="E35" s="3">
        <v>11</v>
      </c>
      <c r="F35" s="3">
        <v>0</v>
      </c>
      <c r="G35" s="3">
        <v>10</v>
      </c>
      <c r="H35" s="3">
        <v>1</v>
      </c>
      <c r="I35" s="9"/>
    </row>
    <row r="36" spans="1:9">
      <c r="A36" s="3" t="s">
        <v>135</v>
      </c>
      <c r="B36" s="3" t="s">
        <v>136</v>
      </c>
      <c r="C36" s="3" t="s">
        <v>137</v>
      </c>
      <c r="D36" s="3" t="s">
        <v>138</v>
      </c>
      <c r="E36" s="3">
        <v>1</v>
      </c>
      <c r="F36" s="3">
        <v>0</v>
      </c>
      <c r="G36" s="3">
        <v>0</v>
      </c>
      <c r="H36" s="3">
        <v>1</v>
      </c>
      <c r="I36" s="9"/>
    </row>
    <row r="37" spans="1:9">
      <c r="A37" s="3" t="s">
        <v>139</v>
      </c>
      <c r="B37" s="3" t="s">
        <v>140</v>
      </c>
      <c r="C37" s="3" t="s">
        <v>141</v>
      </c>
      <c r="D37" s="3" t="s">
        <v>142</v>
      </c>
      <c r="E37" s="3">
        <v>62</v>
      </c>
      <c r="F37" s="3">
        <v>2</v>
      </c>
      <c r="G37" s="3">
        <v>57</v>
      </c>
      <c r="H37" s="3">
        <v>3</v>
      </c>
      <c r="I37" s="9"/>
    </row>
    <row r="38" spans="1:9">
      <c r="A38" s="3" t="s">
        <v>143</v>
      </c>
      <c r="B38" s="3" t="s">
        <v>144</v>
      </c>
      <c r="C38" s="3" t="s">
        <v>145</v>
      </c>
      <c r="D38" s="3" t="s">
        <v>146</v>
      </c>
      <c r="E38" s="3">
        <v>175</v>
      </c>
      <c r="F38" s="3">
        <v>33</v>
      </c>
      <c r="G38" s="3">
        <v>116</v>
      </c>
      <c r="H38" s="3">
        <v>26</v>
      </c>
      <c r="I38" s="9"/>
    </row>
    <row r="39" spans="1:9">
      <c r="A39" s="3" t="s">
        <v>147</v>
      </c>
      <c r="B39" s="3" t="s">
        <v>148</v>
      </c>
      <c r="C39" s="3" t="s">
        <v>149</v>
      </c>
      <c r="D39" s="3" t="s">
        <v>150</v>
      </c>
      <c r="E39" s="3">
        <v>252</v>
      </c>
      <c r="F39" s="3">
        <v>26</v>
      </c>
      <c r="G39" s="3">
        <v>198</v>
      </c>
      <c r="H39" s="3">
        <v>28</v>
      </c>
      <c r="I39" s="9"/>
    </row>
    <row r="40" spans="1:9">
      <c r="A40" s="3" t="s">
        <v>151</v>
      </c>
      <c r="B40" s="3" t="s">
        <v>152</v>
      </c>
      <c r="C40" s="3" t="s">
        <v>153</v>
      </c>
      <c r="D40" s="3" t="s">
        <v>154</v>
      </c>
      <c r="E40" s="3">
        <v>27</v>
      </c>
      <c r="F40" s="3">
        <v>8</v>
      </c>
      <c r="G40" s="3">
        <v>6</v>
      </c>
      <c r="H40" s="3">
        <v>13</v>
      </c>
      <c r="I40" s="9"/>
    </row>
    <row r="41" spans="1:9">
      <c r="A41" s="3" t="s">
        <v>155</v>
      </c>
      <c r="B41" s="3" t="s">
        <v>156</v>
      </c>
      <c r="C41" s="3" t="s">
        <v>157</v>
      </c>
      <c r="D41" s="3" t="s">
        <v>158</v>
      </c>
      <c r="E41" s="3">
        <v>5</v>
      </c>
      <c r="F41" s="3">
        <v>0</v>
      </c>
      <c r="G41" s="3">
        <v>5</v>
      </c>
      <c r="H41" s="3">
        <v>0</v>
      </c>
      <c r="I41" s="9"/>
    </row>
    <row r="42" spans="1:9">
      <c r="A42" s="3" t="s">
        <v>159</v>
      </c>
      <c r="B42" s="3" t="s">
        <v>160</v>
      </c>
      <c r="C42" s="3" t="s">
        <v>161</v>
      </c>
      <c r="D42" s="3" t="s">
        <v>162</v>
      </c>
      <c r="E42" s="3">
        <v>12</v>
      </c>
      <c r="F42" s="3">
        <v>0</v>
      </c>
      <c r="G42" s="3">
        <v>12</v>
      </c>
      <c r="H42" s="3">
        <v>0</v>
      </c>
      <c r="I42" s="9"/>
    </row>
    <row r="43" spans="1:9">
      <c r="A43" s="3" t="s">
        <v>163</v>
      </c>
      <c r="B43" s="3" t="s">
        <v>164</v>
      </c>
      <c r="C43" s="3" t="s">
        <v>165</v>
      </c>
      <c r="D43" s="3" t="s">
        <v>166</v>
      </c>
      <c r="E43" s="3">
        <v>6</v>
      </c>
      <c r="F43" s="3">
        <v>2</v>
      </c>
      <c r="G43" s="3">
        <v>2</v>
      </c>
      <c r="H43" s="3">
        <v>2</v>
      </c>
      <c r="I43" s="9"/>
    </row>
    <row r="44" spans="1:9">
      <c r="A44" s="3" t="s">
        <v>167</v>
      </c>
      <c r="B44" s="3" t="s">
        <v>168</v>
      </c>
      <c r="C44" s="3" t="s">
        <v>169</v>
      </c>
      <c r="D44" s="3" t="s">
        <v>170</v>
      </c>
      <c r="E44" s="3">
        <v>106</v>
      </c>
      <c r="F44" s="3">
        <v>1</v>
      </c>
      <c r="G44" s="3">
        <v>96</v>
      </c>
      <c r="H44" s="3">
        <v>9</v>
      </c>
      <c r="I44" s="9"/>
    </row>
    <row r="45" spans="1:9">
      <c r="A45" s="3" t="s">
        <v>171</v>
      </c>
      <c r="B45" s="3" t="s">
        <v>172</v>
      </c>
      <c r="C45" s="3" t="s">
        <v>173</v>
      </c>
      <c r="D45" s="3" t="s">
        <v>174</v>
      </c>
      <c r="E45" s="3">
        <v>3</v>
      </c>
      <c r="F45" s="3">
        <v>0</v>
      </c>
      <c r="G45" s="3">
        <v>3</v>
      </c>
      <c r="H45" s="3">
        <v>0</v>
      </c>
      <c r="I45" s="9"/>
    </row>
    <row r="46" spans="1:9">
      <c r="A46" s="3" t="s">
        <v>175</v>
      </c>
      <c r="B46" s="3" t="s">
        <v>176</v>
      </c>
      <c r="C46" s="3" t="s">
        <v>177</v>
      </c>
      <c r="D46" s="3" t="s">
        <v>178</v>
      </c>
      <c r="E46" s="3">
        <v>1</v>
      </c>
      <c r="F46" s="3">
        <v>0</v>
      </c>
      <c r="G46" s="3">
        <v>0</v>
      </c>
      <c r="H46" s="3">
        <v>1</v>
      </c>
      <c r="I46" s="9"/>
    </row>
    <row r="47" spans="1:9">
      <c r="A47" s="3" t="s">
        <v>179</v>
      </c>
      <c r="B47" s="3" t="s">
        <v>180</v>
      </c>
      <c r="C47" s="3" t="s">
        <v>181</v>
      </c>
      <c r="D47" s="3" t="s">
        <v>142</v>
      </c>
      <c r="E47" s="3">
        <v>5</v>
      </c>
      <c r="F47" s="3">
        <v>2</v>
      </c>
      <c r="G47" s="3">
        <v>1</v>
      </c>
      <c r="H47" s="3">
        <v>2</v>
      </c>
      <c r="I47" s="9"/>
    </row>
    <row r="48" spans="1:9">
      <c r="A48" s="3" t="s">
        <v>182</v>
      </c>
      <c r="B48" s="3" t="s">
        <v>183</v>
      </c>
      <c r="C48" s="3" t="s">
        <v>184</v>
      </c>
      <c r="D48" s="3" t="s">
        <v>185</v>
      </c>
      <c r="E48" s="3">
        <v>23</v>
      </c>
      <c r="F48" s="3">
        <v>6</v>
      </c>
      <c r="G48" s="3">
        <v>3</v>
      </c>
      <c r="H48" s="3">
        <v>14</v>
      </c>
      <c r="I48" s="9"/>
    </row>
    <row r="49" spans="1:9">
      <c r="A49" s="3" t="s">
        <v>186</v>
      </c>
      <c r="B49" s="3" t="s">
        <v>187</v>
      </c>
      <c r="C49" s="3" t="s">
        <v>188</v>
      </c>
      <c r="D49" s="3" t="s">
        <v>189</v>
      </c>
      <c r="E49" s="3">
        <v>17</v>
      </c>
      <c r="F49" s="3">
        <v>1</v>
      </c>
      <c r="G49" s="3">
        <v>7</v>
      </c>
      <c r="H49" s="3">
        <v>9</v>
      </c>
      <c r="I49" s="9"/>
    </row>
    <row r="50" spans="1:9">
      <c r="A50" s="3" t="s">
        <v>190</v>
      </c>
      <c r="B50" s="3" t="s">
        <v>191</v>
      </c>
      <c r="C50" s="3" t="s">
        <v>192</v>
      </c>
      <c r="D50" s="3" t="s">
        <v>193</v>
      </c>
      <c r="E50" s="3">
        <v>35</v>
      </c>
      <c r="F50" s="3">
        <v>1</v>
      </c>
      <c r="G50" s="3">
        <v>31</v>
      </c>
      <c r="H50" s="3">
        <v>3</v>
      </c>
      <c r="I50" s="9"/>
    </row>
    <row r="51" spans="1:9">
      <c r="A51" s="3" t="s">
        <v>194</v>
      </c>
      <c r="B51" s="3" t="s">
        <v>195</v>
      </c>
      <c r="C51" s="3" t="s">
        <v>196</v>
      </c>
      <c r="D51" s="3" t="s">
        <v>197</v>
      </c>
      <c r="E51" s="3">
        <v>11</v>
      </c>
      <c r="F51" s="3">
        <v>4</v>
      </c>
      <c r="G51" s="3">
        <v>2</v>
      </c>
      <c r="H51" s="3">
        <v>5</v>
      </c>
      <c r="I51" s="9"/>
    </row>
    <row r="52" spans="1:9">
      <c r="A52" s="3" t="s">
        <v>198</v>
      </c>
      <c r="B52" s="3" t="s">
        <v>199</v>
      </c>
      <c r="C52" s="3" t="s">
        <v>200</v>
      </c>
      <c r="D52" s="3" t="s">
        <v>19</v>
      </c>
      <c r="E52" s="3">
        <v>2</v>
      </c>
      <c r="F52" s="3">
        <v>0</v>
      </c>
      <c r="G52" s="3">
        <v>0</v>
      </c>
      <c r="H52" s="3">
        <v>2</v>
      </c>
      <c r="I52" s="9"/>
    </row>
    <row r="53" spans="1:9">
      <c r="A53" s="3" t="s">
        <v>201</v>
      </c>
      <c r="B53" s="3" t="s">
        <v>202</v>
      </c>
      <c r="C53" s="3" t="s">
        <v>203</v>
      </c>
      <c r="D53" s="3" t="s">
        <v>19</v>
      </c>
      <c r="E53" s="3">
        <v>1</v>
      </c>
      <c r="F53" s="3">
        <v>1</v>
      </c>
      <c r="G53" s="3">
        <v>0</v>
      </c>
      <c r="H53" s="3">
        <v>0</v>
      </c>
      <c r="I53" s="9"/>
    </row>
    <row r="54" spans="1:9">
      <c r="A54" s="3" t="s">
        <v>204</v>
      </c>
      <c r="B54" s="3" t="s">
        <v>205</v>
      </c>
      <c r="C54" s="3" t="s">
        <v>206</v>
      </c>
      <c r="D54" s="3" t="s">
        <v>207</v>
      </c>
      <c r="E54" s="3">
        <v>10</v>
      </c>
      <c r="F54" s="3">
        <v>2</v>
      </c>
      <c r="G54" s="3">
        <v>1</v>
      </c>
      <c r="H54" s="3">
        <v>7</v>
      </c>
      <c r="I54" s="9"/>
    </row>
    <row r="55" spans="1:9">
      <c r="A55" s="3" t="s">
        <v>208</v>
      </c>
      <c r="B55" s="3" t="s">
        <v>209</v>
      </c>
      <c r="C55" s="3" t="s">
        <v>210</v>
      </c>
      <c r="D55" s="3" t="s">
        <v>211</v>
      </c>
      <c r="E55" s="3">
        <v>2</v>
      </c>
      <c r="F55" s="3">
        <v>0</v>
      </c>
      <c r="G55" s="3">
        <v>0</v>
      </c>
      <c r="H55" s="3">
        <v>2</v>
      </c>
      <c r="I55" s="9"/>
    </row>
    <row r="56" spans="1:9">
      <c r="A56" s="3" t="s">
        <v>212</v>
      </c>
      <c r="B56" s="3" t="s">
        <v>213</v>
      </c>
      <c r="C56" s="3" t="s">
        <v>214</v>
      </c>
      <c r="D56" s="3" t="s">
        <v>215</v>
      </c>
      <c r="E56" s="3">
        <v>1</v>
      </c>
      <c r="F56" s="3">
        <v>1</v>
      </c>
      <c r="G56" s="3">
        <v>0</v>
      </c>
      <c r="H56" s="3">
        <v>0</v>
      </c>
      <c r="I56" s="9"/>
    </row>
    <row r="57" spans="1:9">
      <c r="A57" s="3" t="s">
        <v>216</v>
      </c>
      <c r="B57" s="3" t="s">
        <v>217</v>
      </c>
      <c r="C57" s="3" t="s">
        <v>218</v>
      </c>
      <c r="D57" s="3" t="s">
        <v>219</v>
      </c>
      <c r="E57" s="3">
        <v>5</v>
      </c>
      <c r="F57" s="3">
        <v>1</v>
      </c>
      <c r="G57" s="3">
        <v>3</v>
      </c>
      <c r="H57" s="3">
        <v>1</v>
      </c>
      <c r="I57" s="9"/>
    </row>
    <row r="58" spans="1:9">
      <c r="A58" s="3" t="s">
        <v>220</v>
      </c>
      <c r="B58" s="3" t="s">
        <v>221</v>
      </c>
      <c r="C58" s="3" t="s">
        <v>222</v>
      </c>
      <c r="D58" s="3" t="s">
        <v>223</v>
      </c>
      <c r="E58" s="3">
        <v>12</v>
      </c>
      <c r="F58" s="3">
        <v>0</v>
      </c>
      <c r="G58" s="3">
        <v>12</v>
      </c>
      <c r="H58" s="3">
        <v>0</v>
      </c>
      <c r="I58" s="9"/>
    </row>
    <row r="59" spans="1:9">
      <c r="A59" s="3" t="s">
        <v>224</v>
      </c>
      <c r="B59" s="3" t="s">
        <v>225</v>
      </c>
      <c r="C59" s="3" t="s">
        <v>226</v>
      </c>
      <c r="D59" s="3" t="s">
        <v>227</v>
      </c>
      <c r="E59" s="3">
        <v>1</v>
      </c>
      <c r="F59" s="3">
        <v>0</v>
      </c>
      <c r="G59" s="3">
        <v>0</v>
      </c>
      <c r="H59" s="3">
        <v>1</v>
      </c>
      <c r="I59" s="9"/>
    </row>
    <row r="60" spans="1:9">
      <c r="A60" s="3" t="s">
        <v>228</v>
      </c>
      <c r="B60" s="3" t="s">
        <v>229</v>
      </c>
      <c r="C60" s="3" t="s">
        <v>230</v>
      </c>
      <c r="D60" s="3" t="s">
        <v>231</v>
      </c>
      <c r="E60" s="3">
        <v>5</v>
      </c>
      <c r="F60" s="3">
        <v>1</v>
      </c>
      <c r="G60" s="3">
        <v>3</v>
      </c>
      <c r="H60" s="3">
        <v>1</v>
      </c>
      <c r="I60" s="9"/>
    </row>
    <row r="61" spans="1:9">
      <c r="A61" s="3" t="s">
        <v>232</v>
      </c>
      <c r="B61" s="3" t="s">
        <v>233</v>
      </c>
      <c r="C61" s="3" t="s">
        <v>234</v>
      </c>
      <c r="D61" s="3" t="s">
        <v>235</v>
      </c>
      <c r="E61" s="3">
        <v>5</v>
      </c>
      <c r="F61" s="3">
        <v>0</v>
      </c>
      <c r="G61" s="3">
        <v>0</v>
      </c>
      <c r="H61" s="3">
        <v>5</v>
      </c>
      <c r="I61" s="9"/>
    </row>
    <row r="62" spans="1:9">
      <c r="A62" s="3" t="s">
        <v>236</v>
      </c>
      <c r="B62" s="3" t="s">
        <v>237</v>
      </c>
      <c r="C62" s="3" t="s">
        <v>238</v>
      </c>
      <c r="D62" s="3" t="s">
        <v>239</v>
      </c>
      <c r="E62" s="3">
        <v>2</v>
      </c>
      <c r="F62" s="3">
        <v>0</v>
      </c>
      <c r="G62" s="3">
        <v>2</v>
      </c>
      <c r="H62" s="3">
        <v>0</v>
      </c>
      <c r="I62" s="9"/>
    </row>
    <row r="63" spans="1:9">
      <c r="A63" s="3" t="s">
        <v>240</v>
      </c>
      <c r="B63" s="3" t="s">
        <v>241</v>
      </c>
      <c r="C63" s="3" t="s">
        <v>242</v>
      </c>
      <c r="D63" s="3" t="s">
        <v>243</v>
      </c>
      <c r="E63" s="3">
        <v>5</v>
      </c>
      <c r="F63" s="3">
        <v>0</v>
      </c>
      <c r="G63" s="3">
        <v>4</v>
      </c>
      <c r="H63" s="3">
        <v>1</v>
      </c>
      <c r="I63" s="9"/>
    </row>
    <row r="64" spans="1:9">
      <c r="A64" s="3" t="s">
        <v>244</v>
      </c>
      <c r="B64" s="3" t="s">
        <v>245</v>
      </c>
      <c r="C64" s="3" t="s">
        <v>246</v>
      </c>
      <c r="D64" s="3" t="s">
        <v>247</v>
      </c>
      <c r="E64" s="3">
        <v>1</v>
      </c>
      <c r="F64" s="3">
        <v>0</v>
      </c>
      <c r="G64" s="3">
        <v>0</v>
      </c>
      <c r="H64" s="3">
        <v>1</v>
      </c>
      <c r="I64" s="9"/>
    </row>
    <row r="65" spans="1:9">
      <c r="A65" s="3" t="s">
        <v>248</v>
      </c>
      <c r="B65" s="3" t="s">
        <v>249</v>
      </c>
      <c r="C65" s="3" t="s">
        <v>250</v>
      </c>
      <c r="D65" s="3" t="s">
        <v>251</v>
      </c>
      <c r="E65" s="3">
        <v>1</v>
      </c>
      <c r="F65" s="3">
        <v>1</v>
      </c>
      <c r="G65" s="3">
        <v>0</v>
      </c>
      <c r="H65" s="3">
        <v>0</v>
      </c>
      <c r="I65" s="9"/>
    </row>
    <row r="66" spans="1:9">
      <c r="A66" s="3" t="s">
        <v>252</v>
      </c>
      <c r="B66" s="3" t="s">
        <v>253</v>
      </c>
      <c r="C66" s="3" t="s">
        <v>254</v>
      </c>
      <c r="D66" s="3" t="s">
        <v>255</v>
      </c>
      <c r="E66" s="3">
        <v>4</v>
      </c>
      <c r="F66" s="3">
        <v>1</v>
      </c>
      <c r="G66" s="3">
        <v>0</v>
      </c>
      <c r="H66" s="3">
        <v>3</v>
      </c>
      <c r="I66" s="9"/>
    </row>
    <row r="67" spans="1:9">
      <c r="A67" s="3" t="s">
        <v>256</v>
      </c>
      <c r="B67" s="3" t="s">
        <v>257</v>
      </c>
      <c r="C67" s="3" t="s">
        <v>258</v>
      </c>
      <c r="D67" s="3" t="s">
        <v>259</v>
      </c>
      <c r="E67" s="3">
        <v>1</v>
      </c>
      <c r="F67" s="3">
        <v>0</v>
      </c>
      <c r="G67" s="3">
        <v>0</v>
      </c>
      <c r="H67" s="3">
        <v>1</v>
      </c>
      <c r="I67" s="9"/>
    </row>
    <row r="68" spans="1:9">
      <c r="A68" s="3" t="s">
        <v>260</v>
      </c>
      <c r="B68" s="3" t="s">
        <v>261</v>
      </c>
      <c r="C68" s="3" t="s">
        <v>262</v>
      </c>
      <c r="D68" s="3" t="s">
        <v>263</v>
      </c>
      <c r="E68" s="3">
        <v>3</v>
      </c>
      <c r="F68" s="3">
        <v>0</v>
      </c>
      <c r="G68" s="3">
        <v>2</v>
      </c>
      <c r="H68" s="3">
        <v>1</v>
      </c>
      <c r="I68" s="9"/>
    </row>
    <row r="69" spans="1:9">
      <c r="A69" s="3" t="s">
        <v>264</v>
      </c>
      <c r="B69" s="3" t="s">
        <v>265</v>
      </c>
      <c r="C69" s="3" t="s">
        <v>266</v>
      </c>
      <c r="D69" s="3" t="s">
        <v>267</v>
      </c>
      <c r="E69" s="3">
        <v>4</v>
      </c>
      <c r="F69" s="3">
        <v>0</v>
      </c>
      <c r="G69" s="3">
        <v>4</v>
      </c>
      <c r="H69" s="3">
        <v>0</v>
      </c>
      <c r="I69" s="9"/>
    </row>
    <row r="70" spans="1:9">
      <c r="A70" s="3" t="s">
        <v>268</v>
      </c>
      <c r="B70" s="3" t="s">
        <v>269</v>
      </c>
      <c r="C70" s="3" t="s">
        <v>270</v>
      </c>
      <c r="D70" s="3" t="s">
        <v>271</v>
      </c>
      <c r="E70" s="3">
        <v>2</v>
      </c>
      <c r="F70" s="3">
        <v>1</v>
      </c>
      <c r="G70" s="3">
        <v>1</v>
      </c>
      <c r="H70" s="3">
        <v>0</v>
      </c>
      <c r="I70" s="9"/>
    </row>
    <row r="71" spans="1:9">
      <c r="A71" s="3" t="s">
        <v>272</v>
      </c>
      <c r="B71" s="3" t="s">
        <v>273</v>
      </c>
      <c r="C71" s="3" t="s">
        <v>274</v>
      </c>
      <c r="D71" s="3" t="s">
        <v>275</v>
      </c>
      <c r="E71" s="3">
        <v>2</v>
      </c>
      <c r="F71" s="3">
        <v>1</v>
      </c>
      <c r="G71" s="3">
        <v>0</v>
      </c>
      <c r="H71" s="3">
        <v>1</v>
      </c>
      <c r="I71" s="9"/>
    </row>
    <row r="72" spans="1:9">
      <c r="A72" s="3" t="s">
        <v>276</v>
      </c>
      <c r="B72" s="3" t="s">
        <v>277</v>
      </c>
      <c r="C72" s="3" t="s">
        <v>278</v>
      </c>
      <c r="D72" s="3" t="s">
        <v>279</v>
      </c>
      <c r="E72" s="3">
        <v>11</v>
      </c>
      <c r="F72" s="3">
        <v>0</v>
      </c>
      <c r="G72" s="3">
        <v>11</v>
      </c>
      <c r="H72" s="3">
        <v>0</v>
      </c>
      <c r="I72" s="9"/>
    </row>
    <row r="73" spans="1:9">
      <c r="A73" s="3" t="s">
        <v>280</v>
      </c>
      <c r="B73" s="3" t="s">
        <v>281</v>
      </c>
      <c r="C73" s="3" t="s">
        <v>282</v>
      </c>
      <c r="D73" s="3" t="s">
        <v>283</v>
      </c>
      <c r="E73" s="3">
        <v>10</v>
      </c>
      <c r="F73" s="3">
        <v>0</v>
      </c>
      <c r="G73" s="3">
        <v>10</v>
      </c>
      <c r="H73" s="3">
        <v>0</v>
      </c>
      <c r="I73" s="9"/>
    </row>
    <row r="74" spans="1:9">
      <c r="A74" s="3" t="s">
        <v>284</v>
      </c>
      <c r="B74" s="3" t="s">
        <v>285</v>
      </c>
      <c r="C74" s="3" t="s">
        <v>286</v>
      </c>
      <c r="D74" s="3" t="s">
        <v>287</v>
      </c>
      <c r="E74" s="3">
        <v>5</v>
      </c>
      <c r="F74" s="3">
        <v>0</v>
      </c>
      <c r="G74" s="3">
        <v>5</v>
      </c>
      <c r="H74" s="3">
        <v>0</v>
      </c>
      <c r="I74" s="9"/>
    </row>
    <row r="75" spans="1:9">
      <c r="A75" s="3" t="s">
        <v>288</v>
      </c>
      <c r="B75" s="3" t="s">
        <v>289</v>
      </c>
      <c r="C75" s="3" t="s">
        <v>290</v>
      </c>
      <c r="D75" s="3" t="s">
        <v>291</v>
      </c>
      <c r="E75" s="3">
        <v>3</v>
      </c>
      <c r="F75" s="3">
        <v>0</v>
      </c>
      <c r="G75" s="3">
        <v>3</v>
      </c>
      <c r="H75" s="3">
        <v>0</v>
      </c>
      <c r="I75" s="9"/>
    </row>
    <row r="76" spans="1:9">
      <c r="A76" s="3" t="s">
        <v>292</v>
      </c>
      <c r="B76" s="3" t="s">
        <v>293</v>
      </c>
      <c r="C76" s="3" t="s">
        <v>294</v>
      </c>
      <c r="D76" s="3" t="s">
        <v>295</v>
      </c>
      <c r="E76" s="3">
        <v>1</v>
      </c>
      <c r="F76" s="3">
        <v>1</v>
      </c>
      <c r="G76" s="3">
        <v>0</v>
      </c>
      <c r="H76" s="3">
        <v>0</v>
      </c>
      <c r="I76" s="9"/>
    </row>
    <row r="77" spans="1:9">
      <c r="A77" s="3" t="s">
        <v>296</v>
      </c>
      <c r="B77" s="3" t="s">
        <v>297</v>
      </c>
      <c r="C77" s="3" t="s">
        <v>298</v>
      </c>
      <c r="D77" s="3" t="s">
        <v>299</v>
      </c>
      <c r="E77" s="3">
        <v>3</v>
      </c>
      <c r="F77" s="3">
        <v>0</v>
      </c>
      <c r="G77" s="3">
        <v>0</v>
      </c>
      <c r="H77" s="3">
        <v>3</v>
      </c>
      <c r="I77" s="9"/>
    </row>
    <row r="78" spans="1:9">
      <c r="A78" s="3" t="s">
        <v>300</v>
      </c>
      <c r="B78" s="3" t="s">
        <v>301</v>
      </c>
      <c r="C78" s="3" t="s">
        <v>302</v>
      </c>
      <c r="D78" s="3" t="s">
        <v>303</v>
      </c>
      <c r="E78" s="3">
        <v>1</v>
      </c>
      <c r="F78" s="3">
        <v>0</v>
      </c>
      <c r="G78" s="3">
        <v>1</v>
      </c>
      <c r="H78" s="3">
        <v>0</v>
      </c>
      <c r="I78" s="9"/>
    </row>
    <row r="79" spans="1:9">
      <c r="A79" s="3" t="s">
        <v>304</v>
      </c>
      <c r="B79" s="3" t="s">
        <v>305</v>
      </c>
      <c r="C79" s="3" t="s">
        <v>306</v>
      </c>
      <c r="D79" s="3" t="s">
        <v>307</v>
      </c>
      <c r="E79" s="3">
        <v>6</v>
      </c>
      <c r="F79" s="3">
        <v>0</v>
      </c>
      <c r="G79" s="3">
        <v>6</v>
      </c>
      <c r="H79" s="3">
        <v>0</v>
      </c>
      <c r="I79" s="9"/>
    </row>
    <row r="80" spans="1:9">
      <c r="A80" s="3" t="s">
        <v>308</v>
      </c>
      <c r="B80" s="3" t="s">
        <v>309</v>
      </c>
      <c r="C80" s="3" t="s">
        <v>310</v>
      </c>
      <c r="D80" s="3" t="s">
        <v>311</v>
      </c>
      <c r="E80" s="3">
        <v>2</v>
      </c>
      <c r="F80" s="3">
        <v>0</v>
      </c>
      <c r="G80" s="3">
        <v>1</v>
      </c>
      <c r="H80" s="3">
        <v>1</v>
      </c>
      <c r="I80" s="9"/>
    </row>
    <row r="81" spans="1:9">
      <c r="A81" s="3" t="s">
        <v>312</v>
      </c>
      <c r="B81" s="3" t="s">
        <v>313</v>
      </c>
      <c r="C81" s="3" t="s">
        <v>314</v>
      </c>
      <c r="D81" s="3" t="s">
        <v>315</v>
      </c>
      <c r="E81" s="3">
        <v>1</v>
      </c>
      <c r="F81" s="3">
        <v>1</v>
      </c>
      <c r="G81" s="3">
        <v>0</v>
      </c>
      <c r="H81" s="3">
        <v>0</v>
      </c>
      <c r="I81" s="9"/>
    </row>
    <row r="82" spans="1:9">
      <c r="A82" s="3" t="s">
        <v>316</v>
      </c>
      <c r="B82" s="3" t="s">
        <v>317</v>
      </c>
      <c r="C82" s="3" t="s">
        <v>318</v>
      </c>
      <c r="D82" s="3" t="s">
        <v>319</v>
      </c>
      <c r="E82" s="3">
        <v>3</v>
      </c>
      <c r="F82" s="3">
        <v>1</v>
      </c>
      <c r="G82" s="3">
        <v>1</v>
      </c>
      <c r="H82" s="3">
        <v>1</v>
      </c>
      <c r="I82" s="9"/>
    </row>
    <row r="83" spans="1:9">
      <c r="A83" s="3" t="s">
        <v>320</v>
      </c>
      <c r="B83" s="3" t="s">
        <v>321</v>
      </c>
      <c r="C83" s="3" t="s">
        <v>322</v>
      </c>
      <c r="D83" s="3" t="s">
        <v>323</v>
      </c>
      <c r="E83" s="3">
        <v>1</v>
      </c>
      <c r="F83" s="3">
        <v>0</v>
      </c>
      <c r="G83" s="3">
        <v>0</v>
      </c>
      <c r="H83" s="3">
        <v>1</v>
      </c>
      <c r="I83" s="9"/>
    </row>
    <row r="84" spans="1:9">
      <c r="A84" s="3" t="s">
        <v>324</v>
      </c>
      <c r="B84" s="3" t="s">
        <v>325</v>
      </c>
      <c r="C84" s="3" t="s">
        <v>326</v>
      </c>
      <c r="D84" s="3" t="s">
        <v>327</v>
      </c>
      <c r="E84" s="3">
        <v>2</v>
      </c>
      <c r="F84" s="3">
        <v>1</v>
      </c>
      <c r="G84" s="3">
        <v>1</v>
      </c>
      <c r="H84" s="3">
        <v>0</v>
      </c>
      <c r="I84" s="9"/>
    </row>
    <row r="85" spans="1:9">
      <c r="A85" s="3" t="s">
        <v>328</v>
      </c>
      <c r="B85" s="3" t="s">
        <v>329</v>
      </c>
      <c r="C85" s="3" t="s">
        <v>330</v>
      </c>
      <c r="D85" s="3" t="s">
        <v>331</v>
      </c>
      <c r="E85" s="3">
        <v>2</v>
      </c>
      <c r="F85" s="3">
        <v>1</v>
      </c>
      <c r="G85" s="3">
        <v>1</v>
      </c>
      <c r="H85" s="3">
        <v>0</v>
      </c>
      <c r="I85" s="9"/>
    </row>
    <row r="86" spans="1:9">
      <c r="A86" s="3" t="s">
        <v>332</v>
      </c>
      <c r="B86" s="3" t="s">
        <v>333</v>
      </c>
      <c r="C86" s="3" t="s">
        <v>334</v>
      </c>
      <c r="D86" s="3" t="s">
        <v>335</v>
      </c>
      <c r="E86" s="3">
        <v>1</v>
      </c>
      <c r="F86" s="3">
        <v>0</v>
      </c>
      <c r="G86" s="3">
        <v>0</v>
      </c>
      <c r="H86" s="3">
        <v>1</v>
      </c>
      <c r="I86" s="9"/>
    </row>
    <row r="87" spans="1:9">
      <c r="A87" s="3" t="s">
        <v>336</v>
      </c>
      <c r="B87" s="3" t="s">
        <v>337</v>
      </c>
      <c r="C87" s="3" t="s">
        <v>338</v>
      </c>
      <c r="D87" s="3" t="s">
        <v>339</v>
      </c>
      <c r="E87" s="3">
        <v>2</v>
      </c>
      <c r="F87" s="3">
        <v>0</v>
      </c>
      <c r="G87" s="3">
        <v>0</v>
      </c>
      <c r="H87" s="3">
        <v>2</v>
      </c>
      <c r="I87" s="9"/>
    </row>
    <row r="88" spans="1:9">
      <c r="A88" s="3" t="s">
        <v>340</v>
      </c>
      <c r="B88" s="3" t="s">
        <v>341</v>
      </c>
      <c r="C88" s="3" t="s">
        <v>342</v>
      </c>
      <c r="D88" s="3" t="s">
        <v>343</v>
      </c>
      <c r="E88" s="3">
        <v>8</v>
      </c>
      <c r="F88" s="3">
        <v>0</v>
      </c>
      <c r="G88" s="3">
        <v>0</v>
      </c>
      <c r="H88" s="3">
        <v>8</v>
      </c>
      <c r="I88" s="9"/>
    </row>
    <row r="89" spans="1:9">
      <c r="A89" s="3" t="s">
        <v>344</v>
      </c>
      <c r="B89" s="3" t="s">
        <v>345</v>
      </c>
      <c r="C89" s="3" t="s">
        <v>346</v>
      </c>
      <c r="D89" s="3" t="s">
        <v>347</v>
      </c>
      <c r="E89" s="3">
        <v>5</v>
      </c>
      <c r="F89" s="3">
        <v>0</v>
      </c>
      <c r="G89" s="3">
        <v>0</v>
      </c>
      <c r="H89" s="3">
        <v>5</v>
      </c>
      <c r="I89" s="9"/>
    </row>
    <row r="90" spans="1:9">
      <c r="A90" s="3" t="s">
        <v>348</v>
      </c>
      <c r="B90" s="3" t="s">
        <v>349</v>
      </c>
      <c r="C90" s="3" t="s">
        <v>350</v>
      </c>
      <c r="D90" s="3" t="s">
        <v>351</v>
      </c>
      <c r="E90" s="3">
        <v>1</v>
      </c>
      <c r="F90" s="3">
        <v>0</v>
      </c>
      <c r="G90" s="3">
        <v>0</v>
      </c>
      <c r="H90" s="3">
        <v>1</v>
      </c>
      <c r="I90" s="9"/>
    </row>
    <row r="91" spans="1:9">
      <c r="A91" s="3" t="s">
        <v>352</v>
      </c>
      <c r="B91" s="3" t="s">
        <v>353</v>
      </c>
      <c r="C91" s="3" t="s">
        <v>354</v>
      </c>
      <c r="D91" s="3" t="s">
        <v>355</v>
      </c>
      <c r="E91" s="3">
        <v>1</v>
      </c>
      <c r="F91" s="3">
        <v>1</v>
      </c>
      <c r="G91" s="3">
        <v>0</v>
      </c>
      <c r="H91" s="3">
        <v>0</v>
      </c>
      <c r="I91" s="9"/>
    </row>
    <row r="92" spans="1:9">
      <c r="A92" s="3" t="s">
        <v>356</v>
      </c>
      <c r="B92" s="3" t="s">
        <v>357</v>
      </c>
      <c r="C92" s="3" t="s">
        <v>358</v>
      </c>
      <c r="D92" s="3" t="s">
        <v>359</v>
      </c>
      <c r="E92" s="3">
        <v>2</v>
      </c>
      <c r="F92" s="3">
        <v>1</v>
      </c>
      <c r="G92" s="3">
        <v>1</v>
      </c>
      <c r="H92" s="3">
        <v>0</v>
      </c>
      <c r="I92" s="9"/>
    </row>
    <row r="93" spans="1:9">
      <c r="A93" s="3" t="s">
        <v>360</v>
      </c>
      <c r="B93" s="3" t="s">
        <v>361</v>
      </c>
      <c r="C93" s="3" t="s">
        <v>362</v>
      </c>
      <c r="D93" s="3" t="s">
        <v>363</v>
      </c>
      <c r="E93" s="3">
        <v>2</v>
      </c>
      <c r="F93" s="3">
        <v>1</v>
      </c>
      <c r="G93" s="3">
        <v>1</v>
      </c>
      <c r="H93" s="3">
        <v>0</v>
      </c>
      <c r="I93" s="9"/>
    </row>
    <row r="94" spans="1:9">
      <c r="A94" s="3" t="s">
        <v>364</v>
      </c>
      <c r="B94" s="3" t="s">
        <v>365</v>
      </c>
      <c r="C94" s="3" t="s">
        <v>366</v>
      </c>
      <c r="D94" s="3" t="s">
        <v>367</v>
      </c>
      <c r="E94" s="3">
        <v>4</v>
      </c>
      <c r="F94" s="3">
        <v>1</v>
      </c>
      <c r="G94" s="3">
        <v>2</v>
      </c>
      <c r="H94" s="3">
        <v>1</v>
      </c>
      <c r="I94" s="9"/>
    </row>
    <row r="95" spans="1:9">
      <c r="A95" s="3" t="s">
        <v>368</v>
      </c>
      <c r="B95" s="3" t="s">
        <v>369</v>
      </c>
      <c r="C95" s="3" t="s">
        <v>370</v>
      </c>
      <c r="D95" s="3" t="s">
        <v>371</v>
      </c>
      <c r="E95" s="3">
        <v>1</v>
      </c>
      <c r="F95" s="3">
        <v>0</v>
      </c>
      <c r="G95" s="3">
        <v>0</v>
      </c>
      <c r="H95" s="3">
        <v>1</v>
      </c>
      <c r="I95" s="9"/>
    </row>
    <row r="96" spans="1:9">
      <c r="A96" s="3" t="s">
        <v>372</v>
      </c>
      <c r="B96" s="3" t="s">
        <v>373</v>
      </c>
      <c r="C96" s="3" t="s">
        <v>374</v>
      </c>
      <c r="D96" s="3" t="s">
        <v>375</v>
      </c>
      <c r="E96" s="3">
        <v>4</v>
      </c>
      <c r="F96" s="3">
        <v>0</v>
      </c>
      <c r="G96" s="3">
        <v>0</v>
      </c>
      <c r="H96" s="3">
        <v>4</v>
      </c>
      <c r="I96" s="9"/>
    </row>
    <row r="97" spans="1:9">
      <c r="A97" s="3" t="s">
        <v>376</v>
      </c>
      <c r="B97" s="3" t="s">
        <v>377</v>
      </c>
      <c r="C97" s="3" t="s">
        <v>378</v>
      </c>
      <c r="D97" s="3" t="s">
        <v>379</v>
      </c>
      <c r="E97" s="3">
        <v>1</v>
      </c>
      <c r="F97" s="3">
        <v>0</v>
      </c>
      <c r="G97" s="3">
        <v>0</v>
      </c>
      <c r="H97" s="3">
        <v>1</v>
      </c>
      <c r="I97" s="9"/>
    </row>
    <row r="98" spans="1:9">
      <c r="A98" s="3" t="s">
        <v>380</v>
      </c>
      <c r="B98" s="3" t="s">
        <v>381</v>
      </c>
      <c r="C98" s="3" t="s">
        <v>382</v>
      </c>
      <c r="D98" s="3" t="s">
        <v>383</v>
      </c>
      <c r="E98" s="3">
        <v>4</v>
      </c>
      <c r="F98" s="3">
        <v>2</v>
      </c>
      <c r="G98" s="3">
        <v>1</v>
      </c>
      <c r="H98" s="3">
        <v>1</v>
      </c>
      <c r="I98" s="9"/>
    </row>
    <row r="99" spans="1:9">
      <c r="A99" s="3" t="s">
        <v>384</v>
      </c>
      <c r="B99" s="3" t="s">
        <v>385</v>
      </c>
      <c r="C99" s="3" t="s">
        <v>386</v>
      </c>
      <c r="D99" s="3" t="s">
        <v>387</v>
      </c>
      <c r="E99" s="3">
        <v>17</v>
      </c>
      <c r="F99" s="3">
        <v>1</v>
      </c>
      <c r="G99" s="3">
        <v>15</v>
      </c>
      <c r="H99" s="3">
        <v>1</v>
      </c>
      <c r="I99" s="9"/>
    </row>
    <row r="100" spans="1:9">
      <c r="A100" s="3" t="s">
        <v>388</v>
      </c>
      <c r="B100" s="3" t="s">
        <v>389</v>
      </c>
      <c r="C100" s="3" t="s">
        <v>390</v>
      </c>
      <c r="D100" s="3" t="s">
        <v>391</v>
      </c>
      <c r="E100" s="3">
        <v>47</v>
      </c>
      <c r="F100" s="3">
        <v>5</v>
      </c>
      <c r="G100" s="3">
        <v>39</v>
      </c>
      <c r="H100" s="3">
        <v>3</v>
      </c>
      <c r="I100" s="9"/>
    </row>
    <row r="101" spans="1:9">
      <c r="A101" s="3" t="s">
        <v>392</v>
      </c>
      <c r="B101" s="3" t="s">
        <v>393</v>
      </c>
      <c r="C101" s="3" t="s">
        <v>394</v>
      </c>
      <c r="D101" s="3" t="s">
        <v>395</v>
      </c>
      <c r="E101" s="3">
        <v>2</v>
      </c>
      <c r="F101" s="3">
        <v>1</v>
      </c>
      <c r="G101" s="3">
        <v>0</v>
      </c>
      <c r="H101" s="3">
        <v>1</v>
      </c>
      <c r="I101" s="9"/>
    </row>
    <row r="102" spans="1:9">
      <c r="A102" s="3" t="s">
        <v>396</v>
      </c>
      <c r="B102" s="3" t="s">
        <v>397</v>
      </c>
      <c r="C102" s="3" t="s">
        <v>398</v>
      </c>
      <c r="D102" s="3" t="s">
        <v>399</v>
      </c>
      <c r="E102" s="3">
        <v>56</v>
      </c>
      <c r="F102" s="3">
        <v>1</v>
      </c>
      <c r="G102" s="3">
        <v>50</v>
      </c>
      <c r="H102" s="3">
        <v>5</v>
      </c>
      <c r="I102" s="9"/>
    </row>
    <row r="103" spans="1:9">
      <c r="A103" s="3" t="s">
        <v>400</v>
      </c>
      <c r="B103" s="3" t="s">
        <v>401</v>
      </c>
      <c r="C103" s="3" t="s">
        <v>402</v>
      </c>
      <c r="D103" s="3" t="s">
        <v>403</v>
      </c>
      <c r="E103" s="3">
        <v>9</v>
      </c>
      <c r="F103" s="3">
        <v>0</v>
      </c>
      <c r="G103" s="3">
        <v>0</v>
      </c>
      <c r="H103" s="3">
        <v>9</v>
      </c>
      <c r="I103" s="9"/>
    </row>
    <row r="104" spans="1:9">
      <c r="A104" s="3" t="s">
        <v>404</v>
      </c>
      <c r="B104" s="3" t="s">
        <v>405</v>
      </c>
      <c r="C104" s="3" t="s">
        <v>406</v>
      </c>
      <c r="D104" s="3" t="s">
        <v>407</v>
      </c>
      <c r="E104" s="3">
        <v>1</v>
      </c>
      <c r="F104" s="3">
        <v>0</v>
      </c>
      <c r="G104" s="3">
        <v>0</v>
      </c>
      <c r="H104" s="3">
        <v>1</v>
      </c>
      <c r="I104" s="9"/>
    </row>
    <row r="105" spans="1:9">
      <c r="A105" s="3" t="s">
        <v>408</v>
      </c>
      <c r="B105" s="3" t="s">
        <v>409</v>
      </c>
      <c r="C105" s="3" t="s">
        <v>410</v>
      </c>
      <c r="D105" s="3" t="s">
        <v>411</v>
      </c>
      <c r="E105" s="3">
        <v>22</v>
      </c>
      <c r="F105" s="3">
        <v>0</v>
      </c>
      <c r="G105" s="3">
        <v>22</v>
      </c>
      <c r="H105" s="3">
        <v>0</v>
      </c>
      <c r="I105" s="9"/>
    </row>
    <row r="106" spans="1:9">
      <c r="A106" s="3" t="s">
        <v>412</v>
      </c>
      <c r="B106" s="3" t="s">
        <v>413</v>
      </c>
      <c r="C106" s="3" t="s">
        <v>414</v>
      </c>
      <c r="D106" s="3" t="s">
        <v>415</v>
      </c>
      <c r="E106" s="3">
        <v>3</v>
      </c>
      <c r="F106" s="3">
        <v>1</v>
      </c>
      <c r="G106" s="3">
        <v>2</v>
      </c>
      <c r="H106" s="3">
        <v>0</v>
      </c>
      <c r="I106" s="9"/>
    </row>
    <row r="107" spans="1:9">
      <c r="A107" s="3" t="s">
        <v>416</v>
      </c>
      <c r="B107" s="3" t="s">
        <v>417</v>
      </c>
      <c r="C107" s="3" t="s">
        <v>418</v>
      </c>
      <c r="D107" s="3" t="s">
        <v>419</v>
      </c>
      <c r="E107" s="3">
        <v>4</v>
      </c>
      <c r="F107" s="3">
        <v>1</v>
      </c>
      <c r="G107" s="3">
        <v>1</v>
      </c>
      <c r="H107" s="3">
        <v>2</v>
      </c>
      <c r="I107" s="9"/>
    </row>
    <row r="108" spans="1:9">
      <c r="A108" s="3" t="s">
        <v>420</v>
      </c>
      <c r="B108" s="3" t="s">
        <v>421</v>
      </c>
      <c r="C108" s="3" t="s">
        <v>422</v>
      </c>
      <c r="D108" s="3" t="s">
        <v>423</v>
      </c>
      <c r="E108" s="3">
        <v>1</v>
      </c>
      <c r="F108" s="3">
        <v>0</v>
      </c>
      <c r="G108" s="3">
        <v>0</v>
      </c>
      <c r="H108" s="3">
        <v>1</v>
      </c>
      <c r="I108" s="9"/>
    </row>
    <row r="109" spans="1:9">
      <c r="A109" s="3" t="s">
        <v>424</v>
      </c>
      <c r="B109" s="3" t="s">
        <v>425</v>
      </c>
      <c r="C109" s="3" t="s">
        <v>426</v>
      </c>
      <c r="D109" s="3" t="s">
        <v>427</v>
      </c>
      <c r="E109" s="3">
        <v>2</v>
      </c>
      <c r="F109" s="3">
        <v>1</v>
      </c>
      <c r="G109" s="3">
        <v>1</v>
      </c>
      <c r="H109" s="3">
        <v>0</v>
      </c>
      <c r="I109" s="9"/>
    </row>
    <row r="110" spans="1:9">
      <c r="A110" s="3" t="s">
        <v>428</v>
      </c>
      <c r="B110" s="3" t="s">
        <v>429</v>
      </c>
      <c r="C110" s="3" t="s">
        <v>430</v>
      </c>
      <c r="D110" s="3" t="s">
        <v>431</v>
      </c>
      <c r="E110" s="3">
        <v>1</v>
      </c>
      <c r="F110" s="3">
        <v>1</v>
      </c>
      <c r="G110" s="3">
        <v>0</v>
      </c>
      <c r="H110" s="3">
        <v>0</v>
      </c>
      <c r="I110" s="9"/>
    </row>
    <row r="111" spans="1:9">
      <c r="A111" s="3" t="s">
        <v>432</v>
      </c>
      <c r="B111" s="3" t="s">
        <v>433</v>
      </c>
      <c r="C111" s="3" t="s">
        <v>434</v>
      </c>
      <c r="D111" s="3" t="s">
        <v>403</v>
      </c>
      <c r="E111" s="3">
        <v>2</v>
      </c>
      <c r="F111" s="3">
        <v>1</v>
      </c>
      <c r="G111" s="3">
        <v>0</v>
      </c>
      <c r="H111" s="3">
        <v>1</v>
      </c>
      <c r="I111" s="9"/>
    </row>
    <row r="112" spans="1:9">
      <c r="A112" s="3" t="s">
        <v>435</v>
      </c>
      <c r="B112" s="3" t="s">
        <v>436</v>
      </c>
      <c r="C112" s="3" t="s">
        <v>437</v>
      </c>
      <c r="D112" s="3" t="s">
        <v>438</v>
      </c>
      <c r="E112" s="3">
        <v>5</v>
      </c>
      <c r="F112" s="3">
        <v>2</v>
      </c>
      <c r="G112" s="3">
        <v>0</v>
      </c>
      <c r="H112" s="3">
        <v>3</v>
      </c>
      <c r="I112" s="9"/>
    </row>
    <row r="113" spans="1:9">
      <c r="A113" s="3" t="s">
        <v>439</v>
      </c>
      <c r="B113" s="3" t="s">
        <v>440</v>
      </c>
      <c r="C113" s="3" t="s">
        <v>441</v>
      </c>
      <c r="D113" s="3" t="s">
        <v>442</v>
      </c>
      <c r="E113" s="3">
        <v>32</v>
      </c>
      <c r="F113" s="3">
        <v>4</v>
      </c>
      <c r="G113" s="3">
        <v>23</v>
      </c>
      <c r="H113" s="3">
        <v>5</v>
      </c>
      <c r="I113" s="9"/>
    </row>
    <row r="114" spans="1:9">
      <c r="A114" s="3" t="s">
        <v>443</v>
      </c>
      <c r="B114" s="3" t="s">
        <v>444</v>
      </c>
      <c r="C114" s="3" t="s">
        <v>445</v>
      </c>
      <c r="D114" s="3" t="s">
        <v>446</v>
      </c>
      <c r="E114" s="3">
        <v>55</v>
      </c>
      <c r="F114" s="3">
        <v>1</v>
      </c>
      <c r="G114" s="3">
        <v>50</v>
      </c>
      <c r="H114" s="3">
        <v>4</v>
      </c>
      <c r="I114" s="9"/>
    </row>
    <row r="115" spans="1:9">
      <c r="A115" s="3" t="s">
        <v>447</v>
      </c>
      <c r="B115" s="3" t="s">
        <v>448</v>
      </c>
      <c r="C115" s="3" t="s">
        <v>449</v>
      </c>
      <c r="D115" s="3" t="s">
        <v>450</v>
      </c>
      <c r="E115" s="3">
        <v>104</v>
      </c>
      <c r="F115" s="3">
        <v>1</v>
      </c>
      <c r="G115" s="3">
        <v>100</v>
      </c>
      <c r="H115" s="3">
        <v>3</v>
      </c>
      <c r="I115" s="9"/>
    </row>
    <row r="116" spans="1:9">
      <c r="A116" s="3" t="s">
        <v>451</v>
      </c>
      <c r="B116" s="3" t="s">
        <v>452</v>
      </c>
      <c r="C116" s="3" t="s">
        <v>453</v>
      </c>
      <c r="D116" s="3" t="s">
        <v>454</v>
      </c>
      <c r="E116" s="3">
        <v>1</v>
      </c>
      <c r="F116" s="3">
        <v>0</v>
      </c>
      <c r="G116" s="3">
        <v>0</v>
      </c>
      <c r="H116" s="3">
        <v>1</v>
      </c>
      <c r="I116" s="9"/>
    </row>
    <row r="117" spans="1:9">
      <c r="A117" s="3" t="s">
        <v>455</v>
      </c>
      <c r="B117" s="3" t="s">
        <v>456</v>
      </c>
      <c r="C117" s="3" t="s">
        <v>457</v>
      </c>
      <c r="D117" s="3" t="s">
        <v>458</v>
      </c>
      <c r="E117" s="3">
        <v>2</v>
      </c>
      <c r="F117" s="3">
        <v>2</v>
      </c>
      <c r="G117" s="3">
        <v>0</v>
      </c>
      <c r="H117" s="3">
        <v>0</v>
      </c>
      <c r="I117" s="9"/>
    </row>
    <row r="118" spans="1:9">
      <c r="A118" s="3" t="s">
        <v>459</v>
      </c>
      <c r="B118" s="3" t="s">
        <v>460</v>
      </c>
      <c r="C118" s="3" t="s">
        <v>461</v>
      </c>
      <c r="D118" s="3" t="s">
        <v>462</v>
      </c>
      <c r="E118" s="3">
        <v>16</v>
      </c>
      <c r="F118" s="3">
        <v>1</v>
      </c>
      <c r="G118" s="3">
        <v>14</v>
      </c>
      <c r="H118" s="3">
        <v>1</v>
      </c>
      <c r="I118" s="9"/>
    </row>
    <row r="119" spans="1:9">
      <c r="A119" s="3" t="s">
        <v>463</v>
      </c>
      <c r="B119" s="3" t="s">
        <v>464</v>
      </c>
      <c r="C119" s="3" t="s">
        <v>465</v>
      </c>
      <c r="D119" s="3" t="s">
        <v>466</v>
      </c>
      <c r="E119" s="3">
        <v>1</v>
      </c>
      <c r="F119" s="3">
        <v>1</v>
      </c>
      <c r="G119" s="3">
        <v>0</v>
      </c>
      <c r="H119" s="3">
        <v>0</v>
      </c>
      <c r="I119" s="9"/>
    </row>
    <row r="120" spans="1:9">
      <c r="A120" s="3" t="s">
        <v>467</v>
      </c>
      <c r="B120" s="3" t="s">
        <v>468</v>
      </c>
      <c r="C120" s="3" t="s">
        <v>469</v>
      </c>
      <c r="D120" s="3" t="s">
        <v>470</v>
      </c>
      <c r="E120" s="3">
        <v>42</v>
      </c>
      <c r="F120" s="3">
        <v>2</v>
      </c>
      <c r="G120" s="3">
        <v>32</v>
      </c>
      <c r="H120" s="3">
        <v>8</v>
      </c>
      <c r="I120" s="9"/>
    </row>
    <row r="121" spans="1:9">
      <c r="A121" s="3" t="s">
        <v>471</v>
      </c>
      <c r="B121" s="3" t="s">
        <v>472</v>
      </c>
      <c r="C121" s="3" t="s">
        <v>473</v>
      </c>
      <c r="D121" s="3" t="s">
        <v>474</v>
      </c>
      <c r="E121" s="3">
        <v>6</v>
      </c>
      <c r="F121" s="3">
        <v>1</v>
      </c>
      <c r="G121" s="3">
        <v>0</v>
      </c>
      <c r="H121" s="3">
        <v>5</v>
      </c>
      <c r="I121" s="9"/>
    </row>
    <row r="122" spans="1:9">
      <c r="A122" s="3" t="s">
        <v>475</v>
      </c>
      <c r="B122" s="3" t="s">
        <v>476</v>
      </c>
      <c r="C122" s="3" t="s">
        <v>477</v>
      </c>
      <c r="D122" s="3" t="s">
        <v>478</v>
      </c>
      <c r="E122" s="3">
        <v>1</v>
      </c>
      <c r="F122" s="3">
        <v>0</v>
      </c>
      <c r="G122" s="3">
        <v>0</v>
      </c>
      <c r="H122" s="3">
        <v>1</v>
      </c>
      <c r="I122" s="9"/>
    </row>
    <row r="123" spans="1:9">
      <c r="A123" s="3" t="s">
        <v>479</v>
      </c>
      <c r="B123" s="3" t="s">
        <v>480</v>
      </c>
      <c r="C123" s="3" t="s">
        <v>481</v>
      </c>
      <c r="D123" s="3" t="s">
        <v>482</v>
      </c>
      <c r="E123" s="3">
        <v>2</v>
      </c>
      <c r="F123" s="3">
        <v>1</v>
      </c>
      <c r="G123" s="3">
        <v>1</v>
      </c>
      <c r="H123" s="3">
        <v>0</v>
      </c>
      <c r="I123" s="9"/>
    </row>
    <row r="124" spans="1:9">
      <c r="A124" s="3" t="s">
        <v>483</v>
      </c>
      <c r="B124" s="3" t="s">
        <v>484</v>
      </c>
      <c r="C124" s="3" t="s">
        <v>485</v>
      </c>
      <c r="D124" s="3" t="s">
        <v>486</v>
      </c>
      <c r="E124" s="3">
        <v>3</v>
      </c>
      <c r="F124" s="3">
        <v>0</v>
      </c>
      <c r="G124" s="3">
        <v>3</v>
      </c>
      <c r="H124" s="3">
        <v>0</v>
      </c>
      <c r="I124" s="9"/>
    </row>
    <row r="125" spans="1:9">
      <c r="A125" s="3" t="s">
        <v>487</v>
      </c>
      <c r="B125" s="3" t="s">
        <v>488</v>
      </c>
      <c r="C125" s="3" t="s">
        <v>489</v>
      </c>
      <c r="D125" s="3" t="s">
        <v>490</v>
      </c>
      <c r="E125" s="3">
        <v>1</v>
      </c>
      <c r="F125" s="3">
        <v>1</v>
      </c>
      <c r="G125" s="3">
        <v>0</v>
      </c>
      <c r="H125" s="3">
        <v>0</v>
      </c>
      <c r="I125" s="9"/>
    </row>
    <row r="126" spans="1:9">
      <c r="A126" s="3" t="s">
        <v>491</v>
      </c>
      <c r="B126" s="3" t="s">
        <v>492</v>
      </c>
      <c r="C126" s="3" t="s">
        <v>493</v>
      </c>
      <c r="D126" s="3" t="s">
        <v>494</v>
      </c>
      <c r="E126" s="3">
        <v>2</v>
      </c>
      <c r="F126" s="3">
        <v>0</v>
      </c>
      <c r="G126" s="3">
        <v>2</v>
      </c>
      <c r="H126" s="3">
        <v>0</v>
      </c>
      <c r="I126" s="9"/>
    </row>
    <row r="127" spans="1:9">
      <c r="A127" s="3" t="s">
        <v>495</v>
      </c>
      <c r="B127" s="3" t="s">
        <v>496</v>
      </c>
      <c r="C127" s="3" t="s">
        <v>497</v>
      </c>
      <c r="D127" s="3" t="s">
        <v>498</v>
      </c>
      <c r="E127" s="3">
        <v>11</v>
      </c>
      <c r="F127" s="3">
        <v>1</v>
      </c>
      <c r="G127" s="3">
        <v>9</v>
      </c>
      <c r="H127" s="3">
        <v>1</v>
      </c>
      <c r="I127" s="9"/>
    </row>
    <row r="128" spans="1:9">
      <c r="A128" s="7"/>
      <c r="B128" s="7"/>
      <c r="C128" s="7"/>
      <c r="D128" s="7"/>
      <c r="E128" s="7"/>
      <c r="F128" s="7"/>
      <c r="G128" s="7"/>
      <c r="H128" s="7"/>
      <c r="I128" s="9"/>
    </row>
    <row r="129" spans="1:9">
      <c r="A129" s="7"/>
      <c r="B129" s="7"/>
      <c r="C129" s="7"/>
      <c r="D129" s="7"/>
      <c r="E129" s="7"/>
      <c r="F129" s="7"/>
      <c r="G129" s="7"/>
      <c r="H129" s="7"/>
      <c r="I129" s="9"/>
    </row>
    <row r="130" spans="1:9">
      <c r="A130" s="7"/>
      <c r="B130" s="7"/>
      <c r="C130" s="7"/>
      <c r="D130" s="7"/>
      <c r="E130" s="7"/>
      <c r="F130" s="7"/>
      <c r="G130" s="7"/>
      <c r="H130" s="7"/>
      <c r="I130" s="9"/>
    </row>
    <row r="131" spans="1:9">
      <c r="A131" s="7"/>
      <c r="B131" s="7"/>
      <c r="C131" s="7"/>
      <c r="D131" s="7"/>
      <c r="E131" s="7"/>
      <c r="F131" s="7"/>
      <c r="G131" s="7"/>
      <c r="H131" s="7"/>
      <c r="I131" s="9"/>
    </row>
    <row r="132" spans="1:9">
      <c r="A132" s="7"/>
      <c r="B132" s="7"/>
      <c r="C132" s="7"/>
      <c r="D132" s="7"/>
      <c r="E132" s="7"/>
      <c r="F132" s="7"/>
      <c r="G132" s="7"/>
      <c r="H132" s="7"/>
      <c r="I132" s="9"/>
    </row>
    <row r="133" spans="1:9">
      <c r="A133" s="7"/>
      <c r="B133" s="7"/>
      <c r="C133" s="7"/>
      <c r="D133" s="7"/>
      <c r="E133" s="7"/>
      <c r="F133" s="7"/>
      <c r="G133" s="7"/>
      <c r="H133" s="7"/>
      <c r="I133" s="9"/>
    </row>
    <row r="134" spans="1:9">
      <c r="A134" s="7"/>
      <c r="B134" s="7"/>
      <c r="C134" s="7"/>
      <c r="D134" s="7"/>
      <c r="E134" s="7"/>
      <c r="F134" s="7"/>
      <c r="G134" s="7"/>
      <c r="H134" s="7"/>
      <c r="I134" s="9"/>
    </row>
    <row r="135" spans="1:9">
      <c r="A135" s="7"/>
      <c r="B135" s="7"/>
      <c r="C135" s="7"/>
      <c r="D135" s="7"/>
      <c r="E135" s="7"/>
      <c r="F135" s="7"/>
      <c r="G135" s="7"/>
      <c r="H135" s="7"/>
      <c r="I135" s="9"/>
    </row>
    <row r="136" spans="1:9">
      <c r="A136" s="7"/>
      <c r="B136" s="7"/>
      <c r="C136" s="7"/>
      <c r="D136" s="7"/>
      <c r="E136" s="7"/>
      <c r="F136" s="7"/>
      <c r="G136" s="7"/>
      <c r="H136" s="7"/>
      <c r="I136" s="9"/>
    </row>
    <row r="137" spans="1:9">
      <c r="A137" s="7"/>
      <c r="B137" s="7"/>
      <c r="C137" s="7"/>
      <c r="D137" s="7"/>
      <c r="E137" s="7"/>
      <c r="F137" s="7"/>
      <c r="G137" s="7"/>
      <c r="H137" s="7"/>
      <c r="I137" s="9"/>
    </row>
    <row r="138" spans="1:9">
      <c r="A138" s="7"/>
      <c r="B138" s="7"/>
      <c r="C138" s="7"/>
      <c r="D138" s="7"/>
      <c r="E138" s="7"/>
      <c r="F138" s="7"/>
      <c r="G138" s="7"/>
      <c r="H138" s="7"/>
      <c r="I138" s="9"/>
    </row>
    <row r="139" spans="1:9">
      <c r="A139" s="7"/>
      <c r="B139" s="7"/>
      <c r="C139" s="7"/>
      <c r="D139" s="7"/>
      <c r="E139" s="7"/>
      <c r="F139" s="7"/>
      <c r="G139" s="7"/>
      <c r="H139" s="7"/>
      <c r="I139" s="9"/>
    </row>
    <row r="140" spans="1:9">
      <c r="A140" s="7"/>
      <c r="B140" s="7"/>
      <c r="C140" s="7"/>
      <c r="D140" s="7"/>
      <c r="E140" s="7"/>
      <c r="F140" s="7"/>
      <c r="G140" s="7"/>
      <c r="H140" s="7"/>
      <c r="I140" s="9"/>
    </row>
    <row r="141" spans="1:9">
      <c r="A141" s="7"/>
      <c r="B141" s="7"/>
      <c r="C141" s="7"/>
      <c r="D141" s="7"/>
      <c r="E141" s="7"/>
      <c r="F141" s="7"/>
      <c r="G141" s="7"/>
      <c r="H141" s="7"/>
      <c r="I141" s="9"/>
    </row>
    <row r="142" spans="1:9">
      <c r="A142" s="7"/>
      <c r="B142" s="7"/>
      <c r="C142" s="7"/>
      <c r="D142" s="7"/>
      <c r="E142" s="7"/>
      <c r="F142" s="7"/>
      <c r="G142" s="7"/>
      <c r="H142" s="7"/>
      <c r="I142" s="9"/>
    </row>
    <row r="143" spans="1:9">
      <c r="A143" s="7"/>
      <c r="B143" s="7"/>
      <c r="C143" s="7"/>
      <c r="D143" s="7"/>
      <c r="E143" s="7"/>
      <c r="F143" s="7"/>
      <c r="G143" s="7"/>
      <c r="H143" s="7"/>
      <c r="I143" s="9"/>
    </row>
    <row r="144" spans="1:9">
      <c r="A144" s="7"/>
      <c r="B144" s="7"/>
      <c r="C144" s="7"/>
      <c r="D144" s="7"/>
      <c r="E144" s="7"/>
      <c r="F144" s="7"/>
      <c r="G144" s="7"/>
      <c r="H144" s="7"/>
      <c r="I144" s="9"/>
    </row>
    <row r="145" spans="1:9">
      <c r="A145" s="7"/>
      <c r="B145" s="7"/>
      <c r="C145" s="7"/>
      <c r="D145" s="7"/>
      <c r="E145" s="7"/>
      <c r="F145" s="7"/>
      <c r="G145" s="7"/>
      <c r="H145" s="7"/>
      <c r="I145" s="9"/>
    </row>
    <row r="146" spans="1:9">
      <c r="A146" s="7"/>
      <c r="B146" s="7"/>
      <c r="C146" s="7"/>
      <c r="D146" s="7"/>
      <c r="E146" s="7"/>
      <c r="F146" s="7"/>
      <c r="G146" s="7"/>
      <c r="H146" s="7"/>
      <c r="I146" s="9"/>
    </row>
    <row r="147" spans="1:9">
      <c r="A147" s="7"/>
      <c r="B147" s="7"/>
      <c r="C147" s="7"/>
      <c r="D147" s="7"/>
      <c r="E147" s="7"/>
      <c r="F147" s="7"/>
      <c r="G147" s="7"/>
      <c r="H147" s="7"/>
      <c r="I147" s="9"/>
    </row>
    <row r="148" spans="1:9">
      <c r="A148" s="7"/>
      <c r="B148" s="7"/>
      <c r="C148" s="7"/>
      <c r="D148" s="7"/>
      <c r="E148" s="7"/>
      <c r="F148" s="7"/>
      <c r="G148" s="7"/>
      <c r="H148" s="7"/>
      <c r="I148" s="9"/>
    </row>
    <row r="149" spans="1:9">
      <c r="A149" s="7"/>
      <c r="B149" s="7"/>
      <c r="C149" s="7"/>
      <c r="D149" s="7"/>
      <c r="E149" s="7"/>
      <c r="F149" s="7"/>
      <c r="G149" s="7"/>
      <c r="H149" s="7"/>
      <c r="I149" s="9"/>
    </row>
    <row r="150" spans="1:9">
      <c r="A150" s="7"/>
      <c r="B150" s="7"/>
      <c r="C150" s="7"/>
      <c r="D150" s="7"/>
      <c r="E150" s="7"/>
      <c r="F150" s="7"/>
      <c r="G150" s="7"/>
      <c r="H150" s="7"/>
      <c r="I150" s="9"/>
    </row>
    <row r="151" spans="1:9">
      <c r="A151" s="7"/>
      <c r="B151" s="7"/>
      <c r="C151" s="7"/>
      <c r="D151" s="7"/>
      <c r="E151" s="7"/>
      <c r="F151" s="7"/>
      <c r="G151" s="7"/>
      <c r="H151" s="7"/>
      <c r="I151" s="9"/>
    </row>
    <row r="152" spans="1:9">
      <c r="A152" s="7"/>
      <c r="B152" s="7"/>
      <c r="C152" s="7"/>
      <c r="D152" s="7"/>
      <c r="E152" s="7"/>
      <c r="F152" s="7"/>
      <c r="G152" s="7"/>
      <c r="H152" s="7"/>
      <c r="I152" s="9"/>
    </row>
    <row r="153" spans="1:9">
      <c r="A153" s="7"/>
      <c r="B153" s="7"/>
      <c r="C153" s="7"/>
      <c r="D153" s="7"/>
      <c r="E153" s="7"/>
      <c r="F153" s="7"/>
      <c r="G153" s="7"/>
      <c r="H153" s="7"/>
      <c r="I153" s="9"/>
    </row>
    <row r="154" spans="1:9">
      <c r="A154" s="7"/>
      <c r="B154" s="7"/>
      <c r="C154" s="7"/>
      <c r="D154" s="7"/>
      <c r="E154" s="7"/>
      <c r="F154" s="7"/>
      <c r="G154" s="7"/>
      <c r="H154" s="7"/>
      <c r="I154" s="9"/>
    </row>
    <row r="155" spans="1:9">
      <c r="A155" s="7"/>
      <c r="B155" s="7"/>
      <c r="C155" s="7"/>
      <c r="D155" s="7"/>
      <c r="E155" s="7"/>
      <c r="F155" s="7"/>
      <c r="G155" s="7"/>
      <c r="H155" s="7"/>
      <c r="I155" s="9"/>
    </row>
    <row r="156" spans="1:9">
      <c r="A156" s="7"/>
      <c r="B156" s="7"/>
      <c r="C156" s="7"/>
      <c r="D156" s="7"/>
      <c r="E156" s="7"/>
      <c r="F156" s="7"/>
      <c r="G156" s="7"/>
      <c r="H156" s="7"/>
      <c r="I156" s="9"/>
    </row>
    <row r="157" spans="1:9">
      <c r="A157" s="7"/>
      <c r="B157" s="7"/>
      <c r="C157" s="7"/>
      <c r="D157" s="7"/>
      <c r="E157" s="7"/>
      <c r="F157" s="7"/>
      <c r="G157" s="7"/>
      <c r="H157" s="7"/>
      <c r="I157" s="9"/>
    </row>
    <row r="158" spans="1:9">
      <c r="A158" s="7"/>
      <c r="B158" s="7"/>
      <c r="C158" s="7"/>
      <c r="D158" s="7"/>
      <c r="E158" s="7"/>
      <c r="F158" s="7"/>
      <c r="G158" s="7"/>
      <c r="H158" s="7"/>
      <c r="I158" s="9"/>
    </row>
    <row r="159" spans="1:9">
      <c r="A159" s="7"/>
      <c r="B159" s="7"/>
      <c r="C159" s="7"/>
      <c r="D159" s="7"/>
      <c r="E159" s="7"/>
      <c r="F159" s="7"/>
      <c r="G159" s="7"/>
      <c r="H159" s="7"/>
      <c r="I159" s="9"/>
    </row>
    <row r="160" spans="1:9">
      <c r="A160" s="7"/>
      <c r="B160" s="7"/>
      <c r="C160" s="7"/>
      <c r="D160" s="7"/>
      <c r="E160" s="7"/>
      <c r="F160" s="7"/>
      <c r="G160" s="7"/>
      <c r="H160" s="7"/>
      <c r="I160" s="9"/>
    </row>
    <row r="161" spans="1:9">
      <c r="A161" s="7"/>
      <c r="B161" s="7"/>
      <c r="C161" s="7"/>
      <c r="D161" s="7"/>
      <c r="E161" s="7"/>
      <c r="F161" s="7"/>
      <c r="G161" s="7"/>
      <c r="H161" s="7"/>
      <c r="I161" s="9"/>
    </row>
    <row r="162" spans="1:9">
      <c r="A162" s="7"/>
      <c r="B162" s="7"/>
      <c r="C162" s="7"/>
      <c r="D162" s="7"/>
      <c r="E162" s="7"/>
      <c r="F162" s="7"/>
      <c r="G162" s="7"/>
      <c r="H162" s="7"/>
      <c r="I162" s="9"/>
    </row>
    <row r="163" spans="1:9">
      <c r="A163" s="7"/>
      <c r="B163" s="7"/>
      <c r="C163" s="7"/>
      <c r="D163" s="7"/>
      <c r="E163" s="7"/>
      <c r="F163" s="7"/>
      <c r="G163" s="7"/>
      <c r="H163" s="7"/>
      <c r="I163" s="9"/>
    </row>
    <row r="164" spans="1:9">
      <c r="A164" s="7"/>
      <c r="B164" s="7"/>
      <c r="C164" s="7"/>
      <c r="D164" s="7"/>
      <c r="E164" s="7"/>
      <c r="F164" s="7"/>
      <c r="G164" s="7"/>
      <c r="H164" s="7"/>
      <c r="I164" s="9"/>
    </row>
    <row r="165" spans="1:9">
      <c r="A165" s="7"/>
      <c r="B165" s="7"/>
      <c r="C165" s="7"/>
      <c r="D165" s="7"/>
      <c r="E165" s="7"/>
      <c r="F165" s="7"/>
      <c r="G165" s="7"/>
      <c r="H165" s="7"/>
      <c r="I165" s="9"/>
    </row>
    <row r="166" spans="1:9">
      <c r="A166" s="7"/>
      <c r="B166" s="7"/>
      <c r="C166" s="7"/>
      <c r="D166" s="7"/>
      <c r="E166" s="7"/>
      <c r="F166" s="7"/>
      <c r="G166" s="7"/>
      <c r="H166" s="7"/>
      <c r="I166" s="9"/>
    </row>
    <row r="167" spans="1:9">
      <c r="A167" s="7"/>
      <c r="B167" s="7"/>
      <c r="C167" s="7"/>
      <c r="D167" s="7"/>
      <c r="E167" s="7"/>
      <c r="F167" s="7"/>
      <c r="G167" s="7"/>
      <c r="H167" s="7"/>
      <c r="I167" s="9"/>
    </row>
    <row r="168" spans="1:9">
      <c r="A168" s="7"/>
      <c r="B168" s="7"/>
      <c r="C168" s="7"/>
      <c r="D168" s="7"/>
      <c r="E168" s="7"/>
      <c r="F168" s="7"/>
      <c r="G168" s="7"/>
      <c r="H168" s="7"/>
      <c r="I168" s="9"/>
    </row>
    <row r="169" spans="1:9">
      <c r="A169" s="7"/>
      <c r="B169" s="7"/>
      <c r="C169" s="7"/>
      <c r="D169" s="7"/>
      <c r="E169" s="7"/>
      <c r="F169" s="7"/>
      <c r="G169" s="7"/>
      <c r="H169" s="7"/>
      <c r="I169" s="9"/>
    </row>
    <row r="170" spans="1:9">
      <c r="A170" s="7"/>
      <c r="B170" s="7"/>
      <c r="C170" s="7"/>
      <c r="D170" s="7"/>
      <c r="E170" s="7"/>
      <c r="F170" s="7"/>
      <c r="G170" s="7"/>
      <c r="H170" s="7"/>
      <c r="I170" s="9"/>
    </row>
    <row r="171" spans="1:9">
      <c r="A171" s="7"/>
      <c r="B171" s="7"/>
      <c r="C171" s="7"/>
      <c r="D171" s="7"/>
      <c r="E171" s="7"/>
      <c r="F171" s="7"/>
      <c r="G171" s="7"/>
      <c r="H171" s="7"/>
      <c r="I171" s="9"/>
    </row>
    <row r="172" spans="1:9">
      <c r="A172" s="7"/>
      <c r="B172" s="7"/>
      <c r="C172" s="7"/>
      <c r="D172" s="7"/>
      <c r="E172" s="7"/>
      <c r="F172" s="7"/>
      <c r="G172" s="7"/>
      <c r="H172" s="7"/>
      <c r="I172" s="9"/>
    </row>
    <row r="173" spans="1:9">
      <c r="A173" s="7"/>
      <c r="B173" s="7"/>
      <c r="C173" s="7"/>
      <c r="D173" s="7"/>
      <c r="E173" s="7"/>
      <c r="F173" s="7"/>
      <c r="G173" s="7"/>
      <c r="H173" s="7"/>
      <c r="I173" s="9"/>
    </row>
    <row r="174" spans="1:9">
      <c r="A174" s="7"/>
      <c r="B174" s="7"/>
      <c r="C174" s="7"/>
      <c r="D174" s="7"/>
      <c r="E174" s="7"/>
      <c r="F174" s="7"/>
      <c r="G174" s="7"/>
      <c r="H174" s="7"/>
      <c r="I174" s="9"/>
    </row>
    <row r="175" spans="1:9">
      <c r="A175" s="7"/>
      <c r="B175" s="7"/>
      <c r="C175" s="7"/>
      <c r="D175" s="7"/>
      <c r="E175" s="7"/>
      <c r="F175" s="7"/>
      <c r="G175" s="7"/>
      <c r="H175" s="7"/>
      <c r="I175" s="9"/>
    </row>
    <row r="176" spans="1:9">
      <c r="A176" s="7"/>
      <c r="B176" s="7"/>
      <c r="C176" s="7"/>
      <c r="D176" s="7"/>
      <c r="E176" s="7"/>
      <c r="F176" s="7"/>
      <c r="G176" s="7"/>
      <c r="H176" s="7"/>
      <c r="I176" s="9"/>
    </row>
    <row r="177" spans="1:9">
      <c r="A177" s="7"/>
      <c r="B177" s="7"/>
      <c r="C177" s="7"/>
      <c r="D177" s="7"/>
      <c r="E177" s="7"/>
      <c r="F177" s="7"/>
      <c r="G177" s="7"/>
      <c r="H177" s="7"/>
      <c r="I177" s="9"/>
    </row>
    <row r="178" spans="1:9">
      <c r="A178" s="7"/>
      <c r="B178" s="7"/>
      <c r="C178" s="7"/>
      <c r="D178" s="7"/>
      <c r="E178" s="7"/>
      <c r="F178" s="7"/>
      <c r="G178" s="7"/>
      <c r="H178" s="7"/>
      <c r="I178" s="9"/>
    </row>
    <row r="179" spans="1:9">
      <c r="A179" s="7"/>
      <c r="B179" s="7"/>
      <c r="C179" s="7"/>
      <c r="D179" s="7"/>
      <c r="E179" s="7"/>
      <c r="F179" s="7"/>
      <c r="G179" s="7"/>
      <c r="H179" s="7"/>
      <c r="I179" s="9"/>
    </row>
    <row r="180" spans="1:9">
      <c r="A180" s="7"/>
      <c r="B180" s="7"/>
      <c r="C180" s="7"/>
      <c r="D180" s="7"/>
      <c r="E180" s="7"/>
      <c r="F180" s="7"/>
      <c r="G180" s="7"/>
      <c r="H180" s="7"/>
      <c r="I180" s="9"/>
    </row>
    <row r="181" spans="1:9">
      <c r="A181" s="7"/>
      <c r="B181" s="7"/>
      <c r="C181" s="7"/>
      <c r="D181" s="7"/>
      <c r="E181" s="7"/>
      <c r="F181" s="7"/>
      <c r="G181" s="7"/>
      <c r="H181" s="7"/>
      <c r="I181" s="9"/>
    </row>
    <row r="182" spans="1:9">
      <c r="A182" s="7"/>
      <c r="B182" s="7"/>
      <c r="C182" s="7"/>
      <c r="D182" s="7"/>
      <c r="E182" s="7"/>
      <c r="F182" s="7"/>
      <c r="G182" s="7"/>
      <c r="H182" s="7"/>
      <c r="I182" s="9"/>
    </row>
    <row r="183" spans="1:9">
      <c r="A183" s="7"/>
      <c r="B183" s="7"/>
      <c r="C183" s="7"/>
      <c r="D183" s="7"/>
      <c r="E183" s="7"/>
      <c r="F183" s="7"/>
      <c r="G183" s="7"/>
      <c r="H183" s="7"/>
      <c r="I183" s="9"/>
    </row>
    <row r="184" spans="1:9">
      <c r="A184" s="7"/>
      <c r="B184" s="7"/>
      <c r="C184" s="7"/>
      <c r="D184" s="7"/>
      <c r="E184" s="7"/>
      <c r="F184" s="7"/>
      <c r="G184" s="7"/>
      <c r="H184" s="7"/>
      <c r="I184" s="9"/>
    </row>
    <row r="185" spans="1:9">
      <c r="A185" s="7"/>
      <c r="B185" s="7"/>
      <c r="C185" s="7"/>
      <c r="D185" s="7"/>
      <c r="E185" s="7"/>
      <c r="F185" s="7"/>
      <c r="G185" s="7"/>
      <c r="H185" s="7"/>
      <c r="I185" s="9"/>
    </row>
    <row r="186" spans="1:9">
      <c r="A186" s="7"/>
      <c r="B186" s="7"/>
      <c r="C186" s="7"/>
      <c r="D186" s="7"/>
      <c r="E186" s="7"/>
      <c r="F186" s="7"/>
      <c r="G186" s="7"/>
      <c r="H186" s="7"/>
      <c r="I186" s="9"/>
    </row>
    <row r="187" spans="1:9">
      <c r="A187" s="7"/>
      <c r="B187" s="7"/>
      <c r="C187" s="7"/>
      <c r="D187" s="7"/>
      <c r="E187" s="7"/>
      <c r="F187" s="7"/>
      <c r="G187" s="7"/>
      <c r="H187" s="7"/>
      <c r="I187" s="9"/>
    </row>
    <row r="188" spans="1:9">
      <c r="A188" s="7"/>
      <c r="B188" s="7"/>
      <c r="C188" s="7"/>
      <c r="D188" s="7"/>
      <c r="E188" s="7"/>
      <c r="F188" s="7"/>
      <c r="G188" s="7"/>
      <c r="H188" s="7"/>
      <c r="I188" s="9"/>
    </row>
    <row r="189" spans="1:9">
      <c r="A189" s="7"/>
      <c r="B189" s="7"/>
      <c r="C189" s="7"/>
      <c r="D189" s="7"/>
      <c r="E189" s="7"/>
      <c r="F189" s="7"/>
      <c r="G189" s="7"/>
      <c r="H189" s="7"/>
      <c r="I189" s="9"/>
    </row>
    <row r="190" spans="1:9">
      <c r="A190" s="7"/>
      <c r="B190" s="7"/>
      <c r="C190" s="7"/>
      <c r="D190" s="7"/>
      <c r="E190" s="7"/>
      <c r="F190" s="7"/>
      <c r="G190" s="7"/>
      <c r="H190" s="7"/>
      <c r="I190" s="9"/>
    </row>
    <row r="191" spans="1:9">
      <c r="A191" s="7"/>
      <c r="B191" s="7"/>
      <c r="C191" s="7"/>
      <c r="D191" s="7"/>
      <c r="E191" s="7"/>
      <c r="F191" s="7"/>
      <c r="G191" s="7"/>
      <c r="H191" s="7"/>
      <c r="I191" s="9"/>
    </row>
    <row r="192" spans="1:9">
      <c r="A192" s="7"/>
      <c r="B192" s="7"/>
      <c r="C192" s="7"/>
      <c r="D192" s="7"/>
      <c r="E192" s="7"/>
      <c r="F192" s="7"/>
      <c r="G192" s="7"/>
      <c r="H192" s="7"/>
      <c r="I192" s="9"/>
    </row>
    <row r="193" spans="1:9">
      <c r="A193" s="7"/>
      <c r="B193" s="7"/>
      <c r="C193" s="7"/>
      <c r="D193" s="7"/>
      <c r="E193" s="7"/>
      <c r="F193" s="7"/>
      <c r="G193" s="7"/>
      <c r="H193" s="7"/>
      <c r="I193" s="9"/>
    </row>
    <row r="194" spans="1:9">
      <c r="A194" s="7"/>
      <c r="B194" s="7"/>
      <c r="C194" s="7"/>
      <c r="D194" s="7"/>
      <c r="E194" s="7"/>
      <c r="F194" s="7"/>
      <c r="G194" s="7"/>
      <c r="H194" s="7"/>
      <c r="I194" s="9"/>
    </row>
    <row r="195" spans="1:9">
      <c r="A195" s="7"/>
      <c r="B195" s="7"/>
      <c r="C195" s="7"/>
      <c r="D195" s="7"/>
      <c r="E195" s="7"/>
      <c r="F195" s="7"/>
      <c r="G195" s="7"/>
      <c r="H195" s="7"/>
      <c r="I195" s="9"/>
    </row>
    <row r="196" spans="1:9">
      <c r="A196" s="7"/>
      <c r="B196" s="7"/>
      <c r="C196" s="7"/>
      <c r="D196" s="7"/>
      <c r="E196" s="7"/>
      <c r="F196" s="7"/>
      <c r="G196" s="7"/>
      <c r="H196" s="7"/>
      <c r="I196" s="9"/>
    </row>
    <row r="197" spans="1:9">
      <c r="A197" s="7"/>
      <c r="B197" s="7"/>
      <c r="C197" s="7"/>
      <c r="D197" s="7"/>
      <c r="E197" s="7"/>
      <c r="F197" s="7"/>
      <c r="G197" s="7"/>
      <c r="H197" s="7"/>
      <c r="I197" s="9"/>
    </row>
    <row r="198" spans="1:9">
      <c r="A198" s="7"/>
      <c r="B198" s="7"/>
      <c r="C198" s="7"/>
      <c r="D198" s="7"/>
      <c r="E198" s="7"/>
      <c r="F198" s="7"/>
      <c r="G198" s="7"/>
      <c r="H198" s="7"/>
      <c r="I198" s="9"/>
    </row>
    <row r="199" spans="1:9">
      <c r="A199" s="7"/>
      <c r="B199" s="7"/>
      <c r="C199" s="7"/>
      <c r="D199" s="7"/>
      <c r="E199" s="7"/>
      <c r="F199" s="7"/>
      <c r="G199" s="7"/>
      <c r="H199" s="7"/>
      <c r="I199" s="9"/>
    </row>
    <row r="200" spans="1:9">
      <c r="A200" s="7"/>
      <c r="B200" s="7"/>
      <c r="C200" s="7"/>
      <c r="D200" s="7"/>
      <c r="E200" s="7"/>
      <c r="F200" s="7"/>
      <c r="G200" s="7"/>
      <c r="H200" s="7"/>
      <c r="I200" s="9"/>
    </row>
    <row r="201" spans="1:9">
      <c r="A201" s="7"/>
      <c r="B201" s="7"/>
      <c r="C201" s="7"/>
      <c r="D201" s="7"/>
      <c r="E201" s="7"/>
      <c r="F201" s="7"/>
      <c r="G201" s="7"/>
      <c r="H201" s="7"/>
      <c r="I201" s="9"/>
    </row>
    <row r="202" spans="1:9">
      <c r="A202" s="7"/>
      <c r="B202" s="7"/>
      <c r="C202" s="7"/>
      <c r="D202" s="7"/>
      <c r="E202" s="7"/>
      <c r="F202" s="7"/>
      <c r="G202" s="7"/>
      <c r="H202" s="7"/>
      <c r="I202" s="9"/>
    </row>
    <row r="203" spans="1:9">
      <c r="A203" s="7"/>
      <c r="B203" s="7"/>
      <c r="C203" s="7"/>
      <c r="D203" s="7"/>
      <c r="E203" s="7"/>
      <c r="F203" s="7"/>
      <c r="G203" s="7"/>
      <c r="H203" s="7"/>
      <c r="I203" s="9"/>
    </row>
    <row r="204" spans="1:9">
      <c r="A204" s="7"/>
      <c r="B204" s="7"/>
      <c r="C204" s="7"/>
      <c r="D204" s="7"/>
      <c r="E204" s="7"/>
      <c r="F204" s="7"/>
      <c r="G204" s="7"/>
      <c r="H204" s="7"/>
      <c r="I204" s="9"/>
    </row>
    <row r="205" spans="1:9">
      <c r="A205" s="7"/>
      <c r="B205" s="7"/>
      <c r="C205" s="7"/>
      <c r="D205" s="7"/>
      <c r="E205" s="7"/>
      <c r="F205" s="7"/>
      <c r="G205" s="7"/>
      <c r="H205" s="7"/>
      <c r="I205" s="9"/>
    </row>
    <row r="206" spans="1:9">
      <c r="A206" s="7"/>
      <c r="B206" s="7"/>
      <c r="C206" s="7"/>
      <c r="D206" s="7"/>
      <c r="E206" s="7"/>
      <c r="F206" s="7"/>
      <c r="G206" s="7"/>
      <c r="H206" s="7"/>
      <c r="I206" s="9"/>
    </row>
    <row r="207" spans="1:9">
      <c r="A207" s="7"/>
      <c r="B207" s="7"/>
      <c r="C207" s="7"/>
      <c r="D207" s="7"/>
      <c r="E207" s="7"/>
      <c r="F207" s="7"/>
      <c r="G207" s="7"/>
      <c r="H207" s="7"/>
      <c r="I207" s="9"/>
    </row>
    <row r="208" spans="1:9">
      <c r="A208" s="7"/>
      <c r="B208" s="7"/>
      <c r="C208" s="7"/>
      <c r="D208" s="7"/>
      <c r="E208" s="7"/>
      <c r="F208" s="7"/>
      <c r="G208" s="7"/>
      <c r="H208" s="7"/>
      <c r="I208" s="9"/>
    </row>
    <row r="209" spans="1:9">
      <c r="A209" s="7"/>
      <c r="B209" s="7"/>
      <c r="C209" s="7"/>
      <c r="D209" s="7"/>
      <c r="E209" s="7"/>
      <c r="F209" s="7"/>
      <c r="G209" s="7"/>
      <c r="H209" s="7"/>
      <c r="I209" s="9"/>
    </row>
    <row r="210" spans="1:9">
      <c r="A210" s="7"/>
      <c r="B210" s="7"/>
      <c r="C210" s="7"/>
      <c r="D210" s="7"/>
      <c r="E210" s="7"/>
      <c r="F210" s="7"/>
      <c r="G210" s="7"/>
      <c r="H210" s="7"/>
      <c r="I210" s="9"/>
    </row>
    <row r="211" spans="1:9">
      <c r="A211" s="7"/>
      <c r="B211" s="7"/>
      <c r="C211" s="7"/>
      <c r="D211" s="7"/>
      <c r="E211" s="7"/>
      <c r="F211" s="7"/>
      <c r="G211" s="7"/>
      <c r="H211" s="7"/>
      <c r="I211" s="9"/>
    </row>
    <row r="212" spans="1:9">
      <c r="A212" s="7"/>
      <c r="B212" s="7"/>
      <c r="C212" s="7"/>
      <c r="D212" s="7"/>
      <c r="E212" s="7"/>
      <c r="F212" s="7"/>
      <c r="G212" s="7"/>
      <c r="H212" s="7"/>
      <c r="I212" s="9"/>
    </row>
    <row r="213" spans="1:9">
      <c r="A213" s="7"/>
      <c r="B213" s="7"/>
      <c r="C213" s="7"/>
      <c r="D213" s="7"/>
      <c r="E213" s="7"/>
      <c r="F213" s="7"/>
      <c r="G213" s="7"/>
      <c r="H213" s="7"/>
      <c r="I213" s="9"/>
    </row>
    <row r="214" spans="1:9">
      <c r="A214" s="7"/>
      <c r="B214" s="7"/>
      <c r="C214" s="7"/>
      <c r="D214" s="7"/>
      <c r="E214" s="7"/>
      <c r="F214" s="7"/>
      <c r="G214" s="7"/>
      <c r="H214" s="7"/>
      <c r="I214" s="9"/>
    </row>
    <row r="215" spans="1:9">
      <c r="A215" s="7"/>
      <c r="B215" s="7"/>
      <c r="C215" s="7"/>
      <c r="D215" s="7"/>
      <c r="E215" s="7"/>
      <c r="F215" s="7"/>
      <c r="G215" s="7"/>
      <c r="H215" s="7"/>
      <c r="I215" s="9"/>
    </row>
    <row r="216" spans="1:9">
      <c r="A216" s="7"/>
      <c r="B216" s="7"/>
      <c r="C216" s="7"/>
      <c r="D216" s="7"/>
      <c r="E216" s="7"/>
      <c r="F216" s="7"/>
      <c r="G216" s="7"/>
      <c r="H216" s="7"/>
      <c r="I216" s="9"/>
    </row>
    <row r="217" spans="1:9">
      <c r="A217" s="7"/>
      <c r="B217" s="7"/>
      <c r="C217" s="7"/>
      <c r="D217" s="7"/>
      <c r="E217" s="7"/>
      <c r="F217" s="7"/>
      <c r="G217" s="7"/>
      <c r="H217" s="7"/>
      <c r="I217" s="9"/>
    </row>
    <row r="218" spans="1:9">
      <c r="A218" s="7"/>
      <c r="B218" s="7"/>
      <c r="C218" s="7"/>
      <c r="D218" s="7"/>
      <c r="E218" s="7"/>
      <c r="F218" s="7"/>
      <c r="G218" s="7"/>
      <c r="H218" s="7"/>
      <c r="I218" s="9"/>
    </row>
    <row r="219" spans="1:9">
      <c r="A219" s="7"/>
      <c r="B219" s="7"/>
      <c r="C219" s="7"/>
      <c r="D219" s="7"/>
      <c r="E219" s="7"/>
      <c r="F219" s="7"/>
      <c r="G219" s="7"/>
      <c r="H219" s="7"/>
      <c r="I219" s="9"/>
    </row>
    <row r="220" spans="1:9">
      <c r="A220" s="7"/>
      <c r="B220" s="7"/>
      <c r="C220" s="7"/>
      <c r="D220" s="7"/>
      <c r="E220" s="7"/>
      <c r="F220" s="7"/>
      <c r="G220" s="7"/>
      <c r="H220" s="7"/>
      <c r="I220" s="9"/>
    </row>
    <row r="221" spans="1:9">
      <c r="A221" s="7"/>
      <c r="B221" s="7"/>
      <c r="C221" s="7"/>
      <c r="D221" s="7"/>
      <c r="E221" s="7"/>
      <c r="F221" s="7"/>
      <c r="G221" s="7"/>
      <c r="H221" s="7"/>
      <c r="I221" s="9"/>
    </row>
    <row r="222" spans="1:9">
      <c r="A222" s="7"/>
      <c r="B222" s="7"/>
      <c r="C222" s="7"/>
      <c r="D222" s="7"/>
      <c r="E222" s="7"/>
      <c r="F222" s="7"/>
      <c r="G222" s="7"/>
      <c r="H222" s="7"/>
      <c r="I222" s="9"/>
    </row>
    <row r="223" spans="1:9">
      <c r="A223" s="7"/>
      <c r="B223" s="7"/>
      <c r="C223" s="7"/>
      <c r="D223" s="7"/>
      <c r="E223" s="7"/>
      <c r="F223" s="7"/>
      <c r="G223" s="7"/>
      <c r="H223" s="7"/>
      <c r="I223" s="9"/>
    </row>
    <row r="224" spans="1:9">
      <c r="A224" s="7"/>
      <c r="B224" s="7"/>
      <c r="C224" s="7"/>
      <c r="D224" s="7"/>
      <c r="E224" s="7"/>
      <c r="F224" s="7"/>
      <c r="G224" s="7"/>
      <c r="H224" s="7"/>
      <c r="I224" s="9"/>
    </row>
    <row r="225" spans="1:9">
      <c r="A225" s="7"/>
      <c r="B225" s="7"/>
      <c r="C225" s="7"/>
      <c r="D225" s="7"/>
      <c r="E225" s="7"/>
      <c r="F225" s="7"/>
      <c r="G225" s="7"/>
      <c r="H225" s="7"/>
      <c r="I225" s="9"/>
    </row>
    <row r="226" spans="1:9">
      <c r="A226" s="7"/>
      <c r="B226" s="7"/>
      <c r="C226" s="7"/>
      <c r="D226" s="7"/>
      <c r="E226" s="7"/>
      <c r="F226" s="7"/>
      <c r="G226" s="7"/>
      <c r="H226" s="7"/>
      <c r="I226" s="9"/>
    </row>
    <row r="227" spans="1:9">
      <c r="A227" s="7"/>
      <c r="B227" s="7"/>
      <c r="C227" s="7"/>
      <c r="D227" s="7"/>
      <c r="E227" s="7"/>
      <c r="F227" s="7"/>
      <c r="G227" s="7"/>
      <c r="H227" s="7"/>
      <c r="I227" s="9"/>
    </row>
    <row r="228" spans="1:9">
      <c r="A228" s="7"/>
      <c r="B228" s="7"/>
      <c r="C228" s="7"/>
      <c r="D228" s="7"/>
      <c r="E228" s="7"/>
      <c r="F228" s="7"/>
      <c r="G228" s="7"/>
      <c r="H228" s="7"/>
      <c r="I228" s="9"/>
    </row>
    <row r="229" spans="1:9">
      <c r="A229" s="7"/>
      <c r="B229" s="7"/>
      <c r="C229" s="7"/>
      <c r="D229" s="7"/>
      <c r="E229" s="7"/>
      <c r="F229" s="7"/>
      <c r="G229" s="7"/>
      <c r="H229" s="7"/>
      <c r="I229" s="9"/>
    </row>
    <row r="230" spans="1:9">
      <c r="A230" s="7"/>
      <c r="B230" s="7"/>
      <c r="C230" s="7"/>
      <c r="D230" s="7"/>
      <c r="E230" s="7"/>
      <c r="F230" s="7"/>
      <c r="G230" s="7"/>
      <c r="H230" s="7"/>
      <c r="I230" s="9"/>
    </row>
    <row r="231" spans="1:9">
      <c r="A231" s="7"/>
      <c r="B231" s="7"/>
      <c r="C231" s="7"/>
      <c r="D231" s="7"/>
      <c r="E231" s="7"/>
      <c r="F231" s="7"/>
      <c r="G231" s="7"/>
      <c r="H231" s="7"/>
      <c r="I231" s="9"/>
    </row>
    <row r="232" spans="1:9">
      <c r="A232" s="7"/>
      <c r="B232" s="7"/>
      <c r="C232" s="7"/>
      <c r="D232" s="7"/>
      <c r="E232" s="7"/>
      <c r="F232" s="7"/>
      <c r="G232" s="7"/>
      <c r="H232" s="7"/>
      <c r="I232" s="9"/>
    </row>
    <row r="233" spans="1:9">
      <c r="A233" s="7"/>
      <c r="B233" s="7"/>
      <c r="C233" s="7"/>
      <c r="D233" s="7"/>
      <c r="E233" s="7"/>
      <c r="F233" s="7"/>
      <c r="G233" s="7"/>
      <c r="H233" s="7"/>
      <c r="I233" s="9"/>
    </row>
    <row r="234" spans="1:9">
      <c r="A234" s="7"/>
      <c r="B234" s="7"/>
      <c r="C234" s="7"/>
      <c r="D234" s="7"/>
      <c r="E234" s="7"/>
      <c r="F234" s="7"/>
      <c r="G234" s="7"/>
      <c r="H234" s="7"/>
      <c r="I234" s="9"/>
    </row>
    <row r="235" spans="1:9">
      <c r="A235" s="7"/>
      <c r="B235" s="7"/>
      <c r="C235" s="7"/>
      <c r="D235" s="7"/>
      <c r="E235" s="7"/>
      <c r="F235" s="7"/>
      <c r="G235" s="7"/>
      <c r="H235" s="7"/>
      <c r="I235" s="9"/>
    </row>
    <row r="236" spans="1:9">
      <c r="A236" s="7"/>
      <c r="B236" s="7"/>
      <c r="C236" s="7"/>
      <c r="D236" s="7"/>
      <c r="E236" s="7"/>
      <c r="F236" s="7"/>
      <c r="G236" s="7"/>
      <c r="H236" s="7"/>
      <c r="I236" s="9"/>
    </row>
    <row r="237" spans="1:9">
      <c r="A237" s="7"/>
      <c r="B237" s="7"/>
      <c r="C237" s="7"/>
      <c r="D237" s="7"/>
      <c r="E237" s="7"/>
      <c r="F237" s="7"/>
      <c r="G237" s="7"/>
      <c r="H237" s="7"/>
      <c r="I237" s="9"/>
    </row>
    <row r="238" spans="1:9">
      <c r="A238" s="7"/>
      <c r="B238" s="7"/>
      <c r="C238" s="7"/>
      <c r="D238" s="7"/>
      <c r="E238" s="7"/>
      <c r="F238" s="7"/>
      <c r="G238" s="7"/>
      <c r="H238" s="7"/>
      <c r="I238" s="9"/>
    </row>
    <row r="239" spans="1:9">
      <c r="A239" s="7"/>
      <c r="B239" s="7"/>
      <c r="C239" s="7"/>
      <c r="D239" s="7"/>
      <c r="E239" s="7"/>
      <c r="F239" s="7"/>
      <c r="G239" s="7"/>
      <c r="H239" s="7"/>
      <c r="I239" s="9"/>
    </row>
    <row r="240" spans="1:9">
      <c r="A240" s="7"/>
      <c r="B240" s="7"/>
      <c r="C240" s="7"/>
      <c r="D240" s="7"/>
      <c r="E240" s="7"/>
      <c r="F240" s="7"/>
      <c r="G240" s="7"/>
      <c r="H240" s="7"/>
      <c r="I240" s="9"/>
    </row>
    <row r="241" spans="1:9">
      <c r="A241" s="7"/>
      <c r="B241" s="7"/>
      <c r="C241" s="7"/>
      <c r="D241" s="7"/>
      <c r="E241" s="7"/>
      <c r="F241" s="7"/>
      <c r="G241" s="7"/>
      <c r="H241" s="7"/>
      <c r="I241" s="9"/>
    </row>
    <row r="242" spans="1:9">
      <c r="A242" s="7"/>
      <c r="B242" s="7"/>
      <c r="C242" s="7"/>
      <c r="D242" s="7"/>
      <c r="E242" s="7"/>
      <c r="F242" s="7"/>
      <c r="G242" s="7"/>
      <c r="H242" s="7"/>
      <c r="I242" s="9"/>
    </row>
    <row r="243" spans="1:9">
      <c r="A243" s="7"/>
      <c r="B243" s="7"/>
      <c r="C243" s="7"/>
      <c r="D243" s="7"/>
      <c r="E243" s="7"/>
      <c r="F243" s="7"/>
      <c r="G243" s="7"/>
      <c r="H243" s="7"/>
      <c r="I243" s="9"/>
    </row>
    <row r="244" spans="1:9">
      <c r="A244" s="10"/>
      <c r="B244" s="10"/>
      <c r="C244" s="10"/>
      <c r="D244" s="10"/>
      <c r="E244" s="10"/>
      <c r="F244" s="10"/>
      <c r="G244" s="10"/>
      <c r="H244" s="10"/>
      <c r="I244" s="9"/>
    </row>
    <row r="245" spans="1:9">
      <c r="A245" s="10"/>
      <c r="B245" s="10"/>
      <c r="C245" s="10"/>
      <c r="D245" s="10"/>
      <c r="E245" s="10"/>
      <c r="F245" s="10"/>
      <c r="G245" s="10"/>
      <c r="H245" s="10"/>
      <c r="I245" s="9"/>
    </row>
    <row r="246" spans="1:9">
      <c r="A246" s="10"/>
      <c r="B246" s="10"/>
      <c r="C246" s="10"/>
      <c r="D246" s="10"/>
      <c r="E246" s="10"/>
      <c r="F246" s="10"/>
      <c r="G246" s="10"/>
      <c r="H246" s="10"/>
      <c r="I246" s="9"/>
    </row>
    <row r="247" spans="1:9">
      <c r="A247" s="10"/>
      <c r="B247" s="10"/>
      <c r="C247" s="10"/>
      <c r="D247" s="10"/>
      <c r="E247" s="10"/>
      <c r="F247" s="10"/>
      <c r="G247" s="10"/>
      <c r="H247" s="10"/>
      <c r="I247" s="9"/>
    </row>
    <row r="248" spans="1:9">
      <c r="A248" s="10"/>
      <c r="B248" s="10"/>
      <c r="C248" s="10"/>
      <c r="D248" s="10"/>
      <c r="E248" s="10"/>
      <c r="F248" s="10"/>
      <c r="G248" s="10"/>
      <c r="H248" s="10"/>
      <c r="I248" s="9"/>
    </row>
    <row r="249" spans="1:9">
      <c r="A249" s="10"/>
      <c r="B249" s="10"/>
      <c r="C249" s="10"/>
      <c r="D249" s="10"/>
      <c r="E249" s="10"/>
      <c r="F249" s="10"/>
      <c r="G249" s="10"/>
      <c r="H249" s="10"/>
      <c r="I249" s="9"/>
    </row>
    <row r="250" spans="1:9">
      <c r="A250" s="10"/>
      <c r="B250" s="10"/>
      <c r="C250" s="10"/>
      <c r="D250" s="10"/>
      <c r="E250" s="10"/>
      <c r="F250" s="10"/>
      <c r="G250" s="10"/>
      <c r="H250" s="10"/>
      <c r="I250" s="9"/>
    </row>
    <row r="251" spans="1:9">
      <c r="A251" s="10"/>
      <c r="B251" s="10"/>
      <c r="C251" s="10"/>
      <c r="D251" s="10"/>
      <c r="E251" s="10"/>
      <c r="F251" s="10"/>
      <c r="G251" s="10"/>
      <c r="H251" s="10"/>
      <c r="I251" s="9"/>
    </row>
    <row r="252" spans="1:9">
      <c r="A252" s="10"/>
      <c r="B252" s="10"/>
      <c r="C252" s="10"/>
      <c r="D252" s="10"/>
      <c r="E252" s="10"/>
      <c r="F252" s="10"/>
      <c r="G252" s="10"/>
      <c r="H252" s="10"/>
      <c r="I252" s="9"/>
    </row>
    <row r="253" spans="1:9">
      <c r="A253" s="10"/>
      <c r="B253" s="10"/>
      <c r="C253" s="10"/>
      <c r="D253" s="10"/>
      <c r="E253" s="10"/>
      <c r="F253" s="10"/>
      <c r="G253" s="10"/>
      <c r="H253" s="10"/>
      <c r="I253" s="9"/>
    </row>
    <row r="254" spans="1:9">
      <c r="A254" s="10"/>
      <c r="B254" s="10"/>
      <c r="C254" s="10"/>
      <c r="D254" s="10"/>
      <c r="E254" s="10"/>
      <c r="F254" s="10"/>
      <c r="G254" s="10"/>
      <c r="H254" s="10"/>
      <c r="I254" s="9"/>
    </row>
    <row r="255" spans="1:9">
      <c r="A255" s="10"/>
      <c r="B255" s="10"/>
      <c r="C255" s="10"/>
      <c r="D255" s="10"/>
      <c r="E255" s="10"/>
      <c r="F255" s="10"/>
      <c r="G255" s="10"/>
      <c r="H255" s="10"/>
      <c r="I255" s="9"/>
    </row>
    <row r="256" spans="1:9">
      <c r="A256" s="10"/>
      <c r="B256" s="10"/>
      <c r="C256" s="10"/>
      <c r="D256" s="10"/>
      <c r="E256" s="10"/>
      <c r="F256" s="10"/>
      <c r="G256" s="10"/>
      <c r="H256" s="10"/>
      <c r="I256" s="9"/>
    </row>
    <row r="257" spans="1:9">
      <c r="A257" s="10"/>
      <c r="B257" s="10"/>
      <c r="C257" s="10"/>
      <c r="D257" s="10"/>
      <c r="E257" s="10"/>
      <c r="F257" s="10"/>
      <c r="G257" s="10"/>
      <c r="H257" s="10"/>
      <c r="I257" s="9"/>
    </row>
    <row r="258" spans="1:9">
      <c r="A258" s="10"/>
      <c r="B258" s="10"/>
      <c r="C258" s="10"/>
      <c r="D258" s="10"/>
      <c r="E258" s="10"/>
      <c r="F258" s="10"/>
      <c r="G258" s="10"/>
      <c r="H258" s="10"/>
      <c r="I258" s="9"/>
    </row>
    <row r="259" spans="1:9">
      <c r="A259" s="10"/>
      <c r="B259" s="10"/>
      <c r="C259" s="10"/>
      <c r="D259" s="10"/>
      <c r="E259" s="10"/>
      <c r="F259" s="10"/>
      <c r="G259" s="10"/>
      <c r="H259" s="10"/>
      <c r="I259" s="9"/>
    </row>
    <row r="260" spans="1:9">
      <c r="A260" s="10"/>
      <c r="B260" s="10"/>
      <c r="C260" s="10"/>
      <c r="D260" s="10"/>
      <c r="E260" s="10"/>
      <c r="F260" s="10"/>
      <c r="G260" s="10"/>
      <c r="H260" s="10"/>
      <c r="I260" s="9"/>
    </row>
    <row r="261" spans="1:9">
      <c r="A261" s="10"/>
      <c r="B261" s="10"/>
      <c r="C261" s="10"/>
      <c r="D261" s="10"/>
      <c r="E261" s="10"/>
      <c r="F261" s="10"/>
      <c r="G261" s="10"/>
      <c r="H261" s="10"/>
      <c r="I261" s="9"/>
    </row>
    <row r="262" spans="1:9">
      <c r="A262" s="10"/>
      <c r="B262" s="10"/>
      <c r="C262" s="10"/>
      <c r="D262" s="10"/>
      <c r="E262" s="10"/>
      <c r="F262" s="10"/>
      <c r="G262" s="10"/>
      <c r="H262" s="10"/>
      <c r="I262" s="9"/>
    </row>
    <row r="263" spans="1:9">
      <c r="A263" s="10"/>
      <c r="B263" s="10"/>
      <c r="C263" s="10"/>
      <c r="D263" s="10"/>
      <c r="E263" s="10"/>
      <c r="F263" s="10"/>
      <c r="G263" s="10"/>
      <c r="H263" s="10"/>
      <c r="I263" s="9"/>
    </row>
    <row r="264" spans="1:9">
      <c r="A264" s="10"/>
      <c r="B264" s="10"/>
      <c r="C264" s="10"/>
      <c r="D264" s="10"/>
      <c r="E264" s="10"/>
      <c r="F264" s="10"/>
      <c r="G264" s="10"/>
      <c r="H264" s="10"/>
      <c r="I264" s="9"/>
    </row>
    <row r="265" spans="1:9">
      <c r="A265" s="10"/>
      <c r="B265" s="10"/>
      <c r="C265" s="10"/>
      <c r="D265" s="10"/>
      <c r="E265" s="10"/>
      <c r="F265" s="10"/>
      <c r="G265" s="10"/>
      <c r="H265" s="10"/>
      <c r="I265" s="9"/>
    </row>
    <row r="266" spans="1:9">
      <c r="A266" s="10"/>
      <c r="B266" s="10"/>
      <c r="C266" s="10"/>
      <c r="D266" s="10"/>
      <c r="E266" s="10"/>
      <c r="F266" s="10"/>
      <c r="G266" s="10"/>
      <c r="H266" s="10"/>
      <c r="I266" s="9"/>
    </row>
    <row r="267" spans="1:9">
      <c r="A267" s="10"/>
      <c r="B267" s="10"/>
      <c r="C267" s="10"/>
      <c r="D267" s="10"/>
      <c r="E267" s="10"/>
      <c r="F267" s="10"/>
      <c r="G267" s="10"/>
      <c r="H267" s="10"/>
      <c r="I267" s="9"/>
    </row>
    <row r="268" spans="1:9">
      <c r="A268" s="10"/>
      <c r="B268" s="10"/>
      <c r="C268" s="10"/>
      <c r="D268" s="10"/>
      <c r="E268" s="10"/>
      <c r="F268" s="10"/>
      <c r="G268" s="10"/>
      <c r="H268" s="10"/>
      <c r="I268" s="9"/>
    </row>
    <row r="269" spans="1:9">
      <c r="A269" s="10"/>
      <c r="B269" s="10"/>
      <c r="C269" s="10"/>
      <c r="D269" s="10"/>
      <c r="E269" s="10"/>
      <c r="F269" s="10"/>
      <c r="G269" s="10"/>
      <c r="H269" s="10"/>
      <c r="I269" s="9"/>
    </row>
    <row r="270" spans="1:9">
      <c r="A270" s="10"/>
      <c r="B270" s="10"/>
      <c r="C270" s="10"/>
      <c r="D270" s="10"/>
      <c r="E270" s="10"/>
      <c r="F270" s="10"/>
      <c r="G270" s="10"/>
      <c r="H270" s="10"/>
      <c r="I270" s="9"/>
    </row>
    <row r="271" spans="1:9">
      <c r="A271" s="10"/>
      <c r="B271" s="10"/>
      <c r="C271" s="10"/>
      <c r="D271" s="10"/>
      <c r="E271" s="10"/>
      <c r="F271" s="10"/>
      <c r="G271" s="10"/>
      <c r="H271" s="10"/>
      <c r="I271" s="9"/>
    </row>
    <row r="272" spans="1:9">
      <c r="A272" s="10"/>
      <c r="B272" s="10"/>
      <c r="C272" s="10"/>
      <c r="D272" s="10"/>
      <c r="E272" s="10"/>
      <c r="F272" s="10"/>
      <c r="G272" s="10"/>
      <c r="H272" s="10"/>
      <c r="I272" s="9"/>
    </row>
    <row r="273" spans="1:9">
      <c r="A273" s="10"/>
      <c r="B273" s="10"/>
      <c r="C273" s="10"/>
      <c r="D273" s="10"/>
      <c r="E273" s="10"/>
      <c r="F273" s="10"/>
      <c r="G273" s="10"/>
      <c r="H273" s="10"/>
      <c r="I273" s="9"/>
    </row>
    <row r="274" spans="1:9">
      <c r="A274" s="10"/>
      <c r="B274" s="10"/>
      <c r="C274" s="10"/>
      <c r="D274" s="10"/>
      <c r="E274" s="10"/>
      <c r="F274" s="10"/>
      <c r="G274" s="10"/>
      <c r="H274" s="10"/>
      <c r="I274" s="9"/>
    </row>
    <row r="275" spans="1:9">
      <c r="A275" s="10"/>
      <c r="B275" s="10"/>
      <c r="C275" s="10"/>
      <c r="D275" s="10"/>
      <c r="E275" s="10"/>
      <c r="F275" s="10"/>
      <c r="G275" s="10"/>
      <c r="H275" s="10"/>
      <c r="I275" s="9"/>
    </row>
    <row r="276" spans="1:9">
      <c r="A276" s="10"/>
      <c r="B276" s="10"/>
      <c r="C276" s="10"/>
      <c r="D276" s="10"/>
      <c r="E276" s="10"/>
      <c r="F276" s="10"/>
      <c r="G276" s="10"/>
      <c r="H276" s="10"/>
      <c r="I276" s="9"/>
    </row>
    <row r="277" spans="1:9">
      <c r="A277" s="10"/>
      <c r="B277" s="10"/>
      <c r="C277" s="10"/>
      <c r="D277" s="10"/>
      <c r="E277" s="10"/>
      <c r="F277" s="10"/>
      <c r="G277" s="10"/>
      <c r="H277" s="10"/>
      <c r="I277" s="9"/>
    </row>
    <row r="278" spans="1:9">
      <c r="A278" s="10"/>
      <c r="B278" s="10"/>
      <c r="C278" s="10"/>
      <c r="D278" s="10"/>
      <c r="E278" s="10"/>
      <c r="F278" s="10"/>
      <c r="G278" s="10"/>
      <c r="H278" s="10"/>
      <c r="I278" s="9"/>
    </row>
    <row r="279" spans="1:9">
      <c r="A279" s="10"/>
      <c r="B279" s="10"/>
      <c r="C279" s="10"/>
      <c r="D279" s="10"/>
      <c r="E279" s="10"/>
      <c r="F279" s="10"/>
      <c r="G279" s="10"/>
      <c r="H279" s="10"/>
      <c r="I279" s="9"/>
    </row>
    <row r="280" spans="1:9">
      <c r="A280" s="10"/>
      <c r="B280" s="10"/>
      <c r="C280" s="10"/>
      <c r="D280" s="10"/>
      <c r="E280" s="10"/>
      <c r="F280" s="10"/>
      <c r="G280" s="10"/>
      <c r="H280" s="10"/>
      <c r="I280" s="9"/>
    </row>
    <row r="281" spans="1:9">
      <c r="A281" s="10"/>
      <c r="B281" s="10"/>
      <c r="C281" s="10"/>
      <c r="D281" s="10"/>
      <c r="E281" s="10"/>
      <c r="F281" s="10"/>
      <c r="G281" s="10"/>
      <c r="H281" s="10"/>
      <c r="I281" s="9"/>
    </row>
    <row r="282" spans="1:9">
      <c r="A282" s="10"/>
      <c r="B282" s="10"/>
      <c r="C282" s="10"/>
      <c r="D282" s="10"/>
      <c r="E282" s="10"/>
      <c r="F282" s="10"/>
      <c r="G282" s="10"/>
      <c r="H282" s="10"/>
      <c r="I282" s="9"/>
    </row>
    <row r="283" spans="1:9">
      <c r="A283" s="10"/>
      <c r="B283" s="10"/>
      <c r="C283" s="10"/>
      <c r="D283" s="10"/>
      <c r="E283" s="10"/>
      <c r="F283" s="10"/>
      <c r="G283" s="10"/>
      <c r="H283" s="10"/>
      <c r="I283" s="9"/>
    </row>
    <row r="284" spans="1:9">
      <c r="A284" s="10"/>
      <c r="B284" s="10"/>
      <c r="C284" s="10"/>
      <c r="D284" s="10"/>
      <c r="E284" s="10"/>
      <c r="F284" s="10"/>
      <c r="G284" s="10"/>
      <c r="H284" s="10"/>
      <c r="I284" s="9"/>
    </row>
    <row r="285" spans="1:9">
      <c r="A285" s="10"/>
      <c r="B285" s="10"/>
      <c r="C285" s="10"/>
      <c r="D285" s="10"/>
      <c r="E285" s="10"/>
      <c r="F285" s="10"/>
      <c r="G285" s="10"/>
      <c r="H285" s="10"/>
      <c r="I285" s="9"/>
    </row>
    <row r="286" spans="1:9">
      <c r="A286" s="10"/>
      <c r="B286" s="10"/>
      <c r="C286" s="10"/>
      <c r="D286" s="10"/>
      <c r="E286" s="10"/>
      <c r="F286" s="10"/>
      <c r="G286" s="10"/>
      <c r="H286" s="10"/>
      <c r="I286" s="9"/>
    </row>
    <row r="287" spans="1:9">
      <c r="A287" s="10"/>
      <c r="B287" s="10"/>
      <c r="C287" s="10"/>
      <c r="D287" s="10"/>
      <c r="E287" s="10"/>
      <c r="F287" s="10"/>
      <c r="G287" s="10"/>
      <c r="H287" s="10"/>
      <c r="I287" s="9"/>
    </row>
    <row r="288" spans="1:9">
      <c r="A288" s="10"/>
      <c r="B288" s="10"/>
      <c r="C288" s="10"/>
      <c r="D288" s="10"/>
      <c r="E288" s="10"/>
      <c r="F288" s="10"/>
      <c r="G288" s="10"/>
      <c r="H288" s="10"/>
      <c r="I288" s="9"/>
    </row>
    <row r="289" spans="1:9">
      <c r="A289" s="10"/>
      <c r="B289" s="10"/>
      <c r="C289" s="10"/>
      <c r="D289" s="10"/>
      <c r="E289" s="10"/>
      <c r="F289" s="10"/>
      <c r="G289" s="10"/>
      <c r="H289" s="10"/>
      <c r="I289" s="9"/>
    </row>
    <row r="290" spans="1:9">
      <c r="A290" s="10"/>
      <c r="B290" s="10"/>
      <c r="C290" s="10"/>
      <c r="D290" s="10"/>
      <c r="E290" s="10"/>
      <c r="F290" s="10"/>
      <c r="G290" s="10"/>
      <c r="H290" s="10"/>
      <c r="I290" s="9"/>
    </row>
    <row r="291" spans="1:9">
      <c r="A291" s="10"/>
      <c r="B291" s="10"/>
      <c r="C291" s="10"/>
      <c r="D291" s="10"/>
      <c r="E291" s="10"/>
      <c r="F291" s="10"/>
      <c r="G291" s="10"/>
      <c r="H291" s="10"/>
      <c r="I291" s="9"/>
    </row>
    <row r="292" spans="1:9">
      <c r="A292" s="10"/>
      <c r="B292" s="10"/>
      <c r="C292" s="10"/>
      <c r="D292" s="10"/>
      <c r="E292" s="10"/>
      <c r="F292" s="10"/>
      <c r="G292" s="10"/>
      <c r="H292" s="10"/>
      <c r="I292" s="9"/>
    </row>
    <row r="293" spans="1:9">
      <c r="A293" s="10"/>
      <c r="B293" s="10"/>
      <c r="C293" s="10"/>
      <c r="D293" s="10"/>
      <c r="E293" s="10"/>
      <c r="F293" s="10"/>
      <c r="G293" s="10"/>
      <c r="H293" s="10"/>
      <c r="I293" s="9"/>
    </row>
    <row r="294" spans="1:9">
      <c r="A294" s="10"/>
      <c r="B294" s="10"/>
      <c r="C294" s="10"/>
      <c r="D294" s="10"/>
      <c r="E294" s="10"/>
      <c r="F294" s="10"/>
      <c r="G294" s="10"/>
      <c r="H294" s="10"/>
      <c r="I294" s="9"/>
    </row>
    <row r="295" spans="1:9">
      <c r="A295" s="10"/>
      <c r="B295" s="10"/>
      <c r="C295" s="10"/>
      <c r="D295" s="10"/>
      <c r="E295" s="10"/>
      <c r="F295" s="10"/>
      <c r="G295" s="10"/>
      <c r="H295" s="10"/>
      <c r="I295" s="9"/>
    </row>
    <row r="296" spans="1:9">
      <c r="A296" s="10"/>
      <c r="B296" s="10"/>
      <c r="C296" s="10"/>
      <c r="D296" s="10"/>
      <c r="E296" s="10"/>
      <c r="F296" s="10"/>
      <c r="G296" s="10"/>
      <c r="H296" s="10"/>
      <c r="I296" s="9"/>
    </row>
    <row r="297" spans="1:9">
      <c r="A297" s="10"/>
      <c r="B297" s="10"/>
      <c r="C297" s="10"/>
      <c r="D297" s="10"/>
      <c r="E297" s="10"/>
      <c r="F297" s="10"/>
      <c r="G297" s="10"/>
      <c r="H297" s="10"/>
      <c r="I297" s="9"/>
    </row>
    <row r="298" spans="1:9">
      <c r="A298" s="10"/>
      <c r="B298" s="10"/>
      <c r="C298" s="10"/>
      <c r="D298" s="10"/>
      <c r="E298" s="10"/>
      <c r="F298" s="10"/>
      <c r="G298" s="10"/>
      <c r="H298" s="10"/>
      <c r="I298" s="9"/>
    </row>
    <row r="299" spans="1:9">
      <c r="A299" s="10"/>
      <c r="B299" s="10"/>
      <c r="C299" s="10"/>
      <c r="D299" s="10"/>
      <c r="E299" s="10"/>
      <c r="F299" s="10"/>
      <c r="G299" s="10"/>
      <c r="H299" s="10"/>
      <c r="I299" s="9"/>
    </row>
    <row r="300" spans="1:9">
      <c r="A300" s="10"/>
      <c r="B300" s="10"/>
      <c r="C300" s="10"/>
      <c r="D300" s="10"/>
      <c r="E300" s="10"/>
      <c r="F300" s="10"/>
      <c r="G300" s="10"/>
      <c r="H300" s="10"/>
      <c r="I300" s="9"/>
    </row>
    <row r="301" spans="1:9">
      <c r="A301" s="10"/>
      <c r="B301" s="10"/>
      <c r="C301" s="10"/>
      <c r="D301" s="10"/>
      <c r="E301" s="10"/>
      <c r="F301" s="10"/>
      <c r="G301" s="10"/>
      <c r="H301" s="10"/>
      <c r="I301" s="9"/>
    </row>
    <row r="302" spans="1:9">
      <c r="A302" s="10"/>
      <c r="B302" s="10"/>
      <c r="C302" s="10"/>
      <c r="D302" s="10"/>
      <c r="E302" s="10"/>
      <c r="F302" s="10"/>
      <c r="G302" s="10"/>
      <c r="H302" s="10"/>
      <c r="I302" s="9"/>
    </row>
    <row r="303" spans="1:9">
      <c r="A303" s="10"/>
      <c r="B303" s="10"/>
      <c r="C303" s="10"/>
      <c r="D303" s="10"/>
      <c r="E303" s="10"/>
      <c r="F303" s="10"/>
      <c r="G303" s="10"/>
      <c r="H303" s="10"/>
      <c r="I303" s="9"/>
    </row>
    <row r="304" spans="1:9">
      <c r="A304" s="10"/>
      <c r="B304" s="10"/>
      <c r="C304" s="10"/>
      <c r="D304" s="10"/>
      <c r="E304" s="10"/>
      <c r="F304" s="10"/>
      <c r="G304" s="10"/>
      <c r="H304" s="10"/>
      <c r="I304" s="9"/>
    </row>
    <row r="305" spans="1:9">
      <c r="A305" s="10"/>
      <c r="B305" s="10"/>
      <c r="C305" s="10"/>
      <c r="D305" s="10"/>
      <c r="E305" s="10"/>
      <c r="F305" s="10"/>
      <c r="G305" s="10"/>
      <c r="H305" s="10"/>
      <c r="I305" s="9"/>
    </row>
    <row r="306" spans="1:9">
      <c r="A306" s="10"/>
      <c r="B306" s="10"/>
      <c r="C306" s="10"/>
      <c r="D306" s="10"/>
      <c r="E306" s="10"/>
      <c r="F306" s="10"/>
      <c r="G306" s="10"/>
      <c r="H306" s="10"/>
      <c r="I306" s="9"/>
    </row>
    <row r="307" spans="1:9">
      <c r="A307" s="10"/>
      <c r="B307" s="10"/>
      <c r="C307" s="10"/>
      <c r="D307" s="10"/>
      <c r="E307" s="10"/>
      <c r="F307" s="10"/>
      <c r="G307" s="10"/>
      <c r="H307" s="10"/>
      <c r="I307" s="9"/>
    </row>
    <row r="308" spans="1:9">
      <c r="A308" s="10"/>
      <c r="B308" s="10"/>
      <c r="C308" s="10"/>
      <c r="D308" s="10"/>
      <c r="E308" s="10"/>
      <c r="F308" s="10"/>
      <c r="G308" s="10"/>
      <c r="H308" s="10"/>
      <c r="I308" s="9"/>
    </row>
    <row r="309" spans="1:9">
      <c r="A309" s="10"/>
      <c r="B309" s="10"/>
      <c r="C309" s="10"/>
      <c r="D309" s="10"/>
      <c r="E309" s="10"/>
      <c r="F309" s="10"/>
      <c r="G309" s="10"/>
      <c r="H309" s="10"/>
      <c r="I309" s="9"/>
    </row>
    <row r="310" spans="1:9">
      <c r="A310" s="10"/>
      <c r="B310" s="10"/>
      <c r="C310" s="10"/>
      <c r="D310" s="10"/>
      <c r="E310" s="10"/>
      <c r="F310" s="10"/>
      <c r="G310" s="10"/>
      <c r="H310" s="10"/>
      <c r="I310" s="9"/>
    </row>
    <row r="311" spans="1:9">
      <c r="A311" s="10"/>
      <c r="B311" s="10"/>
      <c r="C311" s="10"/>
      <c r="D311" s="10"/>
      <c r="E311" s="10"/>
      <c r="F311" s="10"/>
      <c r="G311" s="10"/>
      <c r="H311" s="10"/>
      <c r="I311" s="9"/>
    </row>
    <row r="312" spans="1:9">
      <c r="A312" s="10"/>
      <c r="B312" s="10"/>
      <c r="C312" s="10"/>
      <c r="D312" s="10"/>
      <c r="E312" s="10"/>
      <c r="F312" s="10"/>
      <c r="G312" s="10"/>
      <c r="H312" s="10"/>
      <c r="I312" s="9"/>
    </row>
    <row r="313" spans="1:9">
      <c r="A313" s="10"/>
      <c r="B313" s="10"/>
      <c r="C313" s="10"/>
      <c r="D313" s="10"/>
      <c r="E313" s="10"/>
      <c r="F313" s="10"/>
      <c r="G313" s="10"/>
      <c r="H313" s="10"/>
      <c r="I313" s="9"/>
    </row>
    <row r="314" spans="1:9">
      <c r="A314" s="10"/>
      <c r="B314" s="10"/>
      <c r="C314" s="10"/>
      <c r="D314" s="10"/>
      <c r="E314" s="10"/>
      <c r="F314" s="10"/>
      <c r="G314" s="10"/>
      <c r="H314" s="10"/>
      <c r="I314" s="9"/>
    </row>
    <row r="315" spans="1:9">
      <c r="A315" s="10"/>
      <c r="B315" s="10"/>
      <c r="C315" s="10"/>
      <c r="D315" s="10"/>
      <c r="E315" s="10"/>
      <c r="F315" s="10"/>
      <c r="G315" s="10"/>
      <c r="H315" s="10"/>
      <c r="I315" s="9"/>
    </row>
    <row r="316" spans="1:9">
      <c r="A316" s="10"/>
      <c r="B316" s="10"/>
      <c r="C316" s="10"/>
      <c r="D316" s="10"/>
      <c r="E316" s="10"/>
      <c r="F316" s="10"/>
      <c r="G316" s="10"/>
      <c r="H316" s="10"/>
      <c r="I316" s="9"/>
    </row>
    <row r="317" spans="1:9">
      <c r="A317" s="10"/>
      <c r="B317" s="10"/>
      <c r="C317" s="10"/>
      <c r="D317" s="10"/>
      <c r="E317" s="10"/>
      <c r="F317" s="10"/>
      <c r="G317" s="10"/>
      <c r="H317" s="10"/>
      <c r="I317" s="9"/>
    </row>
    <row r="318" spans="1:9">
      <c r="A318" s="10"/>
      <c r="B318" s="10"/>
      <c r="C318" s="10"/>
      <c r="D318" s="10"/>
      <c r="E318" s="10"/>
      <c r="F318" s="10"/>
      <c r="G318" s="10"/>
      <c r="H318" s="10"/>
      <c r="I318" s="9"/>
    </row>
    <row r="319" spans="1:9">
      <c r="A319" s="10"/>
      <c r="B319" s="10"/>
      <c r="C319" s="10"/>
      <c r="D319" s="10"/>
      <c r="E319" s="10"/>
      <c r="F319" s="10"/>
      <c r="G319" s="10"/>
      <c r="H319" s="10"/>
      <c r="I319" s="9"/>
    </row>
    <row r="320" spans="1:9">
      <c r="A320" s="10"/>
      <c r="B320" s="10"/>
      <c r="C320" s="10"/>
      <c r="D320" s="10"/>
      <c r="E320" s="10"/>
      <c r="F320" s="10"/>
      <c r="G320" s="10"/>
      <c r="H320" s="10"/>
      <c r="I320" s="9"/>
    </row>
    <row r="321" spans="1:9">
      <c r="A321" s="10"/>
      <c r="B321" s="10"/>
      <c r="C321" s="10"/>
      <c r="D321" s="10"/>
      <c r="E321" s="10"/>
      <c r="F321" s="10"/>
      <c r="G321" s="10"/>
      <c r="H321" s="10"/>
      <c r="I321" s="9"/>
    </row>
    <row r="322" spans="1:9">
      <c r="A322" s="10"/>
      <c r="B322" s="10"/>
      <c r="C322" s="10"/>
      <c r="D322" s="10"/>
      <c r="E322" s="10"/>
      <c r="F322" s="10"/>
      <c r="G322" s="10"/>
      <c r="H322" s="10"/>
      <c r="I322" s="9"/>
    </row>
    <row r="323" spans="1:9">
      <c r="A323" s="10"/>
      <c r="B323" s="10"/>
      <c r="C323" s="10"/>
      <c r="D323" s="10"/>
      <c r="E323" s="10"/>
      <c r="F323" s="10"/>
      <c r="G323" s="10"/>
      <c r="H323" s="10"/>
      <c r="I323" s="9"/>
    </row>
    <row r="324" spans="1:9">
      <c r="A324" s="10"/>
      <c r="B324" s="10"/>
      <c r="C324" s="10"/>
      <c r="D324" s="10"/>
      <c r="E324" s="10"/>
      <c r="F324" s="10"/>
      <c r="G324" s="10"/>
      <c r="H324" s="10"/>
      <c r="I324" s="9"/>
    </row>
    <row r="325" spans="1:9">
      <c r="A325" s="10"/>
      <c r="B325" s="10"/>
      <c r="C325" s="10"/>
      <c r="D325" s="10"/>
      <c r="E325" s="10"/>
      <c r="F325" s="10"/>
      <c r="G325" s="10"/>
      <c r="H325" s="10"/>
      <c r="I325" s="9"/>
    </row>
    <row r="326" spans="1:9">
      <c r="A326" s="10"/>
      <c r="B326" s="10"/>
      <c r="C326" s="10"/>
      <c r="D326" s="10"/>
      <c r="E326" s="10"/>
      <c r="F326" s="10"/>
      <c r="G326" s="10"/>
      <c r="H326" s="10"/>
      <c r="I326" s="9"/>
    </row>
    <row r="327" spans="1:9">
      <c r="A327" s="10"/>
      <c r="B327" s="10"/>
      <c r="C327" s="10"/>
      <c r="D327" s="10"/>
      <c r="E327" s="10"/>
      <c r="F327" s="10"/>
      <c r="G327" s="10"/>
      <c r="H327" s="10"/>
      <c r="I327" s="9"/>
    </row>
    <row r="328" spans="1:9">
      <c r="A328" s="10"/>
      <c r="B328" s="10"/>
      <c r="C328" s="10"/>
      <c r="D328" s="10"/>
      <c r="E328" s="10"/>
      <c r="F328" s="10"/>
      <c r="G328" s="10"/>
      <c r="H328" s="10"/>
      <c r="I328" s="9"/>
    </row>
    <row r="329" spans="1:9">
      <c r="A329" s="10"/>
      <c r="B329" s="10"/>
      <c r="C329" s="10"/>
      <c r="D329" s="10"/>
      <c r="E329" s="10"/>
      <c r="F329" s="10"/>
      <c r="G329" s="10"/>
      <c r="H329" s="10"/>
      <c r="I329" s="9"/>
    </row>
    <row r="330" spans="1:9">
      <c r="A330" s="10"/>
      <c r="B330" s="10"/>
      <c r="C330" s="10"/>
      <c r="D330" s="10"/>
      <c r="E330" s="10"/>
      <c r="F330" s="10"/>
      <c r="G330" s="10"/>
      <c r="H330" s="10"/>
      <c r="I330" s="9"/>
    </row>
    <row r="331" spans="1:9">
      <c r="A331" s="10"/>
      <c r="B331" s="10"/>
      <c r="C331" s="10"/>
      <c r="D331" s="10"/>
      <c r="E331" s="10"/>
      <c r="F331" s="10"/>
      <c r="G331" s="10"/>
      <c r="H331" s="10"/>
      <c r="I331" s="9"/>
    </row>
    <row r="332" spans="1:9">
      <c r="A332" s="10"/>
      <c r="B332" s="10"/>
      <c r="C332" s="10"/>
      <c r="D332" s="10"/>
      <c r="E332" s="10"/>
      <c r="F332" s="10"/>
      <c r="G332" s="10"/>
      <c r="H332" s="10"/>
      <c r="I332" s="9"/>
    </row>
    <row r="333" spans="1:9">
      <c r="A333" s="10"/>
      <c r="B333" s="10"/>
      <c r="C333" s="10"/>
      <c r="D333" s="10"/>
      <c r="E333" s="10"/>
      <c r="F333" s="10"/>
      <c r="G333" s="10"/>
      <c r="H333" s="10"/>
      <c r="I333" s="9"/>
    </row>
    <row r="334" spans="1:9">
      <c r="A334" s="10"/>
      <c r="B334" s="10"/>
      <c r="C334" s="10"/>
      <c r="D334" s="10"/>
      <c r="E334" s="10"/>
      <c r="F334" s="10"/>
      <c r="G334" s="10"/>
      <c r="H334" s="10"/>
      <c r="I334" s="9"/>
    </row>
    <row r="335" spans="1:9">
      <c r="A335" s="10"/>
      <c r="B335" s="10"/>
      <c r="C335" s="10"/>
      <c r="D335" s="10"/>
      <c r="E335" s="10"/>
      <c r="F335" s="10"/>
      <c r="G335" s="10"/>
      <c r="H335" s="10"/>
      <c r="I335" s="9"/>
    </row>
    <row r="336" spans="1:9">
      <c r="A336" s="10"/>
      <c r="B336" s="10"/>
      <c r="C336" s="10"/>
      <c r="D336" s="10"/>
      <c r="E336" s="10"/>
      <c r="F336" s="10"/>
      <c r="G336" s="10"/>
      <c r="H336" s="10"/>
      <c r="I336" s="9"/>
    </row>
    <row r="337" spans="1:9">
      <c r="A337" s="10"/>
      <c r="B337" s="10"/>
      <c r="C337" s="10"/>
      <c r="D337" s="10"/>
      <c r="E337" s="10"/>
      <c r="F337" s="10"/>
      <c r="G337" s="10"/>
      <c r="H337" s="10"/>
      <c r="I337" s="9"/>
    </row>
    <row r="338" spans="1:9">
      <c r="A338" s="10"/>
      <c r="B338" s="10"/>
      <c r="C338" s="10"/>
      <c r="D338" s="10"/>
      <c r="E338" s="10"/>
      <c r="F338" s="10"/>
      <c r="G338" s="10"/>
      <c r="H338" s="10"/>
      <c r="I338" s="9"/>
    </row>
    <row r="339" spans="1:9">
      <c r="A339" s="10"/>
      <c r="B339" s="10"/>
      <c r="C339" s="10"/>
      <c r="D339" s="10"/>
      <c r="E339" s="10"/>
      <c r="F339" s="10"/>
      <c r="G339" s="10"/>
      <c r="H339" s="10"/>
      <c r="I339" s="9"/>
    </row>
    <row r="340" spans="1:9">
      <c r="A340" s="10"/>
      <c r="B340" s="10"/>
      <c r="C340" s="10"/>
      <c r="D340" s="10"/>
      <c r="E340" s="10"/>
      <c r="F340" s="10"/>
      <c r="G340" s="10"/>
      <c r="H340" s="10"/>
      <c r="I340" s="9"/>
    </row>
    <row r="341" spans="1:9">
      <c r="A341" s="10"/>
      <c r="B341" s="10"/>
      <c r="C341" s="10"/>
      <c r="D341" s="10"/>
      <c r="E341" s="10"/>
      <c r="F341" s="10"/>
      <c r="G341" s="10"/>
      <c r="H341" s="10"/>
      <c r="I341" s="9"/>
    </row>
    <row r="342" spans="1:9">
      <c r="A342" s="10"/>
      <c r="B342" s="10"/>
      <c r="C342" s="10"/>
      <c r="D342" s="10"/>
      <c r="E342" s="10"/>
      <c r="F342" s="10"/>
      <c r="G342" s="10"/>
      <c r="H342" s="10"/>
      <c r="I342" s="9"/>
    </row>
    <row r="343" spans="1:9">
      <c r="A343" s="10"/>
      <c r="B343" s="10"/>
      <c r="C343" s="10"/>
      <c r="D343" s="10"/>
      <c r="E343" s="10"/>
      <c r="F343" s="10"/>
      <c r="G343" s="10"/>
      <c r="H343" s="10"/>
      <c r="I343" s="9"/>
    </row>
    <row r="344" spans="1:9">
      <c r="A344" s="10"/>
      <c r="B344" s="10"/>
      <c r="C344" s="10"/>
      <c r="D344" s="10"/>
      <c r="E344" s="10"/>
      <c r="F344" s="10"/>
      <c r="G344" s="10"/>
      <c r="H344" s="10"/>
      <c r="I344" s="9"/>
    </row>
    <row r="345" spans="1:9">
      <c r="A345" s="10"/>
      <c r="B345" s="10"/>
      <c r="C345" s="10"/>
      <c r="D345" s="10"/>
      <c r="E345" s="10"/>
      <c r="F345" s="10"/>
      <c r="G345" s="10"/>
      <c r="H345" s="10"/>
      <c r="I345" s="9"/>
    </row>
    <row r="346" spans="1:9">
      <c r="A346" s="10"/>
      <c r="B346" s="10"/>
      <c r="C346" s="10"/>
      <c r="D346" s="10"/>
      <c r="E346" s="10"/>
      <c r="F346" s="10"/>
      <c r="G346" s="10"/>
      <c r="H346" s="10"/>
      <c r="I346" s="9"/>
    </row>
    <row r="347" spans="1:9">
      <c r="A347" s="10"/>
      <c r="B347" s="10"/>
      <c r="C347" s="10"/>
      <c r="D347" s="10"/>
      <c r="E347" s="10"/>
      <c r="F347" s="10"/>
      <c r="G347" s="10"/>
      <c r="H347" s="10"/>
      <c r="I347" s="9"/>
    </row>
    <row r="348" spans="1:9">
      <c r="A348" s="10"/>
      <c r="B348" s="10"/>
      <c r="C348" s="10"/>
      <c r="D348" s="10"/>
      <c r="E348" s="10"/>
      <c r="F348" s="10"/>
      <c r="G348" s="10"/>
      <c r="H348" s="10"/>
      <c r="I348" s="9"/>
    </row>
    <row r="349" spans="1:9">
      <c r="A349" s="10"/>
      <c r="B349" s="10"/>
      <c r="C349" s="10"/>
      <c r="D349" s="10"/>
      <c r="E349" s="10"/>
      <c r="F349" s="10"/>
      <c r="G349" s="10"/>
      <c r="H349" s="10"/>
      <c r="I349" s="9"/>
    </row>
    <row r="350" spans="1:9">
      <c r="A350" s="10"/>
      <c r="B350" s="10"/>
      <c r="C350" s="10"/>
      <c r="D350" s="10"/>
      <c r="E350" s="10"/>
      <c r="F350" s="10"/>
      <c r="G350" s="10"/>
      <c r="H350" s="10"/>
      <c r="I350" s="9"/>
    </row>
    <row r="351" spans="1:9">
      <c r="A351" s="10"/>
      <c r="B351" s="10"/>
      <c r="C351" s="10"/>
      <c r="D351" s="10"/>
      <c r="E351" s="10"/>
      <c r="F351" s="10"/>
      <c r="G351" s="10"/>
      <c r="H351" s="10"/>
      <c r="I351" s="9"/>
    </row>
    <row r="352" spans="1:9">
      <c r="A352" s="10"/>
      <c r="B352" s="10"/>
      <c r="C352" s="10"/>
      <c r="D352" s="10"/>
      <c r="E352" s="10"/>
      <c r="F352" s="10"/>
      <c r="G352" s="10"/>
      <c r="H352" s="10"/>
      <c r="I352" s="9"/>
    </row>
    <row r="353" spans="1:9">
      <c r="A353" s="10"/>
      <c r="B353" s="10"/>
      <c r="C353" s="10"/>
      <c r="D353" s="10"/>
      <c r="E353" s="10"/>
      <c r="F353" s="10"/>
      <c r="G353" s="10"/>
      <c r="H353" s="10"/>
      <c r="I353" s="9"/>
    </row>
    <row r="354" spans="1:9">
      <c r="A354" s="10"/>
      <c r="B354" s="10"/>
      <c r="C354" s="10"/>
      <c r="D354" s="10"/>
      <c r="E354" s="10"/>
      <c r="F354" s="10"/>
      <c r="G354" s="10"/>
      <c r="H354" s="10"/>
      <c r="I354" s="9"/>
    </row>
    <row r="355" spans="1:9">
      <c r="A355" s="10"/>
      <c r="B355" s="10"/>
      <c r="C355" s="10"/>
      <c r="D355" s="10"/>
      <c r="E355" s="10"/>
      <c r="F355" s="10"/>
      <c r="G355" s="10"/>
      <c r="H355" s="10"/>
      <c r="I355" s="9"/>
    </row>
    <row r="356" spans="1:9">
      <c r="A356" s="10"/>
      <c r="B356" s="10"/>
      <c r="C356" s="10"/>
      <c r="D356" s="10"/>
      <c r="E356" s="10"/>
      <c r="F356" s="10"/>
      <c r="G356" s="10"/>
      <c r="H356" s="10"/>
      <c r="I356" s="9"/>
    </row>
    <row r="357" spans="1:9">
      <c r="A357" s="10"/>
      <c r="B357" s="10"/>
      <c r="C357" s="10"/>
      <c r="D357" s="10"/>
      <c r="E357" s="10"/>
      <c r="F357" s="10"/>
      <c r="G357" s="10"/>
      <c r="H357" s="10"/>
      <c r="I357" s="9"/>
    </row>
    <row r="358" spans="1:9">
      <c r="A358" s="10"/>
      <c r="B358" s="10"/>
      <c r="C358" s="10"/>
      <c r="D358" s="10"/>
      <c r="E358" s="10"/>
      <c r="F358" s="10"/>
      <c r="G358" s="10"/>
      <c r="H358" s="10"/>
      <c r="I358" s="9"/>
    </row>
    <row r="359" spans="1:9">
      <c r="A359" s="10"/>
      <c r="B359" s="10"/>
      <c r="C359" s="10"/>
      <c r="D359" s="10"/>
      <c r="E359" s="10"/>
      <c r="F359" s="10"/>
      <c r="G359" s="10"/>
      <c r="H359" s="10"/>
      <c r="I359" s="9"/>
    </row>
    <row r="360" spans="1:9">
      <c r="A360" s="10"/>
      <c r="B360" s="10"/>
      <c r="C360" s="10"/>
      <c r="D360" s="10"/>
      <c r="E360" s="10"/>
      <c r="F360" s="10"/>
      <c r="G360" s="10"/>
      <c r="H360" s="10"/>
      <c r="I360" s="9"/>
    </row>
    <row r="361" spans="1:9">
      <c r="A361" s="10"/>
      <c r="B361" s="10"/>
      <c r="C361" s="10"/>
      <c r="D361" s="10"/>
      <c r="E361" s="10"/>
      <c r="F361" s="10"/>
      <c r="G361" s="10"/>
      <c r="H361" s="10"/>
      <c r="I361" s="9"/>
    </row>
    <row r="362" spans="1:9">
      <c r="A362" s="10"/>
      <c r="B362" s="10"/>
      <c r="C362" s="10"/>
      <c r="D362" s="10"/>
      <c r="E362" s="10"/>
      <c r="F362" s="10"/>
      <c r="G362" s="10"/>
      <c r="H362" s="10"/>
      <c r="I362" s="9"/>
    </row>
    <row r="363" spans="1:9">
      <c r="A363" s="10"/>
      <c r="B363" s="10"/>
      <c r="C363" s="10"/>
      <c r="D363" s="10"/>
      <c r="E363" s="10"/>
      <c r="F363" s="10"/>
      <c r="G363" s="10"/>
      <c r="H363" s="10"/>
      <c r="I363" s="9"/>
    </row>
    <row r="364" spans="1:9">
      <c r="A364" s="10"/>
      <c r="B364" s="10"/>
      <c r="C364" s="10"/>
      <c r="D364" s="10"/>
      <c r="E364" s="10"/>
      <c r="F364" s="10"/>
      <c r="G364" s="10"/>
      <c r="H364" s="10"/>
      <c r="I364" s="9"/>
    </row>
    <row r="365" spans="1:9">
      <c r="A365" s="10"/>
      <c r="B365" s="10"/>
      <c r="C365" s="10"/>
      <c r="D365" s="10"/>
      <c r="E365" s="10"/>
      <c r="F365" s="10"/>
      <c r="G365" s="10"/>
      <c r="H365" s="10"/>
      <c r="I365" s="9"/>
    </row>
    <row r="366" spans="1:9">
      <c r="A366" s="10"/>
      <c r="B366" s="10"/>
      <c r="C366" s="10"/>
      <c r="D366" s="10"/>
      <c r="E366" s="10"/>
      <c r="F366" s="10"/>
      <c r="G366" s="10"/>
      <c r="H366" s="10"/>
      <c r="I366" s="9"/>
    </row>
    <row r="367" spans="1:9">
      <c r="A367" s="10"/>
      <c r="B367" s="10"/>
      <c r="C367" s="10"/>
      <c r="D367" s="10"/>
      <c r="E367" s="10"/>
      <c r="F367" s="10"/>
      <c r="G367" s="10"/>
      <c r="H367" s="10"/>
      <c r="I367" s="9"/>
    </row>
    <row r="368" spans="1:9">
      <c r="A368" s="10"/>
      <c r="B368" s="10"/>
      <c r="C368" s="10"/>
      <c r="D368" s="10"/>
      <c r="E368" s="10"/>
      <c r="F368" s="10"/>
      <c r="G368" s="10"/>
      <c r="H368" s="10"/>
      <c r="I368" s="9"/>
    </row>
    <row r="369" spans="1:9">
      <c r="A369" s="10"/>
      <c r="B369" s="10"/>
      <c r="C369" s="10"/>
      <c r="D369" s="10"/>
      <c r="E369" s="10"/>
      <c r="F369" s="10"/>
      <c r="G369" s="10"/>
      <c r="H369" s="10"/>
      <c r="I369" s="9"/>
    </row>
    <row r="370" spans="1:9">
      <c r="A370" s="10"/>
      <c r="B370" s="10"/>
      <c r="C370" s="10"/>
      <c r="D370" s="10"/>
      <c r="E370" s="10"/>
      <c r="F370" s="10"/>
      <c r="G370" s="10"/>
      <c r="H370" s="10"/>
      <c r="I370" s="9"/>
    </row>
    <row r="371" spans="1:9">
      <c r="A371" s="10"/>
      <c r="B371" s="10"/>
      <c r="C371" s="10"/>
      <c r="D371" s="10"/>
      <c r="E371" s="10"/>
      <c r="F371" s="10"/>
      <c r="G371" s="10"/>
      <c r="H371" s="10"/>
      <c r="I371" s="9"/>
    </row>
    <row r="372" spans="1:9">
      <c r="A372" s="10"/>
      <c r="B372" s="10"/>
      <c r="C372" s="10"/>
      <c r="D372" s="10"/>
      <c r="E372" s="10"/>
      <c r="F372" s="10"/>
      <c r="G372" s="10"/>
      <c r="H372" s="10"/>
      <c r="I372" s="9"/>
    </row>
    <row r="373" spans="1:9">
      <c r="A373" s="10"/>
      <c r="B373" s="10"/>
      <c r="C373" s="10"/>
      <c r="D373" s="10"/>
      <c r="E373" s="10"/>
      <c r="F373" s="10"/>
      <c r="G373" s="10"/>
      <c r="H373" s="10"/>
      <c r="I373" s="9"/>
    </row>
    <row r="374" spans="1:9">
      <c r="A374" s="10"/>
      <c r="B374" s="10"/>
      <c r="C374" s="10"/>
      <c r="D374" s="10"/>
      <c r="E374" s="10"/>
      <c r="F374" s="10"/>
      <c r="G374" s="10"/>
      <c r="H374" s="10"/>
      <c r="I374" s="9"/>
    </row>
    <row r="375" spans="1:9">
      <c r="A375" s="10"/>
      <c r="B375" s="10"/>
      <c r="C375" s="10"/>
      <c r="D375" s="10"/>
      <c r="E375" s="10"/>
      <c r="F375" s="10"/>
      <c r="G375" s="10"/>
      <c r="H375" s="10"/>
      <c r="I375" s="9"/>
    </row>
    <row r="376" spans="1:9">
      <c r="A376" s="10"/>
      <c r="B376" s="10"/>
      <c r="C376" s="10"/>
      <c r="D376" s="10"/>
      <c r="E376" s="10"/>
      <c r="F376" s="10"/>
      <c r="G376" s="10"/>
      <c r="H376" s="10"/>
      <c r="I376" s="9"/>
    </row>
    <row r="377" spans="1:9">
      <c r="A377" s="10"/>
      <c r="B377" s="10"/>
      <c r="C377" s="10"/>
      <c r="D377" s="10"/>
      <c r="E377" s="10"/>
      <c r="F377" s="10"/>
      <c r="G377" s="10"/>
      <c r="H377" s="10"/>
      <c r="I377" s="9"/>
    </row>
    <row r="378" spans="1:9">
      <c r="A378" s="10"/>
      <c r="B378" s="10"/>
      <c r="C378" s="10"/>
      <c r="D378" s="10"/>
      <c r="E378" s="10"/>
      <c r="F378" s="10"/>
      <c r="G378" s="10"/>
      <c r="H378" s="10"/>
      <c r="I378" s="9"/>
    </row>
    <row r="379" spans="1:9">
      <c r="A379" s="10"/>
      <c r="B379" s="10"/>
      <c r="C379" s="10"/>
      <c r="D379" s="10"/>
      <c r="E379" s="10"/>
      <c r="F379" s="10"/>
      <c r="G379" s="10"/>
      <c r="H379" s="10"/>
      <c r="I379" s="9"/>
    </row>
    <row r="380" spans="1:9">
      <c r="A380" s="10"/>
      <c r="B380" s="10"/>
      <c r="C380" s="10"/>
      <c r="D380" s="10"/>
      <c r="E380" s="10"/>
      <c r="F380" s="10"/>
      <c r="G380" s="10"/>
      <c r="H380" s="10"/>
      <c r="I380" s="9"/>
    </row>
    <row r="381" spans="1:9">
      <c r="A381" s="10"/>
      <c r="B381" s="10"/>
      <c r="C381" s="10"/>
      <c r="D381" s="10"/>
      <c r="E381" s="10"/>
      <c r="F381" s="10"/>
      <c r="G381" s="10"/>
      <c r="H381" s="10"/>
      <c r="I381" s="9"/>
    </row>
    <row r="382" spans="1:9">
      <c r="A382" s="10"/>
      <c r="B382" s="10"/>
      <c r="C382" s="10"/>
      <c r="D382" s="10"/>
      <c r="E382" s="10"/>
      <c r="F382" s="10"/>
      <c r="G382" s="10"/>
      <c r="H382" s="10"/>
      <c r="I382" s="9"/>
    </row>
    <row r="383" spans="1:9">
      <c r="A383" s="10"/>
      <c r="B383" s="10"/>
      <c r="C383" s="10"/>
      <c r="D383" s="10"/>
      <c r="E383" s="10"/>
      <c r="F383" s="10"/>
      <c r="G383" s="10"/>
      <c r="H383" s="10"/>
      <c r="I383" s="9"/>
    </row>
    <row r="384" spans="1:9">
      <c r="A384" s="10"/>
      <c r="B384" s="10"/>
      <c r="C384" s="10"/>
      <c r="D384" s="10"/>
      <c r="E384" s="10"/>
      <c r="F384" s="10"/>
      <c r="G384" s="10"/>
      <c r="H384" s="10"/>
      <c r="I384" s="9"/>
    </row>
    <row r="385" spans="1:9">
      <c r="A385" s="10"/>
      <c r="B385" s="10"/>
      <c r="C385" s="10"/>
      <c r="D385" s="10"/>
      <c r="E385" s="10"/>
      <c r="F385" s="10"/>
      <c r="G385" s="10"/>
      <c r="H385" s="10"/>
      <c r="I385" s="9"/>
    </row>
    <row r="386" spans="1:9">
      <c r="A386" s="10"/>
      <c r="B386" s="10"/>
      <c r="C386" s="10"/>
      <c r="D386" s="10"/>
      <c r="E386" s="10"/>
      <c r="F386" s="10"/>
      <c r="G386" s="10"/>
      <c r="H386" s="10"/>
      <c r="I386" s="9"/>
    </row>
    <row r="387" spans="1:9">
      <c r="A387" s="10"/>
      <c r="B387" s="10"/>
      <c r="C387" s="10"/>
      <c r="D387" s="10"/>
      <c r="E387" s="10"/>
      <c r="F387" s="10"/>
      <c r="G387" s="10"/>
      <c r="H387" s="10"/>
      <c r="I387" s="9"/>
    </row>
    <row r="388" spans="1:9">
      <c r="A388" s="10"/>
      <c r="B388" s="10"/>
      <c r="C388" s="10"/>
      <c r="D388" s="10"/>
      <c r="E388" s="10"/>
      <c r="F388" s="10"/>
      <c r="G388" s="10"/>
      <c r="H388" s="10"/>
      <c r="I388" s="9"/>
    </row>
    <row r="389" spans="1:9">
      <c r="A389" s="10"/>
      <c r="B389" s="10"/>
      <c r="C389" s="10"/>
      <c r="D389" s="10"/>
      <c r="E389" s="10"/>
      <c r="F389" s="10"/>
      <c r="G389" s="10"/>
      <c r="H389" s="10"/>
      <c r="I389" s="9"/>
    </row>
    <row r="390" spans="1:9">
      <c r="A390" s="10"/>
      <c r="B390" s="10"/>
      <c r="C390" s="10"/>
      <c r="D390" s="10"/>
      <c r="E390" s="10"/>
      <c r="F390" s="10"/>
      <c r="G390" s="10"/>
      <c r="H390" s="10"/>
      <c r="I390" s="9"/>
    </row>
    <row r="391" spans="1:9">
      <c r="A391" s="10"/>
      <c r="B391" s="10"/>
      <c r="C391" s="10"/>
      <c r="D391" s="10"/>
      <c r="E391" s="10"/>
      <c r="F391" s="10"/>
      <c r="G391" s="10"/>
      <c r="H391" s="10"/>
      <c r="I391" s="9"/>
    </row>
    <row r="392" spans="1:9">
      <c r="A392" s="10"/>
      <c r="B392" s="10"/>
      <c r="C392" s="10"/>
      <c r="D392" s="10"/>
      <c r="E392" s="10"/>
      <c r="F392" s="10"/>
      <c r="G392" s="10"/>
      <c r="H392" s="10"/>
      <c r="I392" s="9"/>
    </row>
    <row r="393" spans="1:9">
      <c r="A393" s="10"/>
      <c r="B393" s="10"/>
      <c r="C393" s="10"/>
      <c r="D393" s="10"/>
      <c r="E393" s="10"/>
      <c r="F393" s="10"/>
      <c r="G393" s="10"/>
      <c r="H393" s="10"/>
      <c r="I393" s="9"/>
    </row>
    <row r="394" spans="1:9">
      <c r="A394" s="10"/>
      <c r="B394" s="10"/>
      <c r="C394" s="10"/>
      <c r="D394" s="10"/>
      <c r="E394" s="10"/>
      <c r="F394" s="10"/>
      <c r="G394" s="10"/>
      <c r="H394" s="10"/>
      <c r="I394" s="9"/>
    </row>
    <row r="395" spans="1:9">
      <c r="A395" s="10"/>
      <c r="B395" s="10"/>
      <c r="C395" s="10"/>
      <c r="D395" s="10"/>
      <c r="E395" s="10"/>
      <c r="F395" s="10"/>
      <c r="G395" s="10"/>
      <c r="H395" s="10"/>
      <c r="I395" s="9"/>
    </row>
    <row r="396" spans="1:9">
      <c r="A396" s="10"/>
      <c r="B396" s="10"/>
      <c r="C396" s="10"/>
      <c r="D396" s="10"/>
      <c r="E396" s="10"/>
      <c r="F396" s="10"/>
      <c r="G396" s="10"/>
      <c r="H396" s="10"/>
      <c r="I396" s="9"/>
    </row>
    <row r="397" spans="1:9">
      <c r="A397" s="10"/>
      <c r="B397" s="10"/>
      <c r="C397" s="10"/>
      <c r="D397" s="10"/>
      <c r="E397" s="10"/>
      <c r="F397" s="10"/>
      <c r="G397" s="10"/>
      <c r="H397" s="10"/>
      <c r="I397" s="9"/>
    </row>
    <row r="398" spans="1:9">
      <c r="A398" s="10"/>
      <c r="B398" s="10"/>
      <c r="C398" s="10"/>
      <c r="D398" s="10"/>
      <c r="E398" s="10"/>
      <c r="F398" s="10"/>
      <c r="G398" s="10"/>
      <c r="H398" s="10"/>
      <c r="I398" s="9"/>
    </row>
    <row r="399" spans="1:9">
      <c r="A399" s="10"/>
      <c r="B399" s="10"/>
      <c r="C399" s="10"/>
      <c r="D399" s="10"/>
      <c r="E399" s="10"/>
      <c r="F399" s="10"/>
      <c r="G399" s="10"/>
      <c r="H399" s="10"/>
      <c r="I399" s="9"/>
    </row>
    <row r="400" spans="1:9">
      <c r="A400" s="10"/>
      <c r="B400" s="10"/>
      <c r="C400" s="10"/>
      <c r="D400" s="10"/>
      <c r="E400" s="10"/>
      <c r="F400" s="10"/>
      <c r="G400" s="10"/>
      <c r="H400" s="10"/>
      <c r="I400" s="9"/>
    </row>
    <row r="401" spans="1:9">
      <c r="A401" s="10"/>
      <c r="B401" s="10"/>
      <c r="C401" s="10"/>
      <c r="D401" s="10"/>
      <c r="E401" s="10"/>
      <c r="F401" s="10"/>
      <c r="G401" s="10"/>
      <c r="H401" s="10"/>
      <c r="I401" s="9"/>
    </row>
    <row r="402" spans="1:9">
      <c r="A402" s="10"/>
      <c r="B402" s="10"/>
      <c r="C402" s="10"/>
      <c r="D402" s="10"/>
      <c r="E402" s="10"/>
      <c r="F402" s="10"/>
      <c r="G402" s="10"/>
      <c r="H402" s="10"/>
      <c r="I402" s="9"/>
    </row>
    <row r="403" spans="1:9">
      <c r="A403" s="10"/>
      <c r="B403" s="10"/>
      <c r="C403" s="10"/>
      <c r="D403" s="10"/>
      <c r="E403" s="10"/>
      <c r="F403" s="10"/>
      <c r="G403" s="10"/>
      <c r="H403" s="10"/>
      <c r="I403" s="9"/>
    </row>
    <row r="404" spans="1:9">
      <c r="A404" s="10"/>
      <c r="B404" s="10"/>
      <c r="C404" s="10"/>
      <c r="D404" s="10"/>
      <c r="E404" s="10"/>
      <c r="F404" s="10"/>
      <c r="G404" s="10"/>
      <c r="H404" s="10"/>
      <c r="I404" s="9"/>
    </row>
    <row r="405" spans="1:9">
      <c r="A405" s="10"/>
      <c r="B405" s="10"/>
      <c r="C405" s="10"/>
      <c r="D405" s="10"/>
      <c r="E405" s="10"/>
      <c r="F405" s="10"/>
      <c r="G405" s="10"/>
      <c r="H405" s="10"/>
      <c r="I405" s="9"/>
    </row>
    <row r="406" spans="1:9">
      <c r="A406" s="10"/>
      <c r="B406" s="10"/>
      <c r="C406" s="10"/>
      <c r="D406" s="10"/>
      <c r="E406" s="10"/>
      <c r="F406" s="10"/>
      <c r="G406" s="10"/>
      <c r="H406" s="10"/>
      <c r="I406" s="9"/>
    </row>
    <row r="407" spans="1:9">
      <c r="A407" s="10"/>
      <c r="B407" s="10"/>
      <c r="C407" s="10"/>
      <c r="D407" s="10"/>
      <c r="E407" s="10"/>
      <c r="F407" s="10"/>
      <c r="G407" s="10"/>
      <c r="H407" s="10"/>
      <c r="I407" s="9"/>
    </row>
    <row r="408" spans="1:9">
      <c r="A408" s="10"/>
      <c r="B408" s="10"/>
      <c r="C408" s="10"/>
      <c r="D408" s="10"/>
      <c r="E408" s="10"/>
      <c r="F408" s="10"/>
      <c r="G408" s="10"/>
      <c r="H408" s="10"/>
      <c r="I408" s="9"/>
    </row>
    <row r="409" spans="1:9">
      <c r="A409" s="10"/>
      <c r="B409" s="10"/>
      <c r="C409" s="10"/>
      <c r="D409" s="10"/>
      <c r="E409" s="10"/>
      <c r="F409" s="10"/>
      <c r="G409" s="10"/>
      <c r="H409" s="10"/>
      <c r="I409" s="9"/>
    </row>
    <row r="410" spans="1:9">
      <c r="A410" s="10"/>
      <c r="B410" s="10"/>
      <c r="C410" s="10"/>
      <c r="D410" s="10"/>
      <c r="E410" s="10"/>
      <c r="F410" s="10"/>
      <c r="G410" s="10"/>
      <c r="H410" s="10"/>
      <c r="I410" s="9"/>
    </row>
    <row r="411" spans="1:9">
      <c r="A411" s="10"/>
      <c r="B411" s="10"/>
      <c r="C411" s="10"/>
      <c r="D411" s="10"/>
      <c r="E411" s="10"/>
      <c r="F411" s="10"/>
      <c r="G411" s="10"/>
      <c r="H411" s="10"/>
      <c r="I411" s="9"/>
    </row>
    <row r="412" spans="1:9">
      <c r="A412" s="10"/>
      <c r="B412" s="10"/>
      <c r="C412" s="10"/>
      <c r="D412" s="10"/>
      <c r="E412" s="10"/>
      <c r="F412" s="10"/>
      <c r="G412" s="10"/>
      <c r="H412" s="10"/>
      <c r="I412" s="9"/>
    </row>
    <row r="413" spans="1:9">
      <c r="A413" s="10"/>
      <c r="B413" s="10"/>
      <c r="C413" s="10"/>
      <c r="D413" s="10"/>
      <c r="E413" s="10"/>
      <c r="F413" s="10"/>
      <c r="G413" s="10"/>
      <c r="H413" s="10"/>
      <c r="I413" s="9"/>
    </row>
    <row r="414" spans="1:9">
      <c r="A414" s="10"/>
      <c r="B414" s="10"/>
      <c r="C414" s="10"/>
      <c r="D414" s="10"/>
      <c r="E414" s="10"/>
      <c r="F414" s="10"/>
      <c r="G414" s="10"/>
      <c r="H414" s="10"/>
      <c r="I414" s="9"/>
    </row>
    <row r="415" spans="1:9">
      <c r="A415" s="10"/>
      <c r="B415" s="10"/>
      <c r="C415" s="10"/>
      <c r="D415" s="10"/>
      <c r="E415" s="10"/>
      <c r="F415" s="10"/>
      <c r="G415" s="10"/>
      <c r="H415" s="10"/>
      <c r="I415" s="9"/>
    </row>
    <row r="416" spans="1:9">
      <c r="A416" s="10"/>
      <c r="B416" s="10"/>
      <c r="C416" s="10"/>
      <c r="D416" s="10"/>
      <c r="E416" s="10"/>
      <c r="F416" s="10"/>
      <c r="G416" s="10"/>
      <c r="H416" s="10"/>
      <c r="I416" s="9"/>
    </row>
    <row r="417" spans="1:9">
      <c r="A417" s="10"/>
      <c r="B417" s="10"/>
      <c r="C417" s="10"/>
      <c r="D417" s="10"/>
      <c r="E417" s="10"/>
      <c r="F417" s="10"/>
      <c r="G417" s="10"/>
      <c r="H417" s="10"/>
      <c r="I417" s="9"/>
    </row>
    <row r="418" spans="1:9">
      <c r="A418" s="10"/>
      <c r="B418" s="10"/>
      <c r="C418" s="10"/>
      <c r="D418" s="10"/>
      <c r="E418" s="10"/>
      <c r="F418" s="10"/>
      <c r="G418" s="10"/>
      <c r="H418" s="10"/>
      <c r="I418" s="9"/>
    </row>
    <row r="419" spans="1:9">
      <c r="A419" s="10"/>
      <c r="B419" s="10"/>
      <c r="C419" s="10"/>
      <c r="D419" s="10"/>
      <c r="E419" s="10"/>
      <c r="F419" s="10"/>
      <c r="G419" s="10"/>
      <c r="H419" s="10"/>
      <c r="I419" s="9"/>
    </row>
    <row r="420" spans="1:9">
      <c r="A420" s="10"/>
      <c r="B420" s="10"/>
      <c r="C420" s="10"/>
      <c r="D420" s="10"/>
      <c r="E420" s="10"/>
      <c r="F420" s="10"/>
      <c r="G420" s="10"/>
      <c r="H420" s="10"/>
      <c r="I420" s="9"/>
    </row>
    <row r="421" spans="1:9">
      <c r="A421" s="10"/>
      <c r="B421" s="10"/>
      <c r="C421" s="10"/>
      <c r="D421" s="10"/>
      <c r="E421" s="10"/>
      <c r="F421" s="10"/>
      <c r="G421" s="10"/>
      <c r="H421" s="10"/>
      <c r="I421" s="9"/>
    </row>
    <row r="422" spans="1:9">
      <c r="A422" s="10"/>
      <c r="B422" s="10"/>
      <c r="C422" s="10"/>
      <c r="D422" s="10"/>
      <c r="E422" s="10"/>
      <c r="F422" s="10"/>
      <c r="G422" s="10"/>
      <c r="H422" s="10"/>
      <c r="I422" s="9"/>
    </row>
    <row r="423" spans="1:9">
      <c r="A423" s="10"/>
      <c r="B423" s="10"/>
      <c r="C423" s="10"/>
      <c r="D423" s="10"/>
      <c r="E423" s="10"/>
      <c r="F423" s="10"/>
      <c r="G423" s="10"/>
      <c r="H423" s="10"/>
      <c r="I423" s="9"/>
    </row>
    <row r="424" spans="1:9">
      <c r="A424" s="10"/>
      <c r="B424" s="10"/>
      <c r="C424" s="10"/>
      <c r="D424" s="10"/>
      <c r="E424" s="10"/>
      <c r="F424" s="10"/>
      <c r="G424" s="10"/>
      <c r="H424" s="10"/>
      <c r="I424" s="9"/>
    </row>
    <row r="425" spans="1:9">
      <c r="A425" s="10"/>
      <c r="B425" s="10"/>
      <c r="C425" s="10"/>
      <c r="D425" s="10"/>
      <c r="E425" s="10"/>
      <c r="F425" s="10"/>
      <c r="G425" s="10"/>
      <c r="H425" s="10"/>
      <c r="I425" s="9"/>
    </row>
    <row r="426" spans="1:9">
      <c r="A426" s="10"/>
      <c r="B426" s="10"/>
      <c r="C426" s="10"/>
      <c r="D426" s="10"/>
      <c r="E426" s="10"/>
      <c r="F426" s="10"/>
      <c r="G426" s="10"/>
      <c r="H426" s="10"/>
      <c r="I426" s="9"/>
    </row>
    <row r="427" spans="1:9">
      <c r="A427" s="10"/>
      <c r="B427" s="10"/>
      <c r="C427" s="10"/>
      <c r="D427" s="10"/>
      <c r="E427" s="10"/>
      <c r="F427" s="10"/>
      <c r="G427" s="10"/>
      <c r="H427" s="10"/>
      <c r="I427" s="9"/>
    </row>
    <row r="428" spans="1:9">
      <c r="A428" s="10"/>
      <c r="B428" s="10"/>
      <c r="C428" s="10"/>
      <c r="D428" s="10"/>
      <c r="E428" s="10"/>
      <c r="F428" s="10"/>
      <c r="G428" s="10"/>
      <c r="H428" s="10"/>
      <c r="I428" s="9"/>
    </row>
    <row r="429" spans="1:9">
      <c r="A429" s="10"/>
      <c r="B429" s="10"/>
      <c r="C429" s="10"/>
      <c r="D429" s="10"/>
      <c r="E429" s="10"/>
      <c r="F429" s="10"/>
      <c r="G429" s="10"/>
      <c r="H429" s="10"/>
      <c r="I429" s="9"/>
    </row>
    <row r="430" spans="1:9">
      <c r="A430" s="10"/>
      <c r="B430" s="10"/>
      <c r="C430" s="10"/>
      <c r="D430" s="10"/>
      <c r="E430" s="10"/>
      <c r="F430" s="10"/>
      <c r="G430" s="10"/>
      <c r="H430" s="10"/>
      <c r="I430" s="9"/>
    </row>
    <row r="431" spans="1:9">
      <c r="A431" s="10"/>
      <c r="B431" s="10"/>
      <c r="C431" s="10"/>
      <c r="D431" s="10"/>
      <c r="E431" s="10"/>
      <c r="F431" s="10"/>
      <c r="G431" s="10"/>
      <c r="H431" s="10"/>
      <c r="I431" s="9"/>
    </row>
    <row r="432" spans="1:9">
      <c r="A432" s="10"/>
      <c r="B432" s="10"/>
      <c r="C432" s="10"/>
      <c r="D432" s="10"/>
      <c r="E432" s="10"/>
      <c r="F432" s="10"/>
      <c r="G432" s="10"/>
      <c r="H432" s="10"/>
      <c r="I432" s="9"/>
    </row>
    <row r="433" spans="1:9">
      <c r="A433" s="10"/>
      <c r="B433" s="10"/>
      <c r="C433" s="10"/>
      <c r="D433" s="10"/>
      <c r="E433" s="10"/>
      <c r="F433" s="10"/>
      <c r="G433" s="10"/>
      <c r="H433" s="10"/>
      <c r="I433" s="9"/>
    </row>
    <row r="434" spans="1:9">
      <c r="A434" s="10"/>
      <c r="B434" s="10"/>
      <c r="C434" s="10"/>
      <c r="D434" s="10"/>
      <c r="E434" s="10"/>
      <c r="F434" s="10"/>
      <c r="G434" s="10"/>
      <c r="H434" s="10"/>
      <c r="I434" s="9"/>
    </row>
    <row r="435" spans="1:9">
      <c r="A435" s="10"/>
      <c r="B435" s="10"/>
      <c r="C435" s="10"/>
      <c r="D435" s="10"/>
      <c r="E435" s="10"/>
      <c r="F435" s="10"/>
      <c r="G435" s="10"/>
      <c r="H435" s="10"/>
      <c r="I435" s="9"/>
    </row>
    <row r="436" spans="1:9">
      <c r="A436" s="10"/>
      <c r="B436" s="10"/>
      <c r="C436" s="10"/>
      <c r="D436" s="10"/>
      <c r="E436" s="10"/>
      <c r="F436" s="10"/>
      <c r="G436" s="10"/>
      <c r="H436" s="10"/>
      <c r="I436" s="9"/>
    </row>
    <row r="437" spans="1:9">
      <c r="A437" s="10"/>
      <c r="B437" s="10"/>
      <c r="C437" s="10"/>
      <c r="D437" s="10"/>
      <c r="E437" s="10"/>
      <c r="F437" s="10"/>
      <c r="G437" s="10"/>
      <c r="H437" s="10"/>
      <c r="I437" s="9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9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9"/>
    </row>
    <row r="440" spans="1:9">
      <c r="A440" s="10"/>
      <c r="B440" s="10"/>
      <c r="C440" s="10"/>
      <c r="D440" s="10"/>
      <c r="E440" s="10"/>
      <c r="F440" s="10"/>
      <c r="G440" s="10"/>
      <c r="H440" s="10"/>
      <c r="I440" s="9"/>
    </row>
    <row r="441" spans="1:9">
      <c r="A441" s="10"/>
      <c r="B441" s="10"/>
      <c r="C441" s="10"/>
      <c r="D441" s="10"/>
      <c r="E441" s="10"/>
      <c r="F441" s="10"/>
      <c r="G441" s="10"/>
      <c r="H441" s="10"/>
      <c r="I441" s="9"/>
    </row>
    <row r="442" spans="1:9">
      <c r="A442" s="10"/>
      <c r="B442" s="10"/>
      <c r="C442" s="10"/>
      <c r="D442" s="10"/>
      <c r="E442" s="10"/>
      <c r="F442" s="10"/>
      <c r="G442" s="10"/>
      <c r="H442" s="10"/>
      <c r="I442" s="9"/>
    </row>
    <row r="443" spans="1:9">
      <c r="A443" s="10"/>
      <c r="B443" s="10"/>
      <c r="C443" s="10"/>
      <c r="D443" s="10"/>
      <c r="E443" s="10"/>
      <c r="F443" s="10"/>
      <c r="G443" s="10"/>
      <c r="H443" s="10"/>
      <c r="I443" s="9"/>
    </row>
    <row r="444" spans="1:9">
      <c r="A444" s="10"/>
      <c r="B444" s="10"/>
      <c r="C444" s="10"/>
      <c r="D444" s="10"/>
      <c r="E444" s="10"/>
      <c r="F444" s="10"/>
      <c r="G444" s="10"/>
      <c r="H444" s="10"/>
      <c r="I444" s="9"/>
    </row>
    <row r="445" spans="1:9">
      <c r="A445" s="10"/>
      <c r="B445" s="10"/>
      <c r="C445" s="10"/>
      <c r="D445" s="10"/>
      <c r="E445" s="10"/>
      <c r="F445" s="10"/>
      <c r="G445" s="10"/>
      <c r="H445" s="10"/>
      <c r="I445" s="9"/>
    </row>
    <row r="446" spans="1:9">
      <c r="A446" s="10"/>
      <c r="B446" s="10"/>
      <c r="C446" s="10"/>
      <c r="D446" s="10"/>
      <c r="E446" s="10"/>
      <c r="F446" s="10"/>
      <c r="G446" s="10"/>
      <c r="H446" s="10"/>
      <c r="I446" s="9"/>
    </row>
    <row r="447" spans="1:9">
      <c r="A447" s="10"/>
      <c r="B447" s="10"/>
      <c r="C447" s="10"/>
      <c r="D447" s="10"/>
      <c r="E447" s="10"/>
      <c r="F447" s="10"/>
      <c r="G447" s="10"/>
      <c r="H447" s="10"/>
      <c r="I447" s="9"/>
    </row>
    <row r="448" spans="1:9">
      <c r="A448" s="10"/>
      <c r="B448" s="10"/>
      <c r="C448" s="10"/>
      <c r="D448" s="10"/>
      <c r="E448" s="10"/>
      <c r="F448" s="10"/>
      <c r="G448" s="10"/>
      <c r="H448" s="10"/>
      <c r="I448" s="9"/>
    </row>
    <row r="449" spans="1:9">
      <c r="A449" s="10"/>
      <c r="B449" s="10"/>
      <c r="C449" s="10"/>
      <c r="D449" s="10"/>
      <c r="E449" s="10"/>
      <c r="F449" s="10"/>
      <c r="G449" s="10"/>
      <c r="H449" s="10"/>
      <c r="I449" s="9"/>
    </row>
    <row r="450" spans="1:9">
      <c r="A450" s="10"/>
      <c r="B450" s="10"/>
      <c r="C450" s="10"/>
      <c r="D450" s="10"/>
      <c r="E450" s="10"/>
      <c r="F450" s="10"/>
      <c r="G450" s="10"/>
      <c r="H450" s="10"/>
      <c r="I450" s="9"/>
    </row>
    <row r="451" spans="1:9">
      <c r="A451" s="10"/>
      <c r="B451" s="10"/>
      <c r="C451" s="10"/>
      <c r="D451" s="10"/>
      <c r="E451" s="10"/>
      <c r="F451" s="10"/>
      <c r="G451" s="10"/>
      <c r="H451" s="10"/>
      <c r="I451" s="9"/>
    </row>
    <row r="452" spans="1:9">
      <c r="A452" s="10"/>
      <c r="B452" s="10"/>
      <c r="C452" s="10"/>
      <c r="D452" s="10"/>
      <c r="E452" s="10"/>
      <c r="F452" s="10"/>
      <c r="G452" s="10"/>
      <c r="H452" s="10"/>
      <c r="I452" s="9"/>
    </row>
    <row r="453" spans="1:9">
      <c r="A453" s="10"/>
      <c r="B453" s="10"/>
      <c r="C453" s="10"/>
      <c r="D453" s="10"/>
      <c r="E453" s="10"/>
      <c r="F453" s="10"/>
      <c r="G453" s="10"/>
      <c r="H453" s="10"/>
      <c r="I453" s="9"/>
    </row>
    <row r="454" spans="1:9">
      <c r="A454" s="10"/>
      <c r="B454" s="10"/>
      <c r="C454" s="10"/>
      <c r="D454" s="10"/>
      <c r="E454" s="10"/>
      <c r="F454" s="10"/>
      <c r="G454" s="10"/>
      <c r="H454" s="10"/>
      <c r="I454" s="9"/>
    </row>
    <row r="455" spans="1:9">
      <c r="A455" s="10"/>
      <c r="B455" s="10"/>
      <c r="C455" s="10"/>
      <c r="D455" s="10"/>
      <c r="E455" s="10"/>
      <c r="F455" s="10"/>
      <c r="G455" s="10"/>
      <c r="H455" s="10"/>
      <c r="I455" s="9"/>
    </row>
    <row r="456" spans="1:9">
      <c r="A456" s="10"/>
      <c r="B456" s="10"/>
      <c r="C456" s="10"/>
      <c r="D456" s="10"/>
      <c r="E456" s="10"/>
      <c r="F456" s="10"/>
      <c r="G456" s="10"/>
      <c r="H456" s="10"/>
      <c r="I456" s="9"/>
    </row>
    <row r="457" spans="1:9">
      <c r="A457" s="10"/>
      <c r="B457" s="10"/>
      <c r="C457" s="10"/>
      <c r="D457" s="10"/>
      <c r="E457" s="10"/>
      <c r="F457" s="10"/>
      <c r="G457" s="10"/>
      <c r="H457" s="10"/>
      <c r="I457" s="9"/>
    </row>
    <row r="458" spans="1:9">
      <c r="A458" s="10"/>
      <c r="B458" s="10"/>
      <c r="C458" s="10"/>
      <c r="D458" s="10"/>
      <c r="E458" s="10"/>
      <c r="F458" s="10"/>
      <c r="G458" s="10"/>
      <c r="H458" s="10"/>
      <c r="I458" s="9"/>
    </row>
    <row r="459" spans="1:9">
      <c r="A459" s="10"/>
      <c r="B459" s="10"/>
      <c r="C459" s="10"/>
      <c r="D459" s="10"/>
      <c r="E459" s="10"/>
      <c r="F459" s="10"/>
      <c r="G459" s="10"/>
      <c r="H459" s="10"/>
      <c r="I459" s="9"/>
    </row>
    <row r="460" spans="1:9">
      <c r="A460" s="10"/>
      <c r="B460" s="10"/>
      <c r="C460" s="10"/>
      <c r="D460" s="10"/>
      <c r="E460" s="10"/>
      <c r="F460" s="10"/>
      <c r="G460" s="10"/>
      <c r="H460" s="10"/>
      <c r="I460" s="9"/>
    </row>
    <row r="461" spans="1:9">
      <c r="A461" s="10"/>
      <c r="B461" s="10"/>
      <c r="C461" s="10"/>
      <c r="D461" s="10"/>
      <c r="E461" s="10"/>
      <c r="F461" s="10"/>
      <c r="G461" s="10"/>
      <c r="H461" s="10"/>
      <c r="I461" s="9"/>
    </row>
    <row r="462" spans="1:9">
      <c r="A462" s="10"/>
      <c r="B462" s="10"/>
      <c r="C462" s="10"/>
      <c r="D462" s="10"/>
      <c r="E462" s="10"/>
      <c r="F462" s="10"/>
      <c r="G462" s="10"/>
      <c r="H462" s="10"/>
      <c r="I462" s="9"/>
    </row>
    <row r="463" spans="1:9">
      <c r="A463" s="10"/>
      <c r="B463" s="10"/>
      <c r="C463" s="10"/>
      <c r="D463" s="10"/>
      <c r="E463" s="10"/>
      <c r="F463" s="10"/>
      <c r="G463" s="10"/>
      <c r="H463" s="10"/>
      <c r="I463" s="9"/>
    </row>
    <row r="464" spans="1:9">
      <c r="A464" s="10"/>
      <c r="B464" s="10"/>
      <c r="C464" s="10"/>
      <c r="D464" s="10"/>
      <c r="E464" s="10"/>
      <c r="F464" s="10"/>
      <c r="G464" s="10"/>
      <c r="H464" s="10"/>
      <c r="I464" s="9"/>
    </row>
    <row r="465" spans="1:9">
      <c r="A465" s="10"/>
      <c r="B465" s="10"/>
      <c r="C465" s="10"/>
      <c r="D465" s="10"/>
      <c r="E465" s="10"/>
      <c r="F465" s="10"/>
      <c r="G465" s="10"/>
      <c r="H465" s="10"/>
      <c r="I465" s="9"/>
    </row>
    <row r="466" spans="1:9">
      <c r="A466" s="10"/>
      <c r="B466" s="10"/>
      <c r="C466" s="10"/>
      <c r="D466" s="10"/>
      <c r="E466" s="10"/>
      <c r="F466" s="10"/>
      <c r="G466" s="10"/>
      <c r="H466" s="10"/>
      <c r="I466" s="9"/>
    </row>
    <row r="467" spans="1:9">
      <c r="A467" s="10"/>
      <c r="B467" s="10"/>
      <c r="C467" s="10"/>
      <c r="D467" s="10"/>
      <c r="E467" s="10"/>
      <c r="F467" s="10"/>
      <c r="G467" s="10"/>
      <c r="H467" s="10"/>
      <c r="I467" s="9"/>
    </row>
    <row r="468" spans="1:9">
      <c r="A468" s="10"/>
      <c r="B468" s="10"/>
      <c r="C468" s="10"/>
      <c r="D468" s="10"/>
      <c r="E468" s="10"/>
      <c r="F468" s="10"/>
      <c r="G468" s="10"/>
      <c r="H468" s="10"/>
      <c r="I468" s="9"/>
    </row>
    <row r="469" spans="1:9">
      <c r="A469" s="10"/>
      <c r="B469" s="10"/>
      <c r="C469" s="10"/>
      <c r="D469" s="10"/>
      <c r="E469" s="10"/>
      <c r="F469" s="10"/>
      <c r="G469" s="10"/>
      <c r="H469" s="10"/>
      <c r="I469" s="9"/>
    </row>
    <row r="470" spans="1:9">
      <c r="A470" s="10"/>
      <c r="B470" s="10"/>
      <c r="C470" s="10"/>
      <c r="D470" s="10"/>
      <c r="E470" s="10"/>
      <c r="F470" s="10"/>
      <c r="G470" s="10"/>
      <c r="H470" s="10"/>
      <c r="I470" s="9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9"/>
    </row>
    <row r="472" spans="1:9">
      <c r="A472" s="10"/>
      <c r="B472" s="10"/>
      <c r="C472" s="10"/>
      <c r="D472" s="10"/>
      <c r="E472" s="10"/>
      <c r="F472" s="10"/>
      <c r="G472" s="10"/>
      <c r="H472" s="10"/>
      <c r="I472" s="9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9"/>
    </row>
    <row r="474" spans="1:9">
      <c r="A474" s="10"/>
      <c r="B474" s="10"/>
      <c r="C474" s="10"/>
      <c r="D474" s="10"/>
      <c r="E474" s="10"/>
      <c r="F474" s="10"/>
      <c r="G474" s="10"/>
      <c r="H474" s="10"/>
      <c r="I474" s="9"/>
    </row>
    <row r="475" spans="1:9">
      <c r="A475" s="10"/>
      <c r="B475" s="10"/>
      <c r="C475" s="10"/>
      <c r="D475" s="10"/>
      <c r="E475" s="10"/>
      <c r="F475" s="10"/>
      <c r="G475" s="10"/>
      <c r="H475" s="10"/>
      <c r="I475" s="9"/>
    </row>
    <row r="476" spans="1:9">
      <c r="A476" s="10"/>
      <c r="B476" s="10"/>
      <c r="C476" s="10"/>
      <c r="D476" s="10"/>
      <c r="E476" s="10"/>
      <c r="F476" s="10"/>
      <c r="G476" s="10"/>
      <c r="H476" s="10"/>
      <c r="I476" s="9"/>
    </row>
    <row r="477" spans="1:9">
      <c r="A477" s="10"/>
      <c r="B477" s="10"/>
      <c r="C477" s="10"/>
      <c r="D477" s="10"/>
      <c r="E477" s="10"/>
      <c r="F477" s="10"/>
      <c r="G477" s="10"/>
      <c r="H477" s="10"/>
      <c r="I477" s="9"/>
    </row>
    <row r="478" spans="1:9">
      <c r="A478" s="10"/>
      <c r="B478" s="10"/>
      <c r="C478" s="10"/>
      <c r="D478" s="10"/>
      <c r="E478" s="10"/>
      <c r="F478" s="10"/>
      <c r="G478" s="10"/>
      <c r="H478" s="10"/>
      <c r="I478" s="9"/>
    </row>
    <row r="479" spans="1:9">
      <c r="A479" s="10"/>
      <c r="B479" s="10"/>
      <c r="C479" s="10"/>
      <c r="D479" s="10"/>
      <c r="E479" s="10"/>
      <c r="F479" s="10"/>
      <c r="G479" s="10"/>
      <c r="H479" s="10"/>
      <c r="I479" s="9"/>
    </row>
    <row r="480" spans="1:9">
      <c r="A480" s="10"/>
      <c r="B480" s="10"/>
      <c r="C480" s="10"/>
      <c r="D480" s="10"/>
      <c r="E480" s="10"/>
      <c r="F480" s="10"/>
      <c r="G480" s="10"/>
      <c r="H480" s="10"/>
      <c r="I480" s="9"/>
    </row>
    <row r="481" spans="1:9">
      <c r="A481" s="10"/>
      <c r="B481" s="10"/>
      <c r="C481" s="10"/>
      <c r="D481" s="10"/>
      <c r="E481" s="10"/>
      <c r="F481" s="10"/>
      <c r="G481" s="10"/>
      <c r="H481" s="10"/>
      <c r="I481" s="9"/>
    </row>
    <row r="482" spans="1:9">
      <c r="A482" s="10"/>
      <c r="B482" s="10"/>
      <c r="C482" s="10"/>
      <c r="D482" s="10"/>
      <c r="E482" s="10"/>
      <c r="F482" s="10"/>
      <c r="G482" s="10"/>
      <c r="H482" s="10"/>
      <c r="I482" s="9"/>
    </row>
    <row r="483" spans="1:9">
      <c r="A483" s="10"/>
      <c r="B483" s="10"/>
      <c r="C483" s="10"/>
      <c r="D483" s="10"/>
      <c r="E483" s="10"/>
      <c r="F483" s="10"/>
      <c r="G483" s="10"/>
      <c r="H483" s="10"/>
      <c r="I483" s="9"/>
    </row>
    <row r="484" spans="1:9">
      <c r="A484" s="10"/>
      <c r="B484" s="10"/>
      <c r="C484" s="10"/>
      <c r="D484" s="10"/>
      <c r="E484" s="10"/>
      <c r="F484" s="10"/>
      <c r="G484" s="10"/>
      <c r="H484" s="10"/>
      <c r="I484" s="9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9"/>
    </row>
    <row r="486" spans="1:9">
      <c r="A486" s="10"/>
      <c r="B486" s="10"/>
      <c r="C486" s="10"/>
      <c r="D486" s="10"/>
      <c r="E486" s="10"/>
      <c r="F486" s="10"/>
      <c r="G486" s="10"/>
      <c r="H486" s="10"/>
      <c r="I486" s="9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9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9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9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9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9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9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9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9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9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9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9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9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9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9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9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9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9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9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9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9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9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9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9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9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9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9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9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9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9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9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9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9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9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9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9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9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9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9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9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9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9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9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9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9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9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9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9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9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9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9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9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9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9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9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9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9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9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9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9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9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9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9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9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9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9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9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9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9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9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9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9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9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9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9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9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9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9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9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9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9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9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9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9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9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9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9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9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9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9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9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9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9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9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9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9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9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9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9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9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9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9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9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9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9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9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9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9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9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9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9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9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9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9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9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9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9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9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9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9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9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9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9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9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9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9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9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9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9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9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9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9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9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9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9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9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9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9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9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9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9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9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9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9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9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9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9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9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9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9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9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9"/>
    </row>
    <row r="638" spans="1:8">
      <c r="A638" s="10"/>
      <c r="B638" s="10"/>
      <c r="C638" s="10"/>
      <c r="D638" s="10"/>
      <c r="E638" s="10"/>
      <c r="F638" s="10"/>
      <c r="G638" s="10"/>
      <c r="H638" s="10"/>
    </row>
    <row r="639" spans="1:8">
      <c r="A639" s="10"/>
      <c r="B639" s="10"/>
      <c r="C639" s="10"/>
      <c r="D639" s="10"/>
      <c r="E639" s="10"/>
      <c r="F639" s="10"/>
      <c r="G639" s="10"/>
      <c r="H639" s="10"/>
    </row>
    <row r="640" spans="1:8">
      <c r="A640" s="10"/>
      <c r="B640" s="10"/>
      <c r="C640" s="10"/>
      <c r="D640" s="10"/>
      <c r="E640" s="10"/>
      <c r="F640" s="10"/>
      <c r="G640" s="10"/>
      <c r="H640" s="10"/>
    </row>
    <row r="641" spans="1:8">
      <c r="A641" s="10"/>
      <c r="B641" s="10"/>
      <c r="C641" s="10"/>
      <c r="D641" s="10"/>
      <c r="E641" s="10"/>
      <c r="F641" s="10"/>
      <c r="G641" s="10"/>
      <c r="H641" s="10"/>
    </row>
    <row r="642" spans="1:8">
      <c r="A642" s="10"/>
      <c r="B642" s="10"/>
      <c r="C642" s="10"/>
      <c r="D642" s="10"/>
      <c r="E642" s="10"/>
      <c r="F642" s="10"/>
      <c r="G642" s="10"/>
      <c r="H642" s="10"/>
    </row>
    <row r="643" spans="1:8">
      <c r="A643" s="10"/>
      <c r="B643" s="10"/>
      <c r="C643" s="10"/>
      <c r="D643" s="10"/>
      <c r="E643" s="10"/>
      <c r="F643" s="10"/>
      <c r="G643" s="10"/>
      <c r="H643" s="10"/>
    </row>
    <row r="644" spans="1:8">
      <c r="A644" s="10"/>
      <c r="B644" s="10"/>
      <c r="C644" s="10"/>
      <c r="D644" s="10"/>
      <c r="E644" s="10"/>
      <c r="F644" s="10"/>
      <c r="G644" s="10"/>
      <c r="H644" s="10"/>
    </row>
    <row r="645" spans="1:8">
      <c r="A645" s="10"/>
      <c r="B645" s="10"/>
      <c r="C645" s="10"/>
      <c r="D645" s="10"/>
      <c r="E645" s="10"/>
      <c r="F645" s="10"/>
      <c r="G645" s="10"/>
      <c r="H645" s="10"/>
    </row>
    <row r="646" spans="1:8">
      <c r="A646" s="10"/>
      <c r="B646" s="10"/>
      <c r="C646" s="10"/>
      <c r="D646" s="10"/>
      <c r="E646" s="10"/>
      <c r="F646" s="10"/>
      <c r="G646" s="10"/>
      <c r="H646" s="10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28575</xdr:colOff>
                <xdr:row>0</xdr:row>
                <xdr:rowOff>9525</xdr:rowOff>
              </from>
              <to>
                <xdr:col>9</xdr:col>
                <xdr:colOff>10795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641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499</v>
      </c>
      <c r="B1" s="3" t="s">
        <v>500</v>
      </c>
      <c r="C1" s="3" t="s">
        <v>501</v>
      </c>
      <c r="D1" s="3" t="s">
        <v>2</v>
      </c>
      <c r="E1" s="3" t="s">
        <v>502</v>
      </c>
      <c r="F1" s="3" t="s">
        <v>503</v>
      </c>
      <c r="G1" s="3" t="s">
        <v>504</v>
      </c>
      <c r="H1" s="3" t="s">
        <v>505</v>
      </c>
      <c r="I1" s="3" t="s">
        <v>506</v>
      </c>
      <c r="J1" s="3" t="s">
        <v>507</v>
      </c>
      <c r="K1" s="3" t="s">
        <v>508</v>
      </c>
      <c r="L1" s="3" t="s">
        <v>509</v>
      </c>
      <c r="M1" s="3" t="s">
        <v>510</v>
      </c>
      <c r="N1" s="3" t="s">
        <v>511</v>
      </c>
      <c r="O1" s="3" t="s">
        <v>512</v>
      </c>
      <c r="P1" s="3" t="s">
        <v>513</v>
      </c>
      <c r="Q1" s="3" t="s">
        <v>514</v>
      </c>
      <c r="R1" s="3" t="s">
        <v>515</v>
      </c>
      <c r="S1" s="3" t="s">
        <v>516</v>
      </c>
      <c r="T1" s="3" t="s">
        <v>517</v>
      </c>
      <c r="U1" s="3" t="s">
        <v>518</v>
      </c>
      <c r="V1" s="3" t="s">
        <v>519</v>
      </c>
      <c r="W1" s="3" t="s">
        <v>520</v>
      </c>
      <c r="X1" s="3" t="s">
        <v>521</v>
      </c>
      <c r="Y1" s="3" t="s">
        <v>522</v>
      </c>
      <c r="Z1" s="3" t="s">
        <v>523</v>
      </c>
      <c r="AA1" s="3" t="s">
        <v>524</v>
      </c>
      <c r="AB1" s="3" t="s">
        <v>525</v>
      </c>
      <c r="AC1" s="3" t="s">
        <v>526</v>
      </c>
      <c r="AD1" s="3" t="s">
        <v>527</v>
      </c>
      <c r="AE1" s="3" t="s">
        <v>528</v>
      </c>
      <c r="AF1" s="3" t="s">
        <v>529</v>
      </c>
      <c r="AG1" s="3" t="s">
        <v>530</v>
      </c>
      <c r="AH1" s="3" t="s">
        <v>531</v>
      </c>
      <c r="AI1" s="3" t="s">
        <v>532</v>
      </c>
      <c r="AJ1" s="3" t="s">
        <v>533</v>
      </c>
    </row>
    <row r="2" spans="1:36">
      <c r="A2" s="4">
        <v>43336</v>
      </c>
      <c r="B2" s="3" t="s">
        <v>534</v>
      </c>
      <c r="C2" s="3" t="s">
        <v>535</v>
      </c>
      <c r="D2" s="3" t="s">
        <v>536</v>
      </c>
      <c r="E2" s="3" t="s">
        <v>537</v>
      </c>
      <c r="F2" s="3" t="s">
        <v>538</v>
      </c>
      <c r="G2" s="3">
        <v>6</v>
      </c>
      <c r="H2" s="3">
        <v>0</v>
      </c>
      <c r="I2" s="3">
        <v>6</v>
      </c>
      <c r="J2" s="3">
        <v>0</v>
      </c>
      <c r="K2" s="3">
        <v>0</v>
      </c>
      <c r="L2" s="3">
        <v>0</v>
      </c>
      <c r="M2" s="3">
        <v>0</v>
      </c>
      <c r="N2" s="3" t="s">
        <v>539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540</v>
      </c>
      <c r="X2" s="3">
        <v>19.99</v>
      </c>
      <c r="Y2" s="3">
        <v>19.99</v>
      </c>
      <c r="Z2" s="3">
        <v>19.99</v>
      </c>
      <c r="AA2" s="3">
        <v>0</v>
      </c>
      <c r="AB2" s="3" t="s">
        <v>541</v>
      </c>
      <c r="AC2" s="3">
        <v>0</v>
      </c>
      <c r="AD2" s="3">
        <v>15.99</v>
      </c>
      <c r="AE2" s="3">
        <v>63</v>
      </c>
      <c r="AF2" s="3">
        <v>0</v>
      </c>
      <c r="AG2" s="3">
        <v>6.942678</v>
      </c>
      <c r="AH2" s="3">
        <v>0</v>
      </c>
      <c r="AI2" s="3">
        <v>0.735503999999999</v>
      </c>
      <c r="AJ2" s="3" t="s">
        <v>542</v>
      </c>
    </row>
    <row r="3" spans="1:36">
      <c r="A3" s="4">
        <v>43336</v>
      </c>
      <c r="B3" s="3" t="s">
        <v>543</v>
      </c>
      <c r="C3" s="3" t="s">
        <v>544</v>
      </c>
      <c r="D3" s="3" t="s">
        <v>545</v>
      </c>
      <c r="E3" s="3" t="s">
        <v>546</v>
      </c>
      <c r="F3" s="3" t="s">
        <v>538</v>
      </c>
      <c r="G3" s="3">
        <v>7</v>
      </c>
      <c r="H3" s="3">
        <v>0</v>
      </c>
      <c r="I3" s="3">
        <v>0</v>
      </c>
      <c r="J3" s="3">
        <v>7</v>
      </c>
      <c r="K3" s="3">
        <v>0</v>
      </c>
      <c r="L3" s="3">
        <v>0</v>
      </c>
      <c r="M3" s="3">
        <v>0</v>
      </c>
      <c r="N3" s="3" t="s">
        <v>539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1</v>
      </c>
      <c r="U3" s="3">
        <v>2</v>
      </c>
      <c r="V3" s="3">
        <v>3</v>
      </c>
      <c r="W3" s="3"/>
      <c r="X3" s="3">
        <v>28.9</v>
      </c>
      <c r="Y3" s="3">
        <v>28.9</v>
      </c>
      <c r="Z3" s="3">
        <v>28.9</v>
      </c>
      <c r="AA3" s="3">
        <v>0</v>
      </c>
      <c r="AB3" s="3" t="s">
        <v>547</v>
      </c>
      <c r="AC3" s="3">
        <v>7</v>
      </c>
      <c r="AD3" s="3">
        <v>28.9</v>
      </c>
      <c r="AE3" s="3">
        <v>0</v>
      </c>
      <c r="AF3" s="3">
        <v>0</v>
      </c>
      <c r="AG3" s="3">
        <v>0</v>
      </c>
      <c r="AH3" s="3">
        <v>0.352941176470588</v>
      </c>
      <c r="AI3" s="3">
        <v>0.382767</v>
      </c>
      <c r="AJ3" s="3" t="s">
        <v>548</v>
      </c>
    </row>
    <row r="4" spans="1:36">
      <c r="A4" s="4">
        <v>43336</v>
      </c>
      <c r="B4" s="3" t="s">
        <v>549</v>
      </c>
      <c r="C4" s="3" t="s">
        <v>550</v>
      </c>
      <c r="D4" s="3" t="s">
        <v>551</v>
      </c>
      <c r="E4" s="3" t="s">
        <v>552</v>
      </c>
      <c r="F4" s="3" t="s">
        <v>538</v>
      </c>
      <c r="G4" s="3">
        <v>3</v>
      </c>
      <c r="H4" s="3">
        <v>0</v>
      </c>
      <c r="I4" s="3">
        <v>3</v>
      </c>
      <c r="J4" s="3">
        <v>0</v>
      </c>
      <c r="K4" s="3">
        <v>0</v>
      </c>
      <c r="L4" s="3">
        <v>0</v>
      </c>
      <c r="M4" s="3">
        <v>0</v>
      </c>
      <c r="N4" s="3" t="s">
        <v>539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553</v>
      </c>
      <c r="X4" s="3">
        <v>32.9</v>
      </c>
      <c r="Y4" s="3">
        <v>32.9</v>
      </c>
      <c r="Z4" s="3">
        <v>32.9</v>
      </c>
      <c r="AA4" s="3">
        <v>0</v>
      </c>
      <c r="AB4" s="3" t="s">
        <v>547</v>
      </c>
      <c r="AC4" s="3">
        <v>3</v>
      </c>
      <c r="AD4" s="3">
        <v>32.9</v>
      </c>
      <c r="AE4" s="3">
        <v>0</v>
      </c>
      <c r="AF4" s="3">
        <v>0</v>
      </c>
      <c r="AG4" s="3">
        <v>0</v>
      </c>
      <c r="AH4" s="3">
        <v>0</v>
      </c>
      <c r="AI4" s="3">
        <v>0.509625</v>
      </c>
      <c r="AJ4" s="3" t="s">
        <v>548</v>
      </c>
    </row>
    <row r="5" spans="1:36">
      <c r="A5" s="4">
        <v>43336</v>
      </c>
      <c r="B5" s="3" t="s">
        <v>554</v>
      </c>
      <c r="C5" s="3" t="s">
        <v>555</v>
      </c>
      <c r="D5" s="3" t="s">
        <v>556</v>
      </c>
      <c r="E5" s="3" t="s">
        <v>557</v>
      </c>
      <c r="F5" s="3" t="s">
        <v>538</v>
      </c>
      <c r="G5" s="3">
        <v>22</v>
      </c>
      <c r="H5" s="3">
        <v>0</v>
      </c>
      <c r="I5" s="3">
        <v>20</v>
      </c>
      <c r="J5" s="3">
        <v>2</v>
      </c>
      <c r="K5" s="3">
        <v>0</v>
      </c>
      <c r="L5" s="3">
        <v>0</v>
      </c>
      <c r="M5" s="3">
        <v>0</v>
      </c>
      <c r="N5" s="3" t="s">
        <v>539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2</v>
      </c>
      <c r="U5" s="3">
        <v>5</v>
      </c>
      <c r="V5" s="3">
        <v>5</v>
      </c>
      <c r="W5" s="3"/>
      <c r="X5" s="3">
        <v>20.99</v>
      </c>
      <c r="Y5" s="3">
        <v>20.99</v>
      </c>
      <c r="Z5" s="3">
        <v>20.99</v>
      </c>
      <c r="AA5" s="3">
        <v>0</v>
      </c>
      <c r="AB5" s="3" t="s">
        <v>547</v>
      </c>
      <c r="AC5" s="3">
        <v>22</v>
      </c>
      <c r="AD5" s="3">
        <v>20.99</v>
      </c>
      <c r="AE5" s="3">
        <v>0</v>
      </c>
      <c r="AF5" s="3">
        <v>0</v>
      </c>
      <c r="AG5" s="3">
        <v>0</v>
      </c>
      <c r="AH5" s="3">
        <v>0.5</v>
      </c>
      <c r="AI5" s="3">
        <v>2.93689</v>
      </c>
      <c r="AJ5" s="3" t="s">
        <v>548</v>
      </c>
    </row>
    <row r="6" spans="1:36">
      <c r="A6" s="4">
        <v>43336</v>
      </c>
      <c r="B6" s="3" t="s">
        <v>558</v>
      </c>
      <c r="C6" s="3" t="s">
        <v>559</v>
      </c>
      <c r="D6" s="3" t="s">
        <v>560</v>
      </c>
      <c r="E6" s="3" t="s">
        <v>561</v>
      </c>
      <c r="F6" s="3" t="s">
        <v>538</v>
      </c>
      <c r="G6" s="3">
        <v>11</v>
      </c>
      <c r="H6" s="3">
        <v>0</v>
      </c>
      <c r="I6" s="3">
        <v>0</v>
      </c>
      <c r="J6" s="3">
        <v>0</v>
      </c>
      <c r="K6" s="3">
        <v>1</v>
      </c>
      <c r="L6" s="3">
        <v>10</v>
      </c>
      <c r="M6" s="3">
        <v>0</v>
      </c>
      <c r="N6" s="3" t="s">
        <v>539</v>
      </c>
      <c r="O6" s="3">
        <v>2</v>
      </c>
      <c r="P6" s="3">
        <v>0.32</v>
      </c>
      <c r="Q6" s="3">
        <v>9</v>
      </c>
      <c r="R6" s="3">
        <v>4.5</v>
      </c>
      <c r="S6" s="3">
        <v>1</v>
      </c>
      <c r="T6" s="3">
        <v>1</v>
      </c>
      <c r="U6" s="3">
        <v>1</v>
      </c>
      <c r="V6" s="3">
        <v>1</v>
      </c>
      <c r="W6" s="3"/>
      <c r="X6" s="3">
        <v>13.99</v>
      </c>
      <c r="Y6" s="3">
        <v>13.99</v>
      </c>
      <c r="Z6" s="3">
        <v>13.99</v>
      </c>
      <c r="AA6" s="3">
        <v>0</v>
      </c>
      <c r="AB6" s="3" t="s">
        <v>562</v>
      </c>
      <c r="AC6" s="3">
        <v>0</v>
      </c>
      <c r="AD6" s="3">
        <v>11.68</v>
      </c>
      <c r="AE6" s="3">
        <v>364</v>
      </c>
      <c r="AF6" s="3">
        <v>0</v>
      </c>
      <c r="AG6" s="3">
        <v>129.019402</v>
      </c>
      <c r="AH6" s="3">
        <v>0.0851063829787234</v>
      </c>
      <c r="AI6" s="3">
        <v>0.516868</v>
      </c>
      <c r="AJ6" s="3" t="s">
        <v>548</v>
      </c>
    </row>
    <row r="7" spans="1:36">
      <c r="A7" s="4">
        <v>43336</v>
      </c>
      <c r="B7" s="3" t="s">
        <v>563</v>
      </c>
      <c r="C7" s="3" t="s">
        <v>564</v>
      </c>
      <c r="D7" s="3" t="s">
        <v>565</v>
      </c>
      <c r="E7" s="3" t="s">
        <v>566</v>
      </c>
      <c r="F7" s="3" t="s">
        <v>538</v>
      </c>
      <c r="G7" s="3">
        <v>5</v>
      </c>
      <c r="H7" s="3">
        <v>0</v>
      </c>
      <c r="I7" s="3">
        <v>0</v>
      </c>
      <c r="J7" s="3">
        <v>0</v>
      </c>
      <c r="K7" s="3">
        <v>5</v>
      </c>
      <c r="L7" s="3">
        <v>0</v>
      </c>
      <c r="M7" s="3">
        <v>0</v>
      </c>
      <c r="N7" s="3" t="s">
        <v>539</v>
      </c>
      <c r="O7" s="3">
        <v>5</v>
      </c>
      <c r="P7" s="3">
        <v>0.86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 t="s">
        <v>553</v>
      </c>
      <c r="X7" s="3">
        <v>29.9</v>
      </c>
      <c r="Y7" s="3">
        <v>29.9</v>
      </c>
      <c r="Z7" s="3">
        <v>29.9</v>
      </c>
      <c r="AA7" s="3">
        <v>0</v>
      </c>
      <c r="AB7" s="3" t="s">
        <v>547</v>
      </c>
      <c r="AC7" s="3">
        <v>5</v>
      </c>
      <c r="AD7" s="3">
        <v>29.9</v>
      </c>
      <c r="AE7" s="3">
        <v>0</v>
      </c>
      <c r="AF7" s="3">
        <v>0</v>
      </c>
      <c r="AG7" s="3">
        <v>0</v>
      </c>
      <c r="AH7" s="3">
        <v>0</v>
      </c>
      <c r="AI7" s="3">
        <v>0.248615</v>
      </c>
      <c r="AJ7" s="3" t="s">
        <v>548</v>
      </c>
    </row>
    <row r="8" spans="1:36">
      <c r="A8" s="4">
        <v>43336</v>
      </c>
      <c r="B8" s="3" t="s">
        <v>567</v>
      </c>
      <c r="C8" s="3" t="s">
        <v>568</v>
      </c>
      <c r="D8" s="3" t="s">
        <v>569</v>
      </c>
      <c r="E8" s="3" t="s">
        <v>570</v>
      </c>
      <c r="F8" s="3" t="s">
        <v>538</v>
      </c>
      <c r="G8" s="3">
        <v>2</v>
      </c>
      <c r="H8" s="3">
        <v>0</v>
      </c>
      <c r="I8" s="3">
        <v>2</v>
      </c>
      <c r="J8" s="3">
        <v>0</v>
      </c>
      <c r="K8" s="3">
        <v>0</v>
      </c>
      <c r="L8" s="3">
        <v>0</v>
      </c>
      <c r="M8" s="3">
        <v>0</v>
      </c>
      <c r="N8" s="3" t="s">
        <v>539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1</v>
      </c>
      <c r="U8" s="3">
        <v>3</v>
      </c>
      <c r="V8" s="3">
        <v>3</v>
      </c>
      <c r="W8" s="3"/>
      <c r="X8" s="3">
        <v>9</v>
      </c>
      <c r="Y8" s="3">
        <v>9</v>
      </c>
      <c r="Z8" s="3">
        <v>9</v>
      </c>
      <c r="AA8" s="3">
        <v>0</v>
      </c>
      <c r="AB8" s="3" t="s">
        <v>547</v>
      </c>
      <c r="AC8" s="3">
        <v>3</v>
      </c>
      <c r="AD8" s="3">
        <v>9</v>
      </c>
      <c r="AE8" s="3">
        <v>0</v>
      </c>
      <c r="AF8" s="3">
        <v>0</v>
      </c>
      <c r="AG8" s="3">
        <v>0</v>
      </c>
      <c r="AH8" s="3">
        <v>0.899999999999999</v>
      </c>
      <c r="AI8" s="3">
        <v>0.055108</v>
      </c>
      <c r="AJ8" s="3" t="s">
        <v>542</v>
      </c>
    </row>
    <row r="9" spans="1:36">
      <c r="A9" s="4">
        <v>43336</v>
      </c>
      <c r="B9" s="3" t="s">
        <v>571</v>
      </c>
      <c r="C9" s="3" t="s">
        <v>572</v>
      </c>
      <c r="D9" s="3" t="s">
        <v>573</v>
      </c>
      <c r="E9" s="3" t="s">
        <v>574</v>
      </c>
      <c r="F9" s="3" t="s">
        <v>538</v>
      </c>
      <c r="G9" s="3">
        <v>2</v>
      </c>
      <c r="H9" s="3">
        <v>0</v>
      </c>
      <c r="I9" s="3">
        <v>0</v>
      </c>
      <c r="J9" s="3">
        <v>0</v>
      </c>
      <c r="K9" s="3">
        <v>2</v>
      </c>
      <c r="L9" s="3">
        <v>0</v>
      </c>
      <c r="M9" s="3">
        <v>0</v>
      </c>
      <c r="N9" s="3" t="s">
        <v>539</v>
      </c>
      <c r="O9" s="3">
        <v>2</v>
      </c>
      <c r="P9" s="3">
        <v>0.14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540</v>
      </c>
      <c r="X9" s="3">
        <v>11.99</v>
      </c>
      <c r="Y9" s="3">
        <v>11.99</v>
      </c>
      <c r="Z9" s="3">
        <v>11.99</v>
      </c>
      <c r="AA9" s="3">
        <v>0</v>
      </c>
      <c r="AB9" s="3" t="s">
        <v>547</v>
      </c>
      <c r="AC9" s="3">
        <v>2</v>
      </c>
      <c r="AD9" s="3">
        <v>11.99</v>
      </c>
      <c r="AE9" s="3">
        <v>0</v>
      </c>
      <c r="AF9" s="3">
        <v>0</v>
      </c>
      <c r="AG9" s="3">
        <v>0</v>
      </c>
      <c r="AH9" s="3">
        <v>0</v>
      </c>
      <c r="AI9" s="3">
        <v>0.041666</v>
      </c>
      <c r="AJ9" s="3" t="s">
        <v>548</v>
      </c>
    </row>
    <row r="10" spans="1:36">
      <c r="A10" s="4">
        <v>43336</v>
      </c>
      <c r="B10" s="3" t="s">
        <v>272</v>
      </c>
      <c r="C10" s="3" t="s">
        <v>273</v>
      </c>
      <c r="D10" s="3" t="s">
        <v>274</v>
      </c>
      <c r="E10" s="3" t="s">
        <v>275</v>
      </c>
      <c r="F10" s="3" t="s">
        <v>538</v>
      </c>
      <c r="G10" s="3">
        <v>10</v>
      </c>
      <c r="H10" s="3">
        <v>0</v>
      </c>
      <c r="I10" s="3">
        <v>5</v>
      </c>
      <c r="J10" s="3">
        <v>2</v>
      </c>
      <c r="K10" s="3">
        <v>1</v>
      </c>
      <c r="L10" s="3">
        <v>2</v>
      </c>
      <c r="M10" s="3">
        <v>0</v>
      </c>
      <c r="N10" s="3" t="s">
        <v>539</v>
      </c>
      <c r="O10" s="3">
        <v>4</v>
      </c>
      <c r="P10" s="3">
        <v>1.52</v>
      </c>
      <c r="Q10" s="3">
        <v>0</v>
      </c>
      <c r="R10" s="3">
        <v>0</v>
      </c>
      <c r="S10" s="3">
        <v>0</v>
      </c>
      <c r="T10" s="3">
        <v>2</v>
      </c>
      <c r="U10" s="3">
        <v>5</v>
      </c>
      <c r="V10" s="3">
        <v>6</v>
      </c>
      <c r="W10" s="3"/>
      <c r="X10" s="3">
        <v>21.9</v>
      </c>
      <c r="Y10" s="3">
        <v>21.9</v>
      </c>
      <c r="Z10" s="3">
        <v>21.9</v>
      </c>
      <c r="AA10" s="3">
        <v>0</v>
      </c>
      <c r="AB10" s="3" t="s">
        <v>562</v>
      </c>
      <c r="AC10" s="3">
        <v>1</v>
      </c>
      <c r="AD10" s="3">
        <v>17.52</v>
      </c>
      <c r="AE10" s="3">
        <v>70</v>
      </c>
      <c r="AF10" s="3">
        <v>0</v>
      </c>
      <c r="AG10" s="3">
        <v>22.741605</v>
      </c>
      <c r="AH10" s="3">
        <v>0.631578947368421</v>
      </c>
      <c r="AI10" s="3">
        <v>1.09455</v>
      </c>
      <c r="AJ10" s="3" t="s">
        <v>548</v>
      </c>
    </row>
    <row r="11" spans="1:36">
      <c r="A11" s="4">
        <v>43336</v>
      </c>
      <c r="B11" s="3" t="s">
        <v>575</v>
      </c>
      <c r="C11" s="3" t="s">
        <v>576</v>
      </c>
      <c r="D11" s="3" t="s">
        <v>577</v>
      </c>
      <c r="E11" s="3" t="s">
        <v>578</v>
      </c>
      <c r="F11" s="3" t="s">
        <v>538</v>
      </c>
      <c r="G11" s="3">
        <v>9</v>
      </c>
      <c r="H11" s="3">
        <v>0</v>
      </c>
      <c r="I11" s="3">
        <v>9</v>
      </c>
      <c r="J11" s="3">
        <v>0</v>
      </c>
      <c r="K11" s="3">
        <v>0</v>
      </c>
      <c r="L11" s="3">
        <v>0</v>
      </c>
      <c r="M11" s="3">
        <v>0</v>
      </c>
      <c r="N11" s="3" t="s">
        <v>539</v>
      </c>
      <c r="O11" s="3">
        <v>0</v>
      </c>
      <c r="P11" s="3">
        <v>0</v>
      </c>
      <c r="Q11" s="3">
        <v>0</v>
      </c>
      <c r="R11" s="3">
        <v>0</v>
      </c>
      <c r="S11" s="3">
        <v>1</v>
      </c>
      <c r="T11" s="3">
        <v>4</v>
      </c>
      <c r="U11" s="3">
        <v>6</v>
      </c>
      <c r="V11" s="3">
        <v>8</v>
      </c>
      <c r="W11" s="3"/>
      <c r="X11" s="3">
        <v>24.49</v>
      </c>
      <c r="Y11" s="3">
        <v>24.49</v>
      </c>
      <c r="Z11" s="3">
        <v>24.49</v>
      </c>
      <c r="AA11" s="3">
        <v>0</v>
      </c>
      <c r="AB11" s="3" t="s">
        <v>547</v>
      </c>
      <c r="AC11" s="3">
        <v>9</v>
      </c>
      <c r="AD11" s="3">
        <v>24.49</v>
      </c>
      <c r="AE11" s="3">
        <v>0</v>
      </c>
      <c r="AF11" s="3">
        <v>0</v>
      </c>
      <c r="AG11" s="3">
        <v>0</v>
      </c>
      <c r="AH11" s="3">
        <v>0.780487804878048</v>
      </c>
      <c r="AI11" s="3">
        <v>0.999999</v>
      </c>
      <c r="AJ11" s="3" t="s">
        <v>548</v>
      </c>
    </row>
    <row r="12" spans="1:36">
      <c r="A12" s="4">
        <v>43336</v>
      </c>
      <c r="B12" s="3" t="s">
        <v>579</v>
      </c>
      <c r="C12" s="3" t="s">
        <v>580</v>
      </c>
      <c r="D12" s="3" t="s">
        <v>581</v>
      </c>
      <c r="E12" s="3" t="s">
        <v>582</v>
      </c>
      <c r="F12" s="3" t="s">
        <v>538</v>
      </c>
      <c r="G12" s="3">
        <v>4</v>
      </c>
      <c r="H12" s="3">
        <v>0</v>
      </c>
      <c r="I12" s="3">
        <v>0</v>
      </c>
      <c r="J12" s="3">
        <v>4</v>
      </c>
      <c r="K12" s="3">
        <v>0</v>
      </c>
      <c r="L12" s="3">
        <v>0</v>
      </c>
      <c r="M12" s="3">
        <v>0</v>
      </c>
      <c r="N12" s="3" t="s">
        <v>539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540</v>
      </c>
      <c r="X12" s="3">
        <v>9.98</v>
      </c>
      <c r="Y12" s="3">
        <v>9.98</v>
      </c>
      <c r="Z12" s="3">
        <v>9.98</v>
      </c>
      <c r="AA12" s="3">
        <v>0</v>
      </c>
      <c r="AB12" s="3" t="s">
        <v>541</v>
      </c>
      <c r="AC12" s="3">
        <v>0</v>
      </c>
      <c r="AD12" s="3">
        <v>7.98</v>
      </c>
      <c r="AE12" s="3">
        <v>63</v>
      </c>
      <c r="AF12" s="3">
        <v>0</v>
      </c>
      <c r="AG12" s="3">
        <v>2.339591</v>
      </c>
      <c r="AH12" s="3">
        <v>0</v>
      </c>
      <c r="AI12" s="5">
        <v>0.000232</v>
      </c>
      <c r="AJ12" s="3" t="s">
        <v>548</v>
      </c>
    </row>
    <row r="13" spans="1:36">
      <c r="A13" s="4">
        <v>43336</v>
      </c>
      <c r="B13" s="3" t="s">
        <v>583</v>
      </c>
      <c r="C13" s="3" t="s">
        <v>584</v>
      </c>
      <c r="D13" s="3" t="s">
        <v>585</v>
      </c>
      <c r="E13" s="3" t="s">
        <v>586</v>
      </c>
      <c r="F13" s="3" t="s">
        <v>538</v>
      </c>
      <c r="G13" s="3">
        <v>20</v>
      </c>
      <c r="H13" s="3">
        <v>0</v>
      </c>
      <c r="I13" s="3">
        <v>2</v>
      </c>
      <c r="J13" s="3">
        <v>0</v>
      </c>
      <c r="K13" s="3">
        <v>0</v>
      </c>
      <c r="L13" s="3">
        <v>18</v>
      </c>
      <c r="M13" s="3">
        <v>0</v>
      </c>
      <c r="N13" s="3" t="s">
        <v>539</v>
      </c>
      <c r="O13" s="3">
        <v>0</v>
      </c>
      <c r="P13" s="3">
        <v>0</v>
      </c>
      <c r="Q13" s="3">
        <v>18</v>
      </c>
      <c r="R13" s="3">
        <v>9</v>
      </c>
      <c r="S13" s="3">
        <v>1</v>
      </c>
      <c r="T13" s="3">
        <v>1</v>
      </c>
      <c r="U13" s="3">
        <v>3</v>
      </c>
      <c r="V13" s="3">
        <v>3</v>
      </c>
      <c r="W13" s="3"/>
      <c r="X13" s="3">
        <v>9.99</v>
      </c>
      <c r="Y13" s="3">
        <v>9.99</v>
      </c>
      <c r="Z13" s="3">
        <v>9.99</v>
      </c>
      <c r="AA13" s="3">
        <v>0</v>
      </c>
      <c r="AB13" s="3" t="s">
        <v>562</v>
      </c>
      <c r="AC13" s="3">
        <v>1</v>
      </c>
      <c r="AD13" s="3">
        <v>6.71</v>
      </c>
      <c r="AE13" s="3">
        <v>364</v>
      </c>
      <c r="AF13" s="3">
        <v>0</v>
      </c>
      <c r="AG13" s="3">
        <v>21.109393</v>
      </c>
      <c r="AH13" s="3">
        <v>0.148148148148148</v>
      </c>
      <c r="AI13" s="3">
        <v>0.00116</v>
      </c>
      <c r="AJ13" s="3" t="s">
        <v>548</v>
      </c>
    </row>
    <row r="14" spans="1:36">
      <c r="A14" s="4">
        <v>43336</v>
      </c>
      <c r="B14" s="3" t="s">
        <v>587</v>
      </c>
      <c r="C14" s="3" t="s">
        <v>588</v>
      </c>
      <c r="D14" s="3" t="s">
        <v>589</v>
      </c>
      <c r="E14" s="3" t="s">
        <v>590</v>
      </c>
      <c r="F14" s="3" t="s">
        <v>538</v>
      </c>
      <c r="G14" s="3">
        <v>6</v>
      </c>
      <c r="H14" s="3">
        <v>0</v>
      </c>
      <c r="I14" s="3">
        <v>6</v>
      </c>
      <c r="J14" s="3">
        <v>0</v>
      </c>
      <c r="K14" s="3">
        <v>0</v>
      </c>
      <c r="L14" s="3">
        <v>0</v>
      </c>
      <c r="M14" s="3">
        <v>0</v>
      </c>
      <c r="N14" s="3" t="s">
        <v>539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 t="s">
        <v>540</v>
      </c>
      <c r="X14" s="3">
        <v>19.99</v>
      </c>
      <c r="Y14" s="3">
        <v>19.99</v>
      </c>
      <c r="Z14" s="3">
        <v>19.99</v>
      </c>
      <c r="AA14" s="3">
        <v>0</v>
      </c>
      <c r="AB14" s="3" t="s">
        <v>541</v>
      </c>
      <c r="AC14" s="3">
        <v>0</v>
      </c>
      <c r="AD14" s="3">
        <v>15.99</v>
      </c>
      <c r="AE14" s="3">
        <v>63</v>
      </c>
      <c r="AF14" s="3">
        <v>0</v>
      </c>
      <c r="AG14" s="3">
        <v>6.942678</v>
      </c>
      <c r="AH14" s="3">
        <v>0</v>
      </c>
      <c r="AI14" s="3">
        <v>0.86739</v>
      </c>
      <c r="AJ14" s="3" t="s">
        <v>542</v>
      </c>
    </row>
    <row r="15" spans="1:36">
      <c r="A15" s="4">
        <v>43336</v>
      </c>
      <c r="B15" s="3" t="s">
        <v>591</v>
      </c>
      <c r="C15" s="3" t="s">
        <v>592</v>
      </c>
      <c r="D15" s="3" t="s">
        <v>593</v>
      </c>
      <c r="E15" s="3" t="s">
        <v>594</v>
      </c>
      <c r="F15" s="3" t="s">
        <v>538</v>
      </c>
      <c r="G15" s="3">
        <v>1</v>
      </c>
      <c r="H15" s="3">
        <v>0</v>
      </c>
      <c r="I15" s="3">
        <v>1</v>
      </c>
      <c r="J15" s="3">
        <v>0</v>
      </c>
      <c r="K15" s="3">
        <v>0</v>
      </c>
      <c r="L15" s="3">
        <v>0</v>
      </c>
      <c r="M15" s="3">
        <v>0</v>
      </c>
      <c r="N15" s="3" t="s">
        <v>539</v>
      </c>
      <c r="O15" s="3">
        <v>0</v>
      </c>
      <c r="P15" s="3">
        <v>0</v>
      </c>
      <c r="Q15" s="3">
        <v>0</v>
      </c>
      <c r="R15" s="3">
        <v>0</v>
      </c>
      <c r="S15" s="3">
        <v>1</v>
      </c>
      <c r="T15" s="3">
        <v>4</v>
      </c>
      <c r="U15" s="3">
        <v>12</v>
      </c>
      <c r="V15" s="3">
        <v>13</v>
      </c>
      <c r="W15" s="3"/>
      <c r="X15" s="3"/>
      <c r="Y15" s="3"/>
      <c r="Z15" s="3">
        <v>-1</v>
      </c>
      <c r="AA15" s="3">
        <v>-1</v>
      </c>
      <c r="AB15" s="3" t="s">
        <v>595</v>
      </c>
      <c r="AC15" s="3">
        <v>1</v>
      </c>
      <c r="AD15" s="3">
        <v>10.99</v>
      </c>
      <c r="AE15" s="3">
        <v>0</v>
      </c>
      <c r="AF15" s="3">
        <v>0</v>
      </c>
      <c r="AG15" s="3">
        <v>0</v>
      </c>
      <c r="AH15" s="3">
        <v>2.6</v>
      </c>
      <c r="AI15" s="3">
        <v>0.037889</v>
      </c>
      <c r="AJ15" s="3" t="s">
        <v>596</v>
      </c>
    </row>
    <row r="16" spans="1:36">
      <c r="A16" s="4">
        <v>43336</v>
      </c>
      <c r="B16" s="3" t="s">
        <v>597</v>
      </c>
      <c r="C16" s="3" t="s">
        <v>598</v>
      </c>
      <c r="D16" s="3" t="s">
        <v>599</v>
      </c>
      <c r="E16" s="3" t="s">
        <v>600</v>
      </c>
      <c r="F16" s="3" t="s">
        <v>538</v>
      </c>
      <c r="G16" s="3">
        <v>4</v>
      </c>
      <c r="H16" s="3">
        <v>0</v>
      </c>
      <c r="I16" s="3">
        <v>4</v>
      </c>
      <c r="J16" s="3">
        <v>0</v>
      </c>
      <c r="K16" s="3">
        <v>0</v>
      </c>
      <c r="L16" s="3">
        <v>0</v>
      </c>
      <c r="M16" s="3">
        <v>0</v>
      </c>
      <c r="N16" s="3" t="s">
        <v>539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</v>
      </c>
      <c r="U16" s="3">
        <v>1</v>
      </c>
      <c r="V16" s="3">
        <v>5</v>
      </c>
      <c r="W16" s="3" t="s">
        <v>553</v>
      </c>
      <c r="X16" s="3">
        <v>10</v>
      </c>
      <c r="Y16" s="3">
        <v>10</v>
      </c>
      <c r="Z16" s="3">
        <v>10</v>
      </c>
      <c r="AA16" s="3">
        <v>0</v>
      </c>
      <c r="AB16" s="3" t="s">
        <v>547</v>
      </c>
      <c r="AC16" s="3">
        <v>4</v>
      </c>
      <c r="AD16" s="3">
        <v>10</v>
      </c>
      <c r="AE16" s="3">
        <v>0</v>
      </c>
      <c r="AF16" s="3">
        <v>0</v>
      </c>
      <c r="AG16" s="3">
        <v>0</v>
      </c>
      <c r="AH16" s="3">
        <v>1.17647058823529</v>
      </c>
      <c r="AI16" s="3">
        <v>0.151556</v>
      </c>
      <c r="AJ16" s="3" t="s">
        <v>596</v>
      </c>
    </row>
    <row r="17" spans="1:36">
      <c r="A17" s="4">
        <v>43336</v>
      </c>
      <c r="B17" s="3" t="s">
        <v>51</v>
      </c>
      <c r="C17" s="3" t="s">
        <v>52</v>
      </c>
      <c r="D17" s="3" t="s">
        <v>53</v>
      </c>
      <c r="E17" s="3" t="s">
        <v>54</v>
      </c>
      <c r="F17" s="3" t="s">
        <v>538</v>
      </c>
      <c r="G17" s="3">
        <v>1</v>
      </c>
      <c r="H17" s="3">
        <v>0</v>
      </c>
      <c r="I17" s="3">
        <v>1</v>
      </c>
      <c r="J17" s="3">
        <v>0</v>
      </c>
      <c r="K17" s="3">
        <v>0</v>
      </c>
      <c r="L17" s="3">
        <v>0</v>
      </c>
      <c r="M17" s="3">
        <v>0</v>
      </c>
      <c r="N17" s="3" t="s">
        <v>539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/>
      <c r="X17" s="3"/>
      <c r="Y17" s="3"/>
      <c r="Z17" s="3">
        <v>-1</v>
      </c>
      <c r="AA17" s="3">
        <v>-1</v>
      </c>
      <c r="AB17" s="3" t="s">
        <v>595</v>
      </c>
      <c r="AC17" s="3">
        <v>0</v>
      </c>
      <c r="AD17" s="3">
        <v>10.36</v>
      </c>
      <c r="AE17" s="3">
        <v>35</v>
      </c>
      <c r="AF17" s="3">
        <v>0</v>
      </c>
      <c r="AG17" s="3">
        <v>14.314862</v>
      </c>
      <c r="AH17" s="3">
        <v>0</v>
      </c>
      <c r="AI17" s="3">
        <v>0.093516</v>
      </c>
      <c r="AJ17" s="3" t="s">
        <v>548</v>
      </c>
    </row>
    <row r="18" spans="1:36">
      <c r="A18" s="4">
        <v>43336</v>
      </c>
      <c r="B18" s="3" t="s">
        <v>252</v>
      </c>
      <c r="C18" s="3" t="s">
        <v>253</v>
      </c>
      <c r="D18" s="3" t="s">
        <v>254</v>
      </c>
      <c r="E18" s="3" t="s">
        <v>255</v>
      </c>
      <c r="F18" s="3" t="s">
        <v>538</v>
      </c>
      <c r="G18" s="3">
        <v>337</v>
      </c>
      <c r="H18" s="3">
        <v>0</v>
      </c>
      <c r="I18" s="3">
        <v>337</v>
      </c>
      <c r="J18" s="3">
        <v>0</v>
      </c>
      <c r="K18" s="3">
        <v>0</v>
      </c>
      <c r="L18" s="3">
        <v>0</v>
      </c>
      <c r="M18" s="3">
        <v>0</v>
      </c>
      <c r="N18" s="3" t="s">
        <v>539</v>
      </c>
      <c r="O18" s="3">
        <v>0</v>
      </c>
      <c r="P18" s="3">
        <v>0</v>
      </c>
      <c r="Q18" s="3">
        <v>0</v>
      </c>
      <c r="R18" s="3">
        <v>0</v>
      </c>
      <c r="S18" s="3">
        <v>25</v>
      </c>
      <c r="T18" s="3">
        <v>138</v>
      </c>
      <c r="U18" s="3">
        <v>391</v>
      </c>
      <c r="V18" s="3">
        <v>523</v>
      </c>
      <c r="W18" s="3"/>
      <c r="X18" s="3">
        <v>22.99</v>
      </c>
      <c r="Y18" s="3">
        <v>22.99</v>
      </c>
      <c r="Z18" s="3">
        <v>22.99</v>
      </c>
      <c r="AA18" s="3">
        <v>0</v>
      </c>
      <c r="AB18" s="3" t="s">
        <v>547</v>
      </c>
      <c r="AC18" s="3">
        <v>244</v>
      </c>
      <c r="AD18" s="3">
        <v>22.99</v>
      </c>
      <c r="AE18" s="3">
        <v>0</v>
      </c>
      <c r="AF18" s="3">
        <v>0</v>
      </c>
      <c r="AG18" s="3">
        <v>0</v>
      </c>
      <c r="AH18" s="3">
        <v>4.00766283524904</v>
      </c>
      <c r="AI18" s="3">
        <v>10.580115</v>
      </c>
      <c r="AJ18" s="3" t="s">
        <v>596</v>
      </c>
    </row>
    <row r="19" spans="1:36">
      <c r="A19" s="4">
        <v>43336</v>
      </c>
      <c r="B19" s="3" t="s">
        <v>601</v>
      </c>
      <c r="C19" s="3" t="s">
        <v>602</v>
      </c>
      <c r="D19" s="3" t="s">
        <v>603</v>
      </c>
      <c r="E19" s="3" t="s">
        <v>604</v>
      </c>
      <c r="F19" s="3" t="s">
        <v>538</v>
      </c>
      <c r="G19" s="3">
        <v>20</v>
      </c>
      <c r="H19" s="3">
        <v>0</v>
      </c>
      <c r="I19" s="3">
        <v>0</v>
      </c>
      <c r="J19" s="3">
        <v>1</v>
      </c>
      <c r="K19" s="3">
        <v>19</v>
      </c>
      <c r="L19" s="3">
        <v>0</v>
      </c>
      <c r="M19" s="3">
        <v>0</v>
      </c>
      <c r="N19" s="3" t="s">
        <v>539</v>
      </c>
      <c r="O19" s="3">
        <v>20</v>
      </c>
      <c r="P19" s="3">
        <v>2.97</v>
      </c>
      <c r="Q19" s="3">
        <v>0</v>
      </c>
      <c r="R19" s="3">
        <v>0</v>
      </c>
      <c r="S19" s="3">
        <v>2</v>
      </c>
      <c r="T19" s="3">
        <v>6</v>
      </c>
      <c r="U19" s="3">
        <v>9</v>
      </c>
      <c r="V19" s="3">
        <v>11</v>
      </c>
      <c r="W19" s="3" t="s">
        <v>553</v>
      </c>
      <c r="X19" s="3">
        <v>16.99</v>
      </c>
      <c r="Y19" s="3">
        <v>16.99</v>
      </c>
      <c r="Z19" s="3">
        <v>16.99</v>
      </c>
      <c r="AA19" s="3">
        <v>0</v>
      </c>
      <c r="AB19" s="3" t="s">
        <v>547</v>
      </c>
      <c r="AC19" s="3">
        <v>22</v>
      </c>
      <c r="AD19" s="3">
        <v>16.99</v>
      </c>
      <c r="AE19" s="3">
        <v>0</v>
      </c>
      <c r="AF19" s="3">
        <v>0</v>
      </c>
      <c r="AG19" s="3">
        <v>0</v>
      </c>
      <c r="AH19" s="3">
        <v>0.4</v>
      </c>
      <c r="AI19" s="3">
        <v>0.85938</v>
      </c>
      <c r="AJ19" s="3" t="s">
        <v>596</v>
      </c>
    </row>
    <row r="20" spans="1:36">
      <c r="A20" s="4">
        <v>43336</v>
      </c>
      <c r="B20" s="3" t="s">
        <v>605</v>
      </c>
      <c r="C20" s="3" t="s">
        <v>606</v>
      </c>
      <c r="D20" s="3" t="s">
        <v>607</v>
      </c>
      <c r="E20" s="3" t="s">
        <v>608</v>
      </c>
      <c r="F20" s="3" t="s">
        <v>538</v>
      </c>
      <c r="G20" s="3">
        <v>1</v>
      </c>
      <c r="H20" s="3">
        <v>0</v>
      </c>
      <c r="I20" s="3">
        <v>0</v>
      </c>
      <c r="J20" s="3">
        <v>0</v>
      </c>
      <c r="K20" s="3">
        <v>1</v>
      </c>
      <c r="L20" s="3">
        <v>0</v>
      </c>
      <c r="M20" s="3">
        <v>0</v>
      </c>
      <c r="N20" s="3" t="s">
        <v>539</v>
      </c>
      <c r="O20" s="3">
        <v>1</v>
      </c>
      <c r="P20" s="3">
        <v>0.26</v>
      </c>
      <c r="Q20" s="3">
        <v>0</v>
      </c>
      <c r="R20" s="3">
        <v>0</v>
      </c>
      <c r="S20" s="3">
        <v>0</v>
      </c>
      <c r="T20" s="3">
        <v>1</v>
      </c>
      <c r="U20" s="3">
        <v>1</v>
      </c>
      <c r="V20" s="3">
        <v>4</v>
      </c>
      <c r="W20" s="3" t="s">
        <v>553</v>
      </c>
      <c r="X20" s="3">
        <v>16.9</v>
      </c>
      <c r="Y20" s="3">
        <v>16.9</v>
      </c>
      <c r="Z20" s="3">
        <v>16.9</v>
      </c>
      <c r="AA20" s="3">
        <v>0</v>
      </c>
      <c r="AB20" s="3" t="s">
        <v>547</v>
      </c>
      <c r="AC20" s="3">
        <v>1</v>
      </c>
      <c r="AD20" s="3">
        <v>16.9</v>
      </c>
      <c r="AE20" s="3">
        <v>0</v>
      </c>
      <c r="AF20" s="3">
        <v>0</v>
      </c>
      <c r="AG20" s="3">
        <v>0</v>
      </c>
      <c r="AH20" s="3">
        <v>1.6</v>
      </c>
      <c r="AI20" s="3">
        <v>0.076641</v>
      </c>
      <c r="AJ20" s="3" t="s">
        <v>548</v>
      </c>
    </row>
    <row r="21" spans="1:36">
      <c r="A21" s="4">
        <v>43336</v>
      </c>
      <c r="B21" s="3" t="s">
        <v>609</v>
      </c>
      <c r="C21" s="3" t="s">
        <v>610</v>
      </c>
      <c r="D21" s="3" t="s">
        <v>611</v>
      </c>
      <c r="E21" s="3" t="s">
        <v>612</v>
      </c>
      <c r="F21" s="3" t="s">
        <v>538</v>
      </c>
      <c r="G21" s="3">
        <v>6</v>
      </c>
      <c r="H21" s="3">
        <v>0</v>
      </c>
      <c r="I21" s="3">
        <v>6</v>
      </c>
      <c r="J21" s="3">
        <v>0</v>
      </c>
      <c r="K21" s="3">
        <v>0</v>
      </c>
      <c r="L21" s="3">
        <v>0</v>
      </c>
      <c r="M21" s="3">
        <v>0</v>
      </c>
      <c r="N21" s="3" t="s">
        <v>539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 t="s">
        <v>540</v>
      </c>
      <c r="X21" s="3">
        <v>22.99</v>
      </c>
      <c r="Y21" s="3">
        <v>22.99</v>
      </c>
      <c r="Z21" s="3">
        <v>22.99</v>
      </c>
      <c r="AA21" s="3">
        <v>0</v>
      </c>
      <c r="AB21" s="3" t="s">
        <v>541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5">
        <v>6e-6</v>
      </c>
      <c r="AJ21" s="3" t="s">
        <v>542</v>
      </c>
    </row>
    <row r="22" spans="1:36">
      <c r="A22" s="4">
        <v>43336</v>
      </c>
      <c r="B22" s="3" t="s">
        <v>204</v>
      </c>
      <c r="C22" s="3" t="s">
        <v>205</v>
      </c>
      <c r="D22" s="3" t="s">
        <v>206</v>
      </c>
      <c r="E22" s="3" t="s">
        <v>207</v>
      </c>
      <c r="F22" s="3" t="s">
        <v>538</v>
      </c>
      <c r="G22" s="3">
        <v>57</v>
      </c>
      <c r="H22" s="3">
        <v>0</v>
      </c>
      <c r="I22" s="3">
        <v>57</v>
      </c>
      <c r="J22" s="3">
        <v>0</v>
      </c>
      <c r="K22" s="3">
        <v>0</v>
      </c>
      <c r="L22" s="3">
        <v>0</v>
      </c>
      <c r="M22" s="3">
        <v>0</v>
      </c>
      <c r="N22" s="3" t="s">
        <v>539</v>
      </c>
      <c r="O22" s="3">
        <v>0</v>
      </c>
      <c r="P22" s="3">
        <v>0</v>
      </c>
      <c r="Q22" s="3">
        <v>0</v>
      </c>
      <c r="R22" s="3">
        <v>0</v>
      </c>
      <c r="S22" s="3">
        <v>38</v>
      </c>
      <c r="T22" s="3">
        <v>134</v>
      </c>
      <c r="U22" s="3">
        <v>272</v>
      </c>
      <c r="V22" s="3">
        <v>477</v>
      </c>
      <c r="W22" s="3"/>
      <c r="X22" s="3">
        <v>22.99</v>
      </c>
      <c r="Y22" s="3">
        <v>22.99</v>
      </c>
      <c r="Z22" s="3">
        <v>22.99</v>
      </c>
      <c r="AA22" s="3">
        <v>0</v>
      </c>
      <c r="AB22" s="3" t="s">
        <v>547</v>
      </c>
      <c r="AC22" s="3">
        <v>58</v>
      </c>
      <c r="AD22" s="3">
        <v>22.99</v>
      </c>
      <c r="AE22" s="3">
        <v>0</v>
      </c>
      <c r="AF22" s="3">
        <v>0</v>
      </c>
      <c r="AG22" s="3">
        <v>0</v>
      </c>
      <c r="AH22" s="3">
        <v>10.258064516129</v>
      </c>
      <c r="AI22" s="3">
        <v>4.196625</v>
      </c>
      <c r="AJ22" s="3" t="s">
        <v>596</v>
      </c>
    </row>
    <row r="23" spans="1:36">
      <c r="A23" s="4">
        <v>43336</v>
      </c>
      <c r="B23" s="3" t="s">
        <v>613</v>
      </c>
      <c r="C23" s="3" t="s">
        <v>614</v>
      </c>
      <c r="D23" s="3" t="s">
        <v>615</v>
      </c>
      <c r="E23" s="3" t="s">
        <v>616</v>
      </c>
      <c r="F23" s="3" t="s">
        <v>538</v>
      </c>
      <c r="G23" s="3">
        <v>6</v>
      </c>
      <c r="H23" s="3">
        <v>0</v>
      </c>
      <c r="I23" s="3">
        <v>6</v>
      </c>
      <c r="J23" s="3">
        <v>0</v>
      </c>
      <c r="K23" s="3">
        <v>0</v>
      </c>
      <c r="L23" s="3">
        <v>0</v>
      </c>
      <c r="M23" s="3">
        <v>0</v>
      </c>
      <c r="N23" s="3" t="s">
        <v>539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540</v>
      </c>
      <c r="X23" s="3">
        <v>17.99</v>
      </c>
      <c r="Y23" s="3">
        <v>17.99</v>
      </c>
      <c r="Z23" s="3">
        <v>17.99</v>
      </c>
      <c r="AA23" s="3">
        <v>0</v>
      </c>
      <c r="AB23" s="3" t="s">
        <v>541</v>
      </c>
      <c r="AC23" s="3">
        <v>0</v>
      </c>
      <c r="AD23" s="3">
        <v>14.39</v>
      </c>
      <c r="AE23" s="3">
        <v>63</v>
      </c>
      <c r="AF23" s="3">
        <v>0</v>
      </c>
      <c r="AG23" s="3">
        <v>6.248103</v>
      </c>
      <c r="AH23" s="3">
        <v>0</v>
      </c>
      <c r="AI23" s="3">
        <v>0.50823</v>
      </c>
      <c r="AJ23" s="3" t="s">
        <v>542</v>
      </c>
    </row>
    <row r="24" spans="1:36">
      <c r="A24" s="4">
        <v>43336</v>
      </c>
      <c r="B24" s="3" t="s">
        <v>617</v>
      </c>
      <c r="C24" s="3" t="s">
        <v>618</v>
      </c>
      <c r="D24" s="3" t="s">
        <v>619</v>
      </c>
      <c r="E24" s="3" t="s">
        <v>620</v>
      </c>
      <c r="F24" s="3" t="s">
        <v>538</v>
      </c>
      <c r="G24" s="3">
        <v>18</v>
      </c>
      <c r="H24" s="3">
        <v>0</v>
      </c>
      <c r="I24" s="3">
        <v>0</v>
      </c>
      <c r="J24" s="3">
        <v>0</v>
      </c>
      <c r="K24" s="3">
        <v>0</v>
      </c>
      <c r="L24" s="3">
        <v>11</v>
      </c>
      <c r="M24" s="3">
        <v>7</v>
      </c>
      <c r="N24" s="3" t="s">
        <v>539</v>
      </c>
      <c r="O24" s="3">
        <v>1</v>
      </c>
      <c r="P24" s="3">
        <v>0.41</v>
      </c>
      <c r="Q24" s="3">
        <v>17</v>
      </c>
      <c r="R24" s="3">
        <v>13.82</v>
      </c>
      <c r="S24" s="3">
        <v>0</v>
      </c>
      <c r="T24" s="3">
        <v>0</v>
      </c>
      <c r="U24" s="3">
        <v>0</v>
      </c>
      <c r="V24" s="3">
        <v>0</v>
      </c>
      <c r="W24" s="3" t="s">
        <v>553</v>
      </c>
      <c r="X24" s="3">
        <v>22.61</v>
      </c>
      <c r="Y24" s="3">
        <v>22.61</v>
      </c>
      <c r="Z24" s="3">
        <v>22.61</v>
      </c>
      <c r="AA24" s="3">
        <v>0</v>
      </c>
      <c r="AB24" s="3" t="s">
        <v>562</v>
      </c>
      <c r="AC24" s="3">
        <v>0</v>
      </c>
      <c r="AD24" s="3">
        <v>19.51</v>
      </c>
      <c r="AE24" s="3">
        <v>294</v>
      </c>
      <c r="AF24" s="3">
        <v>0</v>
      </c>
      <c r="AG24" s="3">
        <v>443.006204</v>
      </c>
      <c r="AH24" s="3">
        <v>0</v>
      </c>
      <c r="AI24" s="3">
        <v>2.12238</v>
      </c>
      <c r="AJ24" s="3" t="s">
        <v>548</v>
      </c>
    </row>
    <row r="25" spans="1:36">
      <c r="A25" s="4">
        <v>43336</v>
      </c>
      <c r="B25" s="3" t="s">
        <v>621</v>
      </c>
      <c r="C25" s="3" t="s">
        <v>622</v>
      </c>
      <c r="D25" s="3" t="s">
        <v>623</v>
      </c>
      <c r="E25" s="3" t="s">
        <v>624</v>
      </c>
      <c r="F25" s="3" t="s">
        <v>538</v>
      </c>
      <c r="G25" s="3">
        <v>2</v>
      </c>
      <c r="H25" s="3">
        <v>0</v>
      </c>
      <c r="I25" s="3">
        <v>0</v>
      </c>
      <c r="J25" s="3">
        <v>2</v>
      </c>
      <c r="K25" s="3">
        <v>0</v>
      </c>
      <c r="L25" s="3">
        <v>0</v>
      </c>
      <c r="M25" s="3">
        <v>0</v>
      </c>
      <c r="N25" s="3" t="s">
        <v>539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/>
      <c r="X25" s="3"/>
      <c r="Y25" s="3"/>
      <c r="Z25" s="3">
        <v>-1</v>
      </c>
      <c r="AA25" s="3">
        <v>-1</v>
      </c>
      <c r="AB25" s="3" t="s">
        <v>595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0.011848</v>
      </c>
      <c r="AJ25" s="3" t="s">
        <v>548</v>
      </c>
    </row>
    <row r="26" spans="1:36">
      <c r="A26" s="4">
        <v>43336</v>
      </c>
      <c r="B26" s="3" t="s">
        <v>625</v>
      </c>
      <c r="C26" s="3" t="s">
        <v>626</v>
      </c>
      <c r="D26" s="3" t="s">
        <v>627</v>
      </c>
      <c r="E26" s="3" t="s">
        <v>628</v>
      </c>
      <c r="F26" s="3" t="s">
        <v>538</v>
      </c>
      <c r="G26" s="3">
        <v>7</v>
      </c>
      <c r="H26" s="3">
        <v>0</v>
      </c>
      <c r="I26" s="3">
        <v>4</v>
      </c>
      <c r="J26" s="3">
        <v>2</v>
      </c>
      <c r="K26" s="3">
        <v>1</v>
      </c>
      <c r="L26" s="3">
        <v>0</v>
      </c>
      <c r="M26" s="3">
        <v>0</v>
      </c>
      <c r="N26" s="3" t="s">
        <v>539</v>
      </c>
      <c r="O26" s="3">
        <v>2</v>
      </c>
      <c r="P26" s="3">
        <v>0.25</v>
      </c>
      <c r="Q26" s="3">
        <v>0</v>
      </c>
      <c r="R26" s="3">
        <v>0</v>
      </c>
      <c r="S26" s="3">
        <v>0</v>
      </c>
      <c r="T26" s="3">
        <v>2</v>
      </c>
      <c r="U26" s="3">
        <v>6</v>
      </c>
      <c r="V26" s="3">
        <v>6</v>
      </c>
      <c r="W26" s="3" t="s">
        <v>540</v>
      </c>
      <c r="X26" s="3">
        <v>19.99</v>
      </c>
      <c r="Y26" s="3">
        <v>19.99</v>
      </c>
      <c r="Z26" s="3">
        <v>19.99</v>
      </c>
      <c r="AA26" s="3">
        <v>0</v>
      </c>
      <c r="AB26" s="3" t="s">
        <v>541</v>
      </c>
      <c r="AC26" s="3">
        <v>7</v>
      </c>
      <c r="AD26" s="3">
        <v>19.99</v>
      </c>
      <c r="AE26" s="3">
        <v>0</v>
      </c>
      <c r="AF26" s="3">
        <v>0</v>
      </c>
      <c r="AG26" s="3">
        <v>0</v>
      </c>
      <c r="AH26" s="3">
        <v>0.705882352941176</v>
      </c>
      <c r="AI26" s="3">
        <v>0.250347999999999</v>
      </c>
      <c r="AJ26" s="3" t="s">
        <v>596</v>
      </c>
    </row>
    <row r="27" spans="1:36">
      <c r="A27" s="4">
        <v>43336</v>
      </c>
      <c r="B27" s="3" t="s">
        <v>629</v>
      </c>
      <c r="C27" s="3" t="s">
        <v>630</v>
      </c>
      <c r="D27" s="3" t="s">
        <v>631</v>
      </c>
      <c r="E27" s="3" t="s">
        <v>632</v>
      </c>
      <c r="F27" s="3" t="s">
        <v>538</v>
      </c>
      <c r="G27" s="3">
        <v>17</v>
      </c>
      <c r="H27" s="3">
        <v>0</v>
      </c>
      <c r="I27" s="3">
        <v>17</v>
      </c>
      <c r="J27" s="3">
        <v>0</v>
      </c>
      <c r="K27" s="3">
        <v>0</v>
      </c>
      <c r="L27" s="3">
        <v>0</v>
      </c>
      <c r="M27" s="3">
        <v>0</v>
      </c>
      <c r="N27" s="3" t="s">
        <v>539</v>
      </c>
      <c r="O27" s="3">
        <v>0</v>
      </c>
      <c r="P27" s="3">
        <v>0</v>
      </c>
      <c r="Q27" s="3">
        <v>0</v>
      </c>
      <c r="R27" s="3">
        <v>0</v>
      </c>
      <c r="S27" s="3">
        <v>2</v>
      </c>
      <c r="T27" s="3">
        <v>5</v>
      </c>
      <c r="U27" s="3">
        <v>25</v>
      </c>
      <c r="V27" s="3">
        <v>25</v>
      </c>
      <c r="W27" s="3" t="s">
        <v>553</v>
      </c>
      <c r="X27" s="3">
        <v>22.99</v>
      </c>
      <c r="Y27" s="3">
        <v>22.99</v>
      </c>
      <c r="Z27" s="3">
        <v>22.99</v>
      </c>
      <c r="AA27" s="3">
        <v>0</v>
      </c>
      <c r="AB27" s="3" t="s">
        <v>547</v>
      </c>
      <c r="AC27" s="3">
        <v>18</v>
      </c>
      <c r="AD27" s="3">
        <v>22.99</v>
      </c>
      <c r="AE27" s="3">
        <v>0</v>
      </c>
      <c r="AF27" s="3">
        <v>0</v>
      </c>
      <c r="AG27" s="3">
        <v>0</v>
      </c>
      <c r="AH27" s="3">
        <v>4.41176470588235</v>
      </c>
      <c r="AI27" s="3">
        <v>1.572415</v>
      </c>
      <c r="AJ27" s="3" t="s">
        <v>596</v>
      </c>
    </row>
    <row r="28" spans="1:36">
      <c r="A28" s="4">
        <v>43336</v>
      </c>
      <c r="B28" s="3" t="s">
        <v>633</v>
      </c>
      <c r="C28" s="3" t="s">
        <v>634</v>
      </c>
      <c r="D28" s="3" t="s">
        <v>635</v>
      </c>
      <c r="E28" s="3" t="s">
        <v>636</v>
      </c>
      <c r="F28" s="3" t="s">
        <v>538</v>
      </c>
      <c r="G28" s="3">
        <v>23</v>
      </c>
      <c r="H28" s="3">
        <v>0</v>
      </c>
      <c r="I28" s="3">
        <v>23</v>
      </c>
      <c r="J28" s="3">
        <v>0</v>
      </c>
      <c r="K28" s="3">
        <v>0</v>
      </c>
      <c r="L28" s="3">
        <v>0</v>
      </c>
      <c r="M28" s="3">
        <v>0</v>
      </c>
      <c r="N28" s="3" t="s">
        <v>539</v>
      </c>
      <c r="O28" s="3">
        <v>0</v>
      </c>
      <c r="P28" s="3">
        <v>0</v>
      </c>
      <c r="Q28" s="3">
        <v>0</v>
      </c>
      <c r="R28" s="3">
        <v>0</v>
      </c>
      <c r="S28" s="3">
        <v>1</v>
      </c>
      <c r="T28" s="3">
        <v>4</v>
      </c>
      <c r="U28" s="3">
        <v>5</v>
      </c>
      <c r="V28" s="3">
        <v>9</v>
      </c>
      <c r="W28" s="3" t="s">
        <v>553</v>
      </c>
      <c r="X28" s="3">
        <v>13.99</v>
      </c>
      <c r="Y28" s="3">
        <v>13.99</v>
      </c>
      <c r="Z28" s="3">
        <v>13.99</v>
      </c>
      <c r="AA28" s="3">
        <v>0</v>
      </c>
      <c r="AB28" s="3" t="s">
        <v>547</v>
      </c>
      <c r="AC28" s="3">
        <v>24</v>
      </c>
      <c r="AD28" s="3">
        <v>13.99</v>
      </c>
      <c r="AE28" s="3">
        <v>0</v>
      </c>
      <c r="AF28" s="3">
        <v>0</v>
      </c>
      <c r="AG28" s="3">
        <v>0</v>
      </c>
      <c r="AH28" s="3">
        <v>0.514285714285714</v>
      </c>
      <c r="AI28" s="3">
        <v>1.76968899999999</v>
      </c>
      <c r="AJ28" s="3" t="s">
        <v>596</v>
      </c>
    </row>
    <row r="29" spans="1:36">
      <c r="A29" s="4">
        <v>43336</v>
      </c>
      <c r="B29" s="3" t="s">
        <v>637</v>
      </c>
      <c r="C29" s="3" t="s">
        <v>638</v>
      </c>
      <c r="D29" s="3" t="s">
        <v>639</v>
      </c>
      <c r="E29" s="3" t="s">
        <v>640</v>
      </c>
      <c r="F29" s="3" t="s">
        <v>538</v>
      </c>
      <c r="G29" s="3">
        <v>1</v>
      </c>
      <c r="H29" s="3">
        <v>0</v>
      </c>
      <c r="I29" s="3">
        <v>1</v>
      </c>
      <c r="J29" s="3">
        <v>0</v>
      </c>
      <c r="K29" s="3">
        <v>0</v>
      </c>
      <c r="L29" s="3">
        <v>0</v>
      </c>
      <c r="M29" s="3">
        <v>0</v>
      </c>
      <c r="N29" s="3" t="s">
        <v>539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2</v>
      </c>
      <c r="U29" s="3">
        <v>2</v>
      </c>
      <c r="V29" s="3">
        <v>5</v>
      </c>
      <c r="W29" s="3" t="s">
        <v>540</v>
      </c>
      <c r="X29" s="3">
        <v>9.99</v>
      </c>
      <c r="Y29" s="3">
        <v>9.99</v>
      </c>
      <c r="Z29" s="3">
        <v>9.99</v>
      </c>
      <c r="AA29" s="3">
        <v>0</v>
      </c>
      <c r="AB29" s="3" t="s">
        <v>541</v>
      </c>
      <c r="AC29" s="3">
        <v>1</v>
      </c>
      <c r="AD29" s="3">
        <v>9.99</v>
      </c>
      <c r="AE29" s="3">
        <v>0</v>
      </c>
      <c r="AF29" s="3">
        <v>0</v>
      </c>
      <c r="AG29" s="3">
        <v>0</v>
      </c>
      <c r="AH29" s="3">
        <v>1.66666666666666</v>
      </c>
      <c r="AI29" s="3">
        <v>0.198875</v>
      </c>
      <c r="AJ29" s="3" t="s">
        <v>548</v>
      </c>
    </row>
    <row r="30" spans="1:36">
      <c r="A30" s="4">
        <v>43336</v>
      </c>
      <c r="B30" s="3" t="s">
        <v>641</v>
      </c>
      <c r="C30" s="3" t="s">
        <v>642</v>
      </c>
      <c r="D30" s="3" t="s">
        <v>643</v>
      </c>
      <c r="E30" s="3" t="s">
        <v>644</v>
      </c>
      <c r="F30" s="3" t="s">
        <v>538</v>
      </c>
      <c r="G30" s="3">
        <v>1</v>
      </c>
      <c r="H30" s="3">
        <v>0</v>
      </c>
      <c r="I30" s="3">
        <v>1</v>
      </c>
      <c r="J30" s="3">
        <v>0</v>
      </c>
      <c r="K30" s="3">
        <v>0</v>
      </c>
      <c r="L30" s="3">
        <v>0</v>
      </c>
      <c r="M30" s="3">
        <v>0</v>
      </c>
      <c r="N30" s="3" t="s">
        <v>539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2</v>
      </c>
      <c r="U30" s="3">
        <v>2</v>
      </c>
      <c r="V30" s="3">
        <v>2</v>
      </c>
      <c r="W30" s="3"/>
      <c r="X30" s="3">
        <v>4.9</v>
      </c>
      <c r="Y30" s="3">
        <v>4.9</v>
      </c>
      <c r="Z30" s="3">
        <v>4.9</v>
      </c>
      <c r="AA30" s="3">
        <v>0</v>
      </c>
      <c r="AB30" s="3" t="s">
        <v>547</v>
      </c>
      <c r="AC30" s="3">
        <v>1</v>
      </c>
      <c r="AD30" s="3">
        <v>4.9</v>
      </c>
      <c r="AE30" s="3">
        <v>0</v>
      </c>
      <c r="AF30" s="3">
        <v>0</v>
      </c>
      <c r="AG30" s="3">
        <v>0</v>
      </c>
      <c r="AH30" s="3">
        <v>8</v>
      </c>
      <c r="AI30" s="3">
        <v>0.036125</v>
      </c>
      <c r="AJ30" s="3" t="s">
        <v>548</v>
      </c>
    </row>
    <row r="31" spans="1:36">
      <c r="A31" s="4">
        <v>43336</v>
      </c>
      <c r="B31" s="3" t="s">
        <v>645</v>
      </c>
      <c r="C31" s="3" t="s">
        <v>646</v>
      </c>
      <c r="D31" s="3" t="s">
        <v>647</v>
      </c>
      <c r="E31" s="3" t="s">
        <v>552</v>
      </c>
      <c r="F31" s="3" t="s">
        <v>538</v>
      </c>
      <c r="G31" s="3">
        <v>3</v>
      </c>
      <c r="H31" s="3">
        <v>0</v>
      </c>
      <c r="I31" s="3">
        <v>3</v>
      </c>
      <c r="J31" s="3">
        <v>0</v>
      </c>
      <c r="K31" s="3">
        <v>0</v>
      </c>
      <c r="L31" s="3">
        <v>0</v>
      </c>
      <c r="M31" s="3">
        <v>0</v>
      </c>
      <c r="N31" s="3" t="s">
        <v>539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553</v>
      </c>
      <c r="X31" s="3">
        <v>31.9</v>
      </c>
      <c r="Y31" s="3">
        <v>31.9</v>
      </c>
      <c r="Z31" s="3">
        <v>31.9</v>
      </c>
      <c r="AA31" s="3">
        <v>0</v>
      </c>
      <c r="AB31" s="3" t="s">
        <v>547</v>
      </c>
      <c r="AC31" s="3">
        <v>3</v>
      </c>
      <c r="AD31" s="3">
        <v>31.9</v>
      </c>
      <c r="AE31" s="3">
        <v>0</v>
      </c>
      <c r="AF31" s="3">
        <v>0</v>
      </c>
      <c r="AG31" s="3">
        <v>0</v>
      </c>
      <c r="AH31" s="3">
        <v>0</v>
      </c>
      <c r="AI31" s="3">
        <v>0.634155</v>
      </c>
      <c r="AJ31" s="3" t="s">
        <v>548</v>
      </c>
    </row>
    <row r="32" spans="1:36">
      <c r="A32" s="4">
        <v>43336</v>
      </c>
      <c r="B32" s="3" t="s">
        <v>648</v>
      </c>
      <c r="C32" s="3" t="s">
        <v>649</v>
      </c>
      <c r="D32" s="3" t="s">
        <v>650</v>
      </c>
      <c r="E32" s="3" t="s">
        <v>612</v>
      </c>
      <c r="F32" s="3" t="s">
        <v>538</v>
      </c>
      <c r="G32" s="3">
        <v>5</v>
      </c>
      <c r="H32" s="3">
        <v>0</v>
      </c>
      <c r="I32" s="3">
        <v>5</v>
      </c>
      <c r="J32" s="3">
        <v>0</v>
      </c>
      <c r="K32" s="3">
        <v>0</v>
      </c>
      <c r="L32" s="3">
        <v>0</v>
      </c>
      <c r="M32" s="3">
        <v>0</v>
      </c>
      <c r="N32" s="3" t="s">
        <v>539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540</v>
      </c>
      <c r="X32" s="3">
        <v>15.99</v>
      </c>
      <c r="Y32" s="3">
        <v>15.99</v>
      </c>
      <c r="Z32" s="3">
        <v>15.99</v>
      </c>
      <c r="AA32" s="3">
        <v>0</v>
      </c>
      <c r="AB32" s="3" t="s">
        <v>651</v>
      </c>
      <c r="AC32" s="3">
        <v>5</v>
      </c>
      <c r="AD32" s="3">
        <v>15.99</v>
      </c>
      <c r="AE32" s="3">
        <v>0</v>
      </c>
      <c r="AF32" s="3">
        <v>0</v>
      </c>
      <c r="AG32" s="3">
        <v>0</v>
      </c>
      <c r="AH32" s="3">
        <v>0</v>
      </c>
      <c r="AI32" s="3">
        <v>0.625405</v>
      </c>
      <c r="AJ32" s="3" t="s">
        <v>542</v>
      </c>
    </row>
    <row r="33" spans="1:36">
      <c r="A33" s="4">
        <v>43336</v>
      </c>
      <c r="B33" s="3" t="s">
        <v>652</v>
      </c>
      <c r="C33" s="3" t="s">
        <v>653</v>
      </c>
      <c r="D33" s="3" t="s">
        <v>654</v>
      </c>
      <c r="E33" s="3" t="s">
        <v>655</v>
      </c>
      <c r="F33" s="3" t="s">
        <v>538</v>
      </c>
      <c r="G33" s="3">
        <v>4</v>
      </c>
      <c r="H33" s="3">
        <v>0</v>
      </c>
      <c r="I33" s="3">
        <v>4</v>
      </c>
      <c r="J33" s="3">
        <v>0</v>
      </c>
      <c r="K33" s="3">
        <v>0</v>
      </c>
      <c r="L33" s="3">
        <v>0</v>
      </c>
      <c r="M33" s="3">
        <v>0</v>
      </c>
      <c r="N33" s="3" t="s">
        <v>539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540</v>
      </c>
      <c r="X33" s="3">
        <v>16.99</v>
      </c>
      <c r="Y33" s="3">
        <v>16.99</v>
      </c>
      <c r="Z33" s="3">
        <v>16.99</v>
      </c>
      <c r="AA33" s="3">
        <v>0</v>
      </c>
      <c r="AB33" s="3" t="s">
        <v>541</v>
      </c>
      <c r="AC33" s="3">
        <v>4</v>
      </c>
      <c r="AD33" s="3">
        <v>16.99</v>
      </c>
      <c r="AE33" s="3">
        <v>0</v>
      </c>
      <c r="AF33" s="3">
        <v>0</v>
      </c>
      <c r="AG33" s="3">
        <v>0</v>
      </c>
      <c r="AH33" s="3">
        <v>0</v>
      </c>
      <c r="AI33" s="3">
        <v>0.613592</v>
      </c>
      <c r="AJ33" s="3" t="s">
        <v>542</v>
      </c>
    </row>
    <row r="34" spans="1:36">
      <c r="A34" s="4">
        <v>43336</v>
      </c>
      <c r="B34" s="3" t="s">
        <v>656</v>
      </c>
      <c r="C34" s="3" t="s">
        <v>657</v>
      </c>
      <c r="D34" s="3" t="s">
        <v>658</v>
      </c>
      <c r="E34" s="3" t="s">
        <v>590</v>
      </c>
      <c r="F34" s="3" t="s">
        <v>538</v>
      </c>
      <c r="G34" s="3">
        <v>6</v>
      </c>
      <c r="H34" s="3">
        <v>0</v>
      </c>
      <c r="I34" s="3">
        <v>6</v>
      </c>
      <c r="J34" s="3">
        <v>0</v>
      </c>
      <c r="K34" s="3">
        <v>0</v>
      </c>
      <c r="L34" s="3">
        <v>0</v>
      </c>
      <c r="M34" s="3">
        <v>0</v>
      </c>
      <c r="N34" s="3" t="s">
        <v>539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540</v>
      </c>
      <c r="X34" s="3">
        <v>19.99</v>
      </c>
      <c r="Y34" s="3">
        <v>19.99</v>
      </c>
      <c r="Z34" s="3">
        <v>19.99</v>
      </c>
      <c r="AA34" s="3">
        <v>0</v>
      </c>
      <c r="AB34" s="3" t="s">
        <v>541</v>
      </c>
      <c r="AC34" s="3">
        <v>0</v>
      </c>
      <c r="AD34" s="3">
        <v>15.99</v>
      </c>
      <c r="AE34" s="3">
        <v>63</v>
      </c>
      <c r="AF34" s="3">
        <v>0</v>
      </c>
      <c r="AG34" s="3">
        <v>6.942678</v>
      </c>
      <c r="AH34" s="3">
        <v>0</v>
      </c>
      <c r="AI34" s="3">
        <v>1.01622</v>
      </c>
      <c r="AJ34" s="3" t="s">
        <v>542</v>
      </c>
    </row>
    <row r="35" spans="1:36">
      <c r="A35" s="4">
        <v>43336</v>
      </c>
      <c r="B35" s="3" t="s">
        <v>659</v>
      </c>
      <c r="C35" s="3" t="s">
        <v>660</v>
      </c>
      <c r="D35" s="3" t="s">
        <v>661</v>
      </c>
      <c r="E35" s="3" t="s">
        <v>570</v>
      </c>
      <c r="F35" s="3" t="s">
        <v>538</v>
      </c>
      <c r="G35" s="3">
        <v>8</v>
      </c>
      <c r="H35" s="3">
        <v>0</v>
      </c>
      <c r="I35" s="3">
        <v>8</v>
      </c>
      <c r="J35" s="3">
        <v>0</v>
      </c>
      <c r="K35" s="3">
        <v>0</v>
      </c>
      <c r="L35" s="3">
        <v>0</v>
      </c>
      <c r="M35" s="3">
        <v>0</v>
      </c>
      <c r="N35" s="3" t="s">
        <v>539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5</v>
      </c>
      <c r="V35" s="3">
        <v>7</v>
      </c>
      <c r="W35" s="3" t="s">
        <v>553</v>
      </c>
      <c r="X35" s="3">
        <v>9</v>
      </c>
      <c r="Y35" s="3">
        <v>9</v>
      </c>
      <c r="Z35" s="3">
        <v>9</v>
      </c>
      <c r="AA35" s="3">
        <v>0</v>
      </c>
      <c r="AB35" s="3" t="s">
        <v>547</v>
      </c>
      <c r="AC35" s="3">
        <v>8</v>
      </c>
      <c r="AD35" s="3">
        <v>9</v>
      </c>
      <c r="AE35" s="3">
        <v>0</v>
      </c>
      <c r="AF35" s="3">
        <v>0</v>
      </c>
      <c r="AG35" s="3">
        <v>0</v>
      </c>
      <c r="AH35" s="3">
        <v>1.3125</v>
      </c>
      <c r="AI35" s="3">
        <v>0.220888</v>
      </c>
      <c r="AJ35" s="3" t="s">
        <v>542</v>
      </c>
    </row>
    <row r="36" spans="1:36">
      <c r="A36" s="4">
        <v>43336</v>
      </c>
      <c r="B36" s="3" t="s">
        <v>662</v>
      </c>
      <c r="C36" s="3" t="s">
        <v>663</v>
      </c>
      <c r="D36" s="3" t="s">
        <v>664</v>
      </c>
      <c r="E36" s="3" t="s">
        <v>665</v>
      </c>
      <c r="F36" s="3" t="s">
        <v>538</v>
      </c>
      <c r="G36" s="3">
        <v>10</v>
      </c>
      <c r="H36" s="3">
        <v>0</v>
      </c>
      <c r="I36" s="3">
        <v>10</v>
      </c>
      <c r="J36" s="3">
        <v>0</v>
      </c>
      <c r="K36" s="3">
        <v>0</v>
      </c>
      <c r="L36" s="3">
        <v>0</v>
      </c>
      <c r="M36" s="3">
        <v>0</v>
      </c>
      <c r="N36" s="3" t="s">
        <v>539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1</v>
      </c>
      <c r="U36" s="3">
        <v>5</v>
      </c>
      <c r="V36" s="3">
        <v>5</v>
      </c>
      <c r="W36" s="3"/>
      <c r="X36" s="3">
        <v>16.99</v>
      </c>
      <c r="Y36" s="3">
        <v>16.99</v>
      </c>
      <c r="Z36" s="3">
        <v>16.99</v>
      </c>
      <c r="AA36" s="3">
        <v>0</v>
      </c>
      <c r="AB36" s="3" t="s">
        <v>547</v>
      </c>
      <c r="AC36" s="3">
        <v>10</v>
      </c>
      <c r="AD36" s="3">
        <v>16.99</v>
      </c>
      <c r="AE36" s="3">
        <v>0</v>
      </c>
      <c r="AF36" s="3">
        <v>0</v>
      </c>
      <c r="AG36" s="3">
        <v>0</v>
      </c>
      <c r="AH36" s="3">
        <v>0.833333333333333</v>
      </c>
      <c r="AI36" s="3">
        <v>0.82458</v>
      </c>
      <c r="AJ36" s="3" t="s">
        <v>548</v>
      </c>
    </row>
    <row r="37" spans="1:36">
      <c r="A37" s="4">
        <v>43336</v>
      </c>
      <c r="B37" s="3" t="s">
        <v>666</v>
      </c>
      <c r="C37" s="3" t="s">
        <v>667</v>
      </c>
      <c r="D37" s="3" t="s">
        <v>668</v>
      </c>
      <c r="E37" s="3" t="s">
        <v>669</v>
      </c>
      <c r="F37" s="3" t="s">
        <v>538</v>
      </c>
      <c r="G37" s="3">
        <v>2</v>
      </c>
      <c r="H37" s="3">
        <v>0</v>
      </c>
      <c r="I37" s="3">
        <v>0</v>
      </c>
      <c r="J37" s="3">
        <v>0</v>
      </c>
      <c r="K37" s="3">
        <v>2</v>
      </c>
      <c r="L37" s="3">
        <v>0</v>
      </c>
      <c r="M37" s="3">
        <v>0</v>
      </c>
      <c r="N37" s="3" t="s">
        <v>539</v>
      </c>
      <c r="O37" s="3">
        <v>2</v>
      </c>
      <c r="P37" s="3">
        <v>0.14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 t="s">
        <v>540</v>
      </c>
      <c r="X37" s="3">
        <v>13.99</v>
      </c>
      <c r="Y37" s="3">
        <v>13.99</v>
      </c>
      <c r="Z37" s="3">
        <v>13.99</v>
      </c>
      <c r="AA37" s="3">
        <v>0</v>
      </c>
      <c r="AB37" s="3" t="s">
        <v>562</v>
      </c>
      <c r="AC37" s="3">
        <v>0</v>
      </c>
      <c r="AD37" s="3">
        <v>11.19</v>
      </c>
      <c r="AE37" s="3">
        <v>63</v>
      </c>
      <c r="AF37" s="3">
        <v>0</v>
      </c>
      <c r="AG37" s="3">
        <v>6.834431</v>
      </c>
      <c r="AH37" s="3">
        <v>0</v>
      </c>
      <c r="AI37" s="3">
        <v>0.041666</v>
      </c>
      <c r="AJ37" s="3" t="s">
        <v>548</v>
      </c>
    </row>
    <row r="38" spans="1:36">
      <c r="A38" s="4">
        <v>43336</v>
      </c>
      <c r="B38" s="3" t="s">
        <v>288</v>
      </c>
      <c r="C38" s="3" t="s">
        <v>289</v>
      </c>
      <c r="D38" s="3" t="s">
        <v>290</v>
      </c>
      <c r="E38" s="3" t="s">
        <v>670</v>
      </c>
      <c r="F38" s="3" t="s">
        <v>538</v>
      </c>
      <c r="G38" s="3">
        <v>10</v>
      </c>
      <c r="H38" s="3">
        <v>0</v>
      </c>
      <c r="I38" s="3">
        <v>10</v>
      </c>
      <c r="J38" s="3">
        <v>0</v>
      </c>
      <c r="K38" s="3">
        <v>0</v>
      </c>
      <c r="L38" s="3">
        <v>0</v>
      </c>
      <c r="M38" s="3">
        <v>0</v>
      </c>
      <c r="N38" s="3" t="s">
        <v>539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1</v>
      </c>
      <c r="U38" s="3">
        <v>8</v>
      </c>
      <c r="V38" s="3">
        <v>11</v>
      </c>
      <c r="W38" s="3"/>
      <c r="X38" s="3">
        <v>39.9</v>
      </c>
      <c r="Y38" s="3">
        <v>19.99</v>
      </c>
      <c r="Z38" s="3">
        <v>19.99</v>
      </c>
      <c r="AA38" s="3">
        <v>0</v>
      </c>
      <c r="AB38" s="3" t="s">
        <v>547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1.51724137931034</v>
      </c>
      <c r="AI38" s="3">
        <v>0.69514</v>
      </c>
      <c r="AJ38" s="3" t="s">
        <v>548</v>
      </c>
    </row>
    <row r="39" spans="1:36">
      <c r="A39" s="4">
        <v>43336</v>
      </c>
      <c r="B39" s="3" t="s">
        <v>671</v>
      </c>
      <c r="C39" s="3" t="s">
        <v>672</v>
      </c>
      <c r="D39" s="3" t="s">
        <v>673</v>
      </c>
      <c r="E39" s="3" t="s">
        <v>552</v>
      </c>
      <c r="F39" s="3" t="s">
        <v>538</v>
      </c>
      <c r="G39" s="3">
        <v>1</v>
      </c>
      <c r="H39" s="3">
        <v>0</v>
      </c>
      <c r="I39" s="3">
        <v>1</v>
      </c>
      <c r="J39" s="3">
        <v>0</v>
      </c>
      <c r="K39" s="3">
        <v>0</v>
      </c>
      <c r="L39" s="3">
        <v>0</v>
      </c>
      <c r="M39" s="3">
        <v>0</v>
      </c>
      <c r="N39" s="3" t="s">
        <v>539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1</v>
      </c>
      <c r="U39" s="3">
        <v>1</v>
      </c>
      <c r="V39" s="3">
        <v>1</v>
      </c>
      <c r="W39" s="3"/>
      <c r="X39" s="3">
        <v>23.9</v>
      </c>
      <c r="Y39" s="3">
        <v>23.9</v>
      </c>
      <c r="Z39" s="3">
        <v>23.9</v>
      </c>
      <c r="AA39" s="3">
        <v>0</v>
      </c>
      <c r="AB39" s="3" t="s">
        <v>547</v>
      </c>
      <c r="AC39" s="3">
        <v>1</v>
      </c>
      <c r="AD39" s="3">
        <v>23.9</v>
      </c>
      <c r="AE39" s="3">
        <v>0</v>
      </c>
      <c r="AF39" s="3">
        <v>0</v>
      </c>
      <c r="AG39" s="3">
        <v>0</v>
      </c>
      <c r="AH39" s="3">
        <v>1.33333333333333</v>
      </c>
      <c r="AI39" s="3">
        <v>0.098489</v>
      </c>
      <c r="AJ39" s="3" t="s">
        <v>548</v>
      </c>
    </row>
    <row r="40" spans="1:36">
      <c r="A40" s="4">
        <v>43336</v>
      </c>
      <c r="B40" s="3" t="s">
        <v>674</v>
      </c>
      <c r="C40" s="3" t="s">
        <v>675</v>
      </c>
      <c r="D40" s="3" t="s">
        <v>676</v>
      </c>
      <c r="E40" s="3" t="s">
        <v>677</v>
      </c>
      <c r="F40" s="3" t="s">
        <v>538</v>
      </c>
      <c r="G40" s="3">
        <v>14</v>
      </c>
      <c r="H40" s="3">
        <v>0</v>
      </c>
      <c r="I40" s="3">
        <v>0</v>
      </c>
      <c r="J40" s="3">
        <v>0</v>
      </c>
      <c r="K40" s="3">
        <v>14</v>
      </c>
      <c r="L40" s="3">
        <v>0</v>
      </c>
      <c r="M40" s="3">
        <v>0</v>
      </c>
      <c r="N40" s="3" t="s">
        <v>539</v>
      </c>
      <c r="O40" s="3">
        <v>14</v>
      </c>
      <c r="P40" s="3">
        <v>3.74</v>
      </c>
      <c r="Q40" s="3">
        <v>0</v>
      </c>
      <c r="R40" s="3">
        <v>0</v>
      </c>
      <c r="S40" s="3">
        <v>1</v>
      </c>
      <c r="T40" s="3">
        <v>3</v>
      </c>
      <c r="U40" s="3">
        <v>4</v>
      </c>
      <c r="V40" s="3">
        <v>6</v>
      </c>
      <c r="W40" s="3"/>
      <c r="X40" s="3">
        <v>24.5</v>
      </c>
      <c r="Y40" s="3">
        <v>24.5</v>
      </c>
      <c r="Z40" s="3">
        <v>24.5</v>
      </c>
      <c r="AA40" s="3">
        <v>0</v>
      </c>
      <c r="AB40" s="3" t="s">
        <v>562</v>
      </c>
      <c r="AC40" s="3">
        <v>0</v>
      </c>
      <c r="AD40" s="3">
        <v>19.6</v>
      </c>
      <c r="AE40" s="3">
        <v>294</v>
      </c>
      <c r="AF40" s="3">
        <v>0</v>
      </c>
      <c r="AG40" s="3">
        <v>136.391584</v>
      </c>
      <c r="AH40" s="3">
        <v>0.347826086956521</v>
      </c>
      <c r="AI40" s="3">
        <v>1.082592</v>
      </c>
      <c r="AJ40" s="3" t="s">
        <v>548</v>
      </c>
    </row>
    <row r="41" spans="1:36">
      <c r="A41" s="4">
        <v>43336</v>
      </c>
      <c r="B41" s="3" t="s">
        <v>678</v>
      </c>
      <c r="C41" s="3" t="s">
        <v>679</v>
      </c>
      <c r="D41" s="3" t="s">
        <v>680</v>
      </c>
      <c r="E41" s="3" t="s">
        <v>582</v>
      </c>
      <c r="F41" s="3" t="s">
        <v>538</v>
      </c>
      <c r="G41" s="3">
        <v>4</v>
      </c>
      <c r="H41" s="3">
        <v>0</v>
      </c>
      <c r="I41" s="3">
        <v>0</v>
      </c>
      <c r="J41" s="3">
        <v>4</v>
      </c>
      <c r="K41" s="3">
        <v>0</v>
      </c>
      <c r="L41" s="3">
        <v>0</v>
      </c>
      <c r="M41" s="3">
        <v>0</v>
      </c>
      <c r="N41" s="3" t="s">
        <v>539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 t="s">
        <v>540</v>
      </c>
      <c r="X41" s="3">
        <v>9.98</v>
      </c>
      <c r="Y41" s="3">
        <v>9.98</v>
      </c>
      <c r="Z41" s="3">
        <v>9.98</v>
      </c>
      <c r="AA41" s="3">
        <v>0</v>
      </c>
      <c r="AB41" s="3" t="s">
        <v>541</v>
      </c>
      <c r="AC41" s="3">
        <v>0</v>
      </c>
      <c r="AD41" s="3">
        <v>7.98</v>
      </c>
      <c r="AE41" s="3">
        <v>63</v>
      </c>
      <c r="AF41" s="3">
        <v>0</v>
      </c>
      <c r="AG41" s="3">
        <v>2.339591</v>
      </c>
      <c r="AH41" s="3">
        <v>0</v>
      </c>
      <c r="AI41" s="5">
        <v>0.000232</v>
      </c>
      <c r="AJ41" s="3" t="s">
        <v>548</v>
      </c>
    </row>
    <row r="42" spans="1:36">
      <c r="A42" s="4">
        <v>43336</v>
      </c>
      <c r="B42" s="3" t="s">
        <v>681</v>
      </c>
      <c r="C42" s="3" t="s">
        <v>682</v>
      </c>
      <c r="D42" s="3" t="s">
        <v>683</v>
      </c>
      <c r="E42" s="3" t="s">
        <v>684</v>
      </c>
      <c r="F42" s="3" t="s">
        <v>538</v>
      </c>
      <c r="G42" s="3">
        <v>3</v>
      </c>
      <c r="H42" s="3">
        <v>0</v>
      </c>
      <c r="I42" s="3">
        <v>3</v>
      </c>
      <c r="J42" s="3">
        <v>0</v>
      </c>
      <c r="K42" s="3">
        <v>0</v>
      </c>
      <c r="L42" s="3">
        <v>0</v>
      </c>
      <c r="M42" s="3">
        <v>0</v>
      </c>
      <c r="N42" s="3" t="s">
        <v>539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553</v>
      </c>
      <c r="X42" s="3">
        <v>14.99</v>
      </c>
      <c r="Y42" s="3">
        <v>14.99</v>
      </c>
      <c r="Z42" s="3">
        <v>10.99</v>
      </c>
      <c r="AA42" s="3">
        <v>0</v>
      </c>
      <c r="AB42" s="3" t="s">
        <v>562</v>
      </c>
      <c r="AC42" s="3">
        <v>0</v>
      </c>
      <c r="AD42" s="3">
        <v>10.99</v>
      </c>
      <c r="AE42" s="3">
        <v>63</v>
      </c>
      <c r="AF42" s="3">
        <v>0</v>
      </c>
      <c r="AG42" s="3">
        <v>73.478213</v>
      </c>
      <c r="AH42" s="3">
        <v>0</v>
      </c>
      <c r="AI42" s="3">
        <v>0.567468</v>
      </c>
      <c r="AJ42" s="3" t="s">
        <v>548</v>
      </c>
    </row>
    <row r="43" spans="1:36">
      <c r="A43" s="4">
        <v>43336</v>
      </c>
      <c r="B43" s="3" t="s">
        <v>685</v>
      </c>
      <c r="C43" s="3" t="s">
        <v>686</v>
      </c>
      <c r="D43" s="3" t="s">
        <v>687</v>
      </c>
      <c r="E43" s="3" t="s">
        <v>688</v>
      </c>
      <c r="F43" s="3" t="s">
        <v>538</v>
      </c>
      <c r="G43" s="3">
        <v>4</v>
      </c>
      <c r="H43" s="3">
        <v>0</v>
      </c>
      <c r="I43" s="3">
        <v>0</v>
      </c>
      <c r="J43" s="3">
        <v>0</v>
      </c>
      <c r="K43" s="3">
        <v>4</v>
      </c>
      <c r="L43" s="3">
        <v>0</v>
      </c>
      <c r="M43" s="3">
        <v>0</v>
      </c>
      <c r="N43" s="3" t="s">
        <v>539</v>
      </c>
      <c r="O43" s="3">
        <v>4</v>
      </c>
      <c r="P43" s="3">
        <v>0.63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540</v>
      </c>
      <c r="X43" s="3">
        <v>21.4</v>
      </c>
      <c r="Y43" s="3">
        <v>21.4</v>
      </c>
      <c r="Z43" s="3">
        <v>21.4</v>
      </c>
      <c r="AA43" s="3">
        <v>0</v>
      </c>
      <c r="AB43" s="3" t="s">
        <v>541</v>
      </c>
      <c r="AC43" s="3">
        <v>0</v>
      </c>
      <c r="AD43" s="3">
        <v>18.58</v>
      </c>
      <c r="AE43" s="3">
        <v>322</v>
      </c>
      <c r="AF43" s="3">
        <v>0</v>
      </c>
      <c r="AG43" s="3">
        <v>56.858656</v>
      </c>
      <c r="AH43" s="3">
        <v>0</v>
      </c>
      <c r="AI43" s="3">
        <v>0.182092</v>
      </c>
      <c r="AJ43" s="3" t="s">
        <v>596</v>
      </c>
    </row>
    <row r="44" spans="1:36">
      <c r="A44" s="4">
        <v>43336</v>
      </c>
      <c r="B44" s="3" t="s">
        <v>689</v>
      </c>
      <c r="C44" s="3" t="s">
        <v>690</v>
      </c>
      <c r="D44" s="3" t="s">
        <v>691</v>
      </c>
      <c r="E44" s="3" t="s">
        <v>552</v>
      </c>
      <c r="F44" s="3" t="s">
        <v>538</v>
      </c>
      <c r="G44" s="3">
        <v>2</v>
      </c>
      <c r="H44" s="3">
        <v>0</v>
      </c>
      <c r="I44" s="3">
        <v>2</v>
      </c>
      <c r="J44" s="3">
        <v>0</v>
      </c>
      <c r="K44" s="3">
        <v>0</v>
      </c>
      <c r="L44" s="3">
        <v>0</v>
      </c>
      <c r="M44" s="3">
        <v>0</v>
      </c>
      <c r="N44" s="3" t="s">
        <v>539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1</v>
      </c>
      <c r="U44" s="3">
        <v>1</v>
      </c>
      <c r="V44" s="3">
        <v>2</v>
      </c>
      <c r="W44" s="3"/>
      <c r="X44" s="3">
        <v>17.9</v>
      </c>
      <c r="Y44" s="3">
        <v>17.9</v>
      </c>
      <c r="Z44" s="3">
        <v>17.9</v>
      </c>
      <c r="AA44" s="3">
        <v>0</v>
      </c>
      <c r="AB44" s="3" t="s">
        <v>547</v>
      </c>
      <c r="AC44" s="3">
        <v>2</v>
      </c>
      <c r="AD44" s="3">
        <v>17.9</v>
      </c>
      <c r="AE44" s="3">
        <v>0</v>
      </c>
      <c r="AF44" s="3">
        <v>0</v>
      </c>
      <c r="AG44" s="3">
        <v>0</v>
      </c>
      <c r="AH44" s="3">
        <v>1.33333333333333</v>
      </c>
      <c r="AI44" s="3">
        <v>0.135768</v>
      </c>
      <c r="AJ44" s="3" t="s">
        <v>548</v>
      </c>
    </row>
    <row r="45" spans="1:36">
      <c r="A45" s="4">
        <v>43336</v>
      </c>
      <c r="B45" s="3" t="s">
        <v>692</v>
      </c>
      <c r="C45" s="3" t="s">
        <v>693</v>
      </c>
      <c r="D45" s="3" t="s">
        <v>694</v>
      </c>
      <c r="E45" s="3" t="s">
        <v>695</v>
      </c>
      <c r="F45" s="3" t="s">
        <v>538</v>
      </c>
      <c r="G45" s="3">
        <v>1</v>
      </c>
      <c r="H45" s="3">
        <v>0</v>
      </c>
      <c r="I45" s="3">
        <v>0</v>
      </c>
      <c r="J45" s="3">
        <v>1</v>
      </c>
      <c r="K45" s="3">
        <v>0</v>
      </c>
      <c r="L45" s="3">
        <v>0</v>
      </c>
      <c r="M45" s="3">
        <v>0</v>
      </c>
      <c r="N45" s="3" t="s">
        <v>539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 t="s">
        <v>540</v>
      </c>
      <c r="X45" s="3">
        <v>15.9</v>
      </c>
      <c r="Y45" s="3">
        <v>15.9</v>
      </c>
      <c r="Z45" s="3">
        <v>15.9</v>
      </c>
      <c r="AA45" s="3">
        <v>0</v>
      </c>
      <c r="AB45" s="3" t="s">
        <v>541</v>
      </c>
      <c r="AC45" s="3">
        <v>0</v>
      </c>
      <c r="AD45" s="3">
        <v>12.72</v>
      </c>
      <c r="AE45" s="3">
        <v>63</v>
      </c>
      <c r="AF45" s="3">
        <v>0</v>
      </c>
      <c r="AG45" s="3">
        <v>0.927555</v>
      </c>
      <c r="AH45" s="3">
        <v>0</v>
      </c>
      <c r="AI45" s="5">
        <v>5.8e-5</v>
      </c>
      <c r="AJ45" s="3" t="s">
        <v>548</v>
      </c>
    </row>
    <row r="46" spans="1:36">
      <c r="A46" s="4">
        <v>43336</v>
      </c>
      <c r="B46" s="3" t="s">
        <v>696</v>
      </c>
      <c r="C46" s="3" t="s">
        <v>697</v>
      </c>
      <c r="D46" s="3" t="s">
        <v>698</v>
      </c>
      <c r="E46" s="3" t="s">
        <v>699</v>
      </c>
      <c r="F46" s="3" t="s">
        <v>538</v>
      </c>
      <c r="G46" s="3">
        <v>12</v>
      </c>
      <c r="H46" s="3">
        <v>0</v>
      </c>
      <c r="I46" s="3">
        <v>1</v>
      </c>
      <c r="J46" s="3">
        <v>0</v>
      </c>
      <c r="K46" s="3">
        <v>9</v>
      </c>
      <c r="L46" s="3">
        <v>2</v>
      </c>
      <c r="M46" s="3">
        <v>0</v>
      </c>
      <c r="N46" s="3" t="s">
        <v>539</v>
      </c>
      <c r="O46" s="3">
        <v>11</v>
      </c>
      <c r="P46" s="3">
        <v>2.96</v>
      </c>
      <c r="Q46" s="3">
        <v>0</v>
      </c>
      <c r="R46" s="3">
        <v>0</v>
      </c>
      <c r="S46" s="3">
        <v>0</v>
      </c>
      <c r="T46" s="3">
        <v>1</v>
      </c>
      <c r="U46" s="3">
        <v>3</v>
      </c>
      <c r="V46" s="3">
        <v>4</v>
      </c>
      <c r="W46" s="3"/>
      <c r="X46" s="3">
        <v>22.99</v>
      </c>
      <c r="Y46" s="3">
        <v>22.99</v>
      </c>
      <c r="Z46" s="3">
        <v>22.99</v>
      </c>
      <c r="AA46" s="3">
        <v>0</v>
      </c>
      <c r="AB46" s="3" t="s">
        <v>547</v>
      </c>
      <c r="AC46" s="3">
        <v>12</v>
      </c>
      <c r="AD46" s="3">
        <v>22.99</v>
      </c>
      <c r="AE46" s="3">
        <v>0</v>
      </c>
      <c r="AF46" s="3">
        <v>0</v>
      </c>
      <c r="AG46" s="3">
        <v>0</v>
      </c>
      <c r="AH46" s="3">
        <v>0.30188679245283</v>
      </c>
      <c r="AI46" s="3">
        <v>0.933468</v>
      </c>
      <c r="AJ46" s="3" t="s">
        <v>548</v>
      </c>
    </row>
    <row r="47" spans="1:36">
      <c r="A47" s="4">
        <v>43336</v>
      </c>
      <c r="B47" s="3" t="s">
        <v>360</v>
      </c>
      <c r="C47" s="3" t="s">
        <v>361</v>
      </c>
      <c r="D47" s="3" t="s">
        <v>362</v>
      </c>
      <c r="E47" s="3" t="s">
        <v>363</v>
      </c>
      <c r="F47" s="3" t="s">
        <v>538</v>
      </c>
      <c r="G47" s="3">
        <v>21</v>
      </c>
      <c r="H47" s="3">
        <v>0</v>
      </c>
      <c r="I47" s="3">
        <v>21</v>
      </c>
      <c r="J47" s="3">
        <v>0</v>
      </c>
      <c r="K47" s="3">
        <v>0</v>
      </c>
      <c r="L47" s="3">
        <v>0</v>
      </c>
      <c r="M47" s="3">
        <v>0</v>
      </c>
      <c r="N47" s="3" t="s">
        <v>539</v>
      </c>
      <c r="O47" s="3">
        <v>0</v>
      </c>
      <c r="P47" s="3">
        <v>0</v>
      </c>
      <c r="Q47" s="3">
        <v>0</v>
      </c>
      <c r="R47" s="3">
        <v>0</v>
      </c>
      <c r="S47" s="3">
        <v>1</v>
      </c>
      <c r="T47" s="3">
        <v>15</v>
      </c>
      <c r="U47" s="3">
        <v>24</v>
      </c>
      <c r="V47" s="3">
        <v>27</v>
      </c>
      <c r="W47" s="3"/>
      <c r="X47" s="3">
        <v>13.99</v>
      </c>
      <c r="Y47" s="3">
        <v>13.99</v>
      </c>
      <c r="Z47" s="3">
        <v>13.99</v>
      </c>
      <c r="AA47" s="3">
        <v>0</v>
      </c>
      <c r="AB47" s="3" t="s">
        <v>547</v>
      </c>
      <c r="AC47" s="3">
        <v>23</v>
      </c>
      <c r="AD47" s="3">
        <v>13.99</v>
      </c>
      <c r="AE47" s="3">
        <v>0</v>
      </c>
      <c r="AF47" s="3">
        <v>0</v>
      </c>
      <c r="AG47" s="3">
        <v>0</v>
      </c>
      <c r="AH47" s="3">
        <v>1.96363636363636</v>
      </c>
      <c r="AI47" s="3">
        <v>1.459794</v>
      </c>
      <c r="AJ47" s="3" t="s">
        <v>596</v>
      </c>
    </row>
    <row r="48" spans="1:36">
      <c r="A48" s="4">
        <v>43336</v>
      </c>
      <c r="B48" s="3" t="s">
        <v>700</v>
      </c>
      <c r="C48" s="3" t="s">
        <v>701</v>
      </c>
      <c r="D48" s="3" t="s">
        <v>702</v>
      </c>
      <c r="E48" s="3" t="s">
        <v>612</v>
      </c>
      <c r="F48" s="3" t="s">
        <v>538</v>
      </c>
      <c r="G48" s="3">
        <v>5</v>
      </c>
      <c r="H48" s="3">
        <v>0</v>
      </c>
      <c r="I48" s="3">
        <v>5</v>
      </c>
      <c r="J48" s="3">
        <v>0</v>
      </c>
      <c r="K48" s="3">
        <v>0</v>
      </c>
      <c r="L48" s="3">
        <v>0</v>
      </c>
      <c r="M48" s="3">
        <v>0</v>
      </c>
      <c r="N48" s="3" t="s">
        <v>539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540</v>
      </c>
      <c r="X48" s="3">
        <v>19.99</v>
      </c>
      <c r="Y48" s="3">
        <v>19.99</v>
      </c>
      <c r="Z48" s="3">
        <v>19.99</v>
      </c>
      <c r="AA48" s="3">
        <v>0</v>
      </c>
      <c r="AB48" s="3" t="s">
        <v>541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5">
        <v>4.99999999999999e-6</v>
      </c>
      <c r="AJ48" s="3" t="s">
        <v>542</v>
      </c>
    </row>
    <row r="49" spans="1:36">
      <c r="A49" s="4">
        <v>43336</v>
      </c>
      <c r="B49" s="3" t="s">
        <v>703</v>
      </c>
      <c r="C49" s="3" t="s">
        <v>704</v>
      </c>
      <c r="D49" s="3" t="s">
        <v>705</v>
      </c>
      <c r="E49" s="3" t="s">
        <v>706</v>
      </c>
      <c r="F49" s="3" t="s">
        <v>538</v>
      </c>
      <c r="G49" s="3">
        <v>3</v>
      </c>
      <c r="H49" s="3">
        <v>0</v>
      </c>
      <c r="I49" s="3">
        <v>0</v>
      </c>
      <c r="J49" s="3">
        <v>0</v>
      </c>
      <c r="K49" s="3">
        <v>3</v>
      </c>
      <c r="L49" s="3">
        <v>0</v>
      </c>
      <c r="M49" s="3">
        <v>0</v>
      </c>
      <c r="N49" s="3" t="s">
        <v>539</v>
      </c>
      <c r="O49" s="3">
        <v>3</v>
      </c>
      <c r="P49" s="3">
        <v>0.22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 t="s">
        <v>540</v>
      </c>
      <c r="X49" s="3">
        <v>13.59</v>
      </c>
      <c r="Y49" s="3">
        <v>13.59</v>
      </c>
      <c r="Z49" s="3">
        <v>13.59</v>
      </c>
      <c r="AA49" s="3">
        <v>0</v>
      </c>
      <c r="AB49" s="3" t="s">
        <v>562</v>
      </c>
      <c r="AC49" s="3">
        <v>0</v>
      </c>
      <c r="AD49" s="3">
        <v>10.87</v>
      </c>
      <c r="AE49" s="3">
        <v>63</v>
      </c>
      <c r="AF49" s="3">
        <v>0</v>
      </c>
      <c r="AG49" s="3">
        <v>10.182189</v>
      </c>
      <c r="AH49" s="3">
        <v>0</v>
      </c>
      <c r="AI49" s="3">
        <v>0.062499</v>
      </c>
      <c r="AJ49" s="3" t="s">
        <v>548</v>
      </c>
    </row>
    <row r="50" spans="1:36">
      <c r="A50" s="4">
        <v>43336</v>
      </c>
      <c r="B50" s="3" t="s">
        <v>707</v>
      </c>
      <c r="C50" s="3" t="s">
        <v>708</v>
      </c>
      <c r="D50" s="3" t="s">
        <v>709</v>
      </c>
      <c r="E50" s="3" t="s">
        <v>710</v>
      </c>
      <c r="F50" s="3" t="s">
        <v>538</v>
      </c>
      <c r="G50" s="3">
        <v>9</v>
      </c>
      <c r="H50" s="3">
        <v>0</v>
      </c>
      <c r="I50" s="3">
        <v>0</v>
      </c>
      <c r="J50" s="3">
        <v>9</v>
      </c>
      <c r="K50" s="3">
        <v>0</v>
      </c>
      <c r="L50" s="3">
        <v>0</v>
      </c>
      <c r="M50" s="3">
        <v>0</v>
      </c>
      <c r="N50" s="3" t="s">
        <v>539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553</v>
      </c>
      <c r="X50" s="3">
        <v>39.9</v>
      </c>
      <c r="Y50" s="3">
        <v>39.9</v>
      </c>
      <c r="Z50" s="3">
        <v>39.9</v>
      </c>
      <c r="AA50" s="3">
        <v>0</v>
      </c>
      <c r="AB50" s="3" t="s">
        <v>562</v>
      </c>
      <c r="AC50" s="3">
        <v>0</v>
      </c>
      <c r="AD50" s="3">
        <v>27.15</v>
      </c>
      <c r="AE50" s="3">
        <v>364</v>
      </c>
      <c r="AF50" s="3">
        <v>0</v>
      </c>
      <c r="AG50" s="3">
        <v>133.238419</v>
      </c>
      <c r="AH50" s="3">
        <v>0</v>
      </c>
      <c r="AI50" s="3">
        <v>0.752814</v>
      </c>
      <c r="AJ50" s="3" t="s">
        <v>548</v>
      </c>
    </row>
    <row r="51" spans="1:36">
      <c r="A51" s="4">
        <v>43336</v>
      </c>
      <c r="B51" s="3" t="s">
        <v>711</v>
      </c>
      <c r="C51" s="3" t="s">
        <v>712</v>
      </c>
      <c r="D51" s="3" t="s">
        <v>713</v>
      </c>
      <c r="E51" s="3" t="s">
        <v>714</v>
      </c>
      <c r="F51" s="3" t="s">
        <v>538</v>
      </c>
      <c r="G51" s="3">
        <v>1</v>
      </c>
      <c r="H51" s="3">
        <v>0</v>
      </c>
      <c r="I51" s="3">
        <v>1</v>
      </c>
      <c r="J51" s="3">
        <v>0</v>
      </c>
      <c r="K51" s="3">
        <v>0</v>
      </c>
      <c r="L51" s="3">
        <v>0</v>
      </c>
      <c r="M51" s="3">
        <v>0</v>
      </c>
      <c r="N51" s="3" t="s">
        <v>539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2</v>
      </c>
      <c r="U51" s="3">
        <v>3</v>
      </c>
      <c r="V51" s="3">
        <v>5</v>
      </c>
      <c r="W51" s="3"/>
      <c r="X51" s="3">
        <v>25.99</v>
      </c>
      <c r="Y51" s="3">
        <v>25.99</v>
      </c>
      <c r="Z51" s="3">
        <v>25.99</v>
      </c>
      <c r="AA51" s="3">
        <v>0</v>
      </c>
      <c r="AB51" s="3" t="s">
        <v>547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0.217391304347826</v>
      </c>
      <c r="AI51" s="3">
        <v>0.116597</v>
      </c>
      <c r="AJ51" s="3" t="s">
        <v>548</v>
      </c>
    </row>
    <row r="52" spans="1:36">
      <c r="A52" s="4">
        <v>43336</v>
      </c>
      <c r="B52" s="3" t="s">
        <v>59</v>
      </c>
      <c r="C52" s="3" t="s">
        <v>60</v>
      </c>
      <c r="D52" s="3" t="s">
        <v>61</v>
      </c>
      <c r="E52" s="3" t="s">
        <v>62</v>
      </c>
      <c r="F52" s="3" t="s">
        <v>538</v>
      </c>
      <c r="G52" s="3">
        <v>14</v>
      </c>
      <c r="H52" s="3">
        <v>0</v>
      </c>
      <c r="I52" s="3">
        <v>14</v>
      </c>
      <c r="J52" s="3">
        <v>0</v>
      </c>
      <c r="K52" s="3">
        <v>0</v>
      </c>
      <c r="L52" s="3">
        <v>0</v>
      </c>
      <c r="M52" s="3">
        <v>0</v>
      </c>
      <c r="N52" s="3" t="s">
        <v>539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8</v>
      </c>
      <c r="U52" s="3">
        <v>12</v>
      </c>
      <c r="V52" s="3">
        <v>18</v>
      </c>
      <c r="W52" s="3" t="s">
        <v>540</v>
      </c>
      <c r="X52" s="3">
        <v>69.9</v>
      </c>
      <c r="Y52" s="3">
        <v>9.9</v>
      </c>
      <c r="Z52" s="3">
        <v>9.9</v>
      </c>
      <c r="AA52" s="3">
        <v>0</v>
      </c>
      <c r="AB52" s="3" t="s">
        <v>562</v>
      </c>
      <c r="AC52" s="3">
        <v>8</v>
      </c>
      <c r="AD52" s="3">
        <v>6.69</v>
      </c>
      <c r="AE52" s="3">
        <v>21</v>
      </c>
      <c r="AF52" s="3">
        <v>0</v>
      </c>
      <c r="AG52" s="3">
        <v>9.925932</v>
      </c>
      <c r="AH52" s="3">
        <v>2.11764705882352</v>
      </c>
      <c r="AI52" s="3">
        <v>0.335412</v>
      </c>
      <c r="AJ52" s="3" t="s">
        <v>548</v>
      </c>
    </row>
    <row r="53" spans="1:36">
      <c r="A53" s="4">
        <v>43336</v>
      </c>
      <c r="B53" s="3" t="s">
        <v>715</v>
      </c>
      <c r="C53" s="3" t="s">
        <v>716</v>
      </c>
      <c r="D53" s="3" t="s">
        <v>717</v>
      </c>
      <c r="E53" s="3" t="s">
        <v>718</v>
      </c>
      <c r="F53" s="3" t="s">
        <v>538</v>
      </c>
      <c r="G53" s="3">
        <v>5</v>
      </c>
      <c r="H53" s="3">
        <v>0</v>
      </c>
      <c r="I53" s="3">
        <v>5</v>
      </c>
      <c r="J53" s="3">
        <v>0</v>
      </c>
      <c r="K53" s="3">
        <v>0</v>
      </c>
      <c r="L53" s="3">
        <v>0</v>
      </c>
      <c r="M53" s="3">
        <v>0</v>
      </c>
      <c r="N53" s="3" t="s">
        <v>539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4</v>
      </c>
      <c r="U53" s="3">
        <v>4</v>
      </c>
      <c r="V53" s="3">
        <v>4</v>
      </c>
      <c r="W53" s="3"/>
      <c r="X53" s="3">
        <v>14.99</v>
      </c>
      <c r="Y53" s="3">
        <v>14.99</v>
      </c>
      <c r="Z53" s="3">
        <v>14.99</v>
      </c>
      <c r="AA53" s="3">
        <v>0</v>
      </c>
      <c r="AB53" s="3" t="s">
        <v>547</v>
      </c>
      <c r="AC53" s="3">
        <v>6</v>
      </c>
      <c r="AD53" s="3">
        <v>14.99</v>
      </c>
      <c r="AE53" s="3">
        <v>0</v>
      </c>
      <c r="AF53" s="3">
        <v>0</v>
      </c>
      <c r="AG53" s="3">
        <v>0</v>
      </c>
      <c r="AH53" s="3">
        <v>0.5</v>
      </c>
      <c r="AI53" s="3">
        <v>1.15129</v>
      </c>
      <c r="AJ53" s="3" t="s">
        <v>719</v>
      </c>
    </row>
    <row r="54" spans="1:36">
      <c r="A54" s="4">
        <v>43336</v>
      </c>
      <c r="B54" s="3" t="s">
        <v>356</v>
      </c>
      <c r="C54" s="3" t="s">
        <v>357</v>
      </c>
      <c r="D54" s="3" t="s">
        <v>358</v>
      </c>
      <c r="E54" s="3" t="s">
        <v>359</v>
      </c>
      <c r="F54" s="3" t="s">
        <v>538</v>
      </c>
      <c r="G54" s="3">
        <v>27</v>
      </c>
      <c r="H54" s="3">
        <v>0</v>
      </c>
      <c r="I54" s="3">
        <v>27</v>
      </c>
      <c r="J54" s="3">
        <v>0</v>
      </c>
      <c r="K54" s="3">
        <v>0</v>
      </c>
      <c r="L54" s="3">
        <v>0</v>
      </c>
      <c r="M54" s="3">
        <v>0</v>
      </c>
      <c r="N54" s="3" t="s">
        <v>539</v>
      </c>
      <c r="O54" s="3">
        <v>0</v>
      </c>
      <c r="P54" s="3">
        <v>0</v>
      </c>
      <c r="Q54" s="3">
        <v>0</v>
      </c>
      <c r="R54" s="3">
        <v>0</v>
      </c>
      <c r="S54" s="3">
        <v>1</v>
      </c>
      <c r="T54" s="3">
        <v>9</v>
      </c>
      <c r="U54" s="3">
        <v>23</v>
      </c>
      <c r="V54" s="3">
        <v>27</v>
      </c>
      <c r="W54" s="3"/>
      <c r="X54" s="3">
        <v>13.99</v>
      </c>
      <c r="Y54" s="3">
        <v>13.99</v>
      </c>
      <c r="Z54" s="3">
        <v>13.99</v>
      </c>
      <c r="AA54" s="3">
        <v>0</v>
      </c>
      <c r="AB54" s="3" t="s">
        <v>547</v>
      </c>
      <c r="AC54" s="3">
        <v>27</v>
      </c>
      <c r="AD54" s="3">
        <v>13.99</v>
      </c>
      <c r="AE54" s="3">
        <v>0</v>
      </c>
      <c r="AF54" s="3">
        <v>0</v>
      </c>
      <c r="AG54" s="3">
        <v>0</v>
      </c>
      <c r="AH54" s="3">
        <v>2</v>
      </c>
      <c r="AI54" s="3">
        <v>1.876878</v>
      </c>
      <c r="AJ54" s="3" t="s">
        <v>596</v>
      </c>
    </row>
    <row r="55" spans="1:36">
      <c r="A55" s="4">
        <v>43336</v>
      </c>
      <c r="B55" s="3" t="s">
        <v>720</v>
      </c>
      <c r="C55" s="3" t="s">
        <v>721</v>
      </c>
      <c r="D55" s="3" t="s">
        <v>722</v>
      </c>
      <c r="E55" s="3" t="s">
        <v>723</v>
      </c>
      <c r="F55" s="3" t="s">
        <v>538</v>
      </c>
      <c r="G55" s="3">
        <v>2</v>
      </c>
      <c r="H55" s="3">
        <v>0</v>
      </c>
      <c r="I55" s="3">
        <v>2</v>
      </c>
      <c r="J55" s="3">
        <v>0</v>
      </c>
      <c r="K55" s="3">
        <v>0</v>
      </c>
      <c r="L55" s="3">
        <v>0</v>
      </c>
      <c r="M55" s="3">
        <v>0</v>
      </c>
      <c r="N55" s="3" t="s">
        <v>539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1</v>
      </c>
      <c r="U55" s="3">
        <v>2</v>
      </c>
      <c r="V55" s="3">
        <v>3</v>
      </c>
      <c r="W55" s="3"/>
      <c r="X55" s="3">
        <v>23.9</v>
      </c>
      <c r="Y55" s="3">
        <v>23.9</v>
      </c>
      <c r="Z55" s="3">
        <v>23.9</v>
      </c>
      <c r="AA55" s="3">
        <v>0</v>
      </c>
      <c r="AB55" s="3" t="s">
        <v>562</v>
      </c>
      <c r="AC55" s="3">
        <v>1</v>
      </c>
      <c r="AD55" s="3">
        <v>20.99</v>
      </c>
      <c r="AE55" s="3">
        <v>56</v>
      </c>
      <c r="AF55" s="3">
        <v>0</v>
      </c>
      <c r="AG55" s="3">
        <v>0.835709</v>
      </c>
      <c r="AH55" s="3">
        <v>1.33333333333333</v>
      </c>
      <c r="AI55" s="3">
        <v>0.120084</v>
      </c>
      <c r="AJ55" s="3" t="s">
        <v>548</v>
      </c>
    </row>
    <row r="56" spans="1:36">
      <c r="A56" s="4">
        <v>43336</v>
      </c>
      <c r="B56" s="3" t="s">
        <v>724</v>
      </c>
      <c r="C56" s="3" t="s">
        <v>725</v>
      </c>
      <c r="D56" s="3" t="s">
        <v>726</v>
      </c>
      <c r="E56" s="3" t="s">
        <v>612</v>
      </c>
      <c r="F56" s="3" t="s">
        <v>538</v>
      </c>
      <c r="G56" s="3">
        <v>5</v>
      </c>
      <c r="H56" s="3">
        <v>0</v>
      </c>
      <c r="I56" s="3">
        <v>5</v>
      </c>
      <c r="J56" s="3">
        <v>0</v>
      </c>
      <c r="K56" s="3">
        <v>0</v>
      </c>
      <c r="L56" s="3">
        <v>0</v>
      </c>
      <c r="M56" s="3">
        <v>0</v>
      </c>
      <c r="N56" s="3" t="s">
        <v>539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540</v>
      </c>
      <c r="X56" s="3">
        <v>15.99</v>
      </c>
      <c r="Y56" s="3">
        <v>15.99</v>
      </c>
      <c r="Z56" s="3">
        <v>15.99</v>
      </c>
      <c r="AA56" s="3">
        <v>0</v>
      </c>
      <c r="AB56" s="3" t="s">
        <v>651</v>
      </c>
      <c r="AC56" s="3">
        <v>5</v>
      </c>
      <c r="AD56" s="3">
        <v>15.99</v>
      </c>
      <c r="AE56" s="3">
        <v>0</v>
      </c>
      <c r="AF56" s="3">
        <v>0</v>
      </c>
      <c r="AG56" s="3">
        <v>0</v>
      </c>
      <c r="AH56" s="3">
        <v>0</v>
      </c>
      <c r="AI56" s="3">
        <v>0.625405</v>
      </c>
      <c r="AJ56" s="3" t="s">
        <v>542</v>
      </c>
    </row>
    <row r="57" spans="1:36">
      <c r="A57" s="4">
        <v>43336</v>
      </c>
      <c r="B57" s="3" t="s">
        <v>727</v>
      </c>
      <c r="C57" s="3" t="s">
        <v>728</v>
      </c>
      <c r="D57" s="3" t="s">
        <v>729</v>
      </c>
      <c r="E57" s="3" t="s">
        <v>730</v>
      </c>
      <c r="F57" s="3" t="s">
        <v>538</v>
      </c>
      <c r="G57" s="3">
        <v>1</v>
      </c>
      <c r="H57" s="3">
        <v>0</v>
      </c>
      <c r="I57" s="3">
        <v>0</v>
      </c>
      <c r="J57" s="3">
        <v>0</v>
      </c>
      <c r="K57" s="3">
        <v>1</v>
      </c>
      <c r="L57" s="3">
        <v>0</v>
      </c>
      <c r="M57" s="3">
        <v>0</v>
      </c>
      <c r="N57" s="3" t="s">
        <v>539</v>
      </c>
      <c r="O57" s="3">
        <v>1</v>
      </c>
      <c r="P57" s="3">
        <v>0.07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540</v>
      </c>
      <c r="X57" s="3">
        <v>9.99</v>
      </c>
      <c r="Y57" s="3">
        <v>9.99</v>
      </c>
      <c r="Z57" s="3">
        <v>9.99</v>
      </c>
      <c r="AA57" s="3">
        <v>0</v>
      </c>
      <c r="AB57" s="3" t="s">
        <v>547</v>
      </c>
      <c r="AC57" s="3">
        <v>1</v>
      </c>
      <c r="AD57" s="3">
        <v>9.99</v>
      </c>
      <c r="AE57" s="3">
        <v>0</v>
      </c>
      <c r="AF57" s="3">
        <v>0</v>
      </c>
      <c r="AG57" s="3">
        <v>0</v>
      </c>
      <c r="AH57" s="3">
        <v>0</v>
      </c>
      <c r="AI57" s="3">
        <v>0.020833</v>
      </c>
      <c r="AJ57" s="3" t="s">
        <v>548</v>
      </c>
    </row>
    <row r="58" spans="1:36">
      <c r="A58" s="4">
        <v>43336</v>
      </c>
      <c r="B58" s="3" t="s">
        <v>731</v>
      </c>
      <c r="C58" s="3" t="s">
        <v>732</v>
      </c>
      <c r="D58" s="3" t="s">
        <v>733</v>
      </c>
      <c r="E58" s="3" t="s">
        <v>734</v>
      </c>
      <c r="F58" s="3" t="s">
        <v>538</v>
      </c>
      <c r="G58" s="3">
        <v>13</v>
      </c>
      <c r="H58" s="3">
        <v>0</v>
      </c>
      <c r="I58" s="3">
        <v>0</v>
      </c>
      <c r="J58" s="3">
        <v>0</v>
      </c>
      <c r="K58" s="3">
        <v>13</v>
      </c>
      <c r="L58" s="3">
        <v>0</v>
      </c>
      <c r="M58" s="3">
        <v>0</v>
      </c>
      <c r="N58" s="3" t="s">
        <v>539</v>
      </c>
      <c r="O58" s="3">
        <v>13</v>
      </c>
      <c r="P58" s="3">
        <v>4.94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540</v>
      </c>
      <c r="X58" s="3">
        <v>11</v>
      </c>
      <c r="Y58" s="3">
        <v>11</v>
      </c>
      <c r="Z58" s="3">
        <v>11</v>
      </c>
      <c r="AA58" s="3">
        <v>0</v>
      </c>
      <c r="AB58" s="3" t="s">
        <v>541</v>
      </c>
      <c r="AC58" s="3">
        <v>0</v>
      </c>
      <c r="AD58" s="3">
        <v>9.97</v>
      </c>
      <c r="AE58" s="3">
        <v>147</v>
      </c>
      <c r="AF58" s="3">
        <v>0</v>
      </c>
      <c r="AG58" s="3">
        <v>248.109869</v>
      </c>
      <c r="AH58" s="3">
        <v>0</v>
      </c>
      <c r="AI58" s="3">
        <v>1.431794</v>
      </c>
      <c r="AJ58" s="3" t="s">
        <v>548</v>
      </c>
    </row>
    <row r="59" spans="1:36">
      <c r="A59" s="4">
        <v>43336</v>
      </c>
      <c r="B59" s="3" t="s">
        <v>735</v>
      </c>
      <c r="C59" s="3" t="s">
        <v>736</v>
      </c>
      <c r="D59" s="3" t="s">
        <v>737</v>
      </c>
      <c r="E59" s="3" t="s">
        <v>738</v>
      </c>
      <c r="F59" s="3" t="s">
        <v>538</v>
      </c>
      <c r="G59" s="3">
        <v>3</v>
      </c>
      <c r="H59" s="3">
        <v>0</v>
      </c>
      <c r="I59" s="3">
        <v>0</v>
      </c>
      <c r="J59" s="3">
        <v>3</v>
      </c>
      <c r="K59" s="3">
        <v>0</v>
      </c>
      <c r="L59" s="3">
        <v>0</v>
      </c>
      <c r="M59" s="3">
        <v>0</v>
      </c>
      <c r="N59" s="3" t="s">
        <v>539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2</v>
      </c>
      <c r="W59" s="3" t="s">
        <v>540</v>
      </c>
      <c r="X59" s="3">
        <v>17.99</v>
      </c>
      <c r="Y59" s="3">
        <v>17.99</v>
      </c>
      <c r="Z59" s="3">
        <v>17.99</v>
      </c>
      <c r="AA59" s="3">
        <v>0</v>
      </c>
      <c r="AB59" s="3" t="s">
        <v>541</v>
      </c>
      <c r="AC59" s="3">
        <v>0</v>
      </c>
      <c r="AD59" s="3">
        <v>16.47</v>
      </c>
      <c r="AE59" s="3">
        <v>91</v>
      </c>
      <c r="AF59" s="3">
        <v>0</v>
      </c>
      <c r="AG59" s="3">
        <v>94.220404</v>
      </c>
      <c r="AH59" s="3">
        <v>0.571428571428571</v>
      </c>
      <c r="AI59" s="3">
        <v>0.583332</v>
      </c>
      <c r="AJ59" s="3" t="s">
        <v>548</v>
      </c>
    </row>
    <row r="60" spans="1:36">
      <c r="A60" s="4">
        <v>43336</v>
      </c>
      <c r="B60" s="3" t="s">
        <v>67</v>
      </c>
      <c r="C60" s="3" t="s">
        <v>68</v>
      </c>
      <c r="D60" s="3" t="s">
        <v>69</v>
      </c>
      <c r="E60" s="3" t="s">
        <v>70</v>
      </c>
      <c r="F60" s="3" t="s">
        <v>538</v>
      </c>
      <c r="G60" s="3">
        <v>5</v>
      </c>
      <c r="H60" s="3">
        <v>0</v>
      </c>
      <c r="I60" s="3">
        <v>5</v>
      </c>
      <c r="J60" s="3">
        <v>0</v>
      </c>
      <c r="K60" s="3">
        <v>0</v>
      </c>
      <c r="L60" s="3">
        <v>0</v>
      </c>
      <c r="M60" s="3">
        <v>0</v>
      </c>
      <c r="N60" s="3" t="s">
        <v>539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1</v>
      </c>
      <c r="U60" s="3">
        <v>2</v>
      </c>
      <c r="V60" s="3">
        <v>3</v>
      </c>
      <c r="W60" s="3"/>
      <c r="X60" s="3">
        <v>29.99</v>
      </c>
      <c r="Y60" s="3">
        <v>29.99</v>
      </c>
      <c r="Z60" s="3">
        <v>29.99</v>
      </c>
      <c r="AA60" s="3">
        <v>18.7</v>
      </c>
      <c r="AB60" s="3" t="s">
        <v>547</v>
      </c>
      <c r="AC60" s="3">
        <v>5</v>
      </c>
      <c r="AD60" s="3">
        <v>29.99</v>
      </c>
      <c r="AE60" s="3">
        <v>0</v>
      </c>
      <c r="AF60" s="3">
        <v>0</v>
      </c>
      <c r="AG60" s="3">
        <v>0</v>
      </c>
      <c r="AH60" s="3">
        <v>0.48</v>
      </c>
      <c r="AI60" s="3">
        <v>0.692275</v>
      </c>
      <c r="AJ60" s="3" t="s">
        <v>548</v>
      </c>
    </row>
    <row r="61" spans="1:36">
      <c r="A61" s="4">
        <v>43336</v>
      </c>
      <c r="B61" s="3" t="s">
        <v>739</v>
      </c>
      <c r="C61" s="3" t="s">
        <v>740</v>
      </c>
      <c r="D61" s="3" t="s">
        <v>741</v>
      </c>
      <c r="E61" s="3" t="s">
        <v>552</v>
      </c>
      <c r="F61" s="3" t="s">
        <v>538</v>
      </c>
      <c r="G61" s="3">
        <v>3</v>
      </c>
      <c r="H61" s="3">
        <v>0</v>
      </c>
      <c r="I61" s="3">
        <v>3</v>
      </c>
      <c r="J61" s="3">
        <v>0</v>
      </c>
      <c r="K61" s="3">
        <v>0</v>
      </c>
      <c r="L61" s="3">
        <v>0</v>
      </c>
      <c r="M61" s="3">
        <v>0</v>
      </c>
      <c r="N61" s="3" t="s">
        <v>539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553</v>
      </c>
      <c r="X61" s="3">
        <v>26.9</v>
      </c>
      <c r="Y61" s="3">
        <v>26.9</v>
      </c>
      <c r="Z61" s="3">
        <v>26.9</v>
      </c>
      <c r="AA61" s="3">
        <v>0</v>
      </c>
      <c r="AB61" s="3" t="s">
        <v>547</v>
      </c>
      <c r="AC61" s="3">
        <v>3</v>
      </c>
      <c r="AD61" s="3">
        <v>26.9</v>
      </c>
      <c r="AE61" s="3">
        <v>0</v>
      </c>
      <c r="AF61" s="3">
        <v>0</v>
      </c>
      <c r="AG61" s="3">
        <v>0</v>
      </c>
      <c r="AH61" s="3">
        <v>0</v>
      </c>
      <c r="AI61" s="3">
        <v>0.494643</v>
      </c>
      <c r="AJ61" s="3" t="s">
        <v>548</v>
      </c>
    </row>
    <row r="62" spans="1:36">
      <c r="A62" s="4">
        <v>43336</v>
      </c>
      <c r="B62" s="3" t="s">
        <v>292</v>
      </c>
      <c r="C62" s="3" t="s">
        <v>293</v>
      </c>
      <c r="D62" s="3" t="s">
        <v>294</v>
      </c>
      <c r="E62" s="3" t="s">
        <v>742</v>
      </c>
      <c r="F62" s="3" t="s">
        <v>538</v>
      </c>
      <c r="G62" s="3">
        <v>3</v>
      </c>
      <c r="H62" s="3">
        <v>0</v>
      </c>
      <c r="I62" s="3">
        <v>3</v>
      </c>
      <c r="J62" s="3">
        <v>0</v>
      </c>
      <c r="K62" s="3">
        <v>0</v>
      </c>
      <c r="L62" s="3">
        <v>0</v>
      </c>
      <c r="M62" s="3">
        <v>0</v>
      </c>
      <c r="N62" s="3" t="s">
        <v>539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553</v>
      </c>
      <c r="X62" s="3">
        <v>6.99</v>
      </c>
      <c r="Y62" s="3">
        <v>6.99</v>
      </c>
      <c r="Z62" s="3">
        <v>6.99</v>
      </c>
      <c r="AA62" s="3">
        <v>0</v>
      </c>
      <c r="AB62" s="3" t="s">
        <v>743</v>
      </c>
      <c r="AC62" s="3">
        <v>0</v>
      </c>
      <c r="AD62" s="3">
        <v>6.99</v>
      </c>
      <c r="AE62" s="3">
        <v>0</v>
      </c>
      <c r="AF62" s="3">
        <v>3</v>
      </c>
      <c r="AG62" s="3">
        <v>45.292828</v>
      </c>
      <c r="AH62" s="3">
        <v>0</v>
      </c>
      <c r="AI62" s="3">
        <v>0.352188</v>
      </c>
      <c r="AJ62" s="3" t="s">
        <v>548</v>
      </c>
    </row>
    <row r="63" spans="1:36">
      <c r="A63" s="4">
        <v>43336</v>
      </c>
      <c r="B63" s="3" t="s">
        <v>744</v>
      </c>
      <c r="C63" s="3" t="s">
        <v>745</v>
      </c>
      <c r="D63" s="3" t="s">
        <v>746</v>
      </c>
      <c r="E63" s="3" t="s">
        <v>582</v>
      </c>
      <c r="F63" s="3" t="s">
        <v>538</v>
      </c>
      <c r="G63" s="3">
        <v>4</v>
      </c>
      <c r="H63" s="3">
        <v>0</v>
      </c>
      <c r="I63" s="3">
        <v>0</v>
      </c>
      <c r="J63" s="3">
        <v>4</v>
      </c>
      <c r="K63" s="3">
        <v>0</v>
      </c>
      <c r="L63" s="3">
        <v>0</v>
      </c>
      <c r="M63" s="3">
        <v>0</v>
      </c>
      <c r="N63" s="3" t="s">
        <v>539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540</v>
      </c>
      <c r="X63" s="3">
        <v>11.98</v>
      </c>
      <c r="Y63" s="3">
        <v>11.98</v>
      </c>
      <c r="Z63" s="3">
        <v>11.98</v>
      </c>
      <c r="AA63" s="3">
        <v>0</v>
      </c>
      <c r="AB63" s="3" t="s">
        <v>541</v>
      </c>
      <c r="AC63" s="3">
        <v>0</v>
      </c>
      <c r="AD63" s="3">
        <v>9.58</v>
      </c>
      <c r="AE63" s="3">
        <v>63</v>
      </c>
      <c r="AF63" s="3">
        <v>0</v>
      </c>
      <c r="AG63" s="3">
        <v>2.802641</v>
      </c>
      <c r="AH63" s="3">
        <v>0</v>
      </c>
      <c r="AI63" s="5">
        <v>0.000232</v>
      </c>
      <c r="AJ63" s="3" t="s">
        <v>548</v>
      </c>
    </row>
    <row r="64" spans="1:36">
      <c r="A64" s="4">
        <v>43336</v>
      </c>
      <c r="B64" s="3" t="s">
        <v>747</v>
      </c>
      <c r="C64" s="3" t="s">
        <v>748</v>
      </c>
      <c r="D64" s="3" t="s">
        <v>749</v>
      </c>
      <c r="E64" s="3" t="s">
        <v>537</v>
      </c>
      <c r="F64" s="3" t="s">
        <v>538</v>
      </c>
      <c r="G64" s="3">
        <v>6</v>
      </c>
      <c r="H64" s="3">
        <v>0</v>
      </c>
      <c r="I64" s="3">
        <v>6</v>
      </c>
      <c r="J64" s="3">
        <v>0</v>
      </c>
      <c r="K64" s="3">
        <v>0</v>
      </c>
      <c r="L64" s="3">
        <v>0</v>
      </c>
      <c r="M64" s="3">
        <v>0</v>
      </c>
      <c r="N64" s="3" t="s">
        <v>539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540</v>
      </c>
      <c r="X64" s="3">
        <v>19.99</v>
      </c>
      <c r="Y64" s="3">
        <v>19.99</v>
      </c>
      <c r="Z64" s="3">
        <v>19.99</v>
      </c>
      <c r="AA64" s="3">
        <v>0</v>
      </c>
      <c r="AB64" s="3" t="s">
        <v>541</v>
      </c>
      <c r="AC64" s="3">
        <v>0</v>
      </c>
      <c r="AD64" s="3">
        <v>15.99</v>
      </c>
      <c r="AE64" s="3">
        <v>63</v>
      </c>
      <c r="AF64" s="3">
        <v>0</v>
      </c>
      <c r="AG64" s="3">
        <v>6.942678</v>
      </c>
      <c r="AH64" s="3">
        <v>0</v>
      </c>
      <c r="AI64" s="3">
        <v>0.956777999999999</v>
      </c>
      <c r="AJ64" s="3" t="s">
        <v>542</v>
      </c>
    </row>
    <row r="65" spans="1:36">
      <c r="A65" s="4">
        <v>43336</v>
      </c>
      <c r="B65" s="3" t="s">
        <v>220</v>
      </c>
      <c r="C65" s="3" t="s">
        <v>221</v>
      </c>
      <c r="D65" s="3" t="s">
        <v>222</v>
      </c>
      <c r="E65" s="3" t="s">
        <v>223</v>
      </c>
      <c r="F65" s="3" t="s">
        <v>538</v>
      </c>
      <c r="G65" s="3">
        <v>18</v>
      </c>
      <c r="H65" s="3">
        <v>0</v>
      </c>
      <c r="I65" s="3">
        <v>18</v>
      </c>
      <c r="J65" s="3">
        <v>0</v>
      </c>
      <c r="K65" s="3">
        <v>0</v>
      </c>
      <c r="L65" s="3">
        <v>0</v>
      </c>
      <c r="M65" s="3">
        <v>0</v>
      </c>
      <c r="N65" s="3" t="s">
        <v>539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4</v>
      </c>
      <c r="U65" s="3">
        <v>5</v>
      </c>
      <c r="V65" s="3">
        <v>5</v>
      </c>
      <c r="W65" s="3"/>
      <c r="X65" s="3">
        <v>7.9</v>
      </c>
      <c r="Y65" s="3">
        <v>7.9</v>
      </c>
      <c r="Z65" s="3">
        <v>7.9</v>
      </c>
      <c r="AA65" s="3">
        <v>0</v>
      </c>
      <c r="AB65" s="3" t="s">
        <v>547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1.25</v>
      </c>
      <c r="AI65" s="3">
        <v>0.243792</v>
      </c>
      <c r="AJ65" s="3" t="s">
        <v>548</v>
      </c>
    </row>
    <row r="66" spans="1:36">
      <c r="A66" s="4">
        <v>43336</v>
      </c>
      <c r="B66" s="3" t="s">
        <v>750</v>
      </c>
      <c r="C66" s="3" t="s">
        <v>751</v>
      </c>
      <c r="D66" s="3" t="s">
        <v>752</v>
      </c>
      <c r="E66" s="3" t="s">
        <v>753</v>
      </c>
      <c r="F66" s="3" t="s">
        <v>538</v>
      </c>
      <c r="G66" s="3">
        <v>9</v>
      </c>
      <c r="H66" s="3">
        <v>0</v>
      </c>
      <c r="I66" s="3">
        <v>0</v>
      </c>
      <c r="J66" s="3">
        <v>0</v>
      </c>
      <c r="K66" s="3">
        <v>9</v>
      </c>
      <c r="L66" s="3">
        <v>0</v>
      </c>
      <c r="M66" s="3">
        <v>0</v>
      </c>
      <c r="N66" s="3" t="s">
        <v>539</v>
      </c>
      <c r="O66" s="3">
        <v>9</v>
      </c>
      <c r="P66" s="3">
        <v>2.81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/>
      <c r="X66" s="3"/>
      <c r="Y66" s="3"/>
      <c r="Z66" s="3">
        <v>-1</v>
      </c>
      <c r="AA66" s="3">
        <v>-1</v>
      </c>
      <c r="AB66" s="3" t="s">
        <v>595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0</v>
      </c>
      <c r="AI66" s="3">
        <v>0.814662</v>
      </c>
      <c r="AJ66" s="3" t="s">
        <v>548</v>
      </c>
    </row>
    <row r="67" spans="1:36">
      <c r="A67" s="4">
        <v>43336</v>
      </c>
      <c r="B67" s="3" t="s">
        <v>754</v>
      </c>
      <c r="C67" s="3" t="s">
        <v>755</v>
      </c>
      <c r="D67" s="3" t="s">
        <v>756</v>
      </c>
      <c r="E67" s="3" t="s">
        <v>757</v>
      </c>
      <c r="F67" s="3" t="s">
        <v>538</v>
      </c>
      <c r="G67" s="3">
        <v>6</v>
      </c>
      <c r="H67" s="3">
        <v>0</v>
      </c>
      <c r="I67" s="3">
        <v>6</v>
      </c>
      <c r="J67" s="3">
        <v>0</v>
      </c>
      <c r="K67" s="3">
        <v>0</v>
      </c>
      <c r="L67" s="3">
        <v>0</v>
      </c>
      <c r="M67" s="3">
        <v>0</v>
      </c>
      <c r="N67" s="3" t="s">
        <v>539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540</v>
      </c>
      <c r="X67" s="3">
        <v>19.99</v>
      </c>
      <c r="Y67" s="3">
        <v>19.99</v>
      </c>
      <c r="Z67" s="3">
        <v>19.99</v>
      </c>
      <c r="AA67" s="3">
        <v>0</v>
      </c>
      <c r="AB67" s="3" t="s">
        <v>541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0.906833999999999</v>
      </c>
      <c r="AJ67" s="3" t="s">
        <v>542</v>
      </c>
    </row>
    <row r="68" spans="1:36">
      <c r="A68" s="4">
        <v>43336</v>
      </c>
      <c r="B68" s="3" t="s">
        <v>758</v>
      </c>
      <c r="C68" s="3" t="s">
        <v>759</v>
      </c>
      <c r="D68" s="3" t="s">
        <v>760</v>
      </c>
      <c r="E68" s="3" t="s">
        <v>761</v>
      </c>
      <c r="F68" s="3" t="s">
        <v>538</v>
      </c>
      <c r="G68" s="3">
        <v>24</v>
      </c>
      <c r="H68" s="3">
        <v>0</v>
      </c>
      <c r="I68" s="3">
        <v>24</v>
      </c>
      <c r="J68" s="3">
        <v>0</v>
      </c>
      <c r="K68" s="3">
        <v>0</v>
      </c>
      <c r="L68" s="3">
        <v>0</v>
      </c>
      <c r="M68" s="3">
        <v>0</v>
      </c>
      <c r="N68" s="3" t="s">
        <v>539</v>
      </c>
      <c r="O68" s="3">
        <v>0</v>
      </c>
      <c r="P68" s="3">
        <v>0</v>
      </c>
      <c r="Q68" s="3">
        <v>0</v>
      </c>
      <c r="R68" s="3">
        <v>0</v>
      </c>
      <c r="S68" s="3">
        <v>3</v>
      </c>
      <c r="T68" s="3">
        <v>9</v>
      </c>
      <c r="U68" s="3">
        <v>18</v>
      </c>
      <c r="V68" s="3">
        <v>19</v>
      </c>
      <c r="W68" s="3"/>
      <c r="X68" s="3">
        <v>13.99</v>
      </c>
      <c r="Y68" s="3">
        <v>13.99</v>
      </c>
      <c r="Z68" s="3">
        <v>13.99</v>
      </c>
      <c r="AA68" s="3">
        <v>0</v>
      </c>
      <c r="AB68" s="3" t="s">
        <v>547</v>
      </c>
      <c r="AC68" s="3">
        <v>24</v>
      </c>
      <c r="AD68" s="3">
        <v>13.99</v>
      </c>
      <c r="AE68" s="3">
        <v>0</v>
      </c>
      <c r="AF68" s="3">
        <v>0</v>
      </c>
      <c r="AG68" s="3">
        <v>0</v>
      </c>
      <c r="AH68" s="3">
        <v>1.10144927536231</v>
      </c>
      <c r="AI68" s="3">
        <v>1.668336</v>
      </c>
      <c r="AJ68" s="3" t="s">
        <v>596</v>
      </c>
    </row>
    <row r="69" spans="1:36">
      <c r="A69" s="4">
        <v>43336</v>
      </c>
      <c r="B69" s="3" t="s">
        <v>762</v>
      </c>
      <c r="C69" s="3" t="s">
        <v>763</v>
      </c>
      <c r="D69" s="3" t="s">
        <v>764</v>
      </c>
      <c r="E69" s="3" t="s">
        <v>537</v>
      </c>
      <c r="F69" s="3" t="s">
        <v>538</v>
      </c>
      <c r="G69" s="3">
        <v>6</v>
      </c>
      <c r="H69" s="3">
        <v>0</v>
      </c>
      <c r="I69" s="3">
        <v>6</v>
      </c>
      <c r="J69" s="3">
        <v>0</v>
      </c>
      <c r="K69" s="3">
        <v>0</v>
      </c>
      <c r="L69" s="3">
        <v>0</v>
      </c>
      <c r="M69" s="3">
        <v>0</v>
      </c>
      <c r="N69" s="3" t="s">
        <v>539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540</v>
      </c>
      <c r="X69" s="3">
        <v>19.99</v>
      </c>
      <c r="Y69" s="3">
        <v>19.99</v>
      </c>
      <c r="Z69" s="3">
        <v>19.99</v>
      </c>
      <c r="AA69" s="3">
        <v>0</v>
      </c>
      <c r="AB69" s="3" t="s">
        <v>541</v>
      </c>
      <c r="AC69" s="3">
        <v>0</v>
      </c>
      <c r="AD69" s="3">
        <v>15.99</v>
      </c>
      <c r="AE69" s="3">
        <v>63</v>
      </c>
      <c r="AF69" s="3">
        <v>0</v>
      </c>
      <c r="AG69" s="3">
        <v>6.942642</v>
      </c>
      <c r="AH69" s="3">
        <v>0</v>
      </c>
      <c r="AI69" s="3">
        <v>0.956777999999999</v>
      </c>
      <c r="AJ69" s="3" t="s">
        <v>542</v>
      </c>
    </row>
    <row r="70" spans="1:36">
      <c r="A70" s="4">
        <v>43336</v>
      </c>
      <c r="B70" s="3" t="s">
        <v>765</v>
      </c>
      <c r="C70" s="3" t="s">
        <v>766</v>
      </c>
      <c r="D70" s="3" t="s">
        <v>767</v>
      </c>
      <c r="E70" s="3" t="s">
        <v>66</v>
      </c>
      <c r="F70" s="3" t="s">
        <v>538</v>
      </c>
      <c r="G70" s="3">
        <v>5</v>
      </c>
      <c r="H70" s="3">
        <v>0</v>
      </c>
      <c r="I70" s="3">
        <v>5</v>
      </c>
      <c r="J70" s="3">
        <v>0</v>
      </c>
      <c r="K70" s="3">
        <v>0</v>
      </c>
      <c r="L70" s="3">
        <v>0</v>
      </c>
      <c r="M70" s="3">
        <v>0</v>
      </c>
      <c r="N70" s="3" t="s">
        <v>539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540</v>
      </c>
      <c r="X70" s="3">
        <v>15.99</v>
      </c>
      <c r="Y70" s="3">
        <v>15.99</v>
      </c>
      <c r="Z70" s="3">
        <v>15.99</v>
      </c>
      <c r="AA70" s="3">
        <v>0</v>
      </c>
      <c r="AB70" s="3" t="s">
        <v>541</v>
      </c>
      <c r="AC70" s="3">
        <v>5</v>
      </c>
      <c r="AD70" s="3">
        <v>15.99</v>
      </c>
      <c r="AE70" s="3">
        <v>0</v>
      </c>
      <c r="AF70" s="3">
        <v>0</v>
      </c>
      <c r="AG70" s="3">
        <v>0</v>
      </c>
      <c r="AH70" s="3">
        <v>0</v>
      </c>
      <c r="AI70" s="3">
        <v>0.499689999999999</v>
      </c>
      <c r="AJ70" s="3" t="s">
        <v>542</v>
      </c>
    </row>
    <row r="71" spans="1:36">
      <c r="A71" s="4">
        <v>43336</v>
      </c>
      <c r="B71" s="3" t="s">
        <v>71</v>
      </c>
      <c r="C71" s="3" t="s">
        <v>72</v>
      </c>
      <c r="D71" s="3" t="s">
        <v>73</v>
      </c>
      <c r="E71" s="3" t="s">
        <v>74</v>
      </c>
      <c r="F71" s="3" t="s">
        <v>538</v>
      </c>
      <c r="G71" s="3">
        <v>6</v>
      </c>
      <c r="H71" s="3">
        <v>0</v>
      </c>
      <c r="I71" s="3">
        <v>6</v>
      </c>
      <c r="J71" s="3">
        <v>0</v>
      </c>
      <c r="K71" s="3">
        <v>0</v>
      </c>
      <c r="L71" s="3">
        <v>0</v>
      </c>
      <c r="M71" s="3">
        <v>0</v>
      </c>
      <c r="N71" s="3" t="s">
        <v>539</v>
      </c>
      <c r="O71" s="3">
        <v>0</v>
      </c>
      <c r="P71" s="3">
        <v>0</v>
      </c>
      <c r="Q71" s="3">
        <v>0</v>
      </c>
      <c r="R71" s="3">
        <v>0</v>
      </c>
      <c r="S71" s="3">
        <v>2</v>
      </c>
      <c r="T71" s="3">
        <v>13</v>
      </c>
      <c r="U71" s="3">
        <v>27</v>
      </c>
      <c r="V71" s="3">
        <v>36</v>
      </c>
      <c r="W71" s="3"/>
      <c r="X71" s="3">
        <v>19</v>
      </c>
      <c r="Y71" s="3">
        <v>19</v>
      </c>
      <c r="Z71" s="3">
        <v>19</v>
      </c>
      <c r="AA71" s="3">
        <v>0</v>
      </c>
      <c r="AB71" s="3" t="s">
        <v>547</v>
      </c>
      <c r="AC71" s="3">
        <v>6</v>
      </c>
      <c r="AD71" s="3">
        <v>19</v>
      </c>
      <c r="AE71" s="3">
        <v>0</v>
      </c>
      <c r="AF71" s="3">
        <v>0</v>
      </c>
      <c r="AG71" s="3">
        <v>0</v>
      </c>
      <c r="AH71" s="3">
        <v>4.36363636363636</v>
      </c>
      <c r="AI71" s="3">
        <v>0.488424</v>
      </c>
      <c r="AJ71" s="3" t="s">
        <v>548</v>
      </c>
    </row>
    <row r="72" spans="1:36">
      <c r="A72" s="4">
        <v>43336</v>
      </c>
      <c r="B72" s="3" t="s">
        <v>768</v>
      </c>
      <c r="C72" s="3" t="s">
        <v>769</v>
      </c>
      <c r="D72" s="3" t="s">
        <v>770</v>
      </c>
      <c r="E72" s="3" t="s">
        <v>771</v>
      </c>
      <c r="F72" s="3" t="s">
        <v>538</v>
      </c>
      <c r="G72" s="3">
        <v>6</v>
      </c>
      <c r="H72" s="3">
        <v>0</v>
      </c>
      <c r="I72" s="3">
        <v>0</v>
      </c>
      <c r="J72" s="3">
        <v>0</v>
      </c>
      <c r="K72" s="3">
        <v>6</v>
      </c>
      <c r="L72" s="3">
        <v>0</v>
      </c>
      <c r="M72" s="3">
        <v>0</v>
      </c>
      <c r="N72" s="3" t="s">
        <v>539</v>
      </c>
      <c r="O72" s="3">
        <v>6</v>
      </c>
      <c r="P72" s="3">
        <v>0.35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553</v>
      </c>
      <c r="X72" s="3">
        <v>45.9</v>
      </c>
      <c r="Y72" s="3">
        <v>45.9</v>
      </c>
      <c r="Z72" s="3">
        <v>45.9</v>
      </c>
      <c r="AA72" s="3">
        <v>0</v>
      </c>
      <c r="AB72" s="3" t="s">
        <v>562</v>
      </c>
      <c r="AC72" s="3">
        <v>0</v>
      </c>
      <c r="AD72" s="3">
        <v>41.63</v>
      </c>
      <c r="AE72" s="3">
        <v>273</v>
      </c>
      <c r="AF72" s="3">
        <v>0</v>
      </c>
      <c r="AG72" s="3">
        <v>146.780328</v>
      </c>
      <c r="AH72" s="3">
        <v>0</v>
      </c>
      <c r="AI72" s="3">
        <v>0.101892</v>
      </c>
      <c r="AJ72" s="3" t="s">
        <v>548</v>
      </c>
    </row>
    <row r="73" spans="1:36">
      <c r="A73" s="4">
        <v>43336</v>
      </c>
      <c r="B73" s="3" t="s">
        <v>772</v>
      </c>
      <c r="C73" s="3" t="s">
        <v>773</v>
      </c>
      <c r="D73" s="3" t="s">
        <v>774</v>
      </c>
      <c r="E73" s="3" t="s">
        <v>775</v>
      </c>
      <c r="F73" s="3" t="s">
        <v>538</v>
      </c>
      <c r="G73" s="3">
        <v>3</v>
      </c>
      <c r="H73" s="3">
        <v>0</v>
      </c>
      <c r="I73" s="3">
        <v>0</v>
      </c>
      <c r="J73" s="3">
        <v>0</v>
      </c>
      <c r="K73" s="3">
        <v>3</v>
      </c>
      <c r="L73" s="3">
        <v>0</v>
      </c>
      <c r="M73" s="3">
        <v>0</v>
      </c>
      <c r="N73" s="3" t="s">
        <v>539</v>
      </c>
      <c r="O73" s="3">
        <v>3</v>
      </c>
      <c r="P73" s="3">
        <v>0.27</v>
      </c>
      <c r="Q73" s="3">
        <v>0</v>
      </c>
      <c r="R73" s="3">
        <v>0</v>
      </c>
      <c r="S73" s="3">
        <v>0</v>
      </c>
      <c r="T73" s="3">
        <v>0</v>
      </c>
      <c r="U73" s="3">
        <v>1</v>
      </c>
      <c r="V73" s="3">
        <v>1</v>
      </c>
      <c r="W73" s="3" t="s">
        <v>540</v>
      </c>
      <c r="X73" s="3">
        <v>11.2</v>
      </c>
      <c r="Y73" s="3">
        <v>11.2</v>
      </c>
      <c r="Z73" s="3">
        <v>11.2</v>
      </c>
      <c r="AA73" s="3">
        <v>0</v>
      </c>
      <c r="AB73" s="3" t="s">
        <v>562</v>
      </c>
      <c r="AC73" s="3">
        <v>0</v>
      </c>
      <c r="AD73" s="3">
        <v>10</v>
      </c>
      <c r="AE73" s="3">
        <v>210</v>
      </c>
      <c r="AF73" s="3">
        <v>0</v>
      </c>
      <c r="AG73" s="3">
        <v>19.577594</v>
      </c>
      <c r="AH73" s="3">
        <v>0.285714285714285</v>
      </c>
      <c r="AI73" s="3">
        <v>0.077352</v>
      </c>
      <c r="AJ73" s="3" t="s">
        <v>548</v>
      </c>
    </row>
    <row r="74" spans="1:36">
      <c r="A74" s="4">
        <v>43336</v>
      </c>
      <c r="B74" s="3" t="s">
        <v>776</v>
      </c>
      <c r="C74" s="3" t="s">
        <v>777</v>
      </c>
      <c r="D74" s="3" t="s">
        <v>778</v>
      </c>
      <c r="E74" s="3" t="s">
        <v>612</v>
      </c>
      <c r="F74" s="3" t="s">
        <v>538</v>
      </c>
      <c r="G74" s="3">
        <v>6</v>
      </c>
      <c r="H74" s="3">
        <v>0</v>
      </c>
      <c r="I74" s="3">
        <v>6</v>
      </c>
      <c r="J74" s="3">
        <v>0</v>
      </c>
      <c r="K74" s="3">
        <v>0</v>
      </c>
      <c r="L74" s="3">
        <v>0</v>
      </c>
      <c r="M74" s="3">
        <v>0</v>
      </c>
      <c r="N74" s="3" t="s">
        <v>539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540</v>
      </c>
      <c r="X74" s="3">
        <v>19.99</v>
      </c>
      <c r="Y74" s="3">
        <v>19.99</v>
      </c>
      <c r="Z74" s="3">
        <v>19.99</v>
      </c>
      <c r="AA74" s="3">
        <v>0</v>
      </c>
      <c r="AB74" s="3" t="s">
        <v>541</v>
      </c>
      <c r="AC74" s="3">
        <v>0</v>
      </c>
      <c r="AD74" s="3">
        <v>0</v>
      </c>
      <c r="AE74" s="3">
        <v>0</v>
      </c>
      <c r="AF74" s="3">
        <v>0</v>
      </c>
      <c r="AG74" s="3">
        <v>0</v>
      </c>
      <c r="AH74" s="3">
        <v>0</v>
      </c>
      <c r="AI74" s="5">
        <v>6e-6</v>
      </c>
      <c r="AJ74" s="3" t="s">
        <v>542</v>
      </c>
    </row>
    <row r="75" spans="1:36">
      <c r="A75" s="4">
        <v>43336</v>
      </c>
      <c r="B75" s="3" t="s">
        <v>779</v>
      </c>
      <c r="C75" s="3" t="s">
        <v>780</v>
      </c>
      <c r="D75" s="3" t="s">
        <v>781</v>
      </c>
      <c r="E75" s="3" t="s">
        <v>782</v>
      </c>
      <c r="F75" s="3" t="s">
        <v>538</v>
      </c>
      <c r="G75" s="3">
        <v>17</v>
      </c>
      <c r="H75" s="3">
        <v>0</v>
      </c>
      <c r="I75" s="3">
        <v>17</v>
      </c>
      <c r="J75" s="3">
        <v>0</v>
      </c>
      <c r="K75" s="3">
        <v>0</v>
      </c>
      <c r="L75" s="3">
        <v>0</v>
      </c>
      <c r="M75" s="3">
        <v>0</v>
      </c>
      <c r="N75" s="3" t="s">
        <v>539</v>
      </c>
      <c r="O75" s="3">
        <v>0</v>
      </c>
      <c r="P75" s="3">
        <v>0</v>
      </c>
      <c r="Q75" s="3">
        <v>0</v>
      </c>
      <c r="R75" s="3">
        <v>0</v>
      </c>
      <c r="S75" s="3">
        <v>2</v>
      </c>
      <c r="T75" s="3">
        <v>6</v>
      </c>
      <c r="U75" s="3">
        <v>14</v>
      </c>
      <c r="V75" s="3">
        <v>21</v>
      </c>
      <c r="W75" s="3"/>
      <c r="X75" s="3">
        <v>19.99</v>
      </c>
      <c r="Y75" s="3">
        <v>19.99</v>
      </c>
      <c r="Z75" s="3">
        <v>19.99</v>
      </c>
      <c r="AA75" s="3">
        <v>0</v>
      </c>
      <c r="AB75" s="3" t="s">
        <v>547</v>
      </c>
      <c r="AC75" s="3">
        <v>19</v>
      </c>
      <c r="AD75" s="3">
        <v>19.99</v>
      </c>
      <c r="AE75" s="3">
        <v>0</v>
      </c>
      <c r="AF75" s="3">
        <v>0</v>
      </c>
      <c r="AG75" s="3">
        <v>0</v>
      </c>
      <c r="AH75" s="3">
        <v>1.42372881355932</v>
      </c>
      <c r="AI75" s="3">
        <v>1.905649</v>
      </c>
      <c r="AJ75" s="3" t="s">
        <v>548</v>
      </c>
    </row>
    <row r="76" spans="1:36">
      <c r="A76" s="4">
        <v>43336</v>
      </c>
      <c r="B76" s="3" t="s">
        <v>783</v>
      </c>
      <c r="C76" s="3" t="s">
        <v>784</v>
      </c>
      <c r="D76" s="3" t="s">
        <v>785</v>
      </c>
      <c r="E76" s="3" t="s">
        <v>786</v>
      </c>
      <c r="F76" s="3" t="s">
        <v>538</v>
      </c>
      <c r="G76" s="3">
        <v>3</v>
      </c>
      <c r="H76" s="3">
        <v>0</v>
      </c>
      <c r="I76" s="3">
        <v>0</v>
      </c>
      <c r="J76" s="3">
        <v>1</v>
      </c>
      <c r="K76" s="3">
        <v>2</v>
      </c>
      <c r="L76" s="3">
        <v>0</v>
      </c>
      <c r="M76" s="3">
        <v>0</v>
      </c>
      <c r="N76" s="3" t="s">
        <v>539</v>
      </c>
      <c r="O76" s="3">
        <v>2</v>
      </c>
      <c r="P76" s="3">
        <v>0.14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540</v>
      </c>
      <c r="X76" s="3">
        <v>10.99</v>
      </c>
      <c r="Y76" s="3">
        <v>10.99</v>
      </c>
      <c r="Z76" s="3">
        <v>10.99</v>
      </c>
      <c r="AA76" s="3">
        <v>0</v>
      </c>
      <c r="AB76" s="3" t="s">
        <v>547</v>
      </c>
      <c r="AC76" s="3">
        <v>3</v>
      </c>
      <c r="AD76" s="3">
        <v>10.99</v>
      </c>
      <c r="AE76" s="3">
        <v>0</v>
      </c>
      <c r="AF76" s="3">
        <v>0</v>
      </c>
      <c r="AG76" s="3">
        <v>0</v>
      </c>
      <c r="AH76" s="3">
        <v>0</v>
      </c>
      <c r="AI76" s="3">
        <v>0.062499</v>
      </c>
      <c r="AJ76" s="3" t="s">
        <v>548</v>
      </c>
    </row>
    <row r="77" spans="1:36">
      <c r="A77" s="4">
        <v>43336</v>
      </c>
      <c r="B77" s="3" t="s">
        <v>787</v>
      </c>
      <c r="C77" s="3" t="s">
        <v>788</v>
      </c>
      <c r="D77" s="3" t="s">
        <v>789</v>
      </c>
      <c r="E77" s="3" t="s">
        <v>790</v>
      </c>
      <c r="F77" s="3" t="s">
        <v>538</v>
      </c>
      <c r="G77" s="3">
        <v>6</v>
      </c>
      <c r="H77" s="3">
        <v>0</v>
      </c>
      <c r="I77" s="3">
        <v>0</v>
      </c>
      <c r="J77" s="3">
        <v>6</v>
      </c>
      <c r="K77" s="3">
        <v>0</v>
      </c>
      <c r="L77" s="3">
        <v>0</v>
      </c>
      <c r="M77" s="3">
        <v>0</v>
      </c>
      <c r="N77" s="3" t="s">
        <v>539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2</v>
      </c>
      <c r="U77" s="3">
        <v>4</v>
      </c>
      <c r="V77" s="3">
        <v>5</v>
      </c>
      <c r="W77" s="3"/>
      <c r="X77" s="3">
        <v>18.19</v>
      </c>
      <c r="Y77" s="3">
        <v>18.19</v>
      </c>
      <c r="Z77" s="3">
        <v>18.19</v>
      </c>
      <c r="AA77" s="3">
        <v>14.53</v>
      </c>
      <c r="AB77" s="3" t="s">
        <v>547</v>
      </c>
      <c r="AC77" s="3">
        <v>7</v>
      </c>
      <c r="AD77" s="3">
        <v>18.19</v>
      </c>
      <c r="AE77" s="3">
        <v>0</v>
      </c>
      <c r="AF77" s="3">
        <v>0</v>
      </c>
      <c r="AG77" s="3">
        <v>0</v>
      </c>
      <c r="AH77" s="3">
        <v>0.512820512820512</v>
      </c>
      <c r="AI77" s="3">
        <v>0.275328</v>
      </c>
      <c r="AJ77" s="3" t="s">
        <v>548</v>
      </c>
    </row>
    <row r="78" spans="1:36">
      <c r="A78" s="4">
        <v>43336</v>
      </c>
      <c r="B78" s="3" t="s">
        <v>791</v>
      </c>
      <c r="C78" s="3" t="s">
        <v>792</v>
      </c>
      <c r="D78" s="3" t="s">
        <v>793</v>
      </c>
      <c r="E78" s="3" t="s">
        <v>757</v>
      </c>
      <c r="F78" s="3" t="s">
        <v>538</v>
      </c>
      <c r="G78" s="3">
        <v>6</v>
      </c>
      <c r="H78" s="3">
        <v>0</v>
      </c>
      <c r="I78" s="3">
        <v>6</v>
      </c>
      <c r="J78" s="3">
        <v>0</v>
      </c>
      <c r="K78" s="3">
        <v>0</v>
      </c>
      <c r="L78" s="3">
        <v>0</v>
      </c>
      <c r="M78" s="3">
        <v>0</v>
      </c>
      <c r="N78" s="3" t="s">
        <v>539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 t="s">
        <v>540</v>
      </c>
      <c r="X78" s="3">
        <v>19.99</v>
      </c>
      <c r="Y78" s="3">
        <v>19.99</v>
      </c>
      <c r="Z78" s="3">
        <v>19.99</v>
      </c>
      <c r="AA78" s="3">
        <v>0</v>
      </c>
      <c r="AB78" s="3" t="s">
        <v>541</v>
      </c>
      <c r="AC78" s="3">
        <v>0</v>
      </c>
      <c r="AD78" s="3">
        <v>0</v>
      </c>
      <c r="AE78" s="3">
        <v>0</v>
      </c>
      <c r="AF78" s="3">
        <v>0</v>
      </c>
      <c r="AG78" s="3">
        <v>0</v>
      </c>
      <c r="AH78" s="3">
        <v>0</v>
      </c>
      <c r="AI78" s="3">
        <v>0.811188</v>
      </c>
      <c r="AJ78" s="3" t="s">
        <v>542</v>
      </c>
    </row>
    <row r="79" spans="1:36">
      <c r="A79" s="4">
        <v>43336</v>
      </c>
      <c r="B79" s="3" t="s">
        <v>794</v>
      </c>
      <c r="C79" s="3" t="s">
        <v>795</v>
      </c>
      <c r="D79" s="3" t="s">
        <v>796</v>
      </c>
      <c r="E79" s="3" t="s">
        <v>757</v>
      </c>
      <c r="F79" s="3" t="s">
        <v>538</v>
      </c>
      <c r="G79" s="3">
        <v>7</v>
      </c>
      <c r="H79" s="3">
        <v>0</v>
      </c>
      <c r="I79" s="3">
        <v>7</v>
      </c>
      <c r="J79" s="3">
        <v>0</v>
      </c>
      <c r="K79" s="3">
        <v>0</v>
      </c>
      <c r="L79" s="3">
        <v>0</v>
      </c>
      <c r="M79" s="3">
        <v>0</v>
      </c>
      <c r="N79" s="3" t="s">
        <v>539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540</v>
      </c>
      <c r="X79" s="3">
        <v>19.99</v>
      </c>
      <c r="Y79" s="3">
        <v>19.99</v>
      </c>
      <c r="Z79" s="3">
        <v>19.99</v>
      </c>
      <c r="AA79" s="3">
        <v>0</v>
      </c>
      <c r="AB79" s="3" t="s">
        <v>541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  <c r="AI79" s="3">
        <v>0.946386</v>
      </c>
      <c r="AJ79" s="3" t="s">
        <v>542</v>
      </c>
    </row>
    <row r="80" spans="1:36">
      <c r="A80" s="4">
        <v>43336</v>
      </c>
      <c r="B80" s="3" t="s">
        <v>797</v>
      </c>
      <c r="C80" s="3" t="s">
        <v>798</v>
      </c>
      <c r="D80" s="3" t="s">
        <v>799</v>
      </c>
      <c r="E80" s="3" t="s">
        <v>800</v>
      </c>
      <c r="F80" s="3" t="s">
        <v>538</v>
      </c>
      <c r="G80" s="3">
        <v>3</v>
      </c>
      <c r="H80" s="3">
        <v>0</v>
      </c>
      <c r="I80" s="3">
        <v>0</v>
      </c>
      <c r="J80" s="3">
        <v>3</v>
      </c>
      <c r="K80" s="3">
        <v>0</v>
      </c>
      <c r="L80" s="3">
        <v>0</v>
      </c>
      <c r="M80" s="3">
        <v>0</v>
      </c>
      <c r="N80" s="3" t="s">
        <v>539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1</v>
      </c>
      <c r="W80" s="3" t="s">
        <v>540</v>
      </c>
      <c r="X80" s="3">
        <v>18.9</v>
      </c>
      <c r="Y80" s="3">
        <v>18.9</v>
      </c>
      <c r="Z80" s="3">
        <v>18.9</v>
      </c>
      <c r="AA80" s="3">
        <v>0</v>
      </c>
      <c r="AB80" s="3" t="s">
        <v>541</v>
      </c>
      <c r="AC80" s="3">
        <v>0</v>
      </c>
      <c r="AD80" s="3">
        <v>17.22</v>
      </c>
      <c r="AE80" s="3">
        <v>245</v>
      </c>
      <c r="AF80" s="3">
        <v>0</v>
      </c>
      <c r="AG80" s="3">
        <v>29.231161</v>
      </c>
      <c r="AH80" s="3">
        <v>0.307692307692307</v>
      </c>
      <c r="AI80" s="5">
        <v>0.000174</v>
      </c>
      <c r="AJ80" s="3" t="s">
        <v>548</v>
      </c>
    </row>
    <row r="81" spans="1:36">
      <c r="A81" s="4">
        <v>43336</v>
      </c>
      <c r="B81" s="3" t="s">
        <v>801</v>
      </c>
      <c r="C81" s="3" t="s">
        <v>802</v>
      </c>
      <c r="D81" s="3" t="s">
        <v>803</v>
      </c>
      <c r="E81" s="3" t="s">
        <v>804</v>
      </c>
      <c r="F81" s="3" t="s">
        <v>538</v>
      </c>
      <c r="G81" s="3">
        <v>12</v>
      </c>
      <c r="H81" s="3">
        <v>0</v>
      </c>
      <c r="I81" s="3">
        <v>12</v>
      </c>
      <c r="J81" s="3">
        <v>0</v>
      </c>
      <c r="K81" s="3">
        <v>0</v>
      </c>
      <c r="L81" s="3">
        <v>0</v>
      </c>
      <c r="M81" s="3">
        <v>0</v>
      </c>
      <c r="N81" s="3" t="s">
        <v>539</v>
      </c>
      <c r="O81" s="3">
        <v>0</v>
      </c>
      <c r="P81" s="3">
        <v>0</v>
      </c>
      <c r="Q81" s="3">
        <v>0</v>
      </c>
      <c r="R81" s="3">
        <v>0</v>
      </c>
      <c r="S81" s="3">
        <v>5</v>
      </c>
      <c r="T81" s="3">
        <v>10</v>
      </c>
      <c r="U81" s="3">
        <v>29</v>
      </c>
      <c r="V81" s="3">
        <v>31</v>
      </c>
      <c r="W81" s="3"/>
      <c r="X81" s="3">
        <v>13.99</v>
      </c>
      <c r="Y81" s="3">
        <v>13.99</v>
      </c>
      <c r="Z81" s="3">
        <v>13.99</v>
      </c>
      <c r="AA81" s="3">
        <v>0</v>
      </c>
      <c r="AB81" s="3" t="s">
        <v>547</v>
      </c>
      <c r="AC81" s="3">
        <v>12</v>
      </c>
      <c r="AD81" s="3">
        <v>13.99</v>
      </c>
      <c r="AE81" s="3">
        <v>0</v>
      </c>
      <c r="AF81" s="3">
        <v>0</v>
      </c>
      <c r="AG81" s="3">
        <v>0</v>
      </c>
      <c r="AH81" s="3">
        <v>3.02439024390243</v>
      </c>
      <c r="AI81" s="3">
        <v>0.923316</v>
      </c>
      <c r="AJ81" s="3" t="s">
        <v>596</v>
      </c>
    </row>
    <row r="82" spans="1:36">
      <c r="A82" s="4">
        <v>43336</v>
      </c>
      <c r="B82" s="3" t="s">
        <v>805</v>
      </c>
      <c r="C82" s="3" t="s">
        <v>806</v>
      </c>
      <c r="D82" s="3" t="s">
        <v>807</v>
      </c>
      <c r="E82" s="3" t="s">
        <v>808</v>
      </c>
      <c r="F82" s="3" t="s">
        <v>538</v>
      </c>
      <c r="G82" s="3">
        <v>6</v>
      </c>
      <c r="H82" s="3">
        <v>0</v>
      </c>
      <c r="I82" s="3">
        <v>0</v>
      </c>
      <c r="J82" s="3">
        <v>6</v>
      </c>
      <c r="K82" s="3">
        <v>0</v>
      </c>
      <c r="L82" s="3">
        <v>0</v>
      </c>
      <c r="M82" s="3">
        <v>0</v>
      </c>
      <c r="N82" s="3" t="s">
        <v>539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540</v>
      </c>
      <c r="X82" s="3">
        <v>9.99</v>
      </c>
      <c r="Y82" s="3">
        <v>9.99</v>
      </c>
      <c r="Z82" s="3">
        <v>9.99</v>
      </c>
      <c r="AA82" s="3">
        <v>0</v>
      </c>
      <c r="AB82" s="3" t="s">
        <v>541</v>
      </c>
      <c r="AC82" s="3">
        <v>0</v>
      </c>
      <c r="AD82" s="3">
        <v>7.99</v>
      </c>
      <c r="AE82" s="3">
        <v>63</v>
      </c>
      <c r="AF82" s="3">
        <v>0</v>
      </c>
      <c r="AG82" s="3">
        <v>26.623619</v>
      </c>
      <c r="AH82" s="3">
        <v>0</v>
      </c>
      <c r="AI82" s="3">
        <v>0.184998</v>
      </c>
      <c r="AJ82" s="3" t="s">
        <v>548</v>
      </c>
    </row>
    <row r="83" spans="1:36">
      <c r="A83" s="4">
        <v>43336</v>
      </c>
      <c r="B83" s="3" t="s">
        <v>809</v>
      </c>
      <c r="C83" s="3" t="s">
        <v>810</v>
      </c>
      <c r="D83" s="3" t="s">
        <v>811</v>
      </c>
      <c r="E83" s="3" t="s">
        <v>590</v>
      </c>
      <c r="F83" s="3" t="s">
        <v>538</v>
      </c>
      <c r="G83" s="3">
        <v>6</v>
      </c>
      <c r="H83" s="3">
        <v>0</v>
      </c>
      <c r="I83" s="3">
        <v>6</v>
      </c>
      <c r="J83" s="3">
        <v>0</v>
      </c>
      <c r="K83" s="3">
        <v>0</v>
      </c>
      <c r="L83" s="3">
        <v>0</v>
      </c>
      <c r="M83" s="3">
        <v>0</v>
      </c>
      <c r="N83" s="3" t="s">
        <v>539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 t="s">
        <v>540</v>
      </c>
      <c r="X83" s="3">
        <v>19.99</v>
      </c>
      <c r="Y83" s="3">
        <v>19.99</v>
      </c>
      <c r="Z83" s="3">
        <v>19.99</v>
      </c>
      <c r="AA83" s="3">
        <v>0</v>
      </c>
      <c r="AB83" s="3" t="s">
        <v>541</v>
      </c>
      <c r="AC83" s="3">
        <v>0</v>
      </c>
      <c r="AD83" s="3">
        <v>15.99</v>
      </c>
      <c r="AE83" s="3">
        <v>63</v>
      </c>
      <c r="AF83" s="3">
        <v>0</v>
      </c>
      <c r="AG83" s="3">
        <v>74.835874</v>
      </c>
      <c r="AH83" s="3">
        <v>0</v>
      </c>
      <c r="AI83" s="3">
        <v>0.644934</v>
      </c>
      <c r="AJ83" s="3" t="s">
        <v>542</v>
      </c>
    </row>
    <row r="84" spans="1:36">
      <c r="A84" s="4">
        <v>43336</v>
      </c>
      <c r="B84" s="3" t="s">
        <v>812</v>
      </c>
      <c r="C84" s="3" t="s">
        <v>813</v>
      </c>
      <c r="D84" s="3" t="s">
        <v>814</v>
      </c>
      <c r="E84" s="3" t="s">
        <v>815</v>
      </c>
      <c r="F84" s="3" t="s">
        <v>538</v>
      </c>
      <c r="G84" s="3">
        <v>3</v>
      </c>
      <c r="H84" s="3">
        <v>0</v>
      </c>
      <c r="I84" s="3">
        <v>3</v>
      </c>
      <c r="J84" s="3">
        <v>0</v>
      </c>
      <c r="K84" s="3">
        <v>0</v>
      </c>
      <c r="L84" s="3">
        <v>0</v>
      </c>
      <c r="M84" s="3">
        <v>0</v>
      </c>
      <c r="N84" s="3" t="s">
        <v>539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540</v>
      </c>
      <c r="X84" s="3">
        <v>22.99</v>
      </c>
      <c r="Y84" s="3">
        <v>22.99</v>
      </c>
      <c r="Z84" s="3">
        <v>22.99</v>
      </c>
      <c r="AA84" s="3">
        <v>0</v>
      </c>
      <c r="AB84" s="3" t="s">
        <v>541</v>
      </c>
      <c r="AC84" s="3">
        <v>0</v>
      </c>
      <c r="AD84" s="3">
        <v>0</v>
      </c>
      <c r="AE84" s="3">
        <v>0</v>
      </c>
      <c r="AF84" s="3">
        <v>0</v>
      </c>
      <c r="AG84" s="3">
        <v>0</v>
      </c>
      <c r="AH84" s="3">
        <v>0</v>
      </c>
      <c r="AI84" s="3">
        <v>0.460194</v>
      </c>
      <c r="AJ84" s="3" t="s">
        <v>542</v>
      </c>
    </row>
    <row r="85" spans="1:36">
      <c r="A85" s="4">
        <v>43336</v>
      </c>
      <c r="B85" s="3" t="s">
        <v>194</v>
      </c>
      <c r="C85" s="3" t="s">
        <v>195</v>
      </c>
      <c r="D85" s="3" t="s">
        <v>196</v>
      </c>
      <c r="E85" s="3" t="s">
        <v>197</v>
      </c>
      <c r="F85" s="3" t="s">
        <v>538</v>
      </c>
      <c r="G85" s="3">
        <v>229</v>
      </c>
      <c r="H85" s="3">
        <v>0</v>
      </c>
      <c r="I85" s="3">
        <v>229</v>
      </c>
      <c r="J85" s="3">
        <v>0</v>
      </c>
      <c r="K85" s="3">
        <v>0</v>
      </c>
      <c r="L85" s="3">
        <v>0</v>
      </c>
      <c r="M85" s="3">
        <v>0</v>
      </c>
      <c r="N85" s="3" t="s">
        <v>539</v>
      </c>
      <c r="O85" s="3">
        <v>0</v>
      </c>
      <c r="P85" s="3">
        <v>0</v>
      </c>
      <c r="Q85" s="3">
        <v>0</v>
      </c>
      <c r="R85" s="3">
        <v>0</v>
      </c>
      <c r="S85" s="3">
        <v>37</v>
      </c>
      <c r="T85" s="3">
        <v>149</v>
      </c>
      <c r="U85" s="3">
        <v>394</v>
      </c>
      <c r="V85" s="3">
        <v>556</v>
      </c>
      <c r="W85" s="3" t="s">
        <v>553</v>
      </c>
      <c r="X85" s="3">
        <v>22.99</v>
      </c>
      <c r="Y85" s="3">
        <v>22.99</v>
      </c>
      <c r="Z85" s="3">
        <v>22.99</v>
      </c>
      <c r="AA85" s="3">
        <v>0</v>
      </c>
      <c r="AB85" s="3" t="s">
        <v>547</v>
      </c>
      <c r="AC85" s="3">
        <v>215</v>
      </c>
      <c r="AD85" s="3">
        <v>22.99</v>
      </c>
      <c r="AE85" s="3">
        <v>0</v>
      </c>
      <c r="AF85" s="3">
        <v>0</v>
      </c>
      <c r="AG85" s="3">
        <v>0</v>
      </c>
      <c r="AH85" s="3">
        <v>3.35951661631419</v>
      </c>
      <c r="AI85" s="3">
        <v>7.189455</v>
      </c>
      <c r="AJ85" s="3" t="s">
        <v>596</v>
      </c>
    </row>
    <row r="86" spans="1:36">
      <c r="A86" s="4">
        <v>43336</v>
      </c>
      <c r="B86" s="3" t="s">
        <v>35</v>
      </c>
      <c r="C86" s="3" t="s">
        <v>36</v>
      </c>
      <c r="D86" s="3" t="s">
        <v>37</v>
      </c>
      <c r="E86" s="3" t="s">
        <v>19</v>
      </c>
      <c r="F86" s="3" t="s">
        <v>538</v>
      </c>
      <c r="G86" s="3">
        <v>9</v>
      </c>
      <c r="H86" s="3">
        <v>0</v>
      </c>
      <c r="I86" s="3">
        <v>9</v>
      </c>
      <c r="J86" s="3">
        <v>0</v>
      </c>
      <c r="K86" s="3">
        <v>0</v>
      </c>
      <c r="L86" s="3">
        <v>0</v>
      </c>
      <c r="M86" s="3">
        <v>0</v>
      </c>
      <c r="N86" s="3" t="s">
        <v>539</v>
      </c>
      <c r="O86" s="3">
        <v>0</v>
      </c>
      <c r="P86" s="3">
        <v>0</v>
      </c>
      <c r="Q86" s="3">
        <v>0</v>
      </c>
      <c r="R86" s="3">
        <v>0</v>
      </c>
      <c r="S86" s="3">
        <v>3</v>
      </c>
      <c r="T86" s="3">
        <v>6</v>
      </c>
      <c r="U86" s="3">
        <v>10</v>
      </c>
      <c r="V86" s="3">
        <v>10</v>
      </c>
      <c r="W86" s="3" t="s">
        <v>553</v>
      </c>
      <c r="X86" s="3">
        <v>15.99</v>
      </c>
      <c r="Y86" s="3">
        <v>15.99</v>
      </c>
      <c r="Z86" s="3">
        <v>15.99</v>
      </c>
      <c r="AA86" s="3">
        <v>0</v>
      </c>
      <c r="AB86" s="3" t="s">
        <v>547</v>
      </c>
      <c r="AC86" s="3">
        <v>10</v>
      </c>
      <c r="AD86" s="3">
        <v>15.99</v>
      </c>
      <c r="AE86" s="3">
        <v>0</v>
      </c>
      <c r="AF86" s="3">
        <v>0</v>
      </c>
      <c r="AG86" s="3">
        <v>0</v>
      </c>
      <c r="AH86" s="3">
        <v>0.833333333333333</v>
      </c>
      <c r="AI86" s="3">
        <v>0.597348</v>
      </c>
      <c r="AJ86" s="3" t="s">
        <v>596</v>
      </c>
    </row>
    <row r="87" spans="1:36">
      <c r="A87" s="4">
        <v>43336</v>
      </c>
      <c r="B87" s="3" t="s">
        <v>816</v>
      </c>
      <c r="C87" s="3" t="s">
        <v>817</v>
      </c>
      <c r="D87" s="3" t="s">
        <v>818</v>
      </c>
      <c r="E87" s="3" t="s">
        <v>819</v>
      </c>
      <c r="F87" s="3" t="s">
        <v>538</v>
      </c>
      <c r="G87" s="3">
        <v>2</v>
      </c>
      <c r="H87" s="3">
        <v>0</v>
      </c>
      <c r="I87" s="3">
        <v>2</v>
      </c>
      <c r="J87" s="3">
        <v>0</v>
      </c>
      <c r="K87" s="3">
        <v>0</v>
      </c>
      <c r="L87" s="3">
        <v>0</v>
      </c>
      <c r="M87" s="3">
        <v>0</v>
      </c>
      <c r="N87" s="3" t="s">
        <v>539</v>
      </c>
      <c r="O87" s="3">
        <v>0</v>
      </c>
      <c r="P87" s="3">
        <v>0</v>
      </c>
      <c r="Q87" s="3">
        <v>0</v>
      </c>
      <c r="R87" s="3">
        <v>0</v>
      </c>
      <c r="S87" s="3">
        <v>2</v>
      </c>
      <c r="T87" s="3">
        <v>8</v>
      </c>
      <c r="U87" s="3">
        <v>11</v>
      </c>
      <c r="V87" s="3">
        <v>12</v>
      </c>
      <c r="W87" s="3"/>
      <c r="X87" s="3">
        <v>9</v>
      </c>
      <c r="Y87" s="3">
        <v>9</v>
      </c>
      <c r="Z87" s="3">
        <v>9</v>
      </c>
      <c r="AA87" s="3">
        <v>0</v>
      </c>
      <c r="AB87" s="3" t="s">
        <v>547</v>
      </c>
      <c r="AC87" s="3">
        <v>1</v>
      </c>
      <c r="AD87" s="3">
        <v>9</v>
      </c>
      <c r="AE87" s="3">
        <v>0</v>
      </c>
      <c r="AF87" s="3">
        <v>0</v>
      </c>
      <c r="AG87" s="3">
        <v>0</v>
      </c>
      <c r="AH87" s="3">
        <v>2.76923076923076</v>
      </c>
      <c r="AI87" s="3">
        <v>0.055312</v>
      </c>
      <c r="AJ87" s="3" t="s">
        <v>542</v>
      </c>
    </row>
    <row r="88" spans="1:36">
      <c r="A88" s="4">
        <v>43336</v>
      </c>
      <c r="B88" s="3" t="s">
        <v>467</v>
      </c>
      <c r="C88" s="3" t="s">
        <v>468</v>
      </c>
      <c r="D88" s="3" t="s">
        <v>469</v>
      </c>
      <c r="E88" s="3" t="s">
        <v>470</v>
      </c>
      <c r="F88" s="3" t="s">
        <v>538</v>
      </c>
      <c r="G88" s="3">
        <v>164</v>
      </c>
      <c r="H88" s="3">
        <v>0</v>
      </c>
      <c r="I88" s="3">
        <v>164</v>
      </c>
      <c r="J88" s="3">
        <v>0</v>
      </c>
      <c r="K88" s="3">
        <v>0</v>
      </c>
      <c r="L88" s="3">
        <v>0</v>
      </c>
      <c r="M88" s="3">
        <v>0</v>
      </c>
      <c r="N88" s="3" t="s">
        <v>539</v>
      </c>
      <c r="O88" s="3">
        <v>0</v>
      </c>
      <c r="P88" s="3">
        <v>0</v>
      </c>
      <c r="Q88" s="3">
        <v>0</v>
      </c>
      <c r="R88" s="3">
        <v>0</v>
      </c>
      <c r="S88" s="3">
        <v>37</v>
      </c>
      <c r="T88" s="3">
        <v>180</v>
      </c>
      <c r="U88" s="3">
        <v>353</v>
      </c>
      <c r="V88" s="3">
        <v>498</v>
      </c>
      <c r="W88" s="3"/>
      <c r="X88" s="3">
        <v>9.99</v>
      </c>
      <c r="Y88" s="3">
        <v>9.99</v>
      </c>
      <c r="Z88" s="3">
        <v>9.99</v>
      </c>
      <c r="AA88" s="3">
        <v>0</v>
      </c>
      <c r="AB88" s="3" t="s">
        <v>547</v>
      </c>
      <c r="AC88" s="3">
        <v>147</v>
      </c>
      <c r="AD88" s="3">
        <v>9.99</v>
      </c>
      <c r="AE88" s="3">
        <v>0</v>
      </c>
      <c r="AF88" s="3">
        <v>0</v>
      </c>
      <c r="AG88" s="3">
        <v>0</v>
      </c>
      <c r="AH88" s="3">
        <v>6.24451410658307</v>
      </c>
      <c r="AI88" s="3">
        <v>10.093052</v>
      </c>
      <c r="AJ88" s="3" t="s">
        <v>548</v>
      </c>
    </row>
    <row r="89" spans="1:36">
      <c r="A89" s="4">
        <v>43336</v>
      </c>
      <c r="B89" s="3" t="s">
        <v>380</v>
      </c>
      <c r="C89" s="3" t="s">
        <v>381</v>
      </c>
      <c r="D89" s="3" t="s">
        <v>382</v>
      </c>
      <c r="E89" s="3" t="s">
        <v>383</v>
      </c>
      <c r="F89" s="3" t="s">
        <v>538</v>
      </c>
      <c r="G89" s="3">
        <v>79</v>
      </c>
      <c r="H89" s="3">
        <v>0</v>
      </c>
      <c r="I89" s="3">
        <v>79</v>
      </c>
      <c r="J89" s="3">
        <v>0</v>
      </c>
      <c r="K89" s="3">
        <v>0</v>
      </c>
      <c r="L89" s="3">
        <v>0</v>
      </c>
      <c r="M89" s="3">
        <v>0</v>
      </c>
      <c r="N89" s="3" t="s">
        <v>539</v>
      </c>
      <c r="O89" s="3">
        <v>0</v>
      </c>
      <c r="P89" s="3">
        <v>0</v>
      </c>
      <c r="Q89" s="3">
        <v>0</v>
      </c>
      <c r="R89" s="3">
        <v>0</v>
      </c>
      <c r="S89" s="3">
        <v>11</v>
      </c>
      <c r="T89" s="3">
        <v>20</v>
      </c>
      <c r="U89" s="3">
        <v>20</v>
      </c>
      <c r="V89" s="3">
        <v>20</v>
      </c>
      <c r="W89" s="3" t="s">
        <v>553</v>
      </c>
      <c r="X89" s="3">
        <v>27.99</v>
      </c>
      <c r="Y89" s="3">
        <v>27.99</v>
      </c>
      <c r="Z89" s="3">
        <v>27.99</v>
      </c>
      <c r="AA89" s="3">
        <v>0</v>
      </c>
      <c r="AB89" s="3" t="s">
        <v>562</v>
      </c>
      <c r="AC89" s="3">
        <v>12</v>
      </c>
      <c r="AD89" s="3">
        <v>25.87</v>
      </c>
      <c r="AE89" s="3">
        <v>252</v>
      </c>
      <c r="AF89" s="3">
        <v>0</v>
      </c>
      <c r="AG89" s="3">
        <v>1310.809814</v>
      </c>
      <c r="AH89" s="3">
        <v>0.25</v>
      </c>
      <c r="AI89" s="3">
        <v>2.48020499999999</v>
      </c>
      <c r="AJ89" s="3" t="s">
        <v>596</v>
      </c>
    </row>
    <row r="90" spans="1:36">
      <c r="A90" s="4">
        <v>43336</v>
      </c>
      <c r="B90" s="3" t="s">
        <v>820</v>
      </c>
      <c r="C90" s="3" t="s">
        <v>821</v>
      </c>
      <c r="D90" s="3" t="s">
        <v>822</v>
      </c>
      <c r="E90" s="3" t="s">
        <v>823</v>
      </c>
      <c r="F90" s="3" t="s">
        <v>538</v>
      </c>
      <c r="G90" s="3">
        <v>3</v>
      </c>
      <c r="H90" s="3">
        <v>0</v>
      </c>
      <c r="I90" s="3">
        <v>0</v>
      </c>
      <c r="J90" s="3">
        <v>0</v>
      </c>
      <c r="K90" s="3">
        <v>2</v>
      </c>
      <c r="L90" s="3">
        <v>1</v>
      </c>
      <c r="M90" s="3">
        <v>0</v>
      </c>
      <c r="N90" s="3" t="s">
        <v>539</v>
      </c>
      <c r="O90" s="3">
        <v>3</v>
      </c>
      <c r="P90" s="3">
        <v>1.44</v>
      </c>
      <c r="Q90" s="3">
        <v>0</v>
      </c>
      <c r="R90" s="3">
        <v>0</v>
      </c>
      <c r="S90" s="3">
        <v>1</v>
      </c>
      <c r="T90" s="3">
        <v>2</v>
      </c>
      <c r="U90" s="3">
        <v>4</v>
      </c>
      <c r="V90" s="3">
        <v>4</v>
      </c>
      <c r="W90" s="3"/>
      <c r="X90" s="3">
        <v>21.99</v>
      </c>
      <c r="Y90" s="3">
        <v>21.99</v>
      </c>
      <c r="Z90" s="3">
        <v>21.99</v>
      </c>
      <c r="AA90" s="3">
        <v>0</v>
      </c>
      <c r="AB90" s="3" t="s">
        <v>547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  <c r="AH90" s="3">
        <v>0.238805970149253</v>
      </c>
      <c r="AI90" s="3">
        <v>0.419415</v>
      </c>
      <c r="AJ90" s="3" t="s">
        <v>548</v>
      </c>
    </row>
    <row r="91" spans="1:36">
      <c r="A91" s="4">
        <v>43336</v>
      </c>
      <c r="B91" s="3" t="s">
        <v>824</v>
      </c>
      <c r="C91" s="3" t="s">
        <v>825</v>
      </c>
      <c r="D91" s="3" t="s">
        <v>826</v>
      </c>
      <c r="E91" s="3" t="s">
        <v>827</v>
      </c>
      <c r="F91" s="3" t="s">
        <v>538</v>
      </c>
      <c r="G91" s="3">
        <v>9</v>
      </c>
      <c r="H91" s="3">
        <v>0</v>
      </c>
      <c r="I91" s="3">
        <v>9</v>
      </c>
      <c r="J91" s="3">
        <v>0</v>
      </c>
      <c r="K91" s="3">
        <v>0</v>
      </c>
      <c r="L91" s="3">
        <v>0</v>
      </c>
      <c r="M91" s="3">
        <v>0</v>
      </c>
      <c r="N91" s="3" t="s">
        <v>539</v>
      </c>
      <c r="O91" s="3">
        <v>0</v>
      </c>
      <c r="P91" s="3">
        <v>0</v>
      </c>
      <c r="Q91" s="3">
        <v>0</v>
      </c>
      <c r="R91" s="3">
        <v>0</v>
      </c>
      <c r="S91" s="3">
        <v>1</v>
      </c>
      <c r="T91" s="3">
        <v>3</v>
      </c>
      <c r="U91" s="3">
        <v>6</v>
      </c>
      <c r="V91" s="3">
        <v>6</v>
      </c>
      <c r="W91" s="3"/>
      <c r="X91" s="3">
        <v>20</v>
      </c>
      <c r="Y91" s="3">
        <v>13.99</v>
      </c>
      <c r="Z91" s="3">
        <v>13.99</v>
      </c>
      <c r="AA91" s="3">
        <v>0</v>
      </c>
      <c r="AB91" s="3" t="s">
        <v>547</v>
      </c>
      <c r="AC91" s="3">
        <v>9</v>
      </c>
      <c r="AD91" s="3">
        <v>13.99</v>
      </c>
      <c r="AE91" s="3">
        <v>0</v>
      </c>
      <c r="AF91" s="3">
        <v>0</v>
      </c>
      <c r="AG91" s="3">
        <v>0</v>
      </c>
      <c r="AH91" s="3">
        <v>0.888888888888888</v>
      </c>
      <c r="AI91" s="3">
        <v>0.692487</v>
      </c>
      <c r="AJ91" s="3" t="s">
        <v>596</v>
      </c>
    </row>
    <row r="92" spans="1:36">
      <c r="A92" s="4">
        <v>43336</v>
      </c>
      <c r="B92" s="3" t="s">
        <v>828</v>
      </c>
      <c r="C92" s="3" t="s">
        <v>829</v>
      </c>
      <c r="D92" s="3" t="s">
        <v>830</v>
      </c>
      <c r="E92" s="3" t="s">
        <v>616</v>
      </c>
      <c r="F92" s="3" t="s">
        <v>538</v>
      </c>
      <c r="G92" s="3">
        <v>6</v>
      </c>
      <c r="H92" s="3">
        <v>0</v>
      </c>
      <c r="I92" s="3">
        <v>6</v>
      </c>
      <c r="J92" s="3">
        <v>0</v>
      </c>
      <c r="K92" s="3">
        <v>0</v>
      </c>
      <c r="L92" s="3">
        <v>0</v>
      </c>
      <c r="M92" s="3">
        <v>0</v>
      </c>
      <c r="N92" s="3" t="s">
        <v>539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540</v>
      </c>
      <c r="X92" s="3">
        <v>17.99</v>
      </c>
      <c r="Y92" s="3">
        <v>17.99</v>
      </c>
      <c r="Z92" s="3">
        <v>17.99</v>
      </c>
      <c r="AA92" s="3">
        <v>0</v>
      </c>
      <c r="AB92" s="3" t="s">
        <v>541</v>
      </c>
      <c r="AC92" s="3">
        <v>0</v>
      </c>
      <c r="AD92" s="3">
        <v>14.39</v>
      </c>
      <c r="AE92" s="3">
        <v>63</v>
      </c>
      <c r="AF92" s="3">
        <v>0</v>
      </c>
      <c r="AG92" s="3">
        <v>6.248103</v>
      </c>
      <c r="AH92" s="3">
        <v>0</v>
      </c>
      <c r="AI92" s="3">
        <v>0.669924</v>
      </c>
      <c r="AJ92" s="3" t="s">
        <v>542</v>
      </c>
    </row>
    <row r="93" spans="1:36">
      <c r="A93" s="4">
        <v>43336</v>
      </c>
      <c r="B93" s="3" t="s">
        <v>831</v>
      </c>
      <c r="C93" s="3" t="s">
        <v>832</v>
      </c>
      <c r="D93" s="3" t="s">
        <v>833</v>
      </c>
      <c r="E93" s="3" t="s">
        <v>552</v>
      </c>
      <c r="F93" s="3" t="s">
        <v>538</v>
      </c>
      <c r="G93" s="3">
        <v>3</v>
      </c>
      <c r="H93" s="3">
        <v>0</v>
      </c>
      <c r="I93" s="3">
        <v>3</v>
      </c>
      <c r="J93" s="3">
        <v>0</v>
      </c>
      <c r="K93" s="3">
        <v>0</v>
      </c>
      <c r="L93" s="3">
        <v>0</v>
      </c>
      <c r="M93" s="3">
        <v>0</v>
      </c>
      <c r="N93" s="3" t="s">
        <v>539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553</v>
      </c>
      <c r="X93" s="3">
        <v>17.9</v>
      </c>
      <c r="Y93" s="3">
        <v>17.9</v>
      </c>
      <c r="Z93" s="3">
        <v>17.9</v>
      </c>
      <c r="AA93" s="3">
        <v>0</v>
      </c>
      <c r="AB93" s="3" t="s">
        <v>547</v>
      </c>
      <c r="AC93" s="3">
        <v>3</v>
      </c>
      <c r="AD93" s="3">
        <v>17.9</v>
      </c>
      <c r="AE93" s="3">
        <v>0</v>
      </c>
      <c r="AF93" s="3">
        <v>0</v>
      </c>
      <c r="AG93" s="3">
        <v>0</v>
      </c>
      <c r="AH93" s="3">
        <v>0</v>
      </c>
      <c r="AI93" s="3">
        <v>0.327443999999999</v>
      </c>
      <c r="AJ93" s="3" t="s">
        <v>548</v>
      </c>
    </row>
    <row r="94" spans="1:36">
      <c r="A94" s="4">
        <v>43336</v>
      </c>
      <c r="B94" s="3" t="s">
        <v>834</v>
      </c>
      <c r="C94" s="3" t="s">
        <v>835</v>
      </c>
      <c r="D94" s="3" t="s">
        <v>836</v>
      </c>
      <c r="E94" s="3" t="s">
        <v>837</v>
      </c>
      <c r="F94" s="3" t="s">
        <v>538</v>
      </c>
      <c r="G94" s="3">
        <v>3</v>
      </c>
      <c r="H94" s="3">
        <v>0</v>
      </c>
      <c r="I94" s="3">
        <v>0</v>
      </c>
      <c r="J94" s="3">
        <v>0</v>
      </c>
      <c r="K94" s="3">
        <v>3</v>
      </c>
      <c r="L94" s="3">
        <v>0</v>
      </c>
      <c r="M94" s="3">
        <v>0</v>
      </c>
      <c r="N94" s="3" t="s">
        <v>539</v>
      </c>
      <c r="O94" s="3">
        <v>3</v>
      </c>
      <c r="P94" s="3">
        <v>0.33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553</v>
      </c>
      <c r="X94" s="3">
        <v>9.9</v>
      </c>
      <c r="Y94" s="3">
        <v>9.9</v>
      </c>
      <c r="Z94" s="3">
        <v>9.9</v>
      </c>
      <c r="AA94" s="3">
        <v>0</v>
      </c>
      <c r="AB94" s="3" t="s">
        <v>547</v>
      </c>
      <c r="AC94" s="3">
        <v>3</v>
      </c>
      <c r="AD94" s="3">
        <v>9.9</v>
      </c>
      <c r="AE94" s="3">
        <v>0</v>
      </c>
      <c r="AF94" s="3">
        <v>0</v>
      </c>
      <c r="AG94" s="3">
        <v>0</v>
      </c>
      <c r="AH94" s="3">
        <v>0</v>
      </c>
      <c r="AI94" s="3">
        <v>0.094401</v>
      </c>
      <c r="AJ94" s="3" t="s">
        <v>548</v>
      </c>
    </row>
    <row r="95" spans="1:36">
      <c r="A95" s="4">
        <v>43336</v>
      </c>
      <c r="B95" s="3" t="s">
        <v>838</v>
      </c>
      <c r="C95" s="3" t="s">
        <v>839</v>
      </c>
      <c r="D95" s="3" t="s">
        <v>840</v>
      </c>
      <c r="E95" s="3" t="s">
        <v>841</v>
      </c>
      <c r="F95" s="3" t="s">
        <v>538</v>
      </c>
      <c r="G95" s="3">
        <v>3</v>
      </c>
      <c r="H95" s="3">
        <v>0</v>
      </c>
      <c r="I95" s="3">
        <v>0</v>
      </c>
      <c r="J95" s="3">
        <v>0</v>
      </c>
      <c r="K95" s="3">
        <v>3</v>
      </c>
      <c r="L95" s="3">
        <v>0</v>
      </c>
      <c r="M95" s="3">
        <v>0</v>
      </c>
      <c r="N95" s="3" t="s">
        <v>539</v>
      </c>
      <c r="O95" s="3">
        <v>3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540</v>
      </c>
      <c r="X95" s="3">
        <v>19.99</v>
      </c>
      <c r="Y95" s="3">
        <v>19.99</v>
      </c>
      <c r="Z95" s="3">
        <v>19.99</v>
      </c>
      <c r="AA95" s="3">
        <v>0</v>
      </c>
      <c r="AB95" s="3" t="s">
        <v>562</v>
      </c>
      <c r="AC95" s="3">
        <v>0</v>
      </c>
      <c r="AD95" s="3">
        <v>15.99</v>
      </c>
      <c r="AE95" s="3">
        <v>63</v>
      </c>
      <c r="AF95" s="3">
        <v>0</v>
      </c>
      <c r="AG95" s="3">
        <v>3.494679</v>
      </c>
      <c r="AH95" s="3">
        <v>0</v>
      </c>
      <c r="AI95" s="5">
        <v>0.000174</v>
      </c>
      <c r="AJ95" s="3" t="s">
        <v>548</v>
      </c>
    </row>
    <row r="96" spans="1:36">
      <c r="A96" s="4">
        <v>43336</v>
      </c>
      <c r="B96" s="3" t="s">
        <v>842</v>
      </c>
      <c r="C96" s="3" t="s">
        <v>843</v>
      </c>
      <c r="D96" s="3" t="s">
        <v>844</v>
      </c>
      <c r="E96" s="3" t="s">
        <v>845</v>
      </c>
      <c r="F96" s="3" t="s">
        <v>538</v>
      </c>
      <c r="G96" s="3">
        <v>6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6</v>
      </c>
      <c r="N96" s="3" t="s">
        <v>539</v>
      </c>
      <c r="O96" s="3">
        <v>0</v>
      </c>
      <c r="P96" s="3">
        <v>0</v>
      </c>
      <c r="Q96" s="3">
        <v>6</v>
      </c>
      <c r="R96" s="3">
        <v>3</v>
      </c>
      <c r="S96" s="3">
        <v>0</v>
      </c>
      <c r="T96" s="3">
        <v>0</v>
      </c>
      <c r="U96" s="3">
        <v>0</v>
      </c>
      <c r="V96" s="3">
        <v>0</v>
      </c>
      <c r="W96" s="3" t="s">
        <v>540</v>
      </c>
      <c r="X96" s="3">
        <v>15.9</v>
      </c>
      <c r="Y96" s="3">
        <v>15.9</v>
      </c>
      <c r="Z96" s="3">
        <v>15.9</v>
      </c>
      <c r="AA96" s="3">
        <v>0</v>
      </c>
      <c r="AB96" s="3" t="s">
        <v>541</v>
      </c>
      <c r="AC96" s="3">
        <v>0</v>
      </c>
      <c r="AD96" s="3">
        <v>13.1</v>
      </c>
      <c r="AE96" s="3">
        <v>364</v>
      </c>
      <c r="AF96" s="3">
        <v>0</v>
      </c>
      <c r="AG96" s="3">
        <v>38.902811</v>
      </c>
      <c r="AH96" s="3">
        <v>0</v>
      </c>
      <c r="AI96" s="5">
        <v>0.000348</v>
      </c>
      <c r="AJ96" s="3" t="s">
        <v>548</v>
      </c>
    </row>
    <row r="97" spans="1:36">
      <c r="A97" s="4">
        <v>43336</v>
      </c>
      <c r="B97" s="3" t="s">
        <v>846</v>
      </c>
      <c r="C97" s="3" t="s">
        <v>847</v>
      </c>
      <c r="D97" s="3" t="s">
        <v>848</v>
      </c>
      <c r="E97" s="3" t="s">
        <v>849</v>
      </c>
      <c r="F97" s="3" t="s">
        <v>538</v>
      </c>
      <c r="G97" s="3">
        <v>6</v>
      </c>
      <c r="H97" s="3">
        <v>0</v>
      </c>
      <c r="I97" s="3">
        <v>6</v>
      </c>
      <c r="J97" s="3">
        <v>0</v>
      </c>
      <c r="K97" s="3">
        <v>0</v>
      </c>
      <c r="L97" s="3">
        <v>0</v>
      </c>
      <c r="M97" s="3">
        <v>0</v>
      </c>
      <c r="N97" s="3" t="s">
        <v>539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540</v>
      </c>
      <c r="X97" s="3">
        <v>17.99</v>
      </c>
      <c r="Y97" s="3">
        <v>17.99</v>
      </c>
      <c r="Z97" s="3">
        <v>17.99</v>
      </c>
      <c r="AA97" s="3">
        <v>0</v>
      </c>
      <c r="AB97" s="3" t="s">
        <v>562</v>
      </c>
      <c r="AC97" s="3">
        <v>0</v>
      </c>
      <c r="AD97" s="3">
        <v>12.79</v>
      </c>
      <c r="AE97" s="3">
        <v>63</v>
      </c>
      <c r="AF97" s="3">
        <v>0</v>
      </c>
      <c r="AG97" s="3">
        <v>5.553528</v>
      </c>
      <c r="AH97" s="3">
        <v>0</v>
      </c>
      <c r="AI97" s="3">
        <v>0.71775</v>
      </c>
      <c r="AJ97" s="3" t="s">
        <v>542</v>
      </c>
    </row>
    <row r="98" spans="1:36">
      <c r="A98" s="4">
        <v>43336</v>
      </c>
      <c r="B98" s="3" t="s">
        <v>850</v>
      </c>
      <c r="C98" s="3" t="s">
        <v>851</v>
      </c>
      <c r="D98" s="3" t="s">
        <v>852</v>
      </c>
      <c r="E98" s="3" t="s">
        <v>853</v>
      </c>
      <c r="F98" s="3" t="s">
        <v>538</v>
      </c>
      <c r="G98" s="3">
        <v>1</v>
      </c>
      <c r="H98" s="3">
        <v>0</v>
      </c>
      <c r="I98" s="3">
        <v>0</v>
      </c>
      <c r="J98" s="3">
        <v>0</v>
      </c>
      <c r="K98" s="3">
        <v>0</v>
      </c>
      <c r="L98" s="3">
        <v>1</v>
      </c>
      <c r="M98" s="3">
        <v>0</v>
      </c>
      <c r="N98" s="3" t="s">
        <v>539</v>
      </c>
      <c r="O98" s="3">
        <v>1</v>
      </c>
      <c r="P98" s="3">
        <v>0.05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/>
      <c r="X98" s="3"/>
      <c r="Y98" s="3"/>
      <c r="Z98" s="3">
        <v>-1</v>
      </c>
      <c r="AA98" s="3">
        <v>-1</v>
      </c>
      <c r="AB98" s="3" t="s">
        <v>595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0</v>
      </c>
      <c r="AI98" s="3">
        <v>0.014323</v>
      </c>
      <c r="AJ98" s="3" t="s">
        <v>548</v>
      </c>
    </row>
    <row r="99" spans="1:36">
      <c r="A99" s="4">
        <v>43336</v>
      </c>
      <c r="B99" s="3" t="s">
        <v>854</v>
      </c>
      <c r="C99" s="3" t="s">
        <v>855</v>
      </c>
      <c r="D99" s="3" t="s">
        <v>856</v>
      </c>
      <c r="E99" s="3" t="s">
        <v>582</v>
      </c>
      <c r="F99" s="3" t="s">
        <v>538</v>
      </c>
      <c r="G99" s="3">
        <v>4</v>
      </c>
      <c r="H99" s="3">
        <v>0</v>
      </c>
      <c r="I99" s="3">
        <v>0</v>
      </c>
      <c r="J99" s="3">
        <v>4</v>
      </c>
      <c r="K99" s="3">
        <v>0</v>
      </c>
      <c r="L99" s="3">
        <v>0</v>
      </c>
      <c r="M99" s="3">
        <v>0</v>
      </c>
      <c r="N99" s="3" t="s">
        <v>539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540</v>
      </c>
      <c r="X99" s="3">
        <v>9.98</v>
      </c>
      <c r="Y99" s="3">
        <v>9.98</v>
      </c>
      <c r="Z99" s="3">
        <v>9.98</v>
      </c>
      <c r="AA99" s="3">
        <v>0</v>
      </c>
      <c r="AB99" s="3" t="s">
        <v>541</v>
      </c>
      <c r="AC99" s="3">
        <v>0</v>
      </c>
      <c r="AD99" s="3">
        <v>7.98</v>
      </c>
      <c r="AE99" s="3">
        <v>63</v>
      </c>
      <c r="AF99" s="3">
        <v>0</v>
      </c>
      <c r="AG99" s="3">
        <v>2.339591</v>
      </c>
      <c r="AH99" s="3">
        <v>0</v>
      </c>
      <c r="AI99" s="5">
        <v>0.000232</v>
      </c>
      <c r="AJ99" s="3" t="s">
        <v>548</v>
      </c>
    </row>
    <row r="100" spans="1:36">
      <c r="A100" s="4">
        <v>43336</v>
      </c>
      <c r="B100" s="3" t="s">
        <v>857</v>
      </c>
      <c r="C100" s="3" t="s">
        <v>858</v>
      </c>
      <c r="D100" s="3" t="s">
        <v>859</v>
      </c>
      <c r="E100" s="3" t="s">
        <v>582</v>
      </c>
      <c r="F100" s="3" t="s">
        <v>538</v>
      </c>
      <c r="G100" s="3">
        <v>4</v>
      </c>
      <c r="H100" s="3">
        <v>0</v>
      </c>
      <c r="I100" s="3">
        <v>0</v>
      </c>
      <c r="J100" s="3">
        <v>4</v>
      </c>
      <c r="K100" s="3">
        <v>0</v>
      </c>
      <c r="L100" s="3">
        <v>0</v>
      </c>
      <c r="M100" s="3">
        <v>0</v>
      </c>
      <c r="N100" s="3" t="s">
        <v>539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540</v>
      </c>
      <c r="X100" s="3">
        <v>9.98</v>
      </c>
      <c r="Y100" s="3">
        <v>9.98</v>
      </c>
      <c r="Z100" s="3">
        <v>9.98</v>
      </c>
      <c r="AA100" s="3">
        <v>0</v>
      </c>
      <c r="AB100" s="3" t="s">
        <v>541</v>
      </c>
      <c r="AC100" s="3">
        <v>0</v>
      </c>
      <c r="AD100" s="3">
        <v>7.98</v>
      </c>
      <c r="AE100" s="3">
        <v>63</v>
      </c>
      <c r="AF100" s="3">
        <v>0</v>
      </c>
      <c r="AG100" s="3">
        <v>2.339591</v>
      </c>
      <c r="AH100" s="3">
        <v>0</v>
      </c>
      <c r="AI100" s="5">
        <v>0.000232</v>
      </c>
      <c r="AJ100" s="3" t="s">
        <v>548</v>
      </c>
    </row>
    <row r="101" spans="1:36">
      <c r="A101" s="4">
        <v>43336</v>
      </c>
      <c r="B101" s="3" t="s">
        <v>860</v>
      </c>
      <c r="C101" s="3" t="s">
        <v>861</v>
      </c>
      <c r="D101" s="3" t="s">
        <v>862</v>
      </c>
      <c r="E101" s="3" t="s">
        <v>863</v>
      </c>
      <c r="F101" s="3" t="s">
        <v>538</v>
      </c>
      <c r="G101" s="3">
        <v>7</v>
      </c>
      <c r="H101" s="3">
        <v>0</v>
      </c>
      <c r="I101" s="3">
        <v>0</v>
      </c>
      <c r="J101" s="3">
        <v>0</v>
      </c>
      <c r="K101" s="3">
        <v>0</v>
      </c>
      <c r="L101" s="3">
        <v>1</v>
      </c>
      <c r="M101" s="3">
        <v>6</v>
      </c>
      <c r="N101" s="3" t="s">
        <v>539</v>
      </c>
      <c r="O101" s="3">
        <v>1</v>
      </c>
      <c r="P101" s="3">
        <v>0.05</v>
      </c>
      <c r="Q101" s="3">
        <v>6</v>
      </c>
      <c r="R101" s="3">
        <v>3</v>
      </c>
      <c r="S101" s="3">
        <v>0</v>
      </c>
      <c r="T101" s="3">
        <v>0</v>
      </c>
      <c r="U101" s="3">
        <v>0</v>
      </c>
      <c r="V101" s="3">
        <v>0</v>
      </c>
      <c r="W101" s="3" t="s">
        <v>540</v>
      </c>
      <c r="X101" s="3">
        <v>27.9</v>
      </c>
      <c r="Y101" s="3">
        <v>27.9</v>
      </c>
      <c r="Z101" s="3">
        <v>27.9</v>
      </c>
      <c r="AA101" s="3">
        <v>0</v>
      </c>
      <c r="AB101" s="3" t="s">
        <v>562</v>
      </c>
      <c r="AC101" s="3">
        <v>0</v>
      </c>
      <c r="AD101" s="3">
        <v>22.78</v>
      </c>
      <c r="AE101" s="3">
        <v>364</v>
      </c>
      <c r="AF101" s="3">
        <v>0</v>
      </c>
      <c r="AG101" s="3">
        <v>94.965308</v>
      </c>
      <c r="AH101" s="3">
        <v>0</v>
      </c>
      <c r="AI101" s="3">
        <v>0.098882</v>
      </c>
      <c r="AJ101" s="3" t="s">
        <v>548</v>
      </c>
    </row>
    <row r="102" spans="1:36">
      <c r="A102" s="4">
        <v>43336</v>
      </c>
      <c r="B102" s="3" t="s">
        <v>439</v>
      </c>
      <c r="C102" s="3" t="s">
        <v>440</v>
      </c>
      <c r="D102" s="3" t="s">
        <v>441</v>
      </c>
      <c r="E102" s="3" t="s">
        <v>442</v>
      </c>
      <c r="F102" s="3" t="s">
        <v>538</v>
      </c>
      <c r="G102" s="3">
        <v>116</v>
      </c>
      <c r="H102" s="3">
        <v>0</v>
      </c>
      <c r="I102" s="3">
        <v>116</v>
      </c>
      <c r="J102" s="3">
        <v>0</v>
      </c>
      <c r="K102" s="3">
        <v>0</v>
      </c>
      <c r="L102" s="3">
        <v>0</v>
      </c>
      <c r="M102" s="3">
        <v>0</v>
      </c>
      <c r="N102" s="3" t="s">
        <v>539</v>
      </c>
      <c r="O102" s="3">
        <v>0</v>
      </c>
      <c r="P102" s="3">
        <v>0</v>
      </c>
      <c r="Q102" s="3">
        <v>0</v>
      </c>
      <c r="R102" s="3">
        <v>0</v>
      </c>
      <c r="S102" s="3">
        <v>33</v>
      </c>
      <c r="T102" s="3">
        <v>158</v>
      </c>
      <c r="U102" s="3">
        <v>231</v>
      </c>
      <c r="V102" s="3">
        <v>317</v>
      </c>
      <c r="W102" s="3"/>
      <c r="X102" s="3">
        <v>49.99</v>
      </c>
      <c r="Y102" s="3">
        <v>22.9</v>
      </c>
      <c r="Z102" s="3">
        <v>22.9</v>
      </c>
      <c r="AA102" s="3">
        <v>0</v>
      </c>
      <c r="AB102" s="3" t="s">
        <v>547</v>
      </c>
      <c r="AC102" s="3">
        <v>37</v>
      </c>
      <c r="AD102" s="3">
        <v>22.9</v>
      </c>
      <c r="AE102" s="3">
        <v>0</v>
      </c>
      <c r="AF102" s="3">
        <v>0</v>
      </c>
      <c r="AG102" s="3">
        <v>0</v>
      </c>
      <c r="AH102" s="3">
        <v>2.9835294117647</v>
      </c>
      <c r="AI102" s="3">
        <v>10.385016</v>
      </c>
      <c r="AJ102" s="3" t="s">
        <v>548</v>
      </c>
    </row>
    <row r="103" spans="1:36">
      <c r="A103" s="4">
        <v>43336</v>
      </c>
      <c r="B103" s="3" t="s">
        <v>864</v>
      </c>
      <c r="C103" s="3" t="s">
        <v>865</v>
      </c>
      <c r="D103" s="3" t="s">
        <v>866</v>
      </c>
      <c r="E103" s="3" t="s">
        <v>403</v>
      </c>
      <c r="F103" s="3" t="s">
        <v>538</v>
      </c>
      <c r="G103" s="3">
        <v>4</v>
      </c>
      <c r="H103" s="3">
        <v>0</v>
      </c>
      <c r="I103" s="3">
        <v>0</v>
      </c>
      <c r="J103" s="3">
        <v>0</v>
      </c>
      <c r="K103" s="3">
        <v>4</v>
      </c>
      <c r="L103" s="3">
        <v>0</v>
      </c>
      <c r="M103" s="3">
        <v>0</v>
      </c>
      <c r="N103" s="3" t="s">
        <v>539</v>
      </c>
      <c r="O103" s="3">
        <v>4</v>
      </c>
      <c r="P103" s="3">
        <v>0.81</v>
      </c>
      <c r="Q103" s="3">
        <v>0</v>
      </c>
      <c r="R103" s="3">
        <v>0</v>
      </c>
      <c r="S103" s="3">
        <v>1</v>
      </c>
      <c r="T103" s="3">
        <v>2</v>
      </c>
      <c r="U103" s="3">
        <v>3</v>
      </c>
      <c r="V103" s="3">
        <v>5</v>
      </c>
      <c r="W103" s="3" t="s">
        <v>553</v>
      </c>
      <c r="X103" s="3">
        <v>13.99</v>
      </c>
      <c r="Y103" s="3">
        <v>13.99</v>
      </c>
      <c r="Z103" s="3">
        <v>13.99</v>
      </c>
      <c r="AA103" s="3">
        <v>0</v>
      </c>
      <c r="AB103" s="3" t="s">
        <v>547</v>
      </c>
      <c r="AC103" s="3">
        <v>5</v>
      </c>
      <c r="AD103" s="3">
        <v>13.99</v>
      </c>
      <c r="AE103" s="3">
        <v>0</v>
      </c>
      <c r="AF103" s="3">
        <v>0</v>
      </c>
      <c r="AG103" s="3">
        <v>0</v>
      </c>
      <c r="AH103" s="3">
        <v>0.769230769230769</v>
      </c>
      <c r="AI103" s="3">
        <v>0.233876</v>
      </c>
      <c r="AJ103" s="3" t="s">
        <v>596</v>
      </c>
    </row>
    <row r="104" spans="1:36">
      <c r="A104" s="4">
        <v>43336</v>
      </c>
      <c r="B104" s="3" t="s">
        <v>867</v>
      </c>
      <c r="C104" s="3" t="s">
        <v>868</v>
      </c>
      <c r="D104" s="3" t="s">
        <v>869</v>
      </c>
      <c r="E104" s="3" t="s">
        <v>870</v>
      </c>
      <c r="F104" s="3" t="s">
        <v>538</v>
      </c>
      <c r="G104" s="3">
        <v>3</v>
      </c>
      <c r="H104" s="3">
        <v>0</v>
      </c>
      <c r="I104" s="3">
        <v>3</v>
      </c>
      <c r="J104" s="3">
        <v>0</v>
      </c>
      <c r="K104" s="3">
        <v>0</v>
      </c>
      <c r="L104" s="3">
        <v>0</v>
      </c>
      <c r="M104" s="3">
        <v>0</v>
      </c>
      <c r="N104" s="3" t="s">
        <v>539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2</v>
      </c>
      <c r="U104" s="3">
        <v>2</v>
      </c>
      <c r="V104" s="3">
        <v>2</v>
      </c>
      <c r="W104" s="3"/>
      <c r="X104" s="3">
        <v>18.99</v>
      </c>
      <c r="Y104" s="3">
        <v>18.99</v>
      </c>
      <c r="Z104" s="3">
        <v>18.99</v>
      </c>
      <c r="AA104" s="3">
        <v>0</v>
      </c>
      <c r="AB104" s="3" t="s">
        <v>547</v>
      </c>
      <c r="AC104" s="3">
        <v>3</v>
      </c>
      <c r="AD104" s="3">
        <v>18.99</v>
      </c>
      <c r="AE104" s="3">
        <v>0</v>
      </c>
      <c r="AF104" s="3">
        <v>0</v>
      </c>
      <c r="AG104" s="3">
        <v>0</v>
      </c>
      <c r="AH104" s="3">
        <v>0.666666666666666</v>
      </c>
      <c r="AI104" s="3">
        <v>0.567468</v>
      </c>
      <c r="AJ104" s="3" t="s">
        <v>548</v>
      </c>
    </row>
    <row r="105" spans="1:36">
      <c r="A105" s="4">
        <v>43336</v>
      </c>
      <c r="B105" s="3" t="s">
        <v>871</v>
      </c>
      <c r="C105" s="3" t="s">
        <v>872</v>
      </c>
      <c r="D105" s="3" t="s">
        <v>873</v>
      </c>
      <c r="E105" s="3" t="s">
        <v>612</v>
      </c>
      <c r="F105" s="3" t="s">
        <v>538</v>
      </c>
      <c r="G105" s="3">
        <v>4</v>
      </c>
      <c r="H105" s="3">
        <v>0</v>
      </c>
      <c r="I105" s="3">
        <v>4</v>
      </c>
      <c r="J105" s="3">
        <v>0</v>
      </c>
      <c r="K105" s="3">
        <v>0</v>
      </c>
      <c r="L105" s="3">
        <v>0</v>
      </c>
      <c r="M105" s="3">
        <v>0</v>
      </c>
      <c r="N105" s="3" t="s">
        <v>539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1</v>
      </c>
      <c r="U105" s="3">
        <v>1</v>
      </c>
      <c r="V105" s="3">
        <v>1</v>
      </c>
      <c r="W105" s="3" t="s">
        <v>540</v>
      </c>
      <c r="X105" s="3">
        <v>15.99</v>
      </c>
      <c r="Y105" s="3">
        <v>15.99</v>
      </c>
      <c r="Z105" s="3">
        <v>15.99</v>
      </c>
      <c r="AA105" s="3">
        <v>0</v>
      </c>
      <c r="AB105" s="3" t="s">
        <v>651</v>
      </c>
      <c r="AC105" s="3">
        <v>4</v>
      </c>
      <c r="AD105" s="3">
        <v>15.99</v>
      </c>
      <c r="AE105" s="3">
        <v>0</v>
      </c>
      <c r="AF105" s="3">
        <v>0</v>
      </c>
      <c r="AG105" s="3">
        <v>0</v>
      </c>
      <c r="AH105" s="3">
        <v>0.5</v>
      </c>
      <c r="AI105" s="3">
        <v>0.665388</v>
      </c>
      <c r="AJ105" s="3" t="s">
        <v>542</v>
      </c>
    </row>
    <row r="106" spans="1:36">
      <c r="A106" s="4">
        <v>43336</v>
      </c>
      <c r="B106" s="3" t="s">
        <v>874</v>
      </c>
      <c r="C106" s="3" t="s">
        <v>875</v>
      </c>
      <c r="D106" s="3" t="s">
        <v>876</v>
      </c>
      <c r="E106" s="3" t="s">
        <v>877</v>
      </c>
      <c r="F106" s="3" t="s">
        <v>538</v>
      </c>
      <c r="G106" s="3">
        <v>3</v>
      </c>
      <c r="H106" s="3">
        <v>0</v>
      </c>
      <c r="I106" s="3">
        <v>0</v>
      </c>
      <c r="J106" s="3">
        <v>0</v>
      </c>
      <c r="K106" s="3">
        <v>0</v>
      </c>
      <c r="L106" s="3">
        <v>3</v>
      </c>
      <c r="M106" s="3">
        <v>0</v>
      </c>
      <c r="N106" s="3" t="s">
        <v>539</v>
      </c>
      <c r="O106" s="3">
        <v>0</v>
      </c>
      <c r="P106" s="3">
        <v>0</v>
      </c>
      <c r="Q106" s="3">
        <v>3</v>
      </c>
      <c r="R106" s="3">
        <v>4.26</v>
      </c>
      <c r="S106" s="3">
        <v>0</v>
      </c>
      <c r="T106" s="3">
        <v>1</v>
      </c>
      <c r="U106" s="3">
        <v>2</v>
      </c>
      <c r="V106" s="3">
        <v>3</v>
      </c>
      <c r="W106" s="3"/>
      <c r="X106" s="3">
        <v>29.31</v>
      </c>
      <c r="Y106" s="3">
        <v>29.31</v>
      </c>
      <c r="Z106" s="3">
        <v>29.31</v>
      </c>
      <c r="AA106" s="3">
        <v>0</v>
      </c>
      <c r="AB106" s="3" t="s">
        <v>547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0.25</v>
      </c>
      <c r="AI106" s="3">
        <v>0.617712</v>
      </c>
      <c r="AJ106" s="3" t="s">
        <v>548</v>
      </c>
    </row>
    <row r="107" spans="1:36">
      <c r="A107" s="4">
        <v>43336</v>
      </c>
      <c r="B107" s="3" t="s">
        <v>878</v>
      </c>
      <c r="C107" s="3" t="s">
        <v>879</v>
      </c>
      <c r="D107" s="3" t="s">
        <v>880</v>
      </c>
      <c r="E107" s="3" t="s">
        <v>570</v>
      </c>
      <c r="F107" s="3" t="s">
        <v>538</v>
      </c>
      <c r="G107" s="3">
        <v>8</v>
      </c>
      <c r="H107" s="3">
        <v>0</v>
      </c>
      <c r="I107" s="3">
        <v>8</v>
      </c>
      <c r="J107" s="3">
        <v>0</v>
      </c>
      <c r="K107" s="3">
        <v>0</v>
      </c>
      <c r="L107" s="3">
        <v>0</v>
      </c>
      <c r="M107" s="3">
        <v>0</v>
      </c>
      <c r="N107" s="3" t="s">
        <v>539</v>
      </c>
      <c r="O107" s="3">
        <v>0</v>
      </c>
      <c r="P107" s="3">
        <v>0</v>
      </c>
      <c r="Q107" s="3">
        <v>0</v>
      </c>
      <c r="R107" s="3">
        <v>0</v>
      </c>
      <c r="S107" s="3">
        <v>1</v>
      </c>
      <c r="T107" s="3">
        <v>5</v>
      </c>
      <c r="U107" s="3">
        <v>10</v>
      </c>
      <c r="V107" s="3">
        <v>12</v>
      </c>
      <c r="W107" s="3"/>
      <c r="X107" s="3">
        <v>9</v>
      </c>
      <c r="Y107" s="3">
        <v>9</v>
      </c>
      <c r="Z107" s="3">
        <v>9</v>
      </c>
      <c r="AA107" s="3">
        <v>0</v>
      </c>
      <c r="AB107" s="3" t="s">
        <v>547</v>
      </c>
      <c r="AC107" s="3">
        <v>6</v>
      </c>
      <c r="AD107" s="3">
        <v>9</v>
      </c>
      <c r="AE107" s="3">
        <v>0</v>
      </c>
      <c r="AF107" s="3">
        <v>0</v>
      </c>
      <c r="AG107" s="3">
        <v>0</v>
      </c>
      <c r="AH107" s="3">
        <v>1.89473684210526</v>
      </c>
      <c r="AI107" s="3">
        <v>0.216944</v>
      </c>
      <c r="AJ107" s="3" t="s">
        <v>542</v>
      </c>
    </row>
    <row r="108" spans="1:36">
      <c r="A108" s="4">
        <v>43336</v>
      </c>
      <c r="B108" s="3" t="s">
        <v>881</v>
      </c>
      <c r="C108" s="3" t="s">
        <v>882</v>
      </c>
      <c r="D108" s="3" t="s">
        <v>883</v>
      </c>
      <c r="E108" s="3" t="s">
        <v>884</v>
      </c>
      <c r="F108" s="3" t="s">
        <v>538</v>
      </c>
      <c r="G108" s="3">
        <v>4</v>
      </c>
      <c r="H108" s="3">
        <v>0</v>
      </c>
      <c r="I108" s="3">
        <v>3</v>
      </c>
      <c r="J108" s="3">
        <v>0</v>
      </c>
      <c r="K108" s="3">
        <v>1</v>
      </c>
      <c r="L108" s="3">
        <v>0</v>
      </c>
      <c r="M108" s="3">
        <v>0</v>
      </c>
      <c r="N108" s="3" t="s">
        <v>539</v>
      </c>
      <c r="O108" s="3">
        <v>1</v>
      </c>
      <c r="P108" s="3">
        <v>0.1</v>
      </c>
      <c r="Q108" s="3">
        <v>0</v>
      </c>
      <c r="R108" s="3">
        <v>0</v>
      </c>
      <c r="S108" s="3">
        <v>1</v>
      </c>
      <c r="T108" s="3">
        <v>12</v>
      </c>
      <c r="U108" s="3">
        <v>12</v>
      </c>
      <c r="V108" s="3">
        <v>13</v>
      </c>
      <c r="W108" s="3"/>
      <c r="X108" s="3">
        <v>9.9</v>
      </c>
      <c r="Y108" s="3">
        <v>9.9</v>
      </c>
      <c r="Z108" s="3">
        <v>9.9</v>
      </c>
      <c r="AA108" s="3">
        <v>0</v>
      </c>
      <c r="AB108" s="3" t="s">
        <v>547</v>
      </c>
      <c r="AC108" s="3">
        <v>4</v>
      </c>
      <c r="AD108" s="3">
        <v>9.9</v>
      </c>
      <c r="AE108" s="3">
        <v>0</v>
      </c>
      <c r="AF108" s="3">
        <v>0</v>
      </c>
      <c r="AG108" s="3">
        <v>0</v>
      </c>
      <c r="AH108" s="3">
        <v>1.15555555555555</v>
      </c>
      <c r="AI108" s="3">
        <v>0.121456</v>
      </c>
      <c r="AJ108" s="3" t="s">
        <v>548</v>
      </c>
    </row>
    <row r="109" spans="1:36">
      <c r="A109" s="4">
        <v>43336</v>
      </c>
      <c r="B109" s="3" t="s">
        <v>885</v>
      </c>
      <c r="C109" s="3" t="s">
        <v>886</v>
      </c>
      <c r="D109" s="3" t="s">
        <v>887</v>
      </c>
      <c r="E109" s="3" t="s">
        <v>612</v>
      </c>
      <c r="F109" s="3" t="s">
        <v>538</v>
      </c>
      <c r="G109" s="3">
        <v>6</v>
      </c>
      <c r="H109" s="3">
        <v>0</v>
      </c>
      <c r="I109" s="3">
        <v>6</v>
      </c>
      <c r="J109" s="3">
        <v>0</v>
      </c>
      <c r="K109" s="3">
        <v>0</v>
      </c>
      <c r="L109" s="3">
        <v>0</v>
      </c>
      <c r="M109" s="3">
        <v>0</v>
      </c>
      <c r="N109" s="3" t="s">
        <v>539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 t="s">
        <v>540</v>
      </c>
      <c r="X109" s="3">
        <v>22.99</v>
      </c>
      <c r="Y109" s="3">
        <v>22.99</v>
      </c>
      <c r="Z109" s="3">
        <v>22.99</v>
      </c>
      <c r="AA109" s="3">
        <v>0</v>
      </c>
      <c r="AB109" s="3" t="s">
        <v>541</v>
      </c>
      <c r="AC109" s="3">
        <v>0</v>
      </c>
      <c r="AD109" s="3">
        <v>0</v>
      </c>
      <c r="AE109" s="3">
        <v>0</v>
      </c>
      <c r="AF109" s="3">
        <v>0</v>
      </c>
      <c r="AG109" s="3">
        <v>0</v>
      </c>
      <c r="AH109" s="3">
        <v>0</v>
      </c>
      <c r="AI109" s="5">
        <v>6e-6</v>
      </c>
      <c r="AJ109" s="3" t="s">
        <v>542</v>
      </c>
    </row>
    <row r="110" spans="1:36">
      <c r="A110" s="4">
        <v>43336</v>
      </c>
      <c r="B110" s="3" t="s">
        <v>888</v>
      </c>
      <c r="C110" s="3" t="s">
        <v>889</v>
      </c>
      <c r="D110" s="3" t="s">
        <v>890</v>
      </c>
      <c r="E110" s="3" t="s">
        <v>849</v>
      </c>
      <c r="F110" s="3" t="s">
        <v>538</v>
      </c>
      <c r="G110" s="3">
        <v>6</v>
      </c>
      <c r="H110" s="3">
        <v>0</v>
      </c>
      <c r="I110" s="3">
        <v>6</v>
      </c>
      <c r="J110" s="3">
        <v>0</v>
      </c>
      <c r="K110" s="3">
        <v>0</v>
      </c>
      <c r="L110" s="3">
        <v>0</v>
      </c>
      <c r="M110" s="3">
        <v>0</v>
      </c>
      <c r="N110" s="3" t="s">
        <v>539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540</v>
      </c>
      <c r="X110" s="3">
        <v>17.99</v>
      </c>
      <c r="Y110" s="3">
        <v>17.99</v>
      </c>
      <c r="Z110" s="3">
        <v>17.99</v>
      </c>
      <c r="AA110" s="3">
        <v>0</v>
      </c>
      <c r="AB110" s="3" t="s">
        <v>541</v>
      </c>
      <c r="AC110" s="3">
        <v>0</v>
      </c>
      <c r="AD110" s="3">
        <v>12.79</v>
      </c>
      <c r="AE110" s="3">
        <v>63</v>
      </c>
      <c r="AF110" s="3">
        <v>0</v>
      </c>
      <c r="AG110" s="3">
        <v>5.553492</v>
      </c>
      <c r="AH110" s="3">
        <v>0</v>
      </c>
      <c r="AI110" s="3">
        <v>0.765012</v>
      </c>
      <c r="AJ110" s="3" t="s">
        <v>542</v>
      </c>
    </row>
    <row r="111" spans="1:36">
      <c r="A111" s="4">
        <v>43336</v>
      </c>
      <c r="B111" s="3" t="s">
        <v>891</v>
      </c>
      <c r="C111" s="3" t="s">
        <v>892</v>
      </c>
      <c r="D111" s="3" t="s">
        <v>893</v>
      </c>
      <c r="E111" s="3" t="s">
        <v>582</v>
      </c>
      <c r="F111" s="3" t="s">
        <v>538</v>
      </c>
      <c r="G111" s="3">
        <v>4</v>
      </c>
      <c r="H111" s="3">
        <v>0</v>
      </c>
      <c r="I111" s="3">
        <v>0</v>
      </c>
      <c r="J111" s="3">
        <v>4</v>
      </c>
      <c r="K111" s="3">
        <v>0</v>
      </c>
      <c r="L111" s="3">
        <v>0</v>
      </c>
      <c r="M111" s="3">
        <v>0</v>
      </c>
      <c r="N111" s="3" t="s">
        <v>539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 t="s">
        <v>540</v>
      </c>
      <c r="X111" s="3">
        <v>25.99</v>
      </c>
      <c r="Y111" s="3">
        <v>11.98</v>
      </c>
      <c r="Z111" s="3">
        <v>11.98</v>
      </c>
      <c r="AA111" s="3">
        <v>0</v>
      </c>
      <c r="AB111" s="3" t="s">
        <v>562</v>
      </c>
      <c r="AC111" s="3">
        <v>0</v>
      </c>
      <c r="AD111" s="3">
        <v>9.58</v>
      </c>
      <c r="AE111" s="3">
        <v>63</v>
      </c>
      <c r="AF111" s="3">
        <v>0</v>
      </c>
      <c r="AG111" s="3">
        <v>2.802641</v>
      </c>
      <c r="AH111" s="3">
        <v>0</v>
      </c>
      <c r="AI111" s="5">
        <v>0.000232</v>
      </c>
      <c r="AJ111" s="3" t="s">
        <v>548</v>
      </c>
    </row>
    <row r="112" spans="1:36">
      <c r="A112" s="4">
        <v>43336</v>
      </c>
      <c r="B112" s="3" t="s">
        <v>894</v>
      </c>
      <c r="C112" s="3" t="s">
        <v>895</v>
      </c>
      <c r="D112" s="3" t="s">
        <v>896</v>
      </c>
      <c r="E112" s="3" t="s">
        <v>897</v>
      </c>
      <c r="F112" s="3" t="s">
        <v>538</v>
      </c>
      <c r="G112" s="3">
        <v>4</v>
      </c>
      <c r="H112" s="3">
        <v>0</v>
      </c>
      <c r="I112" s="3">
        <v>4</v>
      </c>
      <c r="J112" s="3">
        <v>0</v>
      </c>
      <c r="K112" s="3">
        <v>0</v>
      </c>
      <c r="L112" s="3">
        <v>0</v>
      </c>
      <c r="M112" s="3">
        <v>0</v>
      </c>
      <c r="N112" s="3" t="s">
        <v>539</v>
      </c>
      <c r="O112" s="3">
        <v>0</v>
      </c>
      <c r="P112" s="3">
        <v>0</v>
      </c>
      <c r="Q112" s="3">
        <v>0</v>
      </c>
      <c r="R112" s="3">
        <v>0</v>
      </c>
      <c r="S112" s="3">
        <v>1</v>
      </c>
      <c r="T112" s="3">
        <v>2</v>
      </c>
      <c r="U112" s="3">
        <v>3</v>
      </c>
      <c r="V112" s="3">
        <v>3</v>
      </c>
      <c r="W112" s="3"/>
      <c r="X112" s="3">
        <v>75.6</v>
      </c>
      <c r="Y112" s="3">
        <v>23.9</v>
      </c>
      <c r="Z112" s="3">
        <v>23.9</v>
      </c>
      <c r="AA112" s="3">
        <v>0</v>
      </c>
      <c r="AB112" s="3" t="s">
        <v>547</v>
      </c>
      <c r="AC112" s="3">
        <v>5</v>
      </c>
      <c r="AD112" s="3">
        <v>23.9</v>
      </c>
      <c r="AE112" s="3">
        <v>0</v>
      </c>
      <c r="AF112" s="3">
        <v>0</v>
      </c>
      <c r="AG112" s="3">
        <v>0</v>
      </c>
      <c r="AH112" s="3">
        <v>1.09090909090909</v>
      </c>
      <c r="AI112" s="3">
        <v>0.583212</v>
      </c>
      <c r="AJ112" s="3" t="s">
        <v>548</v>
      </c>
    </row>
    <row r="113" spans="1:36">
      <c r="A113" s="4">
        <v>43336</v>
      </c>
      <c r="B113" s="3" t="s">
        <v>898</v>
      </c>
      <c r="C113" s="3" t="s">
        <v>899</v>
      </c>
      <c r="D113" s="3" t="s">
        <v>900</v>
      </c>
      <c r="E113" s="3" t="s">
        <v>901</v>
      </c>
      <c r="F113" s="3" t="s">
        <v>538</v>
      </c>
      <c r="G113" s="3">
        <v>1</v>
      </c>
      <c r="H113" s="3">
        <v>0</v>
      </c>
      <c r="I113" s="3">
        <v>1</v>
      </c>
      <c r="J113" s="3">
        <v>0</v>
      </c>
      <c r="K113" s="3">
        <v>0</v>
      </c>
      <c r="L113" s="3">
        <v>0</v>
      </c>
      <c r="M113" s="3">
        <v>0</v>
      </c>
      <c r="N113" s="3" t="s">
        <v>539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1</v>
      </c>
      <c r="V113" s="3">
        <v>1</v>
      </c>
      <c r="W113" s="3" t="s">
        <v>540</v>
      </c>
      <c r="X113" s="3">
        <v>20.99</v>
      </c>
      <c r="Y113" s="3">
        <v>20.99</v>
      </c>
      <c r="Z113" s="3">
        <v>20.99</v>
      </c>
      <c r="AA113" s="3">
        <v>0</v>
      </c>
      <c r="AB113" s="3" t="s">
        <v>541</v>
      </c>
      <c r="AC113" s="3">
        <v>1</v>
      </c>
      <c r="AD113" s="3">
        <v>20.99</v>
      </c>
      <c r="AE113" s="3">
        <v>0</v>
      </c>
      <c r="AF113" s="3">
        <v>0</v>
      </c>
      <c r="AG113" s="3">
        <v>0</v>
      </c>
      <c r="AH113" s="3">
        <v>1</v>
      </c>
      <c r="AI113" s="5">
        <v>1e-6</v>
      </c>
      <c r="AJ113" s="3" t="s">
        <v>548</v>
      </c>
    </row>
    <row r="114" spans="1:36">
      <c r="A114" s="4">
        <v>43336</v>
      </c>
      <c r="B114" s="3" t="s">
        <v>902</v>
      </c>
      <c r="C114" s="3" t="s">
        <v>903</v>
      </c>
      <c r="D114" s="3" t="s">
        <v>904</v>
      </c>
      <c r="E114" s="3" t="s">
        <v>905</v>
      </c>
      <c r="F114" s="3" t="s">
        <v>538</v>
      </c>
      <c r="G114" s="3">
        <v>6</v>
      </c>
      <c r="H114" s="3">
        <v>0</v>
      </c>
      <c r="I114" s="3">
        <v>0</v>
      </c>
      <c r="J114" s="3">
        <v>6</v>
      </c>
      <c r="K114" s="3">
        <v>0</v>
      </c>
      <c r="L114" s="3">
        <v>0</v>
      </c>
      <c r="M114" s="3">
        <v>0</v>
      </c>
      <c r="N114" s="3" t="s">
        <v>539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540</v>
      </c>
      <c r="X114" s="3">
        <v>9.99</v>
      </c>
      <c r="Y114" s="3">
        <v>9.99</v>
      </c>
      <c r="Z114" s="3">
        <v>9.99</v>
      </c>
      <c r="AA114" s="3">
        <v>0</v>
      </c>
      <c r="AB114" s="3" t="s">
        <v>541</v>
      </c>
      <c r="AC114" s="3">
        <v>0</v>
      </c>
      <c r="AD114" s="3">
        <v>7.99</v>
      </c>
      <c r="AE114" s="3">
        <v>63</v>
      </c>
      <c r="AF114" s="3">
        <v>0</v>
      </c>
      <c r="AG114" s="3">
        <v>25.278171</v>
      </c>
      <c r="AH114" s="3">
        <v>0</v>
      </c>
      <c r="AI114" s="3">
        <v>0.174252</v>
      </c>
      <c r="AJ114" s="3" t="s">
        <v>548</v>
      </c>
    </row>
    <row r="115" spans="1:36">
      <c r="A115" s="4">
        <v>43336</v>
      </c>
      <c r="B115" s="3" t="s">
        <v>906</v>
      </c>
      <c r="C115" s="3" t="s">
        <v>907</v>
      </c>
      <c r="D115" s="3" t="s">
        <v>908</v>
      </c>
      <c r="E115" s="3" t="s">
        <v>909</v>
      </c>
      <c r="F115" s="3" t="s">
        <v>538</v>
      </c>
      <c r="G115" s="3">
        <v>1</v>
      </c>
      <c r="H115" s="3">
        <v>0</v>
      </c>
      <c r="I115" s="3">
        <v>1</v>
      </c>
      <c r="J115" s="3">
        <v>0</v>
      </c>
      <c r="K115" s="3">
        <v>0</v>
      </c>
      <c r="L115" s="3">
        <v>0</v>
      </c>
      <c r="M115" s="3">
        <v>0</v>
      </c>
      <c r="N115" s="3" t="s">
        <v>539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 t="s">
        <v>540</v>
      </c>
      <c r="X115" s="3">
        <v>99.99</v>
      </c>
      <c r="Y115" s="3">
        <v>31.99</v>
      </c>
      <c r="Z115" s="3">
        <v>31.99</v>
      </c>
      <c r="AA115" s="3">
        <v>0</v>
      </c>
      <c r="AB115" s="3" t="s">
        <v>651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</v>
      </c>
      <c r="AI115" s="3">
        <v>0.203981</v>
      </c>
      <c r="AJ115" s="3" t="s">
        <v>548</v>
      </c>
    </row>
    <row r="116" spans="1:36">
      <c r="A116" s="4">
        <v>43336</v>
      </c>
      <c r="B116" s="3" t="s">
        <v>910</v>
      </c>
      <c r="C116" s="3" t="s">
        <v>911</v>
      </c>
      <c r="D116" s="3" t="s">
        <v>912</v>
      </c>
      <c r="E116" s="3" t="s">
        <v>757</v>
      </c>
      <c r="F116" s="3" t="s">
        <v>538</v>
      </c>
      <c r="G116" s="3">
        <v>6</v>
      </c>
      <c r="H116" s="3">
        <v>0</v>
      </c>
      <c r="I116" s="3">
        <v>6</v>
      </c>
      <c r="J116" s="3">
        <v>0</v>
      </c>
      <c r="K116" s="3">
        <v>0</v>
      </c>
      <c r="L116" s="3">
        <v>0</v>
      </c>
      <c r="M116" s="3">
        <v>0</v>
      </c>
      <c r="N116" s="3" t="s">
        <v>539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 t="s">
        <v>540</v>
      </c>
      <c r="X116" s="3">
        <v>19.99</v>
      </c>
      <c r="Y116" s="3">
        <v>19.99</v>
      </c>
      <c r="Z116" s="3">
        <v>19.99</v>
      </c>
      <c r="AA116" s="3">
        <v>0</v>
      </c>
      <c r="AB116" s="3" t="s">
        <v>541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  <c r="AH116" s="3">
        <v>0</v>
      </c>
      <c r="AI116" s="3">
        <v>0.906833999999999</v>
      </c>
      <c r="AJ116" s="3" t="s">
        <v>542</v>
      </c>
    </row>
    <row r="117" spans="1:36">
      <c r="A117" s="4">
        <v>43336</v>
      </c>
      <c r="B117" s="3" t="s">
        <v>913</v>
      </c>
      <c r="C117" s="3" t="s">
        <v>914</v>
      </c>
      <c r="D117" s="3" t="s">
        <v>915</v>
      </c>
      <c r="E117" s="3" t="s">
        <v>916</v>
      </c>
      <c r="F117" s="3" t="s">
        <v>538</v>
      </c>
      <c r="G117" s="3">
        <v>10</v>
      </c>
      <c r="H117" s="3">
        <v>0</v>
      </c>
      <c r="I117" s="3">
        <v>8</v>
      </c>
      <c r="J117" s="3">
        <v>2</v>
      </c>
      <c r="K117" s="3">
        <v>0</v>
      </c>
      <c r="L117" s="3">
        <v>0</v>
      </c>
      <c r="M117" s="3">
        <v>0</v>
      </c>
      <c r="N117" s="3" t="s">
        <v>539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1</v>
      </c>
      <c r="V117" s="3">
        <v>1</v>
      </c>
      <c r="W117" s="3" t="s">
        <v>553</v>
      </c>
      <c r="X117" s="3">
        <v>15.99</v>
      </c>
      <c r="Y117" s="3">
        <v>15.99</v>
      </c>
      <c r="Z117" s="3">
        <v>15.99</v>
      </c>
      <c r="AA117" s="3">
        <v>0</v>
      </c>
      <c r="AB117" s="3" t="s">
        <v>562</v>
      </c>
      <c r="AC117" s="3">
        <v>10</v>
      </c>
      <c r="AD117" s="3">
        <v>15.19</v>
      </c>
      <c r="AE117" s="3">
        <v>0</v>
      </c>
      <c r="AF117" s="3">
        <v>0</v>
      </c>
      <c r="AG117" s="3">
        <v>0</v>
      </c>
      <c r="AH117" s="3">
        <v>0.153846153846153</v>
      </c>
      <c r="AI117" s="3">
        <v>0.45688</v>
      </c>
      <c r="AJ117" s="3" t="s">
        <v>596</v>
      </c>
    </row>
    <row r="118" spans="1:36">
      <c r="A118" s="4">
        <v>43336</v>
      </c>
      <c r="B118" s="3" t="s">
        <v>917</v>
      </c>
      <c r="C118" s="3" t="s">
        <v>918</v>
      </c>
      <c r="D118" s="3" t="s">
        <v>919</v>
      </c>
      <c r="E118" s="3" t="s">
        <v>920</v>
      </c>
      <c r="F118" s="3" t="s">
        <v>538</v>
      </c>
      <c r="G118" s="3">
        <v>37</v>
      </c>
      <c r="H118" s="3">
        <v>0</v>
      </c>
      <c r="I118" s="3">
        <v>0</v>
      </c>
      <c r="J118" s="3">
        <v>0</v>
      </c>
      <c r="K118" s="3">
        <v>3</v>
      </c>
      <c r="L118" s="3">
        <v>34</v>
      </c>
      <c r="M118" s="3">
        <v>0</v>
      </c>
      <c r="N118" s="3" t="s">
        <v>539</v>
      </c>
      <c r="O118" s="3">
        <v>37</v>
      </c>
      <c r="P118" s="3">
        <v>4.64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1</v>
      </c>
      <c r="W118" s="3" t="s">
        <v>553</v>
      </c>
      <c r="X118" s="3">
        <v>9.99</v>
      </c>
      <c r="Y118" s="3">
        <v>9.99</v>
      </c>
      <c r="Z118" s="3">
        <v>9.99</v>
      </c>
      <c r="AA118" s="3">
        <v>0</v>
      </c>
      <c r="AB118" s="3" t="s">
        <v>562</v>
      </c>
      <c r="AC118" s="3">
        <v>0</v>
      </c>
      <c r="AD118" s="3">
        <v>8.72</v>
      </c>
      <c r="AE118" s="3">
        <v>315</v>
      </c>
      <c r="AF118" s="3">
        <v>0</v>
      </c>
      <c r="AG118" s="3">
        <v>293.190406</v>
      </c>
      <c r="AH118" s="3">
        <v>0.0264900662251655</v>
      </c>
      <c r="AI118" s="3">
        <v>1.342693</v>
      </c>
      <c r="AJ118" s="3" t="s">
        <v>548</v>
      </c>
    </row>
    <row r="119" spans="1:36">
      <c r="A119" s="4">
        <v>43336</v>
      </c>
      <c r="B119" s="3" t="s">
        <v>921</v>
      </c>
      <c r="C119" s="3" t="s">
        <v>922</v>
      </c>
      <c r="D119" s="3" t="s">
        <v>923</v>
      </c>
      <c r="E119" s="3" t="s">
        <v>655</v>
      </c>
      <c r="F119" s="3" t="s">
        <v>538</v>
      </c>
      <c r="G119" s="3">
        <v>13</v>
      </c>
      <c r="H119" s="3">
        <v>0</v>
      </c>
      <c r="I119" s="3">
        <v>13</v>
      </c>
      <c r="J119" s="3">
        <v>0</v>
      </c>
      <c r="K119" s="3">
        <v>0</v>
      </c>
      <c r="L119" s="3">
        <v>0</v>
      </c>
      <c r="M119" s="3">
        <v>0</v>
      </c>
      <c r="N119" s="3" t="s">
        <v>539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1</v>
      </c>
      <c r="U119" s="3">
        <v>1</v>
      </c>
      <c r="V119" s="3">
        <v>1</v>
      </c>
      <c r="W119" s="3" t="s">
        <v>540</v>
      </c>
      <c r="X119" s="3">
        <v>16.99</v>
      </c>
      <c r="Y119" s="3">
        <v>16.99</v>
      </c>
      <c r="Z119" s="3">
        <v>16.99</v>
      </c>
      <c r="AA119" s="3">
        <v>0</v>
      </c>
      <c r="AB119" s="3" t="s">
        <v>541</v>
      </c>
      <c r="AC119" s="3">
        <v>13</v>
      </c>
      <c r="AD119" s="3">
        <v>16.99</v>
      </c>
      <c r="AE119" s="3">
        <v>0</v>
      </c>
      <c r="AF119" s="3">
        <v>0</v>
      </c>
      <c r="AG119" s="3">
        <v>0</v>
      </c>
      <c r="AH119" s="3">
        <v>0.153846153846153</v>
      </c>
      <c r="AI119" s="3">
        <v>1.994174</v>
      </c>
      <c r="AJ119" s="3" t="s">
        <v>542</v>
      </c>
    </row>
    <row r="120" spans="1:36">
      <c r="A120" s="4">
        <v>43336</v>
      </c>
      <c r="B120" s="3" t="s">
        <v>924</v>
      </c>
      <c r="C120" s="3" t="s">
        <v>925</v>
      </c>
      <c r="D120" s="3" t="s">
        <v>926</v>
      </c>
      <c r="E120" s="3" t="s">
        <v>927</v>
      </c>
      <c r="F120" s="3" t="s">
        <v>538</v>
      </c>
      <c r="G120" s="3">
        <v>5</v>
      </c>
      <c r="H120" s="3">
        <v>0</v>
      </c>
      <c r="I120" s="3">
        <v>5</v>
      </c>
      <c r="J120" s="3">
        <v>0</v>
      </c>
      <c r="K120" s="3">
        <v>0</v>
      </c>
      <c r="L120" s="3">
        <v>0</v>
      </c>
      <c r="M120" s="3">
        <v>0</v>
      </c>
      <c r="N120" s="3" t="s">
        <v>539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2</v>
      </c>
      <c r="U120" s="3">
        <v>4</v>
      </c>
      <c r="V120" s="3">
        <v>4</v>
      </c>
      <c r="W120" s="3" t="s">
        <v>553</v>
      </c>
      <c r="X120" s="3">
        <v>10.99</v>
      </c>
      <c r="Y120" s="3">
        <v>10.99</v>
      </c>
      <c r="Z120" s="3">
        <v>10.99</v>
      </c>
      <c r="AA120" s="3">
        <v>0</v>
      </c>
      <c r="AB120" s="3" t="s">
        <v>547</v>
      </c>
      <c r="AC120" s="3">
        <v>5</v>
      </c>
      <c r="AD120" s="3">
        <v>10.99</v>
      </c>
      <c r="AE120" s="3">
        <v>0</v>
      </c>
      <c r="AF120" s="3">
        <v>0</v>
      </c>
      <c r="AG120" s="3">
        <v>0</v>
      </c>
      <c r="AH120" s="3">
        <v>0.666666666666666</v>
      </c>
      <c r="AI120" s="3">
        <v>0.189445</v>
      </c>
      <c r="AJ120" s="3" t="s">
        <v>596</v>
      </c>
    </row>
    <row r="121" spans="1:36">
      <c r="A121" s="4">
        <v>43336</v>
      </c>
      <c r="B121" s="3" t="s">
        <v>928</v>
      </c>
      <c r="C121" s="3" t="s">
        <v>929</v>
      </c>
      <c r="D121" s="3" t="s">
        <v>930</v>
      </c>
      <c r="E121" s="3" t="s">
        <v>931</v>
      </c>
      <c r="F121" s="3" t="s">
        <v>538</v>
      </c>
      <c r="G121" s="3">
        <v>1</v>
      </c>
      <c r="H121" s="3">
        <v>0</v>
      </c>
      <c r="I121" s="3">
        <v>1</v>
      </c>
      <c r="J121" s="3">
        <v>0</v>
      </c>
      <c r="K121" s="3">
        <v>0</v>
      </c>
      <c r="L121" s="3">
        <v>0</v>
      </c>
      <c r="M121" s="3">
        <v>0</v>
      </c>
      <c r="N121" s="3" t="s">
        <v>539</v>
      </c>
      <c r="O121" s="3">
        <v>0</v>
      </c>
      <c r="P121" s="3">
        <v>0</v>
      </c>
      <c r="Q121" s="3">
        <v>0</v>
      </c>
      <c r="R121" s="3">
        <v>0</v>
      </c>
      <c r="S121" s="3">
        <v>1</v>
      </c>
      <c r="T121" s="3">
        <v>5</v>
      </c>
      <c r="U121" s="3">
        <v>5</v>
      </c>
      <c r="V121" s="3">
        <v>5</v>
      </c>
      <c r="W121" s="3"/>
      <c r="X121" s="3">
        <v>21.99</v>
      </c>
      <c r="Y121" s="3">
        <v>21.99</v>
      </c>
      <c r="Z121" s="3">
        <v>21.99</v>
      </c>
      <c r="AA121" s="3">
        <v>0</v>
      </c>
      <c r="AB121" s="3" t="s">
        <v>547</v>
      </c>
      <c r="AC121" s="3">
        <v>1</v>
      </c>
      <c r="AD121" s="3">
        <v>21.99</v>
      </c>
      <c r="AE121" s="3">
        <v>0</v>
      </c>
      <c r="AF121" s="3">
        <v>0</v>
      </c>
      <c r="AG121" s="3">
        <v>0</v>
      </c>
      <c r="AH121" s="3">
        <v>2</v>
      </c>
      <c r="AI121" s="3">
        <v>0.123843</v>
      </c>
      <c r="AJ121" s="3" t="s">
        <v>548</v>
      </c>
    </row>
    <row r="122" spans="1:36">
      <c r="A122" s="4">
        <v>43336</v>
      </c>
      <c r="B122" s="3" t="s">
        <v>304</v>
      </c>
      <c r="C122" s="3" t="s">
        <v>305</v>
      </c>
      <c r="D122" s="3" t="s">
        <v>306</v>
      </c>
      <c r="E122" s="3" t="s">
        <v>932</v>
      </c>
      <c r="F122" s="3" t="s">
        <v>538</v>
      </c>
      <c r="G122" s="3">
        <v>10</v>
      </c>
      <c r="H122" s="3">
        <v>0</v>
      </c>
      <c r="I122" s="3">
        <v>10</v>
      </c>
      <c r="J122" s="3">
        <v>0</v>
      </c>
      <c r="K122" s="3">
        <v>0</v>
      </c>
      <c r="L122" s="3">
        <v>0</v>
      </c>
      <c r="M122" s="3">
        <v>0</v>
      </c>
      <c r="N122" s="3" t="s">
        <v>539</v>
      </c>
      <c r="O122" s="3">
        <v>0</v>
      </c>
      <c r="P122" s="3">
        <v>0</v>
      </c>
      <c r="Q122" s="3">
        <v>0</v>
      </c>
      <c r="R122" s="3">
        <v>0</v>
      </c>
      <c r="S122" s="3">
        <v>2</v>
      </c>
      <c r="T122" s="3">
        <v>5</v>
      </c>
      <c r="U122" s="3">
        <v>6</v>
      </c>
      <c r="V122" s="3">
        <v>9</v>
      </c>
      <c r="W122" s="3"/>
      <c r="X122" s="3">
        <v>29.9</v>
      </c>
      <c r="Y122" s="3">
        <v>13.99</v>
      </c>
      <c r="Z122" s="3">
        <v>13.99</v>
      </c>
      <c r="AA122" s="3">
        <v>0</v>
      </c>
      <c r="AB122" s="3" t="s">
        <v>547</v>
      </c>
      <c r="AC122" s="3">
        <v>2</v>
      </c>
      <c r="AD122" s="3">
        <v>13.99</v>
      </c>
      <c r="AE122" s="3">
        <v>0</v>
      </c>
      <c r="AF122" s="3">
        <v>0</v>
      </c>
      <c r="AG122" s="3">
        <v>0</v>
      </c>
      <c r="AH122" s="3">
        <v>1.5</v>
      </c>
      <c r="AI122" s="3">
        <v>0.32558</v>
      </c>
      <c r="AJ122" s="3" t="s">
        <v>548</v>
      </c>
    </row>
    <row r="123" spans="1:36">
      <c r="A123" s="4">
        <v>43336</v>
      </c>
      <c r="B123" s="3" t="s">
        <v>933</v>
      </c>
      <c r="C123" s="3" t="s">
        <v>934</v>
      </c>
      <c r="D123" s="3" t="s">
        <v>935</v>
      </c>
      <c r="E123" s="3" t="s">
        <v>753</v>
      </c>
      <c r="F123" s="3" t="s">
        <v>538</v>
      </c>
      <c r="G123" s="3">
        <v>13</v>
      </c>
      <c r="H123" s="3">
        <v>0</v>
      </c>
      <c r="I123" s="3">
        <v>0</v>
      </c>
      <c r="J123" s="3">
        <v>0</v>
      </c>
      <c r="K123" s="3">
        <v>13</v>
      </c>
      <c r="L123" s="3">
        <v>0</v>
      </c>
      <c r="M123" s="3">
        <v>0</v>
      </c>
      <c r="N123" s="3" t="s">
        <v>539</v>
      </c>
      <c r="O123" s="3">
        <v>13</v>
      </c>
      <c r="P123" s="3">
        <v>4.05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/>
      <c r="X123" s="3"/>
      <c r="Y123" s="3"/>
      <c r="Z123" s="3">
        <v>-1</v>
      </c>
      <c r="AA123" s="3">
        <v>-1</v>
      </c>
      <c r="AB123" s="3" t="s">
        <v>595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1.176734</v>
      </c>
      <c r="AJ123" s="3" t="s">
        <v>548</v>
      </c>
    </row>
    <row r="124" spans="1:36">
      <c r="A124" s="4">
        <v>43336</v>
      </c>
      <c r="B124" s="3" t="s">
        <v>936</v>
      </c>
      <c r="C124" s="3" t="s">
        <v>937</v>
      </c>
      <c r="D124" s="3" t="s">
        <v>938</v>
      </c>
      <c r="E124" s="3" t="s">
        <v>939</v>
      </c>
      <c r="F124" s="3" t="s">
        <v>538</v>
      </c>
      <c r="G124" s="3">
        <v>30</v>
      </c>
      <c r="H124" s="3">
        <v>0</v>
      </c>
      <c r="I124" s="3">
        <v>30</v>
      </c>
      <c r="J124" s="3">
        <v>0</v>
      </c>
      <c r="K124" s="3">
        <v>0</v>
      </c>
      <c r="L124" s="3">
        <v>0</v>
      </c>
      <c r="M124" s="3">
        <v>0</v>
      </c>
      <c r="N124" s="3" t="s">
        <v>539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 t="s">
        <v>553</v>
      </c>
      <c r="X124" s="3">
        <v>14.99</v>
      </c>
      <c r="Y124" s="3">
        <v>14.99</v>
      </c>
      <c r="Z124" s="3">
        <v>13.99</v>
      </c>
      <c r="AA124" s="3">
        <v>0</v>
      </c>
      <c r="AB124" s="3" t="s">
        <v>562</v>
      </c>
      <c r="AC124" s="3">
        <v>0</v>
      </c>
      <c r="AD124" s="3">
        <v>13.99</v>
      </c>
      <c r="AE124" s="3">
        <v>63</v>
      </c>
      <c r="AF124" s="3">
        <v>0</v>
      </c>
      <c r="AG124" s="3">
        <v>818.044223</v>
      </c>
      <c r="AH124" s="3">
        <v>0</v>
      </c>
      <c r="AI124" s="3">
        <v>6.32813999999999</v>
      </c>
      <c r="AJ124" s="3" t="s">
        <v>548</v>
      </c>
    </row>
    <row r="125" spans="1:36">
      <c r="A125" s="4">
        <v>43336</v>
      </c>
      <c r="B125" s="3" t="s">
        <v>20</v>
      </c>
      <c r="C125" s="3" t="s">
        <v>21</v>
      </c>
      <c r="D125" s="3" t="s">
        <v>22</v>
      </c>
      <c r="E125" s="3" t="s">
        <v>19</v>
      </c>
      <c r="F125" s="3" t="s">
        <v>538</v>
      </c>
      <c r="G125" s="3">
        <v>20</v>
      </c>
      <c r="H125" s="3">
        <v>0</v>
      </c>
      <c r="I125" s="3">
        <v>20</v>
      </c>
      <c r="J125" s="3">
        <v>0</v>
      </c>
      <c r="K125" s="3">
        <v>0</v>
      </c>
      <c r="L125" s="3">
        <v>0</v>
      </c>
      <c r="M125" s="3">
        <v>0</v>
      </c>
      <c r="N125" s="3" t="s">
        <v>539</v>
      </c>
      <c r="O125" s="3">
        <v>0</v>
      </c>
      <c r="P125" s="3">
        <v>0</v>
      </c>
      <c r="Q125" s="3">
        <v>0</v>
      </c>
      <c r="R125" s="3">
        <v>0</v>
      </c>
      <c r="S125" s="3">
        <v>1</v>
      </c>
      <c r="T125" s="3">
        <v>9</v>
      </c>
      <c r="U125" s="3">
        <v>23</v>
      </c>
      <c r="V125" s="3">
        <v>23</v>
      </c>
      <c r="W125" s="3"/>
      <c r="X125" s="3">
        <v>15.99</v>
      </c>
      <c r="Y125" s="3">
        <v>15.99</v>
      </c>
      <c r="Z125" s="3">
        <v>15.99</v>
      </c>
      <c r="AA125" s="3">
        <v>0</v>
      </c>
      <c r="AB125" s="3" t="s">
        <v>547</v>
      </c>
      <c r="AC125" s="3">
        <v>20</v>
      </c>
      <c r="AD125" s="3">
        <v>15.99</v>
      </c>
      <c r="AE125" s="3">
        <v>0</v>
      </c>
      <c r="AF125" s="3">
        <v>0</v>
      </c>
      <c r="AG125" s="3">
        <v>0</v>
      </c>
      <c r="AH125" s="3">
        <v>1.7037037037037</v>
      </c>
      <c r="AI125" s="3">
        <v>1.32744</v>
      </c>
      <c r="AJ125" s="3" t="s">
        <v>596</v>
      </c>
    </row>
    <row r="126" spans="1:36">
      <c r="A126" s="4">
        <v>43336</v>
      </c>
      <c r="B126" s="3" t="s">
        <v>224</v>
      </c>
      <c r="C126" s="3" t="s">
        <v>225</v>
      </c>
      <c r="D126" s="3" t="s">
        <v>226</v>
      </c>
      <c r="E126" s="3" t="s">
        <v>227</v>
      </c>
      <c r="F126" s="3" t="s">
        <v>538</v>
      </c>
      <c r="G126" s="3">
        <v>11</v>
      </c>
      <c r="H126" s="3">
        <v>0</v>
      </c>
      <c r="I126" s="3">
        <v>11</v>
      </c>
      <c r="J126" s="3">
        <v>0</v>
      </c>
      <c r="K126" s="3">
        <v>0</v>
      </c>
      <c r="L126" s="3">
        <v>0</v>
      </c>
      <c r="M126" s="3">
        <v>0</v>
      </c>
      <c r="N126" s="3" t="s">
        <v>539</v>
      </c>
      <c r="O126" s="3">
        <v>0</v>
      </c>
      <c r="P126" s="3">
        <v>0</v>
      </c>
      <c r="Q126" s="3">
        <v>0</v>
      </c>
      <c r="R126" s="3">
        <v>0</v>
      </c>
      <c r="S126" s="3">
        <v>1</v>
      </c>
      <c r="T126" s="3">
        <v>5</v>
      </c>
      <c r="U126" s="3">
        <v>6</v>
      </c>
      <c r="V126" s="3">
        <v>9</v>
      </c>
      <c r="W126" s="3" t="s">
        <v>553</v>
      </c>
      <c r="X126" s="3">
        <v>49.3</v>
      </c>
      <c r="Y126" s="3">
        <v>14.58</v>
      </c>
      <c r="Z126" s="3">
        <v>14.58</v>
      </c>
      <c r="AA126" s="3">
        <v>0</v>
      </c>
      <c r="AB126" s="3" t="s">
        <v>547</v>
      </c>
      <c r="AC126" s="3">
        <v>4</v>
      </c>
      <c r="AD126" s="3">
        <v>14.58</v>
      </c>
      <c r="AE126" s="3">
        <v>0</v>
      </c>
      <c r="AF126" s="3">
        <v>0</v>
      </c>
      <c r="AG126" s="3">
        <v>0</v>
      </c>
      <c r="AH126" s="3">
        <v>1.28571428571428</v>
      </c>
      <c r="AI126" s="3">
        <v>0.606023</v>
      </c>
      <c r="AJ126" s="3" t="s">
        <v>548</v>
      </c>
    </row>
    <row r="127" spans="1:36">
      <c r="A127" s="4">
        <v>43336</v>
      </c>
      <c r="B127" s="3" t="s">
        <v>940</v>
      </c>
      <c r="C127" s="3" t="s">
        <v>941</v>
      </c>
      <c r="D127" s="3" t="s">
        <v>942</v>
      </c>
      <c r="E127" s="3" t="s">
        <v>582</v>
      </c>
      <c r="F127" s="3" t="s">
        <v>538</v>
      </c>
      <c r="G127" s="3">
        <v>4</v>
      </c>
      <c r="H127" s="3">
        <v>0</v>
      </c>
      <c r="I127" s="3">
        <v>0</v>
      </c>
      <c r="J127" s="3">
        <v>4</v>
      </c>
      <c r="K127" s="3">
        <v>0</v>
      </c>
      <c r="L127" s="3">
        <v>0</v>
      </c>
      <c r="M127" s="3">
        <v>0</v>
      </c>
      <c r="N127" s="3" t="s">
        <v>539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540</v>
      </c>
      <c r="X127" s="3">
        <v>11.98</v>
      </c>
      <c r="Y127" s="3">
        <v>11.98</v>
      </c>
      <c r="Z127" s="3">
        <v>11.98</v>
      </c>
      <c r="AA127" s="3">
        <v>0</v>
      </c>
      <c r="AB127" s="3" t="s">
        <v>541</v>
      </c>
      <c r="AC127" s="3">
        <v>0</v>
      </c>
      <c r="AD127" s="3">
        <v>9.58</v>
      </c>
      <c r="AE127" s="3">
        <v>63</v>
      </c>
      <c r="AF127" s="3">
        <v>0</v>
      </c>
      <c r="AG127" s="3">
        <v>2.802641</v>
      </c>
      <c r="AH127" s="3">
        <v>0</v>
      </c>
      <c r="AI127" s="5">
        <v>0.000232</v>
      </c>
      <c r="AJ127" s="3" t="s">
        <v>548</v>
      </c>
    </row>
    <row r="128" spans="1:36">
      <c r="A128" s="4">
        <v>43336</v>
      </c>
      <c r="B128" s="3" t="s">
        <v>943</v>
      </c>
      <c r="C128" s="3" t="s">
        <v>944</v>
      </c>
      <c r="D128" s="3" t="s">
        <v>945</v>
      </c>
      <c r="E128" s="3" t="s">
        <v>946</v>
      </c>
      <c r="F128" s="3" t="s">
        <v>538</v>
      </c>
      <c r="G128" s="3">
        <v>17</v>
      </c>
      <c r="H128" s="3">
        <v>0</v>
      </c>
      <c r="I128" s="3">
        <v>17</v>
      </c>
      <c r="J128" s="3">
        <v>0</v>
      </c>
      <c r="K128" s="3">
        <v>0</v>
      </c>
      <c r="L128" s="3">
        <v>0</v>
      </c>
      <c r="M128" s="3">
        <v>0</v>
      </c>
      <c r="N128" s="3" t="s">
        <v>539</v>
      </c>
      <c r="O128" s="3">
        <v>0</v>
      </c>
      <c r="P128" s="3">
        <v>0</v>
      </c>
      <c r="Q128" s="3">
        <v>0</v>
      </c>
      <c r="R128" s="3">
        <v>0</v>
      </c>
      <c r="S128" s="3">
        <v>1</v>
      </c>
      <c r="T128" s="3">
        <v>3</v>
      </c>
      <c r="U128" s="3">
        <v>23</v>
      </c>
      <c r="V128" s="3">
        <v>23</v>
      </c>
      <c r="W128" s="3" t="s">
        <v>553</v>
      </c>
      <c r="X128" s="3">
        <v>22.99</v>
      </c>
      <c r="Y128" s="3">
        <v>22.99</v>
      </c>
      <c r="Z128" s="3">
        <v>22.99</v>
      </c>
      <c r="AA128" s="3">
        <v>0</v>
      </c>
      <c r="AB128" s="3" t="s">
        <v>547</v>
      </c>
      <c r="AC128" s="3">
        <v>17</v>
      </c>
      <c r="AD128" s="3">
        <v>22.99</v>
      </c>
      <c r="AE128" s="3">
        <v>0</v>
      </c>
      <c r="AF128" s="3">
        <v>0</v>
      </c>
      <c r="AG128" s="3">
        <v>0</v>
      </c>
      <c r="AH128" s="3">
        <v>4.05882352941176</v>
      </c>
      <c r="AI128" s="3">
        <v>1.572415</v>
      </c>
      <c r="AJ128" s="3" t="s">
        <v>596</v>
      </c>
    </row>
    <row r="129" spans="1:36">
      <c r="A129" s="4">
        <v>43336</v>
      </c>
      <c r="B129" s="3" t="s">
        <v>947</v>
      </c>
      <c r="C129" s="3" t="s">
        <v>948</v>
      </c>
      <c r="D129" s="3" t="s">
        <v>949</v>
      </c>
      <c r="E129" s="3" t="s">
        <v>582</v>
      </c>
      <c r="F129" s="3" t="s">
        <v>538</v>
      </c>
      <c r="G129" s="3">
        <v>4</v>
      </c>
      <c r="H129" s="3">
        <v>0</v>
      </c>
      <c r="I129" s="3">
        <v>0</v>
      </c>
      <c r="J129" s="3">
        <v>4</v>
      </c>
      <c r="K129" s="3">
        <v>0</v>
      </c>
      <c r="L129" s="3">
        <v>0</v>
      </c>
      <c r="M129" s="3">
        <v>0</v>
      </c>
      <c r="N129" s="3" t="s">
        <v>539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540</v>
      </c>
      <c r="X129" s="3">
        <v>11.98</v>
      </c>
      <c r="Y129" s="3">
        <v>11.98</v>
      </c>
      <c r="Z129" s="3">
        <v>11.98</v>
      </c>
      <c r="AA129" s="3">
        <v>0</v>
      </c>
      <c r="AB129" s="3" t="s">
        <v>541</v>
      </c>
      <c r="AC129" s="3">
        <v>0</v>
      </c>
      <c r="AD129" s="3">
        <v>9.58</v>
      </c>
      <c r="AE129" s="3">
        <v>63</v>
      </c>
      <c r="AF129" s="3">
        <v>0</v>
      </c>
      <c r="AG129" s="3">
        <v>2.802641</v>
      </c>
      <c r="AH129" s="3">
        <v>0</v>
      </c>
      <c r="AI129" s="5">
        <v>0.000232</v>
      </c>
      <c r="AJ129" s="3" t="s">
        <v>548</v>
      </c>
    </row>
    <row r="130" spans="1:36">
      <c r="A130" s="4">
        <v>43336</v>
      </c>
      <c r="B130" s="3" t="s">
        <v>950</v>
      </c>
      <c r="C130" s="3" t="s">
        <v>951</v>
      </c>
      <c r="D130" s="3" t="s">
        <v>952</v>
      </c>
      <c r="E130" s="3" t="s">
        <v>815</v>
      </c>
      <c r="F130" s="3" t="s">
        <v>538</v>
      </c>
      <c r="G130" s="3">
        <v>7</v>
      </c>
      <c r="H130" s="3">
        <v>0</v>
      </c>
      <c r="I130" s="3">
        <v>7</v>
      </c>
      <c r="J130" s="3">
        <v>0</v>
      </c>
      <c r="K130" s="3">
        <v>0</v>
      </c>
      <c r="L130" s="3">
        <v>0</v>
      </c>
      <c r="M130" s="3">
        <v>0</v>
      </c>
      <c r="N130" s="3" t="s">
        <v>539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540</v>
      </c>
      <c r="X130" s="3">
        <v>22.99</v>
      </c>
      <c r="Y130" s="3">
        <v>22.99</v>
      </c>
      <c r="Z130" s="3">
        <v>22.99</v>
      </c>
      <c r="AA130" s="3">
        <v>0</v>
      </c>
      <c r="AB130" s="3" t="s">
        <v>541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3">
        <v>0.946386</v>
      </c>
      <c r="AJ130" s="3" t="s">
        <v>542</v>
      </c>
    </row>
    <row r="131" spans="1:36">
      <c r="A131" s="4">
        <v>43336</v>
      </c>
      <c r="B131" s="3" t="s">
        <v>487</v>
      </c>
      <c r="C131" s="3" t="s">
        <v>488</v>
      </c>
      <c r="D131" s="3" t="s">
        <v>489</v>
      </c>
      <c r="E131" s="3" t="s">
        <v>490</v>
      </c>
      <c r="F131" s="3" t="s">
        <v>538</v>
      </c>
      <c r="G131" s="3">
        <v>7</v>
      </c>
      <c r="H131" s="3">
        <v>0</v>
      </c>
      <c r="I131" s="3">
        <v>7</v>
      </c>
      <c r="J131" s="3">
        <v>0</v>
      </c>
      <c r="K131" s="3">
        <v>0</v>
      </c>
      <c r="L131" s="3">
        <v>0</v>
      </c>
      <c r="M131" s="3">
        <v>0</v>
      </c>
      <c r="N131" s="3" t="s">
        <v>539</v>
      </c>
      <c r="O131" s="3">
        <v>0</v>
      </c>
      <c r="P131" s="3">
        <v>0</v>
      </c>
      <c r="Q131" s="3">
        <v>0</v>
      </c>
      <c r="R131" s="3">
        <v>0</v>
      </c>
      <c r="S131" s="3">
        <v>3</v>
      </c>
      <c r="T131" s="3">
        <v>9</v>
      </c>
      <c r="U131" s="3">
        <v>10</v>
      </c>
      <c r="V131" s="3">
        <v>10</v>
      </c>
      <c r="W131" s="3" t="s">
        <v>553</v>
      </c>
      <c r="X131" s="3">
        <v>16</v>
      </c>
      <c r="Y131" s="3">
        <v>16</v>
      </c>
      <c r="Z131" s="3">
        <v>16</v>
      </c>
      <c r="AA131" s="3">
        <v>0</v>
      </c>
      <c r="AB131" s="3" t="s">
        <v>547</v>
      </c>
      <c r="AC131" s="3">
        <v>7</v>
      </c>
      <c r="AD131" s="3">
        <v>16</v>
      </c>
      <c r="AE131" s="3">
        <v>0</v>
      </c>
      <c r="AF131" s="3">
        <v>0</v>
      </c>
      <c r="AG131" s="3">
        <v>0</v>
      </c>
      <c r="AH131" s="3">
        <v>0.909090909090909</v>
      </c>
      <c r="AI131" s="3">
        <v>1.463931</v>
      </c>
      <c r="AJ131" s="3" t="s">
        <v>548</v>
      </c>
    </row>
    <row r="132" spans="1:36">
      <c r="A132" s="4">
        <v>43336</v>
      </c>
      <c r="B132" s="3" t="s">
        <v>953</v>
      </c>
      <c r="C132" s="3" t="s">
        <v>954</v>
      </c>
      <c r="D132" s="3" t="s">
        <v>955</v>
      </c>
      <c r="E132" s="3" t="s">
        <v>612</v>
      </c>
      <c r="F132" s="3" t="s">
        <v>538</v>
      </c>
      <c r="G132" s="3">
        <v>6</v>
      </c>
      <c r="H132" s="3">
        <v>0</v>
      </c>
      <c r="I132" s="3">
        <v>6</v>
      </c>
      <c r="J132" s="3">
        <v>0</v>
      </c>
      <c r="K132" s="3">
        <v>0</v>
      </c>
      <c r="L132" s="3">
        <v>0</v>
      </c>
      <c r="M132" s="3">
        <v>0</v>
      </c>
      <c r="N132" s="3" t="s">
        <v>539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 t="s">
        <v>540</v>
      </c>
      <c r="X132" s="3">
        <v>19.99</v>
      </c>
      <c r="Y132" s="3">
        <v>19.99</v>
      </c>
      <c r="Z132" s="3">
        <v>19.99</v>
      </c>
      <c r="AA132" s="3">
        <v>0</v>
      </c>
      <c r="AB132" s="3" t="s">
        <v>541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5">
        <v>6e-6</v>
      </c>
      <c r="AJ132" s="3" t="s">
        <v>542</v>
      </c>
    </row>
    <row r="133" spans="1:36">
      <c r="A133" s="4">
        <v>43336</v>
      </c>
      <c r="B133" s="3" t="s">
        <v>956</v>
      </c>
      <c r="C133" s="3" t="s">
        <v>957</v>
      </c>
      <c r="D133" s="3" t="s">
        <v>958</v>
      </c>
      <c r="E133" s="3" t="s">
        <v>537</v>
      </c>
      <c r="F133" s="3" t="s">
        <v>538</v>
      </c>
      <c r="G133" s="3">
        <v>6</v>
      </c>
      <c r="H133" s="3">
        <v>0</v>
      </c>
      <c r="I133" s="3">
        <v>6</v>
      </c>
      <c r="J133" s="3">
        <v>0</v>
      </c>
      <c r="K133" s="3">
        <v>0</v>
      </c>
      <c r="L133" s="3">
        <v>0</v>
      </c>
      <c r="M133" s="3">
        <v>0</v>
      </c>
      <c r="N133" s="3" t="s">
        <v>539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 t="s">
        <v>540</v>
      </c>
      <c r="X133" s="3">
        <v>19.99</v>
      </c>
      <c r="Y133" s="3">
        <v>19.99</v>
      </c>
      <c r="Z133" s="3">
        <v>19.99</v>
      </c>
      <c r="AA133" s="3">
        <v>0</v>
      </c>
      <c r="AB133" s="3" t="s">
        <v>541</v>
      </c>
      <c r="AC133" s="3">
        <v>0</v>
      </c>
      <c r="AD133" s="3">
        <v>15.99</v>
      </c>
      <c r="AE133" s="3">
        <v>63</v>
      </c>
      <c r="AF133" s="3">
        <v>0</v>
      </c>
      <c r="AG133" s="3">
        <v>6.942678</v>
      </c>
      <c r="AH133" s="3">
        <v>0</v>
      </c>
      <c r="AI133" s="3">
        <v>0.736002</v>
      </c>
      <c r="AJ133" s="3" t="s">
        <v>542</v>
      </c>
    </row>
    <row r="134" spans="1:36">
      <c r="A134" s="4">
        <v>43336</v>
      </c>
      <c r="B134" s="3" t="s">
        <v>959</v>
      </c>
      <c r="C134" s="3" t="s">
        <v>960</v>
      </c>
      <c r="D134" s="3" t="s">
        <v>961</v>
      </c>
      <c r="E134" s="3" t="s">
        <v>962</v>
      </c>
      <c r="F134" s="3" t="s">
        <v>538</v>
      </c>
      <c r="G134" s="3">
        <v>11</v>
      </c>
      <c r="H134" s="3">
        <v>0</v>
      </c>
      <c r="I134" s="3">
        <v>11</v>
      </c>
      <c r="J134" s="3">
        <v>0</v>
      </c>
      <c r="K134" s="3">
        <v>0</v>
      </c>
      <c r="L134" s="3">
        <v>0</v>
      </c>
      <c r="M134" s="3">
        <v>0</v>
      </c>
      <c r="N134" s="3" t="s">
        <v>539</v>
      </c>
      <c r="O134" s="3">
        <v>0</v>
      </c>
      <c r="P134" s="3">
        <v>0</v>
      </c>
      <c r="Q134" s="3">
        <v>0</v>
      </c>
      <c r="R134" s="3">
        <v>0</v>
      </c>
      <c r="S134" s="3">
        <v>1</v>
      </c>
      <c r="T134" s="3">
        <v>4</v>
      </c>
      <c r="U134" s="3">
        <v>12</v>
      </c>
      <c r="V134" s="3">
        <v>14</v>
      </c>
      <c r="W134" s="3"/>
      <c r="X134" s="3">
        <v>9.99</v>
      </c>
      <c r="Y134" s="3">
        <v>6.9</v>
      </c>
      <c r="Z134" s="3">
        <v>6.9</v>
      </c>
      <c r="AA134" s="3">
        <v>0</v>
      </c>
      <c r="AB134" s="3" t="s">
        <v>562</v>
      </c>
      <c r="AC134" s="3">
        <v>2</v>
      </c>
      <c r="AD134" s="3">
        <v>4.79</v>
      </c>
      <c r="AE134" s="3">
        <v>35</v>
      </c>
      <c r="AF134" s="3">
        <v>0</v>
      </c>
      <c r="AG134" s="3">
        <v>9.590388</v>
      </c>
      <c r="AH134" s="3">
        <v>1.6</v>
      </c>
      <c r="AI134" s="3">
        <v>0.494351</v>
      </c>
      <c r="AJ134" s="3" t="s">
        <v>548</v>
      </c>
    </row>
    <row r="135" spans="1:36">
      <c r="A135" s="4">
        <v>43336</v>
      </c>
      <c r="B135" s="3" t="s">
        <v>963</v>
      </c>
      <c r="C135" s="3" t="s">
        <v>964</v>
      </c>
      <c r="D135" s="3" t="s">
        <v>965</v>
      </c>
      <c r="E135" s="3" t="s">
        <v>612</v>
      </c>
      <c r="F135" s="3" t="s">
        <v>538</v>
      </c>
      <c r="G135" s="3">
        <v>6</v>
      </c>
      <c r="H135" s="3">
        <v>0</v>
      </c>
      <c r="I135" s="3">
        <v>6</v>
      </c>
      <c r="J135" s="3">
        <v>0</v>
      </c>
      <c r="K135" s="3">
        <v>0</v>
      </c>
      <c r="L135" s="3">
        <v>0</v>
      </c>
      <c r="M135" s="3">
        <v>0</v>
      </c>
      <c r="N135" s="3" t="s">
        <v>539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 t="s">
        <v>540</v>
      </c>
      <c r="X135" s="3">
        <v>22.99</v>
      </c>
      <c r="Y135" s="3">
        <v>22.99</v>
      </c>
      <c r="Z135" s="3">
        <v>22.99</v>
      </c>
      <c r="AA135" s="3">
        <v>0</v>
      </c>
      <c r="AB135" s="3" t="s">
        <v>541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5">
        <v>6e-6</v>
      </c>
      <c r="AJ135" s="3" t="s">
        <v>542</v>
      </c>
    </row>
    <row r="136" spans="1:36">
      <c r="A136" s="4">
        <v>43336</v>
      </c>
      <c r="B136" s="3" t="s">
        <v>966</v>
      </c>
      <c r="C136" s="3" t="s">
        <v>967</v>
      </c>
      <c r="D136" s="3" t="s">
        <v>968</v>
      </c>
      <c r="E136" s="3" t="s">
        <v>969</v>
      </c>
      <c r="F136" s="3" t="s">
        <v>538</v>
      </c>
      <c r="G136" s="3">
        <v>3</v>
      </c>
      <c r="H136" s="3">
        <v>0</v>
      </c>
      <c r="I136" s="3">
        <v>3</v>
      </c>
      <c r="J136" s="3">
        <v>0</v>
      </c>
      <c r="K136" s="3">
        <v>0</v>
      </c>
      <c r="L136" s="3">
        <v>0</v>
      </c>
      <c r="M136" s="3">
        <v>0</v>
      </c>
      <c r="N136" s="3" t="s">
        <v>539</v>
      </c>
      <c r="O136" s="3">
        <v>0</v>
      </c>
      <c r="P136" s="3">
        <v>0</v>
      </c>
      <c r="Q136" s="3">
        <v>0</v>
      </c>
      <c r="R136" s="3">
        <v>0</v>
      </c>
      <c r="S136" s="3">
        <v>1</v>
      </c>
      <c r="T136" s="3">
        <v>4</v>
      </c>
      <c r="U136" s="3">
        <v>6</v>
      </c>
      <c r="V136" s="3">
        <v>6</v>
      </c>
      <c r="W136" s="3"/>
      <c r="X136" s="3">
        <v>9</v>
      </c>
      <c r="Y136" s="3">
        <v>9</v>
      </c>
      <c r="Z136" s="3">
        <v>9</v>
      </c>
      <c r="AA136" s="3">
        <v>0</v>
      </c>
      <c r="AB136" s="3" t="s">
        <v>547</v>
      </c>
      <c r="AC136" s="3">
        <v>3</v>
      </c>
      <c r="AD136" s="3">
        <v>9</v>
      </c>
      <c r="AE136" s="3">
        <v>0</v>
      </c>
      <c r="AF136" s="3">
        <v>0</v>
      </c>
      <c r="AG136" s="3">
        <v>0</v>
      </c>
      <c r="AH136" s="3">
        <v>1.5</v>
      </c>
      <c r="AI136" s="3">
        <v>0.082968</v>
      </c>
      <c r="AJ136" s="3" t="s">
        <v>542</v>
      </c>
    </row>
    <row r="137" spans="1:36">
      <c r="A137" s="4">
        <v>43336</v>
      </c>
      <c r="B137" s="3" t="s">
        <v>970</v>
      </c>
      <c r="C137" s="3" t="s">
        <v>971</v>
      </c>
      <c r="D137" s="3" t="s">
        <v>972</v>
      </c>
      <c r="E137" s="3" t="s">
        <v>973</v>
      </c>
      <c r="F137" s="3" t="s">
        <v>538</v>
      </c>
      <c r="G137" s="3">
        <v>11</v>
      </c>
      <c r="H137" s="3">
        <v>0</v>
      </c>
      <c r="I137" s="3">
        <v>11</v>
      </c>
      <c r="J137" s="3">
        <v>0</v>
      </c>
      <c r="K137" s="3">
        <v>0</v>
      </c>
      <c r="L137" s="3">
        <v>0</v>
      </c>
      <c r="M137" s="3">
        <v>0</v>
      </c>
      <c r="N137" s="3" t="s">
        <v>539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2</v>
      </c>
      <c r="V137" s="3">
        <v>3</v>
      </c>
      <c r="W137" s="3" t="s">
        <v>553</v>
      </c>
      <c r="X137" s="3">
        <v>17.99</v>
      </c>
      <c r="Y137" s="3">
        <v>17.99</v>
      </c>
      <c r="Z137" s="3">
        <v>17.99</v>
      </c>
      <c r="AA137" s="3">
        <v>0</v>
      </c>
      <c r="AB137" s="3" t="s">
        <v>547</v>
      </c>
      <c r="AC137" s="3">
        <v>11</v>
      </c>
      <c r="AD137" s="3">
        <v>17.99</v>
      </c>
      <c r="AE137" s="3">
        <v>0</v>
      </c>
      <c r="AF137" s="3">
        <v>0</v>
      </c>
      <c r="AG137" s="3">
        <v>0</v>
      </c>
      <c r="AH137" s="3">
        <v>0.413793103448275</v>
      </c>
      <c r="AI137" s="3">
        <v>0.141196</v>
      </c>
      <c r="AJ137" s="3" t="s">
        <v>548</v>
      </c>
    </row>
    <row r="138" spans="1:36">
      <c r="A138" s="4">
        <v>43336</v>
      </c>
      <c r="B138" s="3" t="s">
        <v>87</v>
      </c>
      <c r="C138" s="3" t="s">
        <v>88</v>
      </c>
      <c r="D138" s="3" t="s">
        <v>89</v>
      </c>
      <c r="E138" s="3" t="s">
        <v>90</v>
      </c>
      <c r="F138" s="3" t="s">
        <v>538</v>
      </c>
      <c r="G138" s="3">
        <v>60</v>
      </c>
      <c r="H138" s="3">
        <v>0</v>
      </c>
      <c r="I138" s="3">
        <v>60</v>
      </c>
      <c r="J138" s="3">
        <v>0</v>
      </c>
      <c r="K138" s="3">
        <v>0</v>
      </c>
      <c r="L138" s="3">
        <v>0</v>
      </c>
      <c r="M138" s="3">
        <v>0</v>
      </c>
      <c r="N138" s="3" t="s">
        <v>539</v>
      </c>
      <c r="O138" s="3">
        <v>0</v>
      </c>
      <c r="P138" s="3">
        <v>0</v>
      </c>
      <c r="Q138" s="3">
        <v>0</v>
      </c>
      <c r="R138" s="3">
        <v>0</v>
      </c>
      <c r="S138" s="3">
        <v>4</v>
      </c>
      <c r="T138" s="3">
        <v>33</v>
      </c>
      <c r="U138" s="3">
        <v>68</v>
      </c>
      <c r="V138" s="3">
        <v>88</v>
      </c>
      <c r="W138" s="3"/>
      <c r="X138" s="3">
        <v>15.99</v>
      </c>
      <c r="Y138" s="3">
        <v>15.99</v>
      </c>
      <c r="Z138" s="3">
        <v>15.99</v>
      </c>
      <c r="AA138" s="3">
        <v>0</v>
      </c>
      <c r="AB138" s="3" t="s">
        <v>547</v>
      </c>
      <c r="AC138" s="3">
        <v>45</v>
      </c>
      <c r="AD138" s="3">
        <v>15.99</v>
      </c>
      <c r="AE138" s="3">
        <v>0</v>
      </c>
      <c r="AF138" s="3">
        <v>0</v>
      </c>
      <c r="AG138" s="3">
        <v>0</v>
      </c>
      <c r="AH138" s="3">
        <v>3.82608695652173</v>
      </c>
      <c r="AI138" s="3">
        <v>4.28304</v>
      </c>
      <c r="AJ138" s="3" t="s">
        <v>548</v>
      </c>
    </row>
    <row r="139" spans="1:36">
      <c r="A139" s="4">
        <v>43336</v>
      </c>
      <c r="B139" s="3" t="s">
        <v>974</v>
      </c>
      <c r="C139" s="3" t="s">
        <v>975</v>
      </c>
      <c r="D139" s="3" t="s">
        <v>976</v>
      </c>
      <c r="E139" s="3" t="s">
        <v>977</v>
      </c>
      <c r="F139" s="3" t="s">
        <v>538</v>
      </c>
      <c r="G139" s="3">
        <v>9</v>
      </c>
      <c r="H139" s="3">
        <v>0</v>
      </c>
      <c r="I139" s="3">
        <v>9</v>
      </c>
      <c r="J139" s="3">
        <v>0</v>
      </c>
      <c r="K139" s="3">
        <v>0</v>
      </c>
      <c r="L139" s="3">
        <v>0</v>
      </c>
      <c r="M139" s="3">
        <v>0</v>
      </c>
      <c r="N139" s="3" t="s">
        <v>539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1</v>
      </c>
      <c r="U139" s="3">
        <v>1</v>
      </c>
      <c r="V139" s="3">
        <v>1</v>
      </c>
      <c r="W139" s="3"/>
      <c r="X139" s="3">
        <v>14.99</v>
      </c>
      <c r="Y139" s="3">
        <v>14.99</v>
      </c>
      <c r="Z139" s="3">
        <v>14.99</v>
      </c>
      <c r="AA139" s="3">
        <v>0</v>
      </c>
      <c r="AB139" s="3" t="s">
        <v>562</v>
      </c>
      <c r="AC139" s="3">
        <v>1</v>
      </c>
      <c r="AD139" s="3">
        <v>11.99</v>
      </c>
      <c r="AE139" s="3">
        <v>56</v>
      </c>
      <c r="AF139" s="3">
        <v>0</v>
      </c>
      <c r="AG139" s="3">
        <v>34.462975</v>
      </c>
      <c r="AH139" s="3">
        <v>0.111111111111111</v>
      </c>
      <c r="AI139" s="3">
        <v>3.958335</v>
      </c>
      <c r="AJ139" s="3" t="s">
        <v>719</v>
      </c>
    </row>
    <row r="140" spans="1:36">
      <c r="A140" s="4">
        <v>43336</v>
      </c>
      <c r="B140" s="3" t="s">
        <v>978</v>
      </c>
      <c r="C140" s="3" t="s">
        <v>979</v>
      </c>
      <c r="D140" s="3" t="s">
        <v>980</v>
      </c>
      <c r="E140" s="3" t="s">
        <v>482</v>
      </c>
      <c r="F140" s="3" t="s">
        <v>538</v>
      </c>
      <c r="G140" s="3">
        <v>9</v>
      </c>
      <c r="H140" s="3">
        <v>0</v>
      </c>
      <c r="I140" s="3">
        <v>1</v>
      </c>
      <c r="J140" s="3">
        <v>0</v>
      </c>
      <c r="K140" s="3">
        <v>0</v>
      </c>
      <c r="L140" s="3">
        <v>8</v>
      </c>
      <c r="M140" s="3">
        <v>0</v>
      </c>
      <c r="N140" s="3" t="s">
        <v>539</v>
      </c>
      <c r="O140" s="3">
        <v>8</v>
      </c>
      <c r="P140" s="3">
        <v>2.03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2</v>
      </c>
      <c r="W140" s="3" t="s">
        <v>553</v>
      </c>
      <c r="X140" s="3">
        <v>13.99</v>
      </c>
      <c r="Y140" s="3">
        <v>13.99</v>
      </c>
      <c r="Z140" s="3">
        <v>13.99</v>
      </c>
      <c r="AA140" s="3">
        <v>0</v>
      </c>
      <c r="AB140" s="3" t="s">
        <v>547</v>
      </c>
      <c r="AC140" s="3">
        <v>9</v>
      </c>
      <c r="AD140" s="3">
        <v>13.99</v>
      </c>
      <c r="AE140" s="3">
        <v>0</v>
      </c>
      <c r="AF140" s="3">
        <v>0</v>
      </c>
      <c r="AG140" s="3">
        <v>0</v>
      </c>
      <c r="AH140" s="3">
        <v>0.216216216216216</v>
      </c>
      <c r="AI140" s="3">
        <v>0.663939</v>
      </c>
      <c r="AJ140" s="3" t="s">
        <v>596</v>
      </c>
    </row>
    <row r="141" spans="1:36">
      <c r="A141" s="4">
        <v>43336</v>
      </c>
      <c r="B141" s="3" t="s">
        <v>981</v>
      </c>
      <c r="C141" s="3" t="s">
        <v>982</v>
      </c>
      <c r="D141" s="3" t="s">
        <v>983</v>
      </c>
      <c r="E141" s="3" t="s">
        <v>984</v>
      </c>
      <c r="F141" s="3" t="s">
        <v>538</v>
      </c>
      <c r="G141" s="3">
        <v>24</v>
      </c>
      <c r="H141" s="3">
        <v>0</v>
      </c>
      <c r="I141" s="3">
        <v>2</v>
      </c>
      <c r="J141" s="3">
        <v>1</v>
      </c>
      <c r="K141" s="3">
        <v>0</v>
      </c>
      <c r="L141" s="3">
        <v>20</v>
      </c>
      <c r="M141" s="3">
        <v>1</v>
      </c>
      <c r="N141" s="3" t="s">
        <v>539</v>
      </c>
      <c r="O141" s="3">
        <v>2</v>
      </c>
      <c r="P141" s="3">
        <v>0.38</v>
      </c>
      <c r="Q141" s="3">
        <v>19</v>
      </c>
      <c r="R141" s="3">
        <v>9.5</v>
      </c>
      <c r="S141" s="3">
        <v>1</v>
      </c>
      <c r="T141" s="3">
        <v>3</v>
      </c>
      <c r="U141" s="3">
        <v>3</v>
      </c>
      <c r="V141" s="3">
        <v>5</v>
      </c>
      <c r="W141" s="3"/>
      <c r="X141" s="3">
        <v>19.99</v>
      </c>
      <c r="Y141" s="3">
        <v>19.99</v>
      </c>
      <c r="Z141" s="3">
        <v>19.99</v>
      </c>
      <c r="AA141" s="3">
        <v>0</v>
      </c>
      <c r="AB141" s="3" t="s">
        <v>547</v>
      </c>
      <c r="AC141" s="3">
        <v>24</v>
      </c>
      <c r="AD141" s="3">
        <v>19.99</v>
      </c>
      <c r="AE141" s="3">
        <v>0</v>
      </c>
      <c r="AF141" s="3">
        <v>0</v>
      </c>
      <c r="AG141" s="3">
        <v>0</v>
      </c>
      <c r="AH141" s="3">
        <v>0.192307692307692</v>
      </c>
      <c r="AI141" s="3">
        <v>1.333752</v>
      </c>
      <c r="AJ141" s="3" t="s">
        <v>548</v>
      </c>
    </row>
    <row r="142" spans="1:36">
      <c r="A142" s="4">
        <v>43336</v>
      </c>
      <c r="B142" s="3" t="s">
        <v>985</v>
      </c>
      <c r="C142" s="3" t="s">
        <v>986</v>
      </c>
      <c r="D142" s="3" t="s">
        <v>987</v>
      </c>
      <c r="E142" s="3" t="s">
        <v>988</v>
      </c>
      <c r="F142" s="3" t="s">
        <v>538</v>
      </c>
      <c r="G142" s="3">
        <v>84</v>
      </c>
      <c r="H142" s="3">
        <v>0</v>
      </c>
      <c r="I142" s="3">
        <v>84</v>
      </c>
      <c r="J142" s="3">
        <v>0</v>
      </c>
      <c r="K142" s="3">
        <v>0</v>
      </c>
      <c r="L142" s="3">
        <v>0</v>
      </c>
      <c r="M142" s="3">
        <v>0</v>
      </c>
      <c r="N142" s="3" t="s">
        <v>539</v>
      </c>
      <c r="O142" s="3">
        <v>0</v>
      </c>
      <c r="P142" s="3">
        <v>0</v>
      </c>
      <c r="Q142" s="3">
        <v>0</v>
      </c>
      <c r="R142" s="3">
        <v>0</v>
      </c>
      <c r="S142" s="3">
        <v>6</v>
      </c>
      <c r="T142" s="3">
        <v>12</v>
      </c>
      <c r="U142" s="3">
        <v>12</v>
      </c>
      <c r="V142" s="3">
        <v>12</v>
      </c>
      <c r="W142" s="3" t="s">
        <v>553</v>
      </c>
      <c r="X142" s="3">
        <v>27.99</v>
      </c>
      <c r="Y142" s="3">
        <v>27.99</v>
      </c>
      <c r="Z142" s="3">
        <v>27.99</v>
      </c>
      <c r="AA142" s="3">
        <v>0</v>
      </c>
      <c r="AB142" s="3" t="s">
        <v>562</v>
      </c>
      <c r="AC142" s="3">
        <v>0</v>
      </c>
      <c r="AD142" s="3">
        <v>25.1</v>
      </c>
      <c r="AE142" s="3">
        <v>364</v>
      </c>
      <c r="AF142" s="3">
        <v>0</v>
      </c>
      <c r="AG142" s="3">
        <v>1365.439473</v>
      </c>
      <c r="AH142" s="3">
        <v>0.13953488372093</v>
      </c>
      <c r="AI142" s="3">
        <v>2.63718</v>
      </c>
      <c r="AJ142" s="3" t="s">
        <v>596</v>
      </c>
    </row>
    <row r="143" spans="1:36">
      <c r="A143" s="4">
        <v>43336</v>
      </c>
      <c r="B143" s="3" t="s">
        <v>989</v>
      </c>
      <c r="C143" s="3" t="s">
        <v>990</v>
      </c>
      <c r="D143" s="3" t="s">
        <v>991</v>
      </c>
      <c r="E143" s="3" t="s">
        <v>19</v>
      </c>
      <c r="F143" s="3" t="s">
        <v>538</v>
      </c>
      <c r="G143" s="3">
        <v>46</v>
      </c>
      <c r="H143" s="3">
        <v>0</v>
      </c>
      <c r="I143" s="3">
        <v>46</v>
      </c>
      <c r="J143" s="3">
        <v>0</v>
      </c>
      <c r="K143" s="3">
        <v>0</v>
      </c>
      <c r="L143" s="3">
        <v>0</v>
      </c>
      <c r="M143" s="3">
        <v>0</v>
      </c>
      <c r="N143" s="3" t="s">
        <v>539</v>
      </c>
      <c r="O143" s="3">
        <v>0</v>
      </c>
      <c r="P143" s="3">
        <v>0</v>
      </c>
      <c r="Q143" s="3">
        <v>0</v>
      </c>
      <c r="R143" s="3">
        <v>0</v>
      </c>
      <c r="S143" s="3">
        <v>5</v>
      </c>
      <c r="T143" s="3">
        <v>14</v>
      </c>
      <c r="U143" s="3">
        <v>32</v>
      </c>
      <c r="V143" s="3">
        <v>42</v>
      </c>
      <c r="W143" s="3"/>
      <c r="X143" s="3">
        <v>20.99</v>
      </c>
      <c r="Y143" s="3">
        <v>15.99</v>
      </c>
      <c r="Z143" s="3">
        <v>15.99</v>
      </c>
      <c r="AA143" s="3">
        <v>0</v>
      </c>
      <c r="AB143" s="3" t="s">
        <v>562</v>
      </c>
      <c r="AC143" s="3">
        <v>12</v>
      </c>
      <c r="AD143" s="3">
        <v>9</v>
      </c>
      <c r="AE143" s="3">
        <v>42</v>
      </c>
      <c r="AF143" s="3">
        <v>0</v>
      </c>
      <c r="AG143" s="3">
        <v>251.223197</v>
      </c>
      <c r="AH143" s="3">
        <v>3.11111111111111</v>
      </c>
      <c r="AI143" s="3">
        <v>3.053112</v>
      </c>
      <c r="AJ143" s="3" t="s">
        <v>596</v>
      </c>
    </row>
    <row r="144" spans="1:36">
      <c r="A144" s="4">
        <v>43336</v>
      </c>
      <c r="B144" s="3" t="s">
        <v>463</v>
      </c>
      <c r="C144" s="3" t="s">
        <v>464</v>
      </c>
      <c r="D144" s="3" t="s">
        <v>465</v>
      </c>
      <c r="E144" s="3" t="s">
        <v>466</v>
      </c>
      <c r="F144" s="3" t="s">
        <v>538</v>
      </c>
      <c r="G144" s="3">
        <v>28</v>
      </c>
      <c r="H144" s="3">
        <v>0</v>
      </c>
      <c r="I144" s="3">
        <v>28</v>
      </c>
      <c r="J144" s="3">
        <v>0</v>
      </c>
      <c r="K144" s="3">
        <v>0</v>
      </c>
      <c r="L144" s="3">
        <v>0</v>
      </c>
      <c r="M144" s="3">
        <v>0</v>
      </c>
      <c r="N144" s="3" t="s">
        <v>539</v>
      </c>
      <c r="O144" s="3">
        <v>0</v>
      </c>
      <c r="P144" s="3">
        <v>0</v>
      </c>
      <c r="Q144" s="3">
        <v>0</v>
      </c>
      <c r="R144" s="3">
        <v>0</v>
      </c>
      <c r="S144" s="3">
        <v>2</v>
      </c>
      <c r="T144" s="3">
        <v>10</v>
      </c>
      <c r="U144" s="3">
        <v>28</v>
      </c>
      <c r="V144" s="3">
        <v>41</v>
      </c>
      <c r="W144" s="3" t="s">
        <v>553</v>
      </c>
      <c r="X144" s="3">
        <v>20</v>
      </c>
      <c r="Y144" s="3">
        <v>12.99</v>
      </c>
      <c r="Z144" s="3">
        <v>12.99</v>
      </c>
      <c r="AA144" s="3">
        <v>0</v>
      </c>
      <c r="AB144" s="3" t="s">
        <v>547</v>
      </c>
      <c r="AC144" s="3">
        <v>29</v>
      </c>
      <c r="AD144" s="3">
        <v>12.99</v>
      </c>
      <c r="AE144" s="3">
        <v>0</v>
      </c>
      <c r="AF144" s="3">
        <v>0</v>
      </c>
      <c r="AG144" s="3">
        <v>0</v>
      </c>
      <c r="AH144" s="3">
        <v>2.24657534246575</v>
      </c>
      <c r="AI144" s="3">
        <v>0.943936</v>
      </c>
      <c r="AJ144" s="3" t="s">
        <v>596</v>
      </c>
    </row>
    <row r="145" spans="1:36">
      <c r="A145" s="4">
        <v>43336</v>
      </c>
      <c r="B145" s="3" t="s">
        <v>992</v>
      </c>
      <c r="C145" s="3" t="s">
        <v>993</v>
      </c>
      <c r="D145" s="3" t="s">
        <v>994</v>
      </c>
      <c r="E145" s="3" t="s">
        <v>537</v>
      </c>
      <c r="F145" s="3" t="s">
        <v>538</v>
      </c>
      <c r="G145" s="3">
        <v>6</v>
      </c>
      <c r="H145" s="3">
        <v>0</v>
      </c>
      <c r="I145" s="3">
        <v>6</v>
      </c>
      <c r="J145" s="3">
        <v>0</v>
      </c>
      <c r="K145" s="3">
        <v>0</v>
      </c>
      <c r="L145" s="3">
        <v>0</v>
      </c>
      <c r="M145" s="3">
        <v>0</v>
      </c>
      <c r="N145" s="3" t="s">
        <v>539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540</v>
      </c>
      <c r="X145" s="3">
        <v>22.99</v>
      </c>
      <c r="Y145" s="3">
        <v>22.99</v>
      </c>
      <c r="Z145" s="3">
        <v>22.99</v>
      </c>
      <c r="AA145" s="3">
        <v>0</v>
      </c>
      <c r="AB145" s="3" t="s">
        <v>541</v>
      </c>
      <c r="AC145" s="3">
        <v>0</v>
      </c>
      <c r="AD145" s="3">
        <v>18.39</v>
      </c>
      <c r="AE145" s="3">
        <v>63</v>
      </c>
      <c r="AF145" s="3">
        <v>0</v>
      </c>
      <c r="AG145" s="3">
        <v>7.984541</v>
      </c>
      <c r="AH145" s="3">
        <v>0</v>
      </c>
      <c r="AI145" s="3">
        <v>1.036146</v>
      </c>
      <c r="AJ145" s="3" t="s">
        <v>542</v>
      </c>
    </row>
    <row r="146" spans="1:36">
      <c r="A146" s="4">
        <v>43336</v>
      </c>
      <c r="B146" s="3" t="s">
        <v>995</v>
      </c>
      <c r="C146" s="3" t="s">
        <v>996</v>
      </c>
      <c r="D146" s="3" t="s">
        <v>997</v>
      </c>
      <c r="E146" s="3" t="s">
        <v>998</v>
      </c>
      <c r="F146" s="3" t="s">
        <v>538</v>
      </c>
      <c r="G146" s="3">
        <v>35</v>
      </c>
      <c r="H146" s="3">
        <v>0</v>
      </c>
      <c r="I146" s="3">
        <v>35</v>
      </c>
      <c r="J146" s="3">
        <v>0</v>
      </c>
      <c r="K146" s="3">
        <v>0</v>
      </c>
      <c r="L146" s="3">
        <v>0</v>
      </c>
      <c r="M146" s="3">
        <v>0</v>
      </c>
      <c r="N146" s="3" t="s">
        <v>539</v>
      </c>
      <c r="O146" s="3">
        <v>0</v>
      </c>
      <c r="P146" s="3">
        <v>0</v>
      </c>
      <c r="Q146" s="3">
        <v>0</v>
      </c>
      <c r="R146" s="3">
        <v>0</v>
      </c>
      <c r="S146" s="3">
        <v>1</v>
      </c>
      <c r="T146" s="3">
        <v>9</v>
      </c>
      <c r="U146" s="3">
        <v>9</v>
      </c>
      <c r="V146" s="3">
        <v>13</v>
      </c>
      <c r="W146" s="3"/>
      <c r="X146" s="3">
        <v>13.99</v>
      </c>
      <c r="Y146" s="3">
        <v>13.99</v>
      </c>
      <c r="Z146" s="3">
        <v>13.99</v>
      </c>
      <c r="AA146" s="3">
        <v>0</v>
      </c>
      <c r="AB146" s="3" t="s">
        <v>562</v>
      </c>
      <c r="AC146" s="3">
        <v>34</v>
      </c>
      <c r="AD146" s="3">
        <v>12.22</v>
      </c>
      <c r="AE146" s="3">
        <v>7</v>
      </c>
      <c r="AF146" s="3">
        <v>0</v>
      </c>
      <c r="AG146" s="3">
        <v>0.621885</v>
      </c>
      <c r="AH146" s="3">
        <v>0.514851485148514</v>
      </c>
      <c r="AI146" s="3">
        <v>2.43299</v>
      </c>
      <c r="AJ146" s="3" t="s">
        <v>596</v>
      </c>
    </row>
    <row r="147" spans="1:36">
      <c r="A147" s="4">
        <v>43336</v>
      </c>
      <c r="B147" s="3" t="s">
        <v>999</v>
      </c>
      <c r="C147" s="3" t="s">
        <v>1000</v>
      </c>
      <c r="D147" s="3" t="s">
        <v>1001</v>
      </c>
      <c r="E147" s="3" t="s">
        <v>1002</v>
      </c>
      <c r="F147" s="3" t="s">
        <v>538</v>
      </c>
      <c r="G147" s="3">
        <v>65</v>
      </c>
      <c r="H147" s="3">
        <v>0</v>
      </c>
      <c r="I147" s="3">
        <v>65</v>
      </c>
      <c r="J147" s="3">
        <v>0</v>
      </c>
      <c r="K147" s="3">
        <v>0</v>
      </c>
      <c r="L147" s="3">
        <v>0</v>
      </c>
      <c r="M147" s="3">
        <v>0</v>
      </c>
      <c r="N147" s="3" t="s">
        <v>539</v>
      </c>
      <c r="O147" s="3">
        <v>0</v>
      </c>
      <c r="P147" s="3">
        <v>0</v>
      </c>
      <c r="Q147" s="3">
        <v>0</v>
      </c>
      <c r="R147" s="3">
        <v>0</v>
      </c>
      <c r="S147" s="3">
        <v>1</v>
      </c>
      <c r="T147" s="3">
        <v>3</v>
      </c>
      <c r="U147" s="3">
        <v>20</v>
      </c>
      <c r="V147" s="3">
        <v>27</v>
      </c>
      <c r="W147" s="3" t="s">
        <v>553</v>
      </c>
      <c r="X147" s="3">
        <v>20</v>
      </c>
      <c r="Y147" s="3">
        <v>12.99</v>
      </c>
      <c r="Z147" s="3">
        <v>12.99</v>
      </c>
      <c r="AA147" s="3">
        <v>0</v>
      </c>
      <c r="AB147" s="3" t="s">
        <v>547</v>
      </c>
      <c r="AC147" s="3">
        <v>66</v>
      </c>
      <c r="AD147" s="3">
        <v>12.99</v>
      </c>
      <c r="AE147" s="3">
        <v>0</v>
      </c>
      <c r="AF147" s="3">
        <v>0</v>
      </c>
      <c r="AG147" s="3">
        <v>0</v>
      </c>
      <c r="AH147" s="3">
        <v>0.990825688073394</v>
      </c>
      <c r="AI147" s="3">
        <v>2.19128</v>
      </c>
      <c r="AJ147" s="3" t="s">
        <v>596</v>
      </c>
    </row>
    <row r="148" spans="1:36">
      <c r="A148" s="4">
        <v>43336</v>
      </c>
      <c r="B148" s="3" t="s">
        <v>1003</v>
      </c>
      <c r="C148" s="3" t="s">
        <v>1004</v>
      </c>
      <c r="D148" s="3" t="s">
        <v>1005</v>
      </c>
      <c r="E148" s="3" t="s">
        <v>616</v>
      </c>
      <c r="F148" s="3" t="s">
        <v>538</v>
      </c>
      <c r="G148" s="3">
        <v>6</v>
      </c>
      <c r="H148" s="3">
        <v>0</v>
      </c>
      <c r="I148" s="3">
        <v>6</v>
      </c>
      <c r="J148" s="3">
        <v>0</v>
      </c>
      <c r="K148" s="3">
        <v>0</v>
      </c>
      <c r="L148" s="3">
        <v>0</v>
      </c>
      <c r="M148" s="3">
        <v>0</v>
      </c>
      <c r="N148" s="3" t="s">
        <v>539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540</v>
      </c>
      <c r="X148" s="3">
        <v>17.99</v>
      </c>
      <c r="Y148" s="3">
        <v>17.99</v>
      </c>
      <c r="Z148" s="3">
        <v>17.99</v>
      </c>
      <c r="AA148" s="3">
        <v>0</v>
      </c>
      <c r="AB148" s="3" t="s">
        <v>541</v>
      </c>
      <c r="AC148" s="3">
        <v>0</v>
      </c>
      <c r="AD148" s="3">
        <v>14.39</v>
      </c>
      <c r="AE148" s="3">
        <v>63</v>
      </c>
      <c r="AF148" s="3">
        <v>0</v>
      </c>
      <c r="AG148" s="3">
        <v>6.248103</v>
      </c>
      <c r="AH148" s="3">
        <v>0</v>
      </c>
      <c r="AI148" s="3">
        <v>0.671232</v>
      </c>
      <c r="AJ148" s="3" t="s">
        <v>542</v>
      </c>
    </row>
    <row r="149" spans="1:36">
      <c r="A149" s="4">
        <v>43336</v>
      </c>
      <c r="B149" s="3" t="s">
        <v>1006</v>
      </c>
      <c r="C149" s="3" t="s">
        <v>1007</v>
      </c>
      <c r="D149" s="3" t="s">
        <v>1008</v>
      </c>
      <c r="E149" s="3" t="s">
        <v>582</v>
      </c>
      <c r="F149" s="3" t="s">
        <v>538</v>
      </c>
      <c r="G149" s="3">
        <v>4</v>
      </c>
      <c r="H149" s="3">
        <v>0</v>
      </c>
      <c r="I149" s="3">
        <v>0</v>
      </c>
      <c r="J149" s="3">
        <v>4</v>
      </c>
      <c r="K149" s="3">
        <v>0</v>
      </c>
      <c r="L149" s="3">
        <v>0</v>
      </c>
      <c r="M149" s="3">
        <v>0</v>
      </c>
      <c r="N149" s="3" t="s">
        <v>539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540</v>
      </c>
      <c r="X149" s="3">
        <v>9.98</v>
      </c>
      <c r="Y149" s="3">
        <v>9.98</v>
      </c>
      <c r="Z149" s="3">
        <v>9.98</v>
      </c>
      <c r="AA149" s="3">
        <v>0</v>
      </c>
      <c r="AB149" s="3" t="s">
        <v>541</v>
      </c>
      <c r="AC149" s="3">
        <v>0</v>
      </c>
      <c r="AD149" s="3">
        <v>7.98</v>
      </c>
      <c r="AE149" s="3">
        <v>63</v>
      </c>
      <c r="AF149" s="3">
        <v>0</v>
      </c>
      <c r="AG149" s="3">
        <v>2.339591</v>
      </c>
      <c r="AH149" s="3">
        <v>0</v>
      </c>
      <c r="AI149" s="5">
        <v>0.000232</v>
      </c>
      <c r="AJ149" s="3" t="s">
        <v>548</v>
      </c>
    </row>
    <row r="150" spans="1:36">
      <c r="A150" s="4">
        <v>43336</v>
      </c>
      <c r="B150" s="3" t="s">
        <v>1009</v>
      </c>
      <c r="C150" s="3" t="s">
        <v>1010</v>
      </c>
      <c r="D150" s="3" t="s">
        <v>1011</v>
      </c>
      <c r="E150" s="3" t="s">
        <v>1012</v>
      </c>
      <c r="F150" s="3" t="s">
        <v>538</v>
      </c>
      <c r="G150" s="3">
        <v>1</v>
      </c>
      <c r="H150" s="3">
        <v>0</v>
      </c>
      <c r="I150" s="3">
        <v>1</v>
      </c>
      <c r="J150" s="3">
        <v>0</v>
      </c>
      <c r="K150" s="3">
        <v>0</v>
      </c>
      <c r="L150" s="3">
        <v>0</v>
      </c>
      <c r="M150" s="3">
        <v>0</v>
      </c>
      <c r="N150" s="3" t="s">
        <v>539</v>
      </c>
      <c r="O150" s="3">
        <v>0</v>
      </c>
      <c r="P150" s="3">
        <v>0</v>
      </c>
      <c r="Q150" s="3">
        <v>0</v>
      </c>
      <c r="R150" s="3">
        <v>0</v>
      </c>
      <c r="S150" s="3">
        <v>1</v>
      </c>
      <c r="T150" s="3">
        <v>5</v>
      </c>
      <c r="U150" s="3">
        <v>7</v>
      </c>
      <c r="V150" s="3">
        <v>7</v>
      </c>
      <c r="W150" s="3"/>
      <c r="X150" s="3">
        <v>10</v>
      </c>
      <c r="Y150" s="3">
        <v>10</v>
      </c>
      <c r="Z150" s="3">
        <v>10</v>
      </c>
      <c r="AA150" s="3">
        <v>0</v>
      </c>
      <c r="AB150" s="3" t="s">
        <v>547</v>
      </c>
      <c r="AC150" s="3">
        <v>2</v>
      </c>
      <c r="AD150" s="3">
        <v>10</v>
      </c>
      <c r="AE150" s="3">
        <v>0</v>
      </c>
      <c r="AF150" s="3">
        <v>0</v>
      </c>
      <c r="AG150" s="3">
        <v>0</v>
      </c>
      <c r="AH150" s="3">
        <v>1.47368421052631</v>
      </c>
      <c r="AI150" s="3">
        <v>0.058151</v>
      </c>
      <c r="AJ150" s="3" t="s">
        <v>596</v>
      </c>
    </row>
    <row r="151" spans="1:36">
      <c r="A151" s="4">
        <v>43336</v>
      </c>
      <c r="B151" s="3" t="s">
        <v>1013</v>
      </c>
      <c r="C151" s="3" t="s">
        <v>1014</v>
      </c>
      <c r="D151" s="3" t="s">
        <v>1015</v>
      </c>
      <c r="E151" s="3" t="s">
        <v>1016</v>
      </c>
      <c r="F151" s="3" t="s">
        <v>538</v>
      </c>
      <c r="G151" s="3">
        <v>3</v>
      </c>
      <c r="H151" s="3">
        <v>0</v>
      </c>
      <c r="I151" s="3">
        <v>0</v>
      </c>
      <c r="J151" s="3">
        <v>0</v>
      </c>
      <c r="K151" s="3">
        <v>3</v>
      </c>
      <c r="L151" s="3">
        <v>0</v>
      </c>
      <c r="M151" s="3">
        <v>0</v>
      </c>
      <c r="N151" s="3" t="s">
        <v>539</v>
      </c>
      <c r="O151" s="3">
        <v>3</v>
      </c>
      <c r="P151" s="3">
        <v>0.22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540</v>
      </c>
      <c r="X151" s="3">
        <v>10.99</v>
      </c>
      <c r="Y151" s="3">
        <v>10.99</v>
      </c>
      <c r="Z151" s="3">
        <v>10.99</v>
      </c>
      <c r="AA151" s="3">
        <v>0</v>
      </c>
      <c r="AB151" s="3" t="s">
        <v>562</v>
      </c>
      <c r="AC151" s="3">
        <v>0</v>
      </c>
      <c r="AD151" s="3">
        <v>8.79</v>
      </c>
      <c r="AE151" s="3">
        <v>63</v>
      </c>
      <c r="AF151" s="3">
        <v>0</v>
      </c>
      <c r="AG151" s="3">
        <v>9.730715</v>
      </c>
      <c r="AH151" s="3">
        <v>0</v>
      </c>
      <c r="AI151" s="3">
        <v>0.062499</v>
      </c>
      <c r="AJ151" s="3" t="s">
        <v>548</v>
      </c>
    </row>
    <row r="152" spans="1:36">
      <c r="A152" s="4">
        <v>43336</v>
      </c>
      <c r="B152" s="3" t="s">
        <v>212</v>
      </c>
      <c r="C152" s="3" t="s">
        <v>213</v>
      </c>
      <c r="D152" s="3" t="s">
        <v>214</v>
      </c>
      <c r="E152" s="3" t="s">
        <v>215</v>
      </c>
      <c r="F152" s="3" t="s">
        <v>538</v>
      </c>
      <c r="G152" s="3">
        <v>1</v>
      </c>
      <c r="H152" s="3">
        <v>0</v>
      </c>
      <c r="I152" s="3">
        <v>1</v>
      </c>
      <c r="J152" s="3">
        <v>0</v>
      </c>
      <c r="K152" s="3">
        <v>0</v>
      </c>
      <c r="L152" s="3">
        <v>0</v>
      </c>
      <c r="M152" s="3">
        <v>0</v>
      </c>
      <c r="N152" s="3" t="s">
        <v>539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1</v>
      </c>
      <c r="V152" s="3">
        <v>1</v>
      </c>
      <c r="W152" s="3" t="s">
        <v>540</v>
      </c>
      <c r="X152" s="3">
        <v>10</v>
      </c>
      <c r="Y152" s="3">
        <v>10</v>
      </c>
      <c r="Z152" s="3">
        <v>10</v>
      </c>
      <c r="AA152" s="3">
        <v>0</v>
      </c>
      <c r="AB152" s="3" t="s">
        <v>541</v>
      </c>
      <c r="AC152" s="3">
        <v>1</v>
      </c>
      <c r="AD152" s="3">
        <v>10</v>
      </c>
      <c r="AE152" s="3">
        <v>0</v>
      </c>
      <c r="AF152" s="3">
        <v>0</v>
      </c>
      <c r="AG152" s="3">
        <v>0</v>
      </c>
      <c r="AH152" s="3">
        <v>0.181818181818181</v>
      </c>
      <c r="AI152" s="3">
        <v>0.188081</v>
      </c>
      <c r="AJ152" s="3" t="s">
        <v>596</v>
      </c>
    </row>
    <row r="153" spans="1:36">
      <c r="A153" s="4">
        <v>43336</v>
      </c>
      <c r="B153" s="3" t="s">
        <v>1017</v>
      </c>
      <c r="C153" s="3" t="s">
        <v>1018</v>
      </c>
      <c r="D153" s="3" t="s">
        <v>1019</v>
      </c>
      <c r="E153" s="3" t="s">
        <v>1020</v>
      </c>
      <c r="F153" s="3" t="s">
        <v>538</v>
      </c>
      <c r="G153" s="3">
        <v>19</v>
      </c>
      <c r="H153" s="3">
        <v>0</v>
      </c>
      <c r="I153" s="3">
        <v>19</v>
      </c>
      <c r="J153" s="3">
        <v>0</v>
      </c>
      <c r="K153" s="3">
        <v>0</v>
      </c>
      <c r="L153" s="3">
        <v>0</v>
      </c>
      <c r="M153" s="3">
        <v>0</v>
      </c>
      <c r="N153" s="3" t="s">
        <v>539</v>
      </c>
      <c r="O153" s="3">
        <v>0</v>
      </c>
      <c r="P153" s="3">
        <v>0</v>
      </c>
      <c r="Q153" s="3">
        <v>0</v>
      </c>
      <c r="R153" s="3">
        <v>0</v>
      </c>
      <c r="S153" s="3">
        <v>1</v>
      </c>
      <c r="T153" s="3">
        <v>1</v>
      </c>
      <c r="U153" s="3">
        <v>3</v>
      </c>
      <c r="V153" s="3">
        <v>5</v>
      </c>
      <c r="W153" s="3" t="s">
        <v>553</v>
      </c>
      <c r="X153" s="3">
        <v>13.99</v>
      </c>
      <c r="Y153" s="3">
        <v>13.99</v>
      </c>
      <c r="Z153" s="3">
        <v>13.99</v>
      </c>
      <c r="AA153" s="3">
        <v>0</v>
      </c>
      <c r="AB153" s="3" t="s">
        <v>562</v>
      </c>
      <c r="AC153" s="3">
        <v>0</v>
      </c>
      <c r="AD153" s="3">
        <v>11.19</v>
      </c>
      <c r="AE153" s="3">
        <v>63</v>
      </c>
      <c r="AF153" s="3">
        <v>0</v>
      </c>
      <c r="AG153" s="3">
        <v>186.174037</v>
      </c>
      <c r="AH153" s="3">
        <v>0.476190476190476</v>
      </c>
      <c r="AI153" s="3">
        <v>1.461917</v>
      </c>
      <c r="AJ153" s="3" t="s">
        <v>596</v>
      </c>
    </row>
    <row r="154" spans="1:36">
      <c r="A154" s="4">
        <v>43336</v>
      </c>
      <c r="B154" s="3" t="s">
        <v>99</v>
      </c>
      <c r="C154" s="3" t="s">
        <v>100</v>
      </c>
      <c r="D154" s="3" t="s">
        <v>101</v>
      </c>
      <c r="E154" s="3" t="s">
        <v>102</v>
      </c>
      <c r="F154" s="3" t="s">
        <v>538</v>
      </c>
      <c r="G154" s="3">
        <v>6</v>
      </c>
      <c r="H154" s="3">
        <v>0</v>
      </c>
      <c r="I154" s="3">
        <v>0</v>
      </c>
      <c r="J154" s="3">
        <v>1</v>
      </c>
      <c r="K154" s="3">
        <v>1</v>
      </c>
      <c r="L154" s="3">
        <v>4</v>
      </c>
      <c r="M154" s="3">
        <v>0</v>
      </c>
      <c r="N154" s="3" t="s">
        <v>539</v>
      </c>
      <c r="O154" s="3">
        <v>5</v>
      </c>
      <c r="P154" s="3">
        <v>2.18</v>
      </c>
      <c r="Q154" s="3">
        <v>0</v>
      </c>
      <c r="R154" s="3">
        <v>0</v>
      </c>
      <c r="S154" s="3">
        <v>0</v>
      </c>
      <c r="T154" s="3">
        <v>1</v>
      </c>
      <c r="U154" s="3">
        <v>3</v>
      </c>
      <c r="V154" s="3">
        <v>6</v>
      </c>
      <c r="W154" s="3"/>
      <c r="X154" s="3">
        <v>35.99</v>
      </c>
      <c r="Y154" s="3">
        <v>35.99</v>
      </c>
      <c r="Z154" s="3">
        <v>35.99</v>
      </c>
      <c r="AA154" s="3">
        <v>0</v>
      </c>
      <c r="AB154" s="3" t="s">
        <v>547</v>
      </c>
      <c r="AC154" s="3">
        <v>6</v>
      </c>
      <c r="AD154" s="3">
        <v>35.99</v>
      </c>
      <c r="AE154" s="3">
        <v>0</v>
      </c>
      <c r="AF154" s="3">
        <v>0</v>
      </c>
      <c r="AG154" s="3">
        <v>0</v>
      </c>
      <c r="AH154" s="3">
        <v>0.375</v>
      </c>
      <c r="AI154" s="3">
        <v>0.757686</v>
      </c>
      <c r="AJ154" s="3" t="s">
        <v>548</v>
      </c>
    </row>
    <row r="155" spans="1:36">
      <c r="A155" s="4">
        <v>43336</v>
      </c>
      <c r="B155" s="3" t="s">
        <v>336</v>
      </c>
      <c r="C155" s="3" t="s">
        <v>337</v>
      </c>
      <c r="D155" s="3" t="s">
        <v>338</v>
      </c>
      <c r="E155" s="3" t="s">
        <v>339</v>
      </c>
      <c r="F155" s="3" t="s">
        <v>538</v>
      </c>
      <c r="G155" s="3">
        <v>22</v>
      </c>
      <c r="H155" s="3">
        <v>0</v>
      </c>
      <c r="I155" s="3">
        <v>22</v>
      </c>
      <c r="J155" s="3">
        <v>0</v>
      </c>
      <c r="K155" s="3">
        <v>0</v>
      </c>
      <c r="L155" s="3">
        <v>0</v>
      </c>
      <c r="M155" s="3">
        <v>0</v>
      </c>
      <c r="N155" s="3" t="s">
        <v>539</v>
      </c>
      <c r="O155" s="3">
        <v>0</v>
      </c>
      <c r="P155" s="3">
        <v>0</v>
      </c>
      <c r="Q155" s="3">
        <v>0</v>
      </c>
      <c r="R155" s="3">
        <v>0</v>
      </c>
      <c r="S155" s="3">
        <v>17</v>
      </c>
      <c r="T155" s="3">
        <v>34</v>
      </c>
      <c r="U155" s="3">
        <v>69</v>
      </c>
      <c r="V155" s="3">
        <v>83</v>
      </c>
      <c r="W155" s="3"/>
      <c r="X155" s="3">
        <v>13.99</v>
      </c>
      <c r="Y155" s="3">
        <v>13.99</v>
      </c>
      <c r="Z155" s="3">
        <v>13.99</v>
      </c>
      <c r="AA155" s="3">
        <v>0</v>
      </c>
      <c r="AB155" s="3" t="s">
        <v>547</v>
      </c>
      <c r="AC155" s="3">
        <v>27</v>
      </c>
      <c r="AD155" s="3">
        <v>13.99</v>
      </c>
      <c r="AE155" s="3">
        <v>0</v>
      </c>
      <c r="AF155" s="3">
        <v>0</v>
      </c>
      <c r="AG155" s="3">
        <v>0</v>
      </c>
      <c r="AH155" s="3">
        <v>7.72093023255814</v>
      </c>
      <c r="AI155" s="3">
        <v>1.529308</v>
      </c>
      <c r="AJ155" s="3" t="s">
        <v>596</v>
      </c>
    </row>
    <row r="156" spans="1:36">
      <c r="A156" s="4">
        <v>43336</v>
      </c>
      <c r="B156" s="3" t="s">
        <v>1021</v>
      </c>
      <c r="C156" s="3" t="s">
        <v>1022</v>
      </c>
      <c r="D156" s="3" t="s">
        <v>1023</v>
      </c>
      <c r="E156" s="3" t="s">
        <v>1024</v>
      </c>
      <c r="F156" s="3" t="s">
        <v>538</v>
      </c>
      <c r="G156" s="3">
        <v>9</v>
      </c>
      <c r="H156" s="3">
        <v>0</v>
      </c>
      <c r="I156" s="3">
        <v>9</v>
      </c>
      <c r="J156" s="3">
        <v>0</v>
      </c>
      <c r="K156" s="3">
        <v>0</v>
      </c>
      <c r="L156" s="3">
        <v>0</v>
      </c>
      <c r="M156" s="3">
        <v>0</v>
      </c>
      <c r="N156" s="3" t="s">
        <v>539</v>
      </c>
      <c r="O156" s="3">
        <v>0</v>
      </c>
      <c r="P156" s="3">
        <v>0</v>
      </c>
      <c r="Q156" s="3">
        <v>0</v>
      </c>
      <c r="R156" s="3">
        <v>0</v>
      </c>
      <c r="S156" s="3">
        <v>1</v>
      </c>
      <c r="T156" s="3">
        <v>1</v>
      </c>
      <c r="U156" s="3">
        <v>5</v>
      </c>
      <c r="V156" s="3">
        <v>5</v>
      </c>
      <c r="W156" s="3" t="s">
        <v>553</v>
      </c>
      <c r="X156" s="3">
        <v>15.99</v>
      </c>
      <c r="Y156" s="3">
        <v>15.99</v>
      </c>
      <c r="Z156" s="3">
        <v>15.99</v>
      </c>
      <c r="AA156" s="3">
        <v>0</v>
      </c>
      <c r="AB156" s="3" t="s">
        <v>547</v>
      </c>
      <c r="AC156" s="3">
        <v>9</v>
      </c>
      <c r="AD156" s="3">
        <v>15.99</v>
      </c>
      <c r="AE156" s="3">
        <v>0</v>
      </c>
      <c r="AF156" s="3">
        <v>0</v>
      </c>
      <c r="AG156" s="3">
        <v>0</v>
      </c>
      <c r="AH156" s="3">
        <v>1</v>
      </c>
      <c r="AI156" s="3">
        <v>0.597348</v>
      </c>
      <c r="AJ156" s="3" t="s">
        <v>596</v>
      </c>
    </row>
    <row r="157" spans="1:36">
      <c r="A157" s="4">
        <v>43336</v>
      </c>
      <c r="B157" s="3" t="s">
        <v>1025</v>
      </c>
      <c r="C157" s="3" t="s">
        <v>1026</v>
      </c>
      <c r="D157" s="3" t="s">
        <v>1027</v>
      </c>
      <c r="E157" s="3" t="s">
        <v>612</v>
      </c>
      <c r="F157" s="3" t="s">
        <v>538</v>
      </c>
      <c r="G157" s="3">
        <v>6</v>
      </c>
      <c r="H157" s="3">
        <v>0</v>
      </c>
      <c r="I157" s="3">
        <v>6</v>
      </c>
      <c r="J157" s="3">
        <v>0</v>
      </c>
      <c r="K157" s="3">
        <v>0</v>
      </c>
      <c r="L157" s="3">
        <v>0</v>
      </c>
      <c r="M157" s="3">
        <v>0</v>
      </c>
      <c r="N157" s="3" t="s">
        <v>539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540</v>
      </c>
      <c r="X157" s="3">
        <v>19.99</v>
      </c>
      <c r="Y157" s="3">
        <v>19.99</v>
      </c>
      <c r="Z157" s="3">
        <v>19.99</v>
      </c>
      <c r="AA157" s="3">
        <v>0</v>
      </c>
      <c r="AB157" s="3" t="s">
        <v>541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5">
        <v>6e-6</v>
      </c>
      <c r="AJ157" s="3" t="s">
        <v>542</v>
      </c>
    </row>
    <row r="158" spans="1:36">
      <c r="A158" s="4">
        <v>43336</v>
      </c>
      <c r="B158" s="3" t="s">
        <v>376</v>
      </c>
      <c r="C158" s="3" t="s">
        <v>377</v>
      </c>
      <c r="D158" s="3" t="s">
        <v>378</v>
      </c>
      <c r="E158" s="3" t="s">
        <v>379</v>
      </c>
      <c r="F158" s="3" t="s">
        <v>538</v>
      </c>
      <c r="G158" s="3">
        <v>10</v>
      </c>
      <c r="H158" s="3">
        <v>0</v>
      </c>
      <c r="I158" s="3">
        <v>0</v>
      </c>
      <c r="J158" s="3">
        <v>3</v>
      </c>
      <c r="K158" s="3">
        <v>3</v>
      </c>
      <c r="L158" s="3">
        <v>4</v>
      </c>
      <c r="M158" s="3">
        <v>0</v>
      </c>
      <c r="N158" s="3" t="s">
        <v>539</v>
      </c>
      <c r="O158" s="3">
        <v>8</v>
      </c>
      <c r="P158" s="3">
        <v>0.98</v>
      </c>
      <c r="Q158" s="3">
        <v>0</v>
      </c>
      <c r="R158" s="3">
        <v>0</v>
      </c>
      <c r="S158" s="3">
        <v>1</v>
      </c>
      <c r="T158" s="3">
        <v>5</v>
      </c>
      <c r="U158" s="3">
        <v>6</v>
      </c>
      <c r="V158" s="3">
        <v>7</v>
      </c>
      <c r="W158" s="3" t="s">
        <v>540</v>
      </c>
      <c r="X158" s="3">
        <v>19.99</v>
      </c>
      <c r="Y158" s="3">
        <v>19.99</v>
      </c>
      <c r="Z158" s="3">
        <v>19.99</v>
      </c>
      <c r="AA158" s="3">
        <v>0</v>
      </c>
      <c r="AB158" s="3" t="s">
        <v>541</v>
      </c>
      <c r="AC158" s="3">
        <v>10</v>
      </c>
      <c r="AD158" s="3">
        <v>19.99</v>
      </c>
      <c r="AE158" s="3">
        <v>0</v>
      </c>
      <c r="AF158" s="3">
        <v>0</v>
      </c>
      <c r="AG158" s="3">
        <v>0</v>
      </c>
      <c r="AH158" s="3">
        <v>0.482758620689655</v>
      </c>
      <c r="AI158" s="3">
        <v>0.357639999999999</v>
      </c>
      <c r="AJ158" s="3" t="s">
        <v>596</v>
      </c>
    </row>
    <row r="159" spans="1:36">
      <c r="A159" s="4">
        <v>43336</v>
      </c>
      <c r="B159" s="3" t="s">
        <v>1028</v>
      </c>
      <c r="C159" s="3" t="s">
        <v>1029</v>
      </c>
      <c r="D159" s="3" t="s">
        <v>1030</v>
      </c>
      <c r="E159" s="3" t="s">
        <v>1031</v>
      </c>
      <c r="F159" s="3" t="s">
        <v>538</v>
      </c>
      <c r="G159" s="3">
        <v>1</v>
      </c>
      <c r="H159" s="3">
        <v>0</v>
      </c>
      <c r="I159" s="3">
        <v>1</v>
      </c>
      <c r="J159" s="3">
        <v>0</v>
      </c>
      <c r="K159" s="3">
        <v>0</v>
      </c>
      <c r="L159" s="3">
        <v>0</v>
      </c>
      <c r="M159" s="3">
        <v>0</v>
      </c>
      <c r="N159" s="3" t="s">
        <v>539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553</v>
      </c>
      <c r="X159" s="3">
        <v>10.99</v>
      </c>
      <c r="Y159" s="3">
        <v>10.99</v>
      </c>
      <c r="Z159" s="3">
        <v>10.99</v>
      </c>
      <c r="AA159" s="3">
        <v>0</v>
      </c>
      <c r="AB159" s="3" t="s">
        <v>562</v>
      </c>
      <c r="AC159" s="3">
        <v>0</v>
      </c>
      <c r="AD159" s="3">
        <v>10.39</v>
      </c>
      <c r="AE159" s="3">
        <v>7</v>
      </c>
      <c r="AF159" s="3">
        <v>0</v>
      </c>
      <c r="AG159" s="3">
        <v>12.129635</v>
      </c>
      <c r="AH159" s="3">
        <v>0</v>
      </c>
      <c r="AI159" s="3">
        <v>0.059527</v>
      </c>
      <c r="AJ159" s="3" t="s">
        <v>548</v>
      </c>
    </row>
    <row r="160" spans="1:36">
      <c r="A160" s="4">
        <v>43336</v>
      </c>
      <c r="B160" s="3" t="s">
        <v>1032</v>
      </c>
      <c r="C160" s="3" t="s">
        <v>1033</v>
      </c>
      <c r="D160" s="3" t="s">
        <v>1034</v>
      </c>
      <c r="E160" s="3" t="s">
        <v>753</v>
      </c>
      <c r="F160" s="3" t="s">
        <v>538</v>
      </c>
      <c r="G160" s="3">
        <v>2</v>
      </c>
      <c r="H160" s="3">
        <v>0</v>
      </c>
      <c r="I160" s="3">
        <v>0</v>
      </c>
      <c r="J160" s="3">
        <v>0</v>
      </c>
      <c r="K160" s="3">
        <v>2</v>
      </c>
      <c r="L160" s="3">
        <v>0</v>
      </c>
      <c r="M160" s="3">
        <v>0</v>
      </c>
      <c r="N160" s="3" t="s">
        <v>539</v>
      </c>
      <c r="O160" s="3">
        <v>2</v>
      </c>
      <c r="P160" s="3">
        <v>0.62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/>
      <c r="X160" s="3"/>
      <c r="Y160" s="3"/>
      <c r="Z160" s="3">
        <v>-1</v>
      </c>
      <c r="AA160" s="3">
        <v>-1</v>
      </c>
      <c r="AB160" s="3" t="s">
        <v>595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0.181036</v>
      </c>
      <c r="AJ160" s="3" t="s">
        <v>548</v>
      </c>
    </row>
    <row r="161" spans="1:36">
      <c r="A161" s="4">
        <v>43336</v>
      </c>
      <c r="B161" s="3" t="s">
        <v>1035</v>
      </c>
      <c r="C161" s="3" t="s">
        <v>1036</v>
      </c>
      <c r="D161" s="3" t="s">
        <v>1037</v>
      </c>
      <c r="E161" s="3" t="s">
        <v>1038</v>
      </c>
      <c r="F161" s="3" t="s">
        <v>538</v>
      </c>
      <c r="G161" s="3">
        <v>4</v>
      </c>
      <c r="H161" s="3">
        <v>0</v>
      </c>
      <c r="I161" s="3">
        <v>0</v>
      </c>
      <c r="J161" s="3">
        <v>4</v>
      </c>
      <c r="K161" s="3">
        <v>0</v>
      </c>
      <c r="L161" s="3">
        <v>0</v>
      </c>
      <c r="M161" s="3">
        <v>0</v>
      </c>
      <c r="N161" s="3" t="s">
        <v>539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 t="s">
        <v>540</v>
      </c>
      <c r="X161" s="3">
        <v>9.98</v>
      </c>
      <c r="Y161" s="3">
        <v>9.98</v>
      </c>
      <c r="Z161" s="3">
        <v>9.98</v>
      </c>
      <c r="AA161" s="3">
        <v>0</v>
      </c>
      <c r="AB161" s="3" t="s">
        <v>541</v>
      </c>
      <c r="AC161" s="3">
        <v>0</v>
      </c>
      <c r="AD161" s="3">
        <v>7.98</v>
      </c>
      <c r="AE161" s="3">
        <v>63</v>
      </c>
      <c r="AF161" s="3">
        <v>0</v>
      </c>
      <c r="AG161" s="3">
        <v>2.339591</v>
      </c>
      <c r="AH161" s="3">
        <v>0</v>
      </c>
      <c r="AI161" s="5">
        <v>0.000232</v>
      </c>
      <c r="AJ161" s="3" t="s">
        <v>548</v>
      </c>
    </row>
    <row r="162" spans="1:36">
      <c r="A162" s="4">
        <v>43336</v>
      </c>
      <c r="B162" s="3" t="s">
        <v>1039</v>
      </c>
      <c r="C162" s="3" t="s">
        <v>1040</v>
      </c>
      <c r="D162" s="3" t="s">
        <v>1041</v>
      </c>
      <c r="E162" s="3" t="s">
        <v>66</v>
      </c>
      <c r="F162" s="3" t="s">
        <v>538</v>
      </c>
      <c r="G162" s="3">
        <v>14</v>
      </c>
      <c r="H162" s="3">
        <v>0</v>
      </c>
      <c r="I162" s="3">
        <v>14</v>
      </c>
      <c r="J162" s="3">
        <v>0</v>
      </c>
      <c r="K162" s="3">
        <v>0</v>
      </c>
      <c r="L162" s="3">
        <v>0</v>
      </c>
      <c r="M162" s="3">
        <v>0</v>
      </c>
      <c r="N162" s="3" t="s">
        <v>539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1</v>
      </c>
      <c r="U162" s="3">
        <v>1</v>
      </c>
      <c r="V162" s="3">
        <v>1</v>
      </c>
      <c r="W162" s="3" t="s">
        <v>540</v>
      </c>
      <c r="X162" s="3">
        <v>15.99</v>
      </c>
      <c r="Y162" s="3">
        <v>15.99</v>
      </c>
      <c r="Z162" s="3">
        <v>15.99</v>
      </c>
      <c r="AA162" s="3">
        <v>0</v>
      </c>
      <c r="AB162" s="3" t="s">
        <v>541</v>
      </c>
      <c r="AC162" s="3">
        <v>14</v>
      </c>
      <c r="AD162" s="3">
        <v>15.99</v>
      </c>
      <c r="AE162" s="3">
        <v>0</v>
      </c>
      <c r="AF162" s="3">
        <v>0</v>
      </c>
      <c r="AG162" s="3">
        <v>0</v>
      </c>
      <c r="AH162" s="3">
        <v>0.142857142857142</v>
      </c>
      <c r="AI162" s="3">
        <v>1.507338</v>
      </c>
      <c r="AJ162" s="3" t="s">
        <v>542</v>
      </c>
    </row>
    <row r="163" spans="1:36">
      <c r="A163" s="4">
        <v>43336</v>
      </c>
      <c r="B163" s="3" t="s">
        <v>1042</v>
      </c>
      <c r="C163" s="3" t="s">
        <v>1043</v>
      </c>
      <c r="D163" s="3" t="s">
        <v>1044</v>
      </c>
      <c r="E163" s="3" t="s">
        <v>1045</v>
      </c>
      <c r="F163" s="3" t="s">
        <v>538</v>
      </c>
      <c r="G163" s="3">
        <v>4</v>
      </c>
      <c r="H163" s="3">
        <v>0</v>
      </c>
      <c r="I163" s="3">
        <v>4</v>
      </c>
      <c r="J163" s="3">
        <v>0</v>
      </c>
      <c r="K163" s="3">
        <v>0</v>
      </c>
      <c r="L163" s="3">
        <v>0</v>
      </c>
      <c r="M163" s="3">
        <v>0</v>
      </c>
      <c r="N163" s="3" t="s">
        <v>539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1</v>
      </c>
      <c r="U163" s="3">
        <v>1</v>
      </c>
      <c r="V163" s="3">
        <v>1</v>
      </c>
      <c r="W163" s="3"/>
      <c r="X163" s="3">
        <v>14.99</v>
      </c>
      <c r="Y163" s="3">
        <v>14.99</v>
      </c>
      <c r="Z163" s="3">
        <v>14.99</v>
      </c>
      <c r="AA163" s="3">
        <v>0</v>
      </c>
      <c r="AB163" s="3" t="s">
        <v>547</v>
      </c>
      <c r="AC163" s="3">
        <v>4</v>
      </c>
      <c r="AD163" s="3">
        <v>14.99</v>
      </c>
      <c r="AE163" s="3">
        <v>0</v>
      </c>
      <c r="AF163" s="3">
        <v>0</v>
      </c>
      <c r="AG163" s="3">
        <v>0</v>
      </c>
      <c r="AH163" s="3">
        <v>0.25</v>
      </c>
      <c r="AI163" s="3">
        <v>1.365</v>
      </c>
      <c r="AJ163" s="3" t="s">
        <v>548</v>
      </c>
    </row>
    <row r="164" spans="1:36">
      <c r="A164" s="4">
        <v>43336</v>
      </c>
      <c r="B164" s="3" t="s">
        <v>1046</v>
      </c>
      <c r="C164" s="3" t="s">
        <v>1047</v>
      </c>
      <c r="D164" s="3" t="s">
        <v>1048</v>
      </c>
      <c r="E164" s="3" t="s">
        <v>1049</v>
      </c>
      <c r="F164" s="3" t="s">
        <v>538</v>
      </c>
      <c r="G164" s="3">
        <v>7</v>
      </c>
      <c r="H164" s="3">
        <v>0</v>
      </c>
      <c r="I164" s="3">
        <v>0</v>
      </c>
      <c r="J164" s="3">
        <v>1</v>
      </c>
      <c r="K164" s="3">
        <v>6</v>
      </c>
      <c r="L164" s="3">
        <v>0</v>
      </c>
      <c r="M164" s="3">
        <v>0</v>
      </c>
      <c r="N164" s="3" t="s">
        <v>539</v>
      </c>
      <c r="O164" s="3">
        <v>6</v>
      </c>
      <c r="P164" s="3">
        <v>0</v>
      </c>
      <c r="Q164" s="3">
        <v>0</v>
      </c>
      <c r="R164" s="3">
        <v>0</v>
      </c>
      <c r="S164" s="3">
        <v>1</v>
      </c>
      <c r="T164" s="3">
        <v>1</v>
      </c>
      <c r="U164" s="3">
        <v>1</v>
      </c>
      <c r="V164" s="3">
        <v>1</v>
      </c>
      <c r="W164" s="3" t="s">
        <v>540</v>
      </c>
      <c r="X164" s="3">
        <v>16.7</v>
      </c>
      <c r="Y164" s="3">
        <v>16.7</v>
      </c>
      <c r="Z164" s="3">
        <v>16.7</v>
      </c>
      <c r="AA164" s="3">
        <v>0</v>
      </c>
      <c r="AB164" s="3" t="s">
        <v>541</v>
      </c>
      <c r="AC164" s="3">
        <v>0</v>
      </c>
      <c r="AD164" s="3">
        <v>14.26</v>
      </c>
      <c r="AE164" s="3">
        <v>364</v>
      </c>
      <c r="AF164" s="3">
        <v>0</v>
      </c>
      <c r="AG164" s="3">
        <v>52.204885</v>
      </c>
      <c r="AH164" s="3">
        <v>0.129032258064516</v>
      </c>
      <c r="AI164" s="5">
        <v>0.000406</v>
      </c>
      <c r="AJ164" s="3" t="s">
        <v>548</v>
      </c>
    </row>
    <row r="165" spans="1:36">
      <c r="A165" s="4">
        <v>43336</v>
      </c>
      <c r="B165" s="3" t="s">
        <v>1050</v>
      </c>
      <c r="C165" s="3" t="s">
        <v>1051</v>
      </c>
      <c r="D165" s="3" t="s">
        <v>1052</v>
      </c>
      <c r="E165" s="3" t="s">
        <v>1053</v>
      </c>
      <c r="F165" s="3" t="s">
        <v>538</v>
      </c>
      <c r="G165" s="3">
        <v>6</v>
      </c>
      <c r="H165" s="3">
        <v>0</v>
      </c>
      <c r="I165" s="3">
        <v>0</v>
      </c>
      <c r="J165" s="3">
        <v>6</v>
      </c>
      <c r="K165" s="3">
        <v>0</v>
      </c>
      <c r="L165" s="3">
        <v>0</v>
      </c>
      <c r="M165" s="3">
        <v>0</v>
      </c>
      <c r="N165" s="3" t="s">
        <v>539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540</v>
      </c>
      <c r="X165" s="3">
        <v>9.99</v>
      </c>
      <c r="Y165" s="3">
        <v>9.99</v>
      </c>
      <c r="Z165" s="3">
        <v>9.99</v>
      </c>
      <c r="AA165" s="3">
        <v>0</v>
      </c>
      <c r="AB165" s="3" t="s">
        <v>541</v>
      </c>
      <c r="AC165" s="3">
        <v>0</v>
      </c>
      <c r="AD165" s="3">
        <v>7.99</v>
      </c>
      <c r="AE165" s="3">
        <v>63</v>
      </c>
      <c r="AF165" s="3">
        <v>0</v>
      </c>
      <c r="AG165" s="3">
        <v>17.506212</v>
      </c>
      <c r="AH165" s="3">
        <v>0</v>
      </c>
      <c r="AI165" s="3">
        <v>0.112152</v>
      </c>
      <c r="AJ165" s="3" t="s">
        <v>548</v>
      </c>
    </row>
    <row r="166" spans="1:36">
      <c r="A166" s="4">
        <v>43336</v>
      </c>
      <c r="B166" s="3" t="s">
        <v>1054</v>
      </c>
      <c r="C166" s="3" t="s">
        <v>1055</v>
      </c>
      <c r="D166" s="3" t="s">
        <v>1056</v>
      </c>
      <c r="E166" s="3" t="s">
        <v>1057</v>
      </c>
      <c r="F166" s="3" t="s">
        <v>538</v>
      </c>
      <c r="G166" s="3">
        <v>6</v>
      </c>
      <c r="H166" s="3">
        <v>0</v>
      </c>
      <c r="I166" s="3">
        <v>0</v>
      </c>
      <c r="J166" s="3">
        <v>6</v>
      </c>
      <c r="K166" s="3">
        <v>0</v>
      </c>
      <c r="L166" s="3">
        <v>0</v>
      </c>
      <c r="M166" s="3">
        <v>0</v>
      </c>
      <c r="N166" s="3" t="s">
        <v>539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540</v>
      </c>
      <c r="X166" s="3">
        <v>9.99</v>
      </c>
      <c r="Y166" s="3">
        <v>9.99</v>
      </c>
      <c r="Z166" s="3">
        <v>9.99</v>
      </c>
      <c r="AA166" s="3">
        <v>0</v>
      </c>
      <c r="AB166" s="3" t="s">
        <v>541</v>
      </c>
      <c r="AC166" s="3">
        <v>0</v>
      </c>
      <c r="AD166" s="3">
        <v>7.99</v>
      </c>
      <c r="AE166" s="3">
        <v>63</v>
      </c>
      <c r="AF166" s="3">
        <v>0</v>
      </c>
      <c r="AG166" s="3">
        <v>21.98843</v>
      </c>
      <c r="AH166" s="3">
        <v>0</v>
      </c>
      <c r="AI166" s="3">
        <v>0.147966</v>
      </c>
      <c r="AJ166" s="3" t="s">
        <v>548</v>
      </c>
    </row>
    <row r="167" spans="1:36">
      <c r="A167" s="4">
        <v>43336</v>
      </c>
      <c r="B167" s="3" t="s">
        <v>1058</v>
      </c>
      <c r="C167" s="3" t="s">
        <v>1059</v>
      </c>
      <c r="D167" s="3" t="s">
        <v>1060</v>
      </c>
      <c r="E167" s="3" t="s">
        <v>1061</v>
      </c>
      <c r="F167" s="3" t="s">
        <v>538</v>
      </c>
      <c r="G167" s="3">
        <v>6</v>
      </c>
      <c r="H167" s="3">
        <v>0</v>
      </c>
      <c r="I167" s="3">
        <v>6</v>
      </c>
      <c r="J167" s="3">
        <v>0</v>
      </c>
      <c r="K167" s="3">
        <v>0</v>
      </c>
      <c r="L167" s="3">
        <v>0</v>
      </c>
      <c r="M167" s="3">
        <v>0</v>
      </c>
      <c r="N167" s="3" t="s">
        <v>539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1</v>
      </c>
      <c r="U167" s="3">
        <v>1</v>
      </c>
      <c r="V167" s="3">
        <v>1</v>
      </c>
      <c r="W167" s="3" t="s">
        <v>553</v>
      </c>
      <c r="X167" s="3">
        <v>25</v>
      </c>
      <c r="Y167" s="3">
        <v>25</v>
      </c>
      <c r="Z167" s="3">
        <v>25</v>
      </c>
      <c r="AA167" s="3">
        <v>0</v>
      </c>
      <c r="AB167" s="3" t="s">
        <v>547</v>
      </c>
      <c r="AC167" s="3">
        <v>6</v>
      </c>
      <c r="AD167" s="3">
        <v>25</v>
      </c>
      <c r="AE167" s="3">
        <v>0</v>
      </c>
      <c r="AF167" s="3">
        <v>0</v>
      </c>
      <c r="AG167" s="3">
        <v>0</v>
      </c>
      <c r="AH167" s="3">
        <v>0.153846153846153</v>
      </c>
      <c r="AI167" s="5">
        <v>6e-6</v>
      </c>
      <c r="AJ167" s="3" t="s">
        <v>548</v>
      </c>
    </row>
    <row r="168" spans="1:36">
      <c r="A168" s="4">
        <v>43336</v>
      </c>
      <c r="B168" s="3" t="s">
        <v>1062</v>
      </c>
      <c r="C168" s="3" t="s">
        <v>1063</v>
      </c>
      <c r="D168" s="3" t="s">
        <v>1064</v>
      </c>
      <c r="E168" s="3" t="s">
        <v>1065</v>
      </c>
      <c r="F168" s="3" t="s">
        <v>538</v>
      </c>
      <c r="G168" s="3">
        <v>3</v>
      </c>
      <c r="H168" s="3">
        <v>0</v>
      </c>
      <c r="I168" s="3">
        <v>0</v>
      </c>
      <c r="J168" s="3">
        <v>0</v>
      </c>
      <c r="K168" s="3">
        <v>3</v>
      </c>
      <c r="L168" s="3">
        <v>0</v>
      </c>
      <c r="M168" s="3">
        <v>0</v>
      </c>
      <c r="N168" s="3" t="s">
        <v>539</v>
      </c>
      <c r="O168" s="3">
        <v>3</v>
      </c>
      <c r="P168" s="3">
        <v>0.22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540</v>
      </c>
      <c r="X168" s="3">
        <v>13.99</v>
      </c>
      <c r="Y168" s="3">
        <v>13.99</v>
      </c>
      <c r="Z168" s="3">
        <v>13.99</v>
      </c>
      <c r="AA168" s="3">
        <v>0</v>
      </c>
      <c r="AB168" s="3" t="s">
        <v>562</v>
      </c>
      <c r="AC168" s="3">
        <v>0</v>
      </c>
      <c r="AD168" s="3">
        <v>11.19</v>
      </c>
      <c r="AE168" s="3">
        <v>63</v>
      </c>
      <c r="AF168" s="3">
        <v>0</v>
      </c>
      <c r="AG168" s="3">
        <v>10.251647</v>
      </c>
      <c r="AH168" s="3">
        <v>0</v>
      </c>
      <c r="AI168" s="3">
        <v>0.062499</v>
      </c>
      <c r="AJ168" s="3" t="s">
        <v>548</v>
      </c>
    </row>
    <row r="169" spans="1:36">
      <c r="A169" s="4">
        <v>43336</v>
      </c>
      <c r="B169" s="3" t="s">
        <v>1066</v>
      </c>
      <c r="C169" s="3" t="s">
        <v>1067</v>
      </c>
      <c r="D169" s="3" t="s">
        <v>1068</v>
      </c>
      <c r="E169" s="3" t="s">
        <v>1069</v>
      </c>
      <c r="F169" s="3" t="s">
        <v>538</v>
      </c>
      <c r="G169" s="3">
        <v>1</v>
      </c>
      <c r="H169" s="3">
        <v>0</v>
      </c>
      <c r="I169" s="3">
        <v>0</v>
      </c>
      <c r="J169" s="3">
        <v>0</v>
      </c>
      <c r="K169" s="3">
        <v>0</v>
      </c>
      <c r="L169" s="3">
        <v>1</v>
      </c>
      <c r="M169" s="3">
        <v>0</v>
      </c>
      <c r="N169" s="3" t="s">
        <v>539</v>
      </c>
      <c r="O169" s="3">
        <v>1</v>
      </c>
      <c r="P169" s="3">
        <v>0.2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 t="s">
        <v>540</v>
      </c>
      <c r="X169" s="3">
        <v>9.9</v>
      </c>
      <c r="Y169" s="3">
        <v>9.9</v>
      </c>
      <c r="Z169" s="3">
        <v>9.9</v>
      </c>
      <c r="AA169" s="3">
        <v>0</v>
      </c>
      <c r="AB169" s="3" t="s">
        <v>562</v>
      </c>
      <c r="AC169" s="3">
        <v>0</v>
      </c>
      <c r="AD169" s="3">
        <v>7.92</v>
      </c>
      <c r="AE169" s="3">
        <v>63</v>
      </c>
      <c r="AF169" s="3">
        <v>0</v>
      </c>
      <c r="AG169" s="3">
        <v>8.576893</v>
      </c>
      <c r="AH169" s="3">
        <v>0</v>
      </c>
      <c r="AI169" s="3">
        <v>0.059028</v>
      </c>
      <c r="AJ169" s="3" t="s">
        <v>596</v>
      </c>
    </row>
    <row r="170" spans="1:36">
      <c r="A170" s="4">
        <v>43336</v>
      </c>
      <c r="B170" s="3" t="s">
        <v>1070</v>
      </c>
      <c r="C170" s="3" t="s">
        <v>1071</v>
      </c>
      <c r="D170" s="3" t="s">
        <v>1072</v>
      </c>
      <c r="E170" s="3" t="s">
        <v>1073</v>
      </c>
      <c r="F170" s="3" t="s">
        <v>538</v>
      </c>
      <c r="G170" s="3">
        <v>5</v>
      </c>
      <c r="H170" s="3">
        <v>0</v>
      </c>
      <c r="I170" s="3">
        <v>5</v>
      </c>
      <c r="J170" s="3">
        <v>0</v>
      </c>
      <c r="K170" s="3">
        <v>0</v>
      </c>
      <c r="L170" s="3">
        <v>0</v>
      </c>
      <c r="M170" s="3">
        <v>0</v>
      </c>
      <c r="N170" s="3" t="s">
        <v>539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0</v>
      </c>
      <c r="W170" s="3" t="s">
        <v>540</v>
      </c>
      <c r="X170" s="3">
        <v>19.99</v>
      </c>
      <c r="Y170" s="3">
        <v>19.99</v>
      </c>
      <c r="Z170" s="3">
        <v>19.99</v>
      </c>
      <c r="AA170" s="3">
        <v>0</v>
      </c>
      <c r="AB170" s="3" t="s">
        <v>651</v>
      </c>
      <c r="AC170" s="3">
        <v>5</v>
      </c>
      <c r="AD170" s="3">
        <v>19.99</v>
      </c>
      <c r="AE170" s="3">
        <v>0</v>
      </c>
      <c r="AF170" s="3">
        <v>0</v>
      </c>
      <c r="AG170" s="3">
        <v>0</v>
      </c>
      <c r="AH170" s="3">
        <v>0</v>
      </c>
      <c r="AI170" s="3">
        <v>0.683515</v>
      </c>
      <c r="AJ170" s="3" t="s">
        <v>542</v>
      </c>
    </row>
    <row r="171" spans="1:36">
      <c r="A171" s="4">
        <v>43336</v>
      </c>
      <c r="B171" s="3" t="s">
        <v>1074</v>
      </c>
      <c r="C171" s="3" t="s">
        <v>1075</v>
      </c>
      <c r="D171" s="3" t="s">
        <v>1076</v>
      </c>
      <c r="E171" s="3" t="s">
        <v>1077</v>
      </c>
      <c r="F171" s="3" t="s">
        <v>538</v>
      </c>
      <c r="G171" s="3">
        <v>1</v>
      </c>
      <c r="H171" s="3">
        <v>0</v>
      </c>
      <c r="I171" s="3">
        <v>1</v>
      </c>
      <c r="J171" s="3">
        <v>0</v>
      </c>
      <c r="K171" s="3">
        <v>0</v>
      </c>
      <c r="L171" s="3">
        <v>0</v>
      </c>
      <c r="M171" s="3">
        <v>0</v>
      </c>
      <c r="N171" s="3" t="s">
        <v>539</v>
      </c>
      <c r="O171" s="3">
        <v>0</v>
      </c>
      <c r="P171" s="3">
        <v>0</v>
      </c>
      <c r="Q171" s="3">
        <v>0</v>
      </c>
      <c r="R171" s="3">
        <v>0</v>
      </c>
      <c r="S171" s="3">
        <v>1</v>
      </c>
      <c r="T171" s="3">
        <v>1</v>
      </c>
      <c r="U171" s="3">
        <v>4</v>
      </c>
      <c r="V171" s="3">
        <v>6</v>
      </c>
      <c r="W171" s="3" t="s">
        <v>553</v>
      </c>
      <c r="X171" s="3">
        <v>14.99</v>
      </c>
      <c r="Y171" s="3">
        <v>14.99</v>
      </c>
      <c r="Z171" s="3">
        <v>14.99</v>
      </c>
      <c r="AA171" s="3">
        <v>0</v>
      </c>
      <c r="AB171" s="3" t="s">
        <v>547</v>
      </c>
      <c r="AC171" s="3">
        <v>1</v>
      </c>
      <c r="AD171" s="3">
        <v>14.99</v>
      </c>
      <c r="AE171" s="3">
        <v>0</v>
      </c>
      <c r="AF171" s="3">
        <v>0</v>
      </c>
      <c r="AG171" s="3">
        <v>0</v>
      </c>
      <c r="AH171" s="3">
        <v>2.4</v>
      </c>
      <c r="AI171" s="3">
        <v>0.058151</v>
      </c>
      <c r="AJ171" s="3" t="s">
        <v>596</v>
      </c>
    </row>
    <row r="172" spans="1:36">
      <c r="A172" s="4">
        <v>43336</v>
      </c>
      <c r="B172" s="3" t="s">
        <v>1078</v>
      </c>
      <c r="C172" s="3" t="s">
        <v>1079</v>
      </c>
      <c r="D172" s="3" t="s">
        <v>1080</v>
      </c>
      <c r="E172" s="3" t="s">
        <v>1081</v>
      </c>
      <c r="F172" s="3" t="s">
        <v>538</v>
      </c>
      <c r="G172" s="3">
        <v>30</v>
      </c>
      <c r="H172" s="3">
        <v>0</v>
      </c>
      <c r="I172" s="3">
        <v>30</v>
      </c>
      <c r="J172" s="3">
        <v>0</v>
      </c>
      <c r="K172" s="3">
        <v>0</v>
      </c>
      <c r="L172" s="3">
        <v>0</v>
      </c>
      <c r="M172" s="3">
        <v>0</v>
      </c>
      <c r="N172" s="3" t="s">
        <v>539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5</v>
      </c>
      <c r="U172" s="3">
        <v>7</v>
      </c>
      <c r="V172" s="3">
        <v>9</v>
      </c>
      <c r="W172" s="3"/>
      <c r="X172" s="3">
        <v>13.99</v>
      </c>
      <c r="Y172" s="3">
        <v>13.99</v>
      </c>
      <c r="Z172" s="3">
        <v>13.99</v>
      </c>
      <c r="AA172" s="3">
        <v>0</v>
      </c>
      <c r="AB172" s="3" t="s">
        <v>547</v>
      </c>
      <c r="AC172" s="3">
        <v>30</v>
      </c>
      <c r="AD172" s="3">
        <v>13.99</v>
      </c>
      <c r="AE172" s="3">
        <v>0</v>
      </c>
      <c r="AF172" s="3">
        <v>0</v>
      </c>
      <c r="AG172" s="3">
        <v>0</v>
      </c>
      <c r="AH172" s="3">
        <v>0.4</v>
      </c>
      <c r="AI172" s="3">
        <v>2.30829</v>
      </c>
      <c r="AJ172" s="3" t="s">
        <v>596</v>
      </c>
    </row>
    <row r="173" spans="1:36">
      <c r="A173" s="4">
        <v>43336</v>
      </c>
      <c r="B173" s="3" t="s">
        <v>1082</v>
      </c>
      <c r="C173" s="3" t="s">
        <v>1083</v>
      </c>
      <c r="D173" s="3" t="s">
        <v>1084</v>
      </c>
      <c r="E173" s="3" t="s">
        <v>757</v>
      </c>
      <c r="F173" s="3" t="s">
        <v>538</v>
      </c>
      <c r="G173" s="3">
        <v>6</v>
      </c>
      <c r="H173" s="3">
        <v>0</v>
      </c>
      <c r="I173" s="3">
        <v>6</v>
      </c>
      <c r="J173" s="3">
        <v>0</v>
      </c>
      <c r="K173" s="3">
        <v>0</v>
      </c>
      <c r="L173" s="3">
        <v>0</v>
      </c>
      <c r="M173" s="3">
        <v>0</v>
      </c>
      <c r="N173" s="3" t="s">
        <v>539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540</v>
      </c>
      <c r="X173" s="3">
        <v>19.99</v>
      </c>
      <c r="Y173" s="3">
        <v>19.99</v>
      </c>
      <c r="Z173" s="3">
        <v>19.99</v>
      </c>
      <c r="AA173" s="3">
        <v>0</v>
      </c>
      <c r="AB173" s="3" t="s">
        <v>541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0.906833999999999</v>
      </c>
      <c r="AJ173" s="3" t="s">
        <v>542</v>
      </c>
    </row>
    <row r="174" spans="1:36">
      <c r="A174" s="4">
        <v>43336</v>
      </c>
      <c r="B174" s="3" t="s">
        <v>1085</v>
      </c>
      <c r="C174" s="3" t="s">
        <v>1086</v>
      </c>
      <c r="D174" s="3" t="s">
        <v>1087</v>
      </c>
      <c r="E174" s="3" t="s">
        <v>753</v>
      </c>
      <c r="F174" s="3" t="s">
        <v>538</v>
      </c>
      <c r="G174" s="3">
        <v>13</v>
      </c>
      <c r="H174" s="3">
        <v>0</v>
      </c>
      <c r="I174" s="3">
        <v>0</v>
      </c>
      <c r="J174" s="3">
        <v>0</v>
      </c>
      <c r="K174" s="3">
        <v>13</v>
      </c>
      <c r="L174" s="3">
        <v>0</v>
      </c>
      <c r="M174" s="3">
        <v>0</v>
      </c>
      <c r="N174" s="3" t="s">
        <v>539</v>
      </c>
      <c r="O174" s="3">
        <v>13</v>
      </c>
      <c r="P174" s="3">
        <v>4.07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/>
      <c r="X174" s="3"/>
      <c r="Y174" s="3"/>
      <c r="Z174" s="3">
        <v>-1</v>
      </c>
      <c r="AA174" s="3">
        <v>-1</v>
      </c>
      <c r="AB174" s="3" t="s">
        <v>595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1.179919</v>
      </c>
      <c r="AJ174" s="3" t="s">
        <v>548</v>
      </c>
    </row>
    <row r="175" spans="1:36">
      <c r="A175" s="4">
        <v>43336</v>
      </c>
      <c r="B175" s="3" t="s">
        <v>1088</v>
      </c>
      <c r="C175" s="3" t="s">
        <v>1089</v>
      </c>
      <c r="D175" s="3" t="s">
        <v>1090</v>
      </c>
      <c r="E175" s="3" t="s">
        <v>1091</v>
      </c>
      <c r="F175" s="3" t="s">
        <v>538</v>
      </c>
      <c r="G175" s="3">
        <v>5</v>
      </c>
      <c r="H175" s="3">
        <v>0</v>
      </c>
      <c r="I175" s="3">
        <v>0</v>
      </c>
      <c r="J175" s="3">
        <v>0</v>
      </c>
      <c r="K175" s="3">
        <v>0</v>
      </c>
      <c r="L175" s="3">
        <v>5</v>
      </c>
      <c r="M175" s="3">
        <v>0</v>
      </c>
      <c r="N175" s="3" t="s">
        <v>539</v>
      </c>
      <c r="O175" s="3">
        <v>5</v>
      </c>
      <c r="P175" s="3">
        <v>0.25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540</v>
      </c>
      <c r="X175" s="3">
        <v>21</v>
      </c>
      <c r="Y175" s="3">
        <v>21</v>
      </c>
      <c r="Z175" s="3">
        <v>21</v>
      </c>
      <c r="AA175" s="3">
        <v>0</v>
      </c>
      <c r="AB175" s="3" t="s">
        <v>562</v>
      </c>
      <c r="AC175" s="3">
        <v>0</v>
      </c>
      <c r="AD175" s="3">
        <v>16.8</v>
      </c>
      <c r="AE175" s="3">
        <v>63</v>
      </c>
      <c r="AF175" s="3">
        <v>0</v>
      </c>
      <c r="AG175" s="3">
        <v>15.688515</v>
      </c>
      <c r="AH175" s="3">
        <v>0</v>
      </c>
      <c r="AI175" s="3">
        <v>0.07063</v>
      </c>
      <c r="AJ175" s="3" t="s">
        <v>548</v>
      </c>
    </row>
    <row r="176" spans="1:36">
      <c r="A176" s="4">
        <v>43336</v>
      </c>
      <c r="B176" s="3" t="s">
        <v>1092</v>
      </c>
      <c r="C176" s="3" t="s">
        <v>1093</v>
      </c>
      <c r="D176" s="3" t="s">
        <v>1094</v>
      </c>
      <c r="E176" s="3" t="s">
        <v>1095</v>
      </c>
      <c r="F176" s="3" t="s">
        <v>538</v>
      </c>
      <c r="G176" s="3">
        <v>79</v>
      </c>
      <c r="H176" s="3">
        <v>0</v>
      </c>
      <c r="I176" s="3">
        <v>79</v>
      </c>
      <c r="J176" s="3">
        <v>0</v>
      </c>
      <c r="K176" s="3">
        <v>0</v>
      </c>
      <c r="L176" s="3">
        <v>0</v>
      </c>
      <c r="M176" s="3">
        <v>0</v>
      </c>
      <c r="N176" s="3" t="s">
        <v>539</v>
      </c>
      <c r="O176" s="3">
        <v>0</v>
      </c>
      <c r="P176" s="3">
        <v>0</v>
      </c>
      <c r="Q176" s="3">
        <v>0</v>
      </c>
      <c r="R176" s="3">
        <v>0</v>
      </c>
      <c r="S176" s="3">
        <v>3</v>
      </c>
      <c r="T176" s="3">
        <v>22</v>
      </c>
      <c r="U176" s="3">
        <v>22</v>
      </c>
      <c r="V176" s="3">
        <v>22</v>
      </c>
      <c r="W176" s="3"/>
      <c r="X176" s="3">
        <v>12.99</v>
      </c>
      <c r="Y176" s="3">
        <v>12.99</v>
      </c>
      <c r="Z176" s="3">
        <v>12.99</v>
      </c>
      <c r="AA176" s="3">
        <v>0</v>
      </c>
      <c r="AB176" s="3" t="s">
        <v>547</v>
      </c>
      <c r="AC176" s="3">
        <v>40</v>
      </c>
      <c r="AD176" s="3">
        <v>12.99</v>
      </c>
      <c r="AE176" s="3">
        <v>0</v>
      </c>
      <c r="AF176" s="3">
        <v>0</v>
      </c>
      <c r="AG176" s="3">
        <v>0</v>
      </c>
      <c r="AH176" s="3">
        <v>0.6875</v>
      </c>
      <c r="AI176" s="3">
        <v>3.302674</v>
      </c>
      <c r="AJ176" s="3" t="s">
        <v>548</v>
      </c>
    </row>
    <row r="177" spans="1:36">
      <c r="A177" s="4">
        <v>43336</v>
      </c>
      <c r="B177" s="3" t="s">
        <v>179</v>
      </c>
      <c r="C177" s="3" t="s">
        <v>180</v>
      </c>
      <c r="D177" s="3" t="s">
        <v>181</v>
      </c>
      <c r="E177" s="3" t="s">
        <v>142</v>
      </c>
      <c r="F177" s="3" t="s">
        <v>538</v>
      </c>
      <c r="G177" s="3">
        <v>93</v>
      </c>
      <c r="H177" s="3">
        <v>0</v>
      </c>
      <c r="I177" s="3">
        <v>93</v>
      </c>
      <c r="J177" s="3">
        <v>0</v>
      </c>
      <c r="K177" s="3">
        <v>0</v>
      </c>
      <c r="L177" s="3">
        <v>0</v>
      </c>
      <c r="M177" s="3">
        <v>0</v>
      </c>
      <c r="N177" s="3" t="s">
        <v>539</v>
      </c>
      <c r="O177" s="3">
        <v>0</v>
      </c>
      <c r="P177" s="3">
        <v>0</v>
      </c>
      <c r="Q177" s="3">
        <v>0</v>
      </c>
      <c r="R177" s="3">
        <v>0</v>
      </c>
      <c r="S177" s="3">
        <v>21</v>
      </c>
      <c r="T177" s="3">
        <v>103</v>
      </c>
      <c r="U177" s="3">
        <v>149</v>
      </c>
      <c r="V177" s="3">
        <v>206</v>
      </c>
      <c r="W177" s="3" t="s">
        <v>553</v>
      </c>
      <c r="X177" s="3">
        <v>22.99</v>
      </c>
      <c r="Y177" s="3">
        <v>22.99</v>
      </c>
      <c r="Z177" s="3">
        <v>22.99</v>
      </c>
      <c r="AA177" s="3">
        <v>0</v>
      </c>
      <c r="AB177" s="3" t="s">
        <v>547</v>
      </c>
      <c r="AC177" s="3">
        <v>19</v>
      </c>
      <c r="AD177" s="3">
        <v>22.99</v>
      </c>
      <c r="AE177" s="3">
        <v>0</v>
      </c>
      <c r="AF177" s="3">
        <v>0</v>
      </c>
      <c r="AG177" s="3">
        <v>0</v>
      </c>
      <c r="AH177" s="3">
        <v>5.60544217687074</v>
      </c>
      <c r="AI177" s="3">
        <v>2.91973499999999</v>
      </c>
      <c r="AJ177" s="3" t="s">
        <v>596</v>
      </c>
    </row>
    <row r="178" spans="1:36">
      <c r="A178" s="4">
        <v>43336</v>
      </c>
      <c r="B178" s="3" t="s">
        <v>1096</v>
      </c>
      <c r="C178" s="3" t="s">
        <v>1097</v>
      </c>
      <c r="D178" s="3" t="s">
        <v>1098</v>
      </c>
      <c r="E178" s="3" t="s">
        <v>1099</v>
      </c>
      <c r="F178" s="3" t="s">
        <v>538</v>
      </c>
      <c r="G178" s="3">
        <v>21</v>
      </c>
      <c r="H178" s="3">
        <v>0</v>
      </c>
      <c r="I178" s="3">
        <v>21</v>
      </c>
      <c r="J178" s="3">
        <v>0</v>
      </c>
      <c r="K178" s="3">
        <v>0</v>
      </c>
      <c r="L178" s="3">
        <v>0</v>
      </c>
      <c r="M178" s="3">
        <v>0</v>
      </c>
      <c r="N178" s="3" t="s">
        <v>539</v>
      </c>
      <c r="O178" s="3">
        <v>0</v>
      </c>
      <c r="P178" s="3">
        <v>0</v>
      </c>
      <c r="Q178" s="3">
        <v>0</v>
      </c>
      <c r="R178" s="3">
        <v>0</v>
      </c>
      <c r="S178" s="3">
        <v>1</v>
      </c>
      <c r="T178" s="3">
        <v>7</v>
      </c>
      <c r="U178" s="3">
        <v>15</v>
      </c>
      <c r="V178" s="3">
        <v>20</v>
      </c>
      <c r="W178" s="3" t="s">
        <v>553</v>
      </c>
      <c r="X178" s="3">
        <v>12.99</v>
      </c>
      <c r="Y178" s="3">
        <v>12.99</v>
      </c>
      <c r="Z178" s="3">
        <v>12.99</v>
      </c>
      <c r="AA178" s="3">
        <v>0</v>
      </c>
      <c r="AB178" s="3" t="s">
        <v>547</v>
      </c>
      <c r="AC178" s="3">
        <v>21</v>
      </c>
      <c r="AD178" s="3">
        <v>12.99</v>
      </c>
      <c r="AE178" s="3">
        <v>0</v>
      </c>
      <c r="AF178" s="3">
        <v>0</v>
      </c>
      <c r="AG178" s="3">
        <v>0</v>
      </c>
      <c r="AH178" s="3">
        <v>1.06666666666666</v>
      </c>
      <c r="AI178" s="3">
        <v>0.707952</v>
      </c>
      <c r="AJ178" s="3" t="s">
        <v>596</v>
      </c>
    </row>
    <row r="179" spans="1:36">
      <c r="A179" s="4">
        <v>43336</v>
      </c>
      <c r="B179" s="3" t="s">
        <v>1100</v>
      </c>
      <c r="C179" s="3" t="s">
        <v>1101</v>
      </c>
      <c r="D179" s="3" t="s">
        <v>1102</v>
      </c>
      <c r="E179" s="3" t="s">
        <v>1103</v>
      </c>
      <c r="F179" s="3" t="s">
        <v>538</v>
      </c>
      <c r="G179" s="3">
        <v>28</v>
      </c>
      <c r="H179" s="3">
        <v>0</v>
      </c>
      <c r="I179" s="3">
        <v>0</v>
      </c>
      <c r="J179" s="3">
        <v>0</v>
      </c>
      <c r="K179" s="3">
        <v>28</v>
      </c>
      <c r="L179" s="3">
        <v>0</v>
      </c>
      <c r="M179" s="3">
        <v>0</v>
      </c>
      <c r="N179" s="3" t="s">
        <v>539</v>
      </c>
      <c r="O179" s="3">
        <v>28</v>
      </c>
      <c r="P179" s="3">
        <v>3.77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540</v>
      </c>
      <c r="X179" s="3">
        <v>22.9</v>
      </c>
      <c r="Y179" s="3">
        <v>22.9</v>
      </c>
      <c r="Z179" s="3">
        <v>22.9</v>
      </c>
      <c r="AA179" s="3">
        <v>0</v>
      </c>
      <c r="AB179" s="3" t="s">
        <v>541</v>
      </c>
      <c r="AC179" s="3">
        <v>0</v>
      </c>
      <c r="AD179" s="3">
        <v>18.95</v>
      </c>
      <c r="AE179" s="3">
        <v>364</v>
      </c>
      <c r="AF179" s="3">
        <v>0</v>
      </c>
      <c r="AG179" s="3">
        <v>394.864356</v>
      </c>
      <c r="AH179" s="3">
        <v>0</v>
      </c>
      <c r="AI179" s="3">
        <v>1.094436</v>
      </c>
      <c r="AJ179" s="3" t="s">
        <v>596</v>
      </c>
    </row>
    <row r="180" spans="1:36">
      <c r="A180" s="4">
        <v>43336</v>
      </c>
      <c r="B180" s="3" t="s">
        <v>1104</v>
      </c>
      <c r="C180" s="3" t="s">
        <v>1105</v>
      </c>
      <c r="D180" s="3" t="s">
        <v>1106</v>
      </c>
      <c r="E180" s="3" t="s">
        <v>815</v>
      </c>
      <c r="F180" s="3" t="s">
        <v>538</v>
      </c>
      <c r="G180" s="3">
        <v>6</v>
      </c>
      <c r="H180" s="3">
        <v>0</v>
      </c>
      <c r="I180" s="3">
        <v>6</v>
      </c>
      <c r="J180" s="3">
        <v>0</v>
      </c>
      <c r="K180" s="3">
        <v>0</v>
      </c>
      <c r="L180" s="3">
        <v>0</v>
      </c>
      <c r="M180" s="3">
        <v>0</v>
      </c>
      <c r="N180" s="3" t="s">
        <v>539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540</v>
      </c>
      <c r="X180" s="3">
        <v>22.99</v>
      </c>
      <c r="Y180" s="3">
        <v>22.99</v>
      </c>
      <c r="Z180" s="3">
        <v>22.99</v>
      </c>
      <c r="AA180" s="3">
        <v>0</v>
      </c>
      <c r="AB180" s="3" t="s">
        <v>541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0.811188</v>
      </c>
      <c r="AJ180" s="3" t="s">
        <v>542</v>
      </c>
    </row>
    <row r="181" spans="1:36">
      <c r="A181" s="4">
        <v>43336</v>
      </c>
      <c r="B181" s="3" t="s">
        <v>1107</v>
      </c>
      <c r="C181" s="3" t="s">
        <v>1108</v>
      </c>
      <c r="D181" s="3" t="s">
        <v>1109</v>
      </c>
      <c r="E181" s="3" t="s">
        <v>612</v>
      </c>
      <c r="F181" s="3" t="s">
        <v>538</v>
      </c>
      <c r="G181" s="3">
        <v>4</v>
      </c>
      <c r="H181" s="3">
        <v>0</v>
      </c>
      <c r="I181" s="3">
        <v>4</v>
      </c>
      <c r="J181" s="3">
        <v>0</v>
      </c>
      <c r="K181" s="3">
        <v>0</v>
      </c>
      <c r="L181" s="3">
        <v>0</v>
      </c>
      <c r="M181" s="3">
        <v>0</v>
      </c>
      <c r="N181" s="3" t="s">
        <v>539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1</v>
      </c>
      <c r="U181" s="3">
        <v>1</v>
      </c>
      <c r="V181" s="3">
        <v>1</v>
      </c>
      <c r="W181" s="3" t="s">
        <v>540</v>
      </c>
      <c r="X181" s="3">
        <v>15.99</v>
      </c>
      <c r="Y181" s="3">
        <v>15.99</v>
      </c>
      <c r="Z181" s="3">
        <v>15.99</v>
      </c>
      <c r="AA181" s="3">
        <v>0</v>
      </c>
      <c r="AB181" s="3" t="s">
        <v>651</v>
      </c>
      <c r="AC181" s="3">
        <v>4</v>
      </c>
      <c r="AD181" s="3">
        <v>15.99</v>
      </c>
      <c r="AE181" s="3">
        <v>0</v>
      </c>
      <c r="AF181" s="3">
        <v>0</v>
      </c>
      <c r="AG181" s="3">
        <v>0</v>
      </c>
      <c r="AH181" s="3">
        <v>0.5</v>
      </c>
      <c r="AI181" s="3">
        <v>0.664916</v>
      </c>
      <c r="AJ181" s="3" t="s">
        <v>542</v>
      </c>
    </row>
    <row r="182" spans="1:36">
      <c r="A182" s="4">
        <v>43336</v>
      </c>
      <c r="B182" s="3" t="s">
        <v>455</v>
      </c>
      <c r="C182" s="3" t="s">
        <v>456</v>
      </c>
      <c r="D182" s="3" t="s">
        <v>457</v>
      </c>
      <c r="E182" s="3" t="s">
        <v>458</v>
      </c>
      <c r="F182" s="3" t="s">
        <v>538</v>
      </c>
      <c r="G182" s="3">
        <v>51</v>
      </c>
      <c r="H182" s="3">
        <v>0</v>
      </c>
      <c r="I182" s="3">
        <v>51</v>
      </c>
      <c r="J182" s="3">
        <v>0</v>
      </c>
      <c r="K182" s="3">
        <v>0</v>
      </c>
      <c r="L182" s="3">
        <v>0</v>
      </c>
      <c r="M182" s="3">
        <v>0</v>
      </c>
      <c r="N182" s="3" t="s">
        <v>539</v>
      </c>
      <c r="O182" s="3">
        <v>0</v>
      </c>
      <c r="P182" s="3">
        <v>0</v>
      </c>
      <c r="Q182" s="3">
        <v>0</v>
      </c>
      <c r="R182" s="3">
        <v>0</v>
      </c>
      <c r="S182" s="3">
        <v>23</v>
      </c>
      <c r="T182" s="3">
        <v>73</v>
      </c>
      <c r="U182" s="3">
        <v>118</v>
      </c>
      <c r="V182" s="3">
        <v>184</v>
      </c>
      <c r="W182" s="3" t="s">
        <v>553</v>
      </c>
      <c r="X182" s="3">
        <v>49.99</v>
      </c>
      <c r="Y182" s="3">
        <v>22.9</v>
      </c>
      <c r="Z182" s="3">
        <v>22.9</v>
      </c>
      <c r="AA182" s="3">
        <v>0</v>
      </c>
      <c r="AB182" s="3" t="s">
        <v>547</v>
      </c>
      <c r="AC182" s="3">
        <v>29</v>
      </c>
      <c r="AD182" s="3">
        <v>22.9</v>
      </c>
      <c r="AE182" s="3">
        <v>0</v>
      </c>
      <c r="AF182" s="3">
        <v>0</v>
      </c>
      <c r="AG182" s="3">
        <v>0</v>
      </c>
      <c r="AH182" s="3">
        <v>2.80916030534351</v>
      </c>
      <c r="AI182" s="3">
        <v>4.571997</v>
      </c>
      <c r="AJ182" s="3" t="s">
        <v>596</v>
      </c>
    </row>
    <row r="183" spans="1:36">
      <c r="A183" s="4">
        <v>43336</v>
      </c>
      <c r="B183" s="3" t="s">
        <v>1110</v>
      </c>
      <c r="C183" s="3" t="s">
        <v>1111</v>
      </c>
      <c r="D183" s="3" t="s">
        <v>1112</v>
      </c>
      <c r="E183" s="3" t="s">
        <v>1113</v>
      </c>
      <c r="F183" s="3" t="s">
        <v>538</v>
      </c>
      <c r="G183" s="3">
        <v>2</v>
      </c>
      <c r="H183" s="3">
        <v>0</v>
      </c>
      <c r="I183" s="3">
        <v>0</v>
      </c>
      <c r="J183" s="3">
        <v>2</v>
      </c>
      <c r="K183" s="3">
        <v>0</v>
      </c>
      <c r="L183" s="3">
        <v>0</v>
      </c>
      <c r="M183" s="3">
        <v>0</v>
      </c>
      <c r="N183" s="3" t="s">
        <v>539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3</v>
      </c>
      <c r="U183" s="3">
        <v>5</v>
      </c>
      <c r="V183" s="3">
        <v>8</v>
      </c>
      <c r="W183" s="3" t="s">
        <v>540</v>
      </c>
      <c r="X183" s="3">
        <v>22.99</v>
      </c>
      <c r="Y183" s="3">
        <v>22.99</v>
      </c>
      <c r="Z183" s="3">
        <v>22.99</v>
      </c>
      <c r="AA183" s="3">
        <v>0</v>
      </c>
      <c r="AB183" s="3" t="s">
        <v>541</v>
      </c>
      <c r="AC183" s="3">
        <v>2</v>
      </c>
      <c r="AD183" s="3">
        <v>22.99</v>
      </c>
      <c r="AE183" s="3">
        <v>0</v>
      </c>
      <c r="AF183" s="3">
        <v>0</v>
      </c>
      <c r="AG183" s="3">
        <v>0</v>
      </c>
      <c r="AH183" s="3">
        <v>1.33333333333333</v>
      </c>
      <c r="AI183" s="3">
        <v>0.518518</v>
      </c>
      <c r="AJ183" s="3" t="s">
        <v>548</v>
      </c>
    </row>
    <row r="184" spans="1:36">
      <c r="A184" s="4">
        <v>43336</v>
      </c>
      <c r="B184" s="3" t="s">
        <v>1114</v>
      </c>
      <c r="C184" s="3" t="s">
        <v>1115</v>
      </c>
      <c r="D184" s="3" t="s">
        <v>1116</v>
      </c>
      <c r="E184" s="3" t="s">
        <v>1117</v>
      </c>
      <c r="F184" s="3" t="s">
        <v>538</v>
      </c>
      <c r="G184" s="3">
        <v>5</v>
      </c>
      <c r="H184" s="3">
        <v>0</v>
      </c>
      <c r="I184" s="3">
        <v>5</v>
      </c>
      <c r="J184" s="3">
        <v>0</v>
      </c>
      <c r="K184" s="3">
        <v>0</v>
      </c>
      <c r="L184" s="3">
        <v>0</v>
      </c>
      <c r="M184" s="3">
        <v>0</v>
      </c>
      <c r="N184" s="3" t="s">
        <v>539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1</v>
      </c>
      <c r="V184" s="3">
        <v>4</v>
      </c>
      <c r="W184" s="3" t="s">
        <v>540</v>
      </c>
      <c r="X184" s="3">
        <v>18.99</v>
      </c>
      <c r="Y184" s="3">
        <v>18.99</v>
      </c>
      <c r="Z184" s="3">
        <v>18.99</v>
      </c>
      <c r="AA184" s="3">
        <v>0</v>
      </c>
      <c r="AB184" s="3" t="s">
        <v>541</v>
      </c>
      <c r="AC184" s="3">
        <v>0</v>
      </c>
      <c r="AD184" s="3">
        <v>10.35</v>
      </c>
      <c r="AE184" s="3">
        <v>35</v>
      </c>
      <c r="AF184" s="3">
        <v>0</v>
      </c>
      <c r="AG184" s="3">
        <v>27.870331</v>
      </c>
      <c r="AH184" s="3">
        <v>1.6</v>
      </c>
      <c r="AI184" s="3">
        <v>0.32986</v>
      </c>
      <c r="AJ184" s="3" t="s">
        <v>548</v>
      </c>
    </row>
    <row r="185" spans="1:36">
      <c r="A185" s="4">
        <v>43336</v>
      </c>
      <c r="B185" s="3" t="s">
        <v>1118</v>
      </c>
      <c r="C185" s="3" t="s">
        <v>1119</v>
      </c>
      <c r="D185" s="3" t="s">
        <v>1120</v>
      </c>
      <c r="E185" s="3" t="s">
        <v>1121</v>
      </c>
      <c r="F185" s="3" t="s">
        <v>538</v>
      </c>
      <c r="G185" s="3">
        <v>4</v>
      </c>
      <c r="H185" s="3">
        <v>0</v>
      </c>
      <c r="I185" s="3">
        <v>4</v>
      </c>
      <c r="J185" s="3">
        <v>0</v>
      </c>
      <c r="K185" s="3">
        <v>0</v>
      </c>
      <c r="L185" s="3">
        <v>0</v>
      </c>
      <c r="M185" s="3">
        <v>0</v>
      </c>
      <c r="N185" s="3" t="s">
        <v>539</v>
      </c>
      <c r="O185" s="3">
        <v>0</v>
      </c>
      <c r="P185" s="3">
        <v>0</v>
      </c>
      <c r="Q185" s="3">
        <v>0</v>
      </c>
      <c r="R185" s="3">
        <v>0</v>
      </c>
      <c r="S185" s="3">
        <v>1</v>
      </c>
      <c r="T185" s="3">
        <v>1</v>
      </c>
      <c r="U185" s="3">
        <v>4</v>
      </c>
      <c r="V185" s="3">
        <v>4</v>
      </c>
      <c r="W185" s="3" t="s">
        <v>553</v>
      </c>
      <c r="X185" s="3">
        <v>12.99</v>
      </c>
      <c r="Y185" s="3">
        <v>10</v>
      </c>
      <c r="Z185" s="3">
        <v>10</v>
      </c>
      <c r="AA185" s="3">
        <v>0</v>
      </c>
      <c r="AB185" s="3" t="s">
        <v>547</v>
      </c>
      <c r="AC185" s="3">
        <v>4</v>
      </c>
      <c r="AD185" s="3">
        <v>10</v>
      </c>
      <c r="AE185" s="3">
        <v>0</v>
      </c>
      <c r="AF185" s="3">
        <v>0</v>
      </c>
      <c r="AG185" s="3">
        <v>0</v>
      </c>
      <c r="AH185" s="3">
        <v>0.8</v>
      </c>
      <c r="AI185" s="3">
        <v>0.232604</v>
      </c>
      <c r="AJ185" s="3" t="s">
        <v>596</v>
      </c>
    </row>
    <row r="186" spans="1:36">
      <c r="A186" s="4">
        <v>43336</v>
      </c>
      <c r="B186" s="3" t="s">
        <v>1122</v>
      </c>
      <c r="C186" s="3" t="s">
        <v>1123</v>
      </c>
      <c r="D186" s="3" t="s">
        <v>1124</v>
      </c>
      <c r="E186" s="3" t="s">
        <v>1125</v>
      </c>
      <c r="F186" s="3" t="s">
        <v>538</v>
      </c>
      <c r="G186" s="3">
        <v>6</v>
      </c>
      <c r="H186" s="3">
        <v>0</v>
      </c>
      <c r="I186" s="3">
        <v>6</v>
      </c>
      <c r="J186" s="3">
        <v>0</v>
      </c>
      <c r="K186" s="3">
        <v>0</v>
      </c>
      <c r="L186" s="3">
        <v>0</v>
      </c>
      <c r="M186" s="3">
        <v>0</v>
      </c>
      <c r="N186" s="3" t="s">
        <v>539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1</v>
      </c>
      <c r="W186" s="3" t="s">
        <v>540</v>
      </c>
      <c r="X186" s="3">
        <v>17.99</v>
      </c>
      <c r="Y186" s="3">
        <v>17.99</v>
      </c>
      <c r="Z186" s="3">
        <v>17.99</v>
      </c>
      <c r="AA186" s="3">
        <v>0</v>
      </c>
      <c r="AB186" s="3" t="s">
        <v>541</v>
      </c>
      <c r="AC186" s="3">
        <v>0</v>
      </c>
      <c r="AD186" s="3">
        <v>14.61</v>
      </c>
      <c r="AE186" s="3">
        <v>189</v>
      </c>
      <c r="AF186" s="3">
        <v>0</v>
      </c>
      <c r="AG186" s="3">
        <v>196.430693</v>
      </c>
      <c r="AH186" s="3">
        <v>0.4</v>
      </c>
      <c r="AI186" s="3">
        <v>1.36111199999999</v>
      </c>
      <c r="AJ186" s="3" t="s">
        <v>548</v>
      </c>
    </row>
    <row r="187" spans="1:36">
      <c r="A187" s="4">
        <v>43336</v>
      </c>
      <c r="B187" s="3" t="s">
        <v>1126</v>
      </c>
      <c r="C187" s="3" t="s">
        <v>1127</v>
      </c>
      <c r="D187" s="3" t="s">
        <v>1128</v>
      </c>
      <c r="E187" s="3" t="s">
        <v>1129</v>
      </c>
      <c r="F187" s="3" t="s">
        <v>538</v>
      </c>
      <c r="G187" s="3">
        <v>9</v>
      </c>
      <c r="H187" s="3">
        <v>0</v>
      </c>
      <c r="I187" s="3">
        <v>9</v>
      </c>
      <c r="J187" s="3">
        <v>0</v>
      </c>
      <c r="K187" s="3">
        <v>0</v>
      </c>
      <c r="L187" s="3">
        <v>0</v>
      </c>
      <c r="M187" s="3">
        <v>0</v>
      </c>
      <c r="N187" s="3" t="s">
        <v>539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1</v>
      </c>
      <c r="U187" s="3">
        <v>2</v>
      </c>
      <c r="V187" s="3">
        <v>4</v>
      </c>
      <c r="W187" s="3"/>
      <c r="X187" s="3">
        <v>30.99</v>
      </c>
      <c r="Y187" s="3">
        <v>30.99</v>
      </c>
      <c r="Z187" s="3">
        <v>30.99</v>
      </c>
      <c r="AA187" s="3">
        <v>0</v>
      </c>
      <c r="AB187" s="3" t="s">
        <v>547</v>
      </c>
      <c r="AC187" s="3">
        <v>9</v>
      </c>
      <c r="AD187" s="3">
        <v>30.99</v>
      </c>
      <c r="AE187" s="3">
        <v>0</v>
      </c>
      <c r="AF187" s="3">
        <v>0</v>
      </c>
      <c r="AG187" s="3">
        <v>0</v>
      </c>
      <c r="AH187" s="3">
        <v>0.64</v>
      </c>
      <c r="AI187" s="3">
        <v>0.0375029999999999</v>
      </c>
      <c r="AJ187" s="3" t="s">
        <v>548</v>
      </c>
    </row>
    <row r="188" spans="1:36">
      <c r="A188" s="4">
        <v>43336</v>
      </c>
      <c r="B188" s="3" t="s">
        <v>236</v>
      </c>
      <c r="C188" s="3" t="s">
        <v>237</v>
      </c>
      <c r="D188" s="3" t="s">
        <v>238</v>
      </c>
      <c r="E188" s="3" t="s">
        <v>239</v>
      </c>
      <c r="F188" s="3" t="s">
        <v>538</v>
      </c>
      <c r="G188" s="3">
        <v>6</v>
      </c>
      <c r="H188" s="3">
        <v>0</v>
      </c>
      <c r="I188" s="3">
        <v>6</v>
      </c>
      <c r="J188" s="3">
        <v>0</v>
      </c>
      <c r="K188" s="3">
        <v>0</v>
      </c>
      <c r="L188" s="3">
        <v>0</v>
      </c>
      <c r="M188" s="3">
        <v>0</v>
      </c>
      <c r="N188" s="3" t="s">
        <v>539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5</v>
      </c>
      <c r="U188" s="3">
        <v>11</v>
      </c>
      <c r="V188" s="3">
        <v>14</v>
      </c>
      <c r="W188" s="3" t="s">
        <v>553</v>
      </c>
      <c r="X188" s="3">
        <v>22.9</v>
      </c>
      <c r="Y188" s="3">
        <v>22.9</v>
      </c>
      <c r="Z188" s="3">
        <v>22.9</v>
      </c>
      <c r="AA188" s="3">
        <v>0</v>
      </c>
      <c r="AB188" s="3" t="s">
        <v>547</v>
      </c>
      <c r="AC188" s="3">
        <v>1</v>
      </c>
      <c r="AD188" s="3">
        <v>22.9</v>
      </c>
      <c r="AE188" s="3">
        <v>0</v>
      </c>
      <c r="AF188" s="3">
        <v>0</v>
      </c>
      <c r="AG188" s="3">
        <v>0</v>
      </c>
      <c r="AH188" s="3">
        <v>0.875</v>
      </c>
      <c r="AI188" s="3">
        <v>0.540311999999999</v>
      </c>
      <c r="AJ188" s="3" t="s">
        <v>548</v>
      </c>
    </row>
    <row r="189" spans="1:36">
      <c r="A189" s="4">
        <v>43336</v>
      </c>
      <c r="B189" s="3" t="s">
        <v>1130</v>
      </c>
      <c r="C189" s="3" t="s">
        <v>1131</v>
      </c>
      <c r="D189" s="3" t="s">
        <v>1132</v>
      </c>
      <c r="E189" s="3" t="s">
        <v>1133</v>
      </c>
      <c r="F189" s="3" t="s">
        <v>538</v>
      </c>
      <c r="G189" s="3">
        <v>5</v>
      </c>
      <c r="H189" s="3">
        <v>0</v>
      </c>
      <c r="I189" s="3">
        <v>0</v>
      </c>
      <c r="J189" s="3">
        <v>0</v>
      </c>
      <c r="K189" s="3">
        <v>4</v>
      </c>
      <c r="L189" s="3">
        <v>0</v>
      </c>
      <c r="M189" s="3">
        <v>1</v>
      </c>
      <c r="N189" s="3" t="s">
        <v>539</v>
      </c>
      <c r="O189" s="3">
        <v>4</v>
      </c>
      <c r="P189" s="3">
        <v>0.24</v>
      </c>
      <c r="Q189" s="3">
        <v>1</v>
      </c>
      <c r="R189" s="3">
        <v>0.5</v>
      </c>
      <c r="S189" s="3">
        <v>0</v>
      </c>
      <c r="T189" s="3">
        <v>0</v>
      </c>
      <c r="U189" s="3">
        <v>0</v>
      </c>
      <c r="V189" s="3">
        <v>0</v>
      </c>
      <c r="W189" s="3" t="s">
        <v>553</v>
      </c>
      <c r="X189" s="3">
        <v>9.9</v>
      </c>
      <c r="Y189" s="3">
        <v>9.9</v>
      </c>
      <c r="Z189" s="3">
        <v>9.9</v>
      </c>
      <c r="AA189" s="3">
        <v>0</v>
      </c>
      <c r="AB189" s="3" t="s">
        <v>562</v>
      </c>
      <c r="AC189" s="3">
        <v>0</v>
      </c>
      <c r="AD189" s="3">
        <v>8.72</v>
      </c>
      <c r="AE189" s="3">
        <v>322</v>
      </c>
      <c r="AF189" s="3">
        <v>0</v>
      </c>
      <c r="AG189" s="3">
        <v>27.11082</v>
      </c>
      <c r="AH189" s="3">
        <v>0</v>
      </c>
      <c r="AI189" s="3">
        <v>0.086805</v>
      </c>
      <c r="AJ189" s="3" t="s">
        <v>548</v>
      </c>
    </row>
    <row r="190" spans="1:36">
      <c r="A190" s="4">
        <v>43336</v>
      </c>
      <c r="B190" s="3" t="s">
        <v>1134</v>
      </c>
      <c r="C190" s="3" t="s">
        <v>1135</v>
      </c>
      <c r="D190" s="3" t="s">
        <v>1136</v>
      </c>
      <c r="E190" s="3" t="s">
        <v>582</v>
      </c>
      <c r="F190" s="3" t="s">
        <v>538</v>
      </c>
      <c r="G190" s="3">
        <v>4</v>
      </c>
      <c r="H190" s="3">
        <v>0</v>
      </c>
      <c r="I190" s="3">
        <v>0</v>
      </c>
      <c r="J190" s="3">
        <v>4</v>
      </c>
      <c r="K190" s="3">
        <v>0</v>
      </c>
      <c r="L190" s="3">
        <v>0</v>
      </c>
      <c r="M190" s="3">
        <v>0</v>
      </c>
      <c r="N190" s="3" t="s">
        <v>539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540</v>
      </c>
      <c r="X190" s="3">
        <v>11.98</v>
      </c>
      <c r="Y190" s="3">
        <v>11.98</v>
      </c>
      <c r="Z190" s="3">
        <v>11.98</v>
      </c>
      <c r="AA190" s="3">
        <v>0</v>
      </c>
      <c r="AB190" s="3" t="s">
        <v>541</v>
      </c>
      <c r="AC190" s="3">
        <v>0</v>
      </c>
      <c r="AD190" s="3">
        <v>9.58</v>
      </c>
      <c r="AE190" s="3">
        <v>63</v>
      </c>
      <c r="AF190" s="3">
        <v>0</v>
      </c>
      <c r="AG190" s="3">
        <v>2.802641</v>
      </c>
      <c r="AH190" s="3">
        <v>0</v>
      </c>
      <c r="AI190" s="5">
        <v>0.000232</v>
      </c>
      <c r="AJ190" s="3" t="s">
        <v>548</v>
      </c>
    </row>
    <row r="191" spans="1:36">
      <c r="A191" s="4">
        <v>43336</v>
      </c>
      <c r="B191" s="3" t="s">
        <v>1137</v>
      </c>
      <c r="C191" s="3" t="s">
        <v>1138</v>
      </c>
      <c r="D191" s="3" t="s">
        <v>1139</v>
      </c>
      <c r="E191" s="3" t="s">
        <v>1140</v>
      </c>
      <c r="F191" s="3" t="s">
        <v>538</v>
      </c>
      <c r="G191" s="3">
        <v>8</v>
      </c>
      <c r="H191" s="3">
        <v>0</v>
      </c>
      <c r="I191" s="3">
        <v>0</v>
      </c>
      <c r="J191" s="3">
        <v>8</v>
      </c>
      <c r="K191" s="3">
        <v>0</v>
      </c>
      <c r="L191" s="3">
        <v>0</v>
      </c>
      <c r="M191" s="3">
        <v>0</v>
      </c>
      <c r="N191" s="3" t="s">
        <v>539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1</v>
      </c>
      <c r="V191" s="3">
        <v>1</v>
      </c>
      <c r="W191" s="3" t="s">
        <v>553</v>
      </c>
      <c r="X191" s="3">
        <v>29.9</v>
      </c>
      <c r="Y191" s="3">
        <v>29.9</v>
      </c>
      <c r="Z191" s="3">
        <v>29.9</v>
      </c>
      <c r="AA191" s="3">
        <v>0</v>
      </c>
      <c r="AB191" s="3" t="s">
        <v>547</v>
      </c>
      <c r="AC191" s="3">
        <v>8</v>
      </c>
      <c r="AD191" s="3">
        <v>29.9</v>
      </c>
      <c r="AE191" s="3">
        <v>0</v>
      </c>
      <c r="AF191" s="3">
        <v>0</v>
      </c>
      <c r="AG191" s="3">
        <v>0</v>
      </c>
      <c r="AH191" s="3">
        <v>0.117647058823529</v>
      </c>
      <c r="AI191" s="3">
        <v>0.738888</v>
      </c>
      <c r="AJ191" s="3" t="s">
        <v>548</v>
      </c>
    </row>
    <row r="192" spans="1:36">
      <c r="A192" s="4">
        <v>43336</v>
      </c>
      <c r="B192" s="3" t="s">
        <v>1141</v>
      </c>
      <c r="C192" s="3" t="s">
        <v>1142</v>
      </c>
      <c r="D192" s="3" t="s">
        <v>1143</v>
      </c>
      <c r="E192" s="3" t="s">
        <v>590</v>
      </c>
      <c r="F192" s="3" t="s">
        <v>538</v>
      </c>
      <c r="G192" s="3">
        <v>2</v>
      </c>
      <c r="H192" s="3">
        <v>0</v>
      </c>
      <c r="I192" s="3">
        <v>2</v>
      </c>
      <c r="J192" s="3">
        <v>0</v>
      </c>
      <c r="K192" s="3">
        <v>0</v>
      </c>
      <c r="L192" s="3">
        <v>0</v>
      </c>
      <c r="M192" s="3">
        <v>0</v>
      </c>
      <c r="N192" s="3" t="s">
        <v>539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540</v>
      </c>
      <c r="X192" s="3">
        <v>19.99</v>
      </c>
      <c r="Y192" s="3">
        <v>19.99</v>
      </c>
      <c r="Z192" s="3">
        <v>19.99</v>
      </c>
      <c r="AA192" s="3">
        <v>0</v>
      </c>
      <c r="AB192" s="3" t="s">
        <v>541</v>
      </c>
      <c r="AC192" s="3">
        <v>0</v>
      </c>
      <c r="AD192" s="3">
        <v>15.99</v>
      </c>
      <c r="AE192" s="3">
        <v>63</v>
      </c>
      <c r="AF192" s="3">
        <v>0</v>
      </c>
      <c r="AG192" s="3">
        <v>2.314226</v>
      </c>
      <c r="AH192" s="3">
        <v>0</v>
      </c>
      <c r="AI192" s="3">
        <v>0.360434</v>
      </c>
      <c r="AJ192" s="3" t="s">
        <v>542</v>
      </c>
    </row>
    <row r="193" spans="1:36">
      <c r="A193" s="4">
        <v>43336</v>
      </c>
      <c r="B193" s="3" t="s">
        <v>1144</v>
      </c>
      <c r="C193" s="3" t="s">
        <v>1145</v>
      </c>
      <c r="D193" s="3" t="s">
        <v>1146</v>
      </c>
      <c r="E193" s="3" t="s">
        <v>1147</v>
      </c>
      <c r="F193" s="3" t="s">
        <v>538</v>
      </c>
      <c r="G193" s="3">
        <v>2</v>
      </c>
      <c r="H193" s="3">
        <v>0</v>
      </c>
      <c r="I193" s="3">
        <v>2</v>
      </c>
      <c r="J193" s="3">
        <v>0</v>
      </c>
      <c r="K193" s="3">
        <v>0</v>
      </c>
      <c r="L193" s="3">
        <v>0</v>
      </c>
      <c r="M193" s="3">
        <v>0</v>
      </c>
      <c r="N193" s="3" t="s">
        <v>539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3</v>
      </c>
      <c r="U193" s="3">
        <v>3</v>
      </c>
      <c r="V193" s="3">
        <v>5</v>
      </c>
      <c r="W193" s="3" t="s">
        <v>540</v>
      </c>
      <c r="X193" s="3">
        <v>22.7</v>
      </c>
      <c r="Y193" s="3">
        <v>22.7</v>
      </c>
      <c r="Z193" s="3">
        <v>22.7</v>
      </c>
      <c r="AA193" s="3">
        <v>0</v>
      </c>
      <c r="AB193" s="3" t="s">
        <v>541</v>
      </c>
      <c r="AC193" s="3">
        <v>0</v>
      </c>
      <c r="AD193" s="3">
        <v>0</v>
      </c>
      <c r="AE193" s="3">
        <v>0</v>
      </c>
      <c r="AF193" s="3">
        <v>0</v>
      </c>
      <c r="AG193" s="3">
        <v>0</v>
      </c>
      <c r="AH193" s="3">
        <v>1.33333333333333</v>
      </c>
      <c r="AI193" s="3">
        <v>0.04662</v>
      </c>
      <c r="AJ193" s="3" t="s">
        <v>596</v>
      </c>
    </row>
    <row r="194" spans="1:36">
      <c r="A194" s="4">
        <v>43336</v>
      </c>
      <c r="B194" s="3" t="s">
        <v>1148</v>
      </c>
      <c r="C194" s="3" t="s">
        <v>1149</v>
      </c>
      <c r="D194" s="3" t="s">
        <v>1150</v>
      </c>
      <c r="E194" s="3" t="s">
        <v>1151</v>
      </c>
      <c r="F194" s="3" t="s">
        <v>538</v>
      </c>
      <c r="G194" s="3">
        <v>20</v>
      </c>
      <c r="H194" s="3">
        <v>0</v>
      </c>
      <c r="I194" s="3">
        <v>20</v>
      </c>
      <c r="J194" s="3">
        <v>0</v>
      </c>
      <c r="K194" s="3">
        <v>0</v>
      </c>
      <c r="L194" s="3">
        <v>0</v>
      </c>
      <c r="M194" s="3">
        <v>0</v>
      </c>
      <c r="N194" s="3" t="s">
        <v>539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6</v>
      </c>
      <c r="U194" s="3">
        <v>12</v>
      </c>
      <c r="V194" s="3">
        <v>14</v>
      </c>
      <c r="W194" s="3"/>
      <c r="X194" s="3">
        <v>13.99</v>
      </c>
      <c r="Y194" s="3">
        <v>13.99</v>
      </c>
      <c r="Z194" s="3">
        <v>13.99</v>
      </c>
      <c r="AA194" s="3">
        <v>0</v>
      </c>
      <c r="AB194" s="3" t="s">
        <v>547</v>
      </c>
      <c r="AC194" s="3">
        <v>20</v>
      </c>
      <c r="AD194" s="3">
        <v>13.99</v>
      </c>
      <c r="AE194" s="3">
        <v>0</v>
      </c>
      <c r="AF194" s="3">
        <v>0</v>
      </c>
      <c r="AG194" s="3">
        <v>0</v>
      </c>
      <c r="AH194" s="3">
        <v>1</v>
      </c>
      <c r="AI194" s="3">
        <v>1.39028</v>
      </c>
      <c r="AJ194" s="3" t="s">
        <v>596</v>
      </c>
    </row>
    <row r="195" spans="1:36">
      <c r="A195" s="4">
        <v>43336</v>
      </c>
      <c r="B195" s="3" t="s">
        <v>1152</v>
      </c>
      <c r="C195" s="3" t="s">
        <v>1153</v>
      </c>
      <c r="D195" s="3" t="s">
        <v>1154</v>
      </c>
      <c r="E195" s="3" t="s">
        <v>1155</v>
      </c>
      <c r="F195" s="3" t="s">
        <v>538</v>
      </c>
      <c r="G195" s="3">
        <v>2</v>
      </c>
      <c r="H195" s="3">
        <v>0</v>
      </c>
      <c r="I195" s="3">
        <v>0</v>
      </c>
      <c r="J195" s="3">
        <v>0</v>
      </c>
      <c r="K195" s="3">
        <v>2</v>
      </c>
      <c r="L195" s="3">
        <v>0</v>
      </c>
      <c r="M195" s="3">
        <v>0</v>
      </c>
      <c r="N195" s="3" t="s">
        <v>539</v>
      </c>
      <c r="O195" s="3">
        <v>2</v>
      </c>
      <c r="P195" s="3">
        <v>0.27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 t="s">
        <v>540</v>
      </c>
      <c r="X195" s="3">
        <v>22.9</v>
      </c>
      <c r="Y195" s="3">
        <v>22.9</v>
      </c>
      <c r="Z195" s="3">
        <v>22.9</v>
      </c>
      <c r="AA195" s="3">
        <v>0</v>
      </c>
      <c r="AB195" s="3" t="s">
        <v>562</v>
      </c>
      <c r="AC195" s="3">
        <v>0</v>
      </c>
      <c r="AD195" s="3">
        <v>17.99</v>
      </c>
      <c r="AE195" s="3">
        <v>63</v>
      </c>
      <c r="AF195" s="3">
        <v>0</v>
      </c>
      <c r="AG195" s="3">
        <v>13.276332</v>
      </c>
      <c r="AH195" s="3">
        <v>0</v>
      </c>
      <c r="AI195" s="3">
        <v>0.078174</v>
      </c>
      <c r="AJ195" s="3" t="s">
        <v>596</v>
      </c>
    </row>
    <row r="196" spans="1:36">
      <c r="A196" s="4">
        <v>43336</v>
      </c>
      <c r="B196" s="3" t="s">
        <v>1156</v>
      </c>
      <c r="C196" s="3" t="s">
        <v>1157</v>
      </c>
      <c r="D196" s="3" t="s">
        <v>1158</v>
      </c>
      <c r="E196" s="3" t="s">
        <v>582</v>
      </c>
      <c r="F196" s="3" t="s">
        <v>538</v>
      </c>
      <c r="G196" s="3">
        <v>4</v>
      </c>
      <c r="H196" s="3">
        <v>0</v>
      </c>
      <c r="I196" s="3">
        <v>0</v>
      </c>
      <c r="J196" s="3">
        <v>4</v>
      </c>
      <c r="K196" s="3">
        <v>0</v>
      </c>
      <c r="L196" s="3">
        <v>0</v>
      </c>
      <c r="M196" s="3">
        <v>0</v>
      </c>
      <c r="N196" s="3" t="s">
        <v>539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540</v>
      </c>
      <c r="X196" s="3">
        <v>11.98</v>
      </c>
      <c r="Y196" s="3">
        <v>11.98</v>
      </c>
      <c r="Z196" s="3">
        <v>11.98</v>
      </c>
      <c r="AA196" s="3">
        <v>0</v>
      </c>
      <c r="AB196" s="3" t="s">
        <v>541</v>
      </c>
      <c r="AC196" s="3">
        <v>0</v>
      </c>
      <c r="AD196" s="3">
        <v>9.58</v>
      </c>
      <c r="AE196" s="3">
        <v>63</v>
      </c>
      <c r="AF196" s="3">
        <v>0</v>
      </c>
      <c r="AG196" s="3">
        <v>2.802641</v>
      </c>
      <c r="AH196" s="3">
        <v>0</v>
      </c>
      <c r="AI196" s="5">
        <v>0.000232</v>
      </c>
      <c r="AJ196" s="3" t="s">
        <v>548</v>
      </c>
    </row>
    <row r="197" spans="1:36">
      <c r="A197" s="4">
        <v>43336</v>
      </c>
      <c r="B197" s="3" t="s">
        <v>408</v>
      </c>
      <c r="C197" s="3" t="s">
        <v>409</v>
      </c>
      <c r="D197" s="3" t="s">
        <v>410</v>
      </c>
      <c r="E197" s="3" t="s">
        <v>411</v>
      </c>
      <c r="F197" s="3" t="s">
        <v>538</v>
      </c>
      <c r="G197" s="3">
        <v>8</v>
      </c>
      <c r="H197" s="3">
        <v>0</v>
      </c>
      <c r="I197" s="3">
        <v>8</v>
      </c>
      <c r="J197" s="3">
        <v>0</v>
      </c>
      <c r="K197" s="3">
        <v>0</v>
      </c>
      <c r="L197" s="3">
        <v>0</v>
      </c>
      <c r="M197" s="3">
        <v>0</v>
      </c>
      <c r="N197" s="3" t="s">
        <v>539</v>
      </c>
      <c r="O197" s="3">
        <v>0</v>
      </c>
      <c r="P197" s="3">
        <v>0</v>
      </c>
      <c r="Q197" s="3">
        <v>0</v>
      </c>
      <c r="R197" s="3">
        <v>0</v>
      </c>
      <c r="S197" s="3">
        <v>4</v>
      </c>
      <c r="T197" s="3">
        <v>22</v>
      </c>
      <c r="U197" s="3">
        <v>35</v>
      </c>
      <c r="V197" s="3">
        <v>56</v>
      </c>
      <c r="W197" s="3"/>
      <c r="X197" s="3">
        <v>9.99</v>
      </c>
      <c r="Y197" s="3">
        <v>9.99</v>
      </c>
      <c r="Z197" s="3">
        <v>9.99</v>
      </c>
      <c r="AA197" s="3">
        <v>0</v>
      </c>
      <c r="AB197" s="3" t="s">
        <v>547</v>
      </c>
      <c r="AC197" s="3">
        <v>7</v>
      </c>
      <c r="AD197" s="3">
        <v>9.99</v>
      </c>
      <c r="AE197" s="3">
        <v>0</v>
      </c>
      <c r="AF197" s="3">
        <v>0</v>
      </c>
      <c r="AG197" s="3">
        <v>0</v>
      </c>
      <c r="AH197" s="3">
        <v>7.72413793103448</v>
      </c>
      <c r="AI197" s="3">
        <v>0.49128</v>
      </c>
      <c r="AJ197" s="3" t="s">
        <v>548</v>
      </c>
    </row>
    <row r="198" spans="1:36">
      <c r="A198" s="4">
        <v>43336</v>
      </c>
      <c r="B198" s="3" t="s">
        <v>1159</v>
      </c>
      <c r="C198" s="3" t="s">
        <v>1160</v>
      </c>
      <c r="D198" s="3" t="s">
        <v>1161</v>
      </c>
      <c r="E198" s="3" t="s">
        <v>849</v>
      </c>
      <c r="F198" s="3" t="s">
        <v>538</v>
      </c>
      <c r="G198" s="3">
        <v>6</v>
      </c>
      <c r="H198" s="3">
        <v>0</v>
      </c>
      <c r="I198" s="3">
        <v>6</v>
      </c>
      <c r="J198" s="3">
        <v>0</v>
      </c>
      <c r="K198" s="3">
        <v>0</v>
      </c>
      <c r="L198" s="3">
        <v>0</v>
      </c>
      <c r="M198" s="3">
        <v>0</v>
      </c>
      <c r="N198" s="3" t="s">
        <v>539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 t="s">
        <v>540</v>
      </c>
      <c r="X198" s="3">
        <v>17.99</v>
      </c>
      <c r="Y198" s="3">
        <v>17.99</v>
      </c>
      <c r="Z198" s="3">
        <v>17.99</v>
      </c>
      <c r="AA198" s="3">
        <v>0</v>
      </c>
      <c r="AB198" s="3" t="s">
        <v>541</v>
      </c>
      <c r="AC198" s="3">
        <v>0</v>
      </c>
      <c r="AD198" s="3">
        <v>14.39</v>
      </c>
      <c r="AE198" s="3">
        <v>63</v>
      </c>
      <c r="AF198" s="3">
        <v>0</v>
      </c>
      <c r="AG198" s="3">
        <v>6.248103</v>
      </c>
      <c r="AH198" s="3">
        <v>0</v>
      </c>
      <c r="AI198" s="3">
        <v>0.766332</v>
      </c>
      <c r="AJ198" s="3" t="s">
        <v>542</v>
      </c>
    </row>
    <row r="199" spans="1:36">
      <c r="A199" s="4">
        <v>43336</v>
      </c>
      <c r="B199" s="3" t="s">
        <v>1162</v>
      </c>
      <c r="C199" s="3" t="s">
        <v>1163</v>
      </c>
      <c r="D199" s="3" t="s">
        <v>1164</v>
      </c>
      <c r="E199" s="3" t="s">
        <v>1165</v>
      </c>
      <c r="F199" s="3" t="s">
        <v>538</v>
      </c>
      <c r="G199" s="3">
        <v>2</v>
      </c>
      <c r="H199" s="3">
        <v>0</v>
      </c>
      <c r="I199" s="3">
        <v>0</v>
      </c>
      <c r="J199" s="3">
        <v>0</v>
      </c>
      <c r="K199" s="3">
        <v>2</v>
      </c>
      <c r="L199" s="3">
        <v>0</v>
      </c>
      <c r="M199" s="3">
        <v>0</v>
      </c>
      <c r="N199" s="3" t="s">
        <v>539</v>
      </c>
      <c r="O199" s="3">
        <v>2</v>
      </c>
      <c r="P199" s="3">
        <v>0.14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 t="s">
        <v>540</v>
      </c>
      <c r="X199" s="3">
        <v>9.59</v>
      </c>
      <c r="Y199" s="3">
        <v>9.59</v>
      </c>
      <c r="Z199" s="3">
        <v>9.59</v>
      </c>
      <c r="AA199" s="3">
        <v>0</v>
      </c>
      <c r="AB199" s="3" t="s">
        <v>562</v>
      </c>
      <c r="AC199" s="3">
        <v>0</v>
      </c>
      <c r="AD199" s="3">
        <v>7.67</v>
      </c>
      <c r="AE199" s="3">
        <v>63</v>
      </c>
      <c r="AF199" s="3">
        <v>0</v>
      </c>
      <c r="AG199" s="3">
        <v>6.325076</v>
      </c>
      <c r="AH199" s="3">
        <v>0</v>
      </c>
      <c r="AI199" s="3">
        <v>0.041666</v>
      </c>
      <c r="AJ199" s="3" t="s">
        <v>548</v>
      </c>
    </row>
    <row r="200" spans="1:36">
      <c r="A200" s="4">
        <v>43336</v>
      </c>
      <c r="B200" s="3" t="s">
        <v>1166</v>
      </c>
      <c r="C200" s="3" t="s">
        <v>1167</v>
      </c>
      <c r="D200" s="3" t="s">
        <v>1168</v>
      </c>
      <c r="E200" s="3" t="s">
        <v>1169</v>
      </c>
      <c r="F200" s="3" t="s">
        <v>538</v>
      </c>
      <c r="G200" s="3">
        <v>10</v>
      </c>
      <c r="H200" s="3">
        <v>0</v>
      </c>
      <c r="I200" s="3">
        <v>0</v>
      </c>
      <c r="J200" s="3">
        <v>0</v>
      </c>
      <c r="K200" s="3">
        <v>10</v>
      </c>
      <c r="L200" s="3">
        <v>0</v>
      </c>
      <c r="M200" s="3">
        <v>0</v>
      </c>
      <c r="N200" s="3" t="s">
        <v>539</v>
      </c>
      <c r="O200" s="3">
        <v>10</v>
      </c>
      <c r="P200" s="3">
        <v>0.62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 t="s">
        <v>553</v>
      </c>
      <c r="X200" s="3">
        <v>9.9</v>
      </c>
      <c r="Y200" s="3">
        <v>9.9</v>
      </c>
      <c r="Z200" s="3">
        <v>9.9</v>
      </c>
      <c r="AA200" s="3">
        <v>0</v>
      </c>
      <c r="AB200" s="3" t="s">
        <v>562</v>
      </c>
      <c r="AC200" s="3">
        <v>1</v>
      </c>
      <c r="AD200" s="3">
        <v>8.97</v>
      </c>
      <c r="AE200" s="3">
        <v>252</v>
      </c>
      <c r="AF200" s="3">
        <v>0</v>
      </c>
      <c r="AG200" s="3">
        <v>59.937433</v>
      </c>
      <c r="AH200" s="3">
        <v>0</v>
      </c>
      <c r="AI200" s="3">
        <v>0.18602</v>
      </c>
      <c r="AJ200" s="3" t="s">
        <v>548</v>
      </c>
    </row>
    <row r="201" spans="1:36">
      <c r="A201" s="4">
        <v>43336</v>
      </c>
      <c r="B201" s="3" t="s">
        <v>420</v>
      </c>
      <c r="C201" s="3" t="s">
        <v>421</v>
      </c>
      <c r="D201" s="3" t="s">
        <v>422</v>
      </c>
      <c r="E201" s="3" t="s">
        <v>423</v>
      </c>
      <c r="F201" s="3" t="s">
        <v>538</v>
      </c>
      <c r="G201" s="3">
        <v>9</v>
      </c>
      <c r="H201" s="3">
        <v>0</v>
      </c>
      <c r="I201" s="3">
        <v>9</v>
      </c>
      <c r="J201" s="3">
        <v>0</v>
      </c>
      <c r="K201" s="3">
        <v>0</v>
      </c>
      <c r="L201" s="3">
        <v>0</v>
      </c>
      <c r="M201" s="3">
        <v>0</v>
      </c>
      <c r="N201" s="3" t="s">
        <v>539</v>
      </c>
      <c r="O201" s="3">
        <v>0</v>
      </c>
      <c r="P201" s="3">
        <v>0</v>
      </c>
      <c r="Q201" s="3">
        <v>0</v>
      </c>
      <c r="R201" s="3">
        <v>0</v>
      </c>
      <c r="S201" s="3">
        <v>1</v>
      </c>
      <c r="T201" s="3">
        <v>3</v>
      </c>
      <c r="U201" s="3">
        <v>10</v>
      </c>
      <c r="V201" s="3">
        <v>15</v>
      </c>
      <c r="W201" s="3"/>
      <c r="X201" s="3">
        <v>9.99</v>
      </c>
      <c r="Y201" s="3">
        <v>9.99</v>
      </c>
      <c r="Z201" s="3">
        <v>9.99</v>
      </c>
      <c r="AA201" s="3">
        <v>0</v>
      </c>
      <c r="AB201" s="3" t="s">
        <v>547</v>
      </c>
      <c r="AC201" s="3">
        <v>10</v>
      </c>
      <c r="AD201" s="3">
        <v>9.99</v>
      </c>
      <c r="AE201" s="3">
        <v>0</v>
      </c>
      <c r="AF201" s="3">
        <v>0</v>
      </c>
      <c r="AG201" s="3">
        <v>0</v>
      </c>
      <c r="AH201" s="3">
        <v>1.25</v>
      </c>
      <c r="AI201" s="3">
        <v>0.503603999999999</v>
      </c>
      <c r="AJ201" s="3" t="s">
        <v>548</v>
      </c>
    </row>
    <row r="202" spans="1:36">
      <c r="A202" s="4">
        <v>43336</v>
      </c>
      <c r="B202" s="3" t="s">
        <v>1170</v>
      </c>
      <c r="C202" s="3" t="s">
        <v>1171</v>
      </c>
      <c r="D202" s="3" t="s">
        <v>1172</v>
      </c>
      <c r="E202" s="3" t="s">
        <v>655</v>
      </c>
      <c r="F202" s="3" t="s">
        <v>538</v>
      </c>
      <c r="G202" s="3">
        <v>5</v>
      </c>
      <c r="H202" s="3">
        <v>0</v>
      </c>
      <c r="I202" s="3">
        <v>5</v>
      </c>
      <c r="J202" s="3">
        <v>0</v>
      </c>
      <c r="K202" s="3">
        <v>0</v>
      </c>
      <c r="L202" s="3">
        <v>0</v>
      </c>
      <c r="M202" s="3">
        <v>0</v>
      </c>
      <c r="N202" s="3" t="s">
        <v>539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540</v>
      </c>
      <c r="X202" s="3">
        <v>16.99</v>
      </c>
      <c r="Y202" s="3">
        <v>16.99</v>
      </c>
      <c r="Z202" s="3">
        <v>16.99</v>
      </c>
      <c r="AA202" s="3">
        <v>0</v>
      </c>
      <c r="AB202" s="3" t="s">
        <v>541</v>
      </c>
      <c r="AC202" s="3">
        <v>5</v>
      </c>
      <c r="AD202" s="3">
        <v>16.99</v>
      </c>
      <c r="AE202" s="3">
        <v>0</v>
      </c>
      <c r="AF202" s="3">
        <v>0</v>
      </c>
      <c r="AG202" s="3">
        <v>0</v>
      </c>
      <c r="AH202" s="3">
        <v>0</v>
      </c>
      <c r="AI202" s="3">
        <v>0.757015</v>
      </c>
      <c r="AJ202" s="3" t="s">
        <v>542</v>
      </c>
    </row>
    <row r="203" spans="1:36">
      <c r="A203" s="4">
        <v>43336</v>
      </c>
      <c r="B203" s="3" t="s">
        <v>1173</v>
      </c>
      <c r="C203" s="3" t="s">
        <v>1174</v>
      </c>
      <c r="D203" s="3" t="s">
        <v>1175</v>
      </c>
      <c r="E203" s="3" t="s">
        <v>815</v>
      </c>
      <c r="F203" s="3" t="s">
        <v>538</v>
      </c>
      <c r="G203" s="3">
        <v>8</v>
      </c>
      <c r="H203" s="3">
        <v>0</v>
      </c>
      <c r="I203" s="3">
        <v>8</v>
      </c>
      <c r="J203" s="3">
        <v>0</v>
      </c>
      <c r="K203" s="3">
        <v>0</v>
      </c>
      <c r="L203" s="3">
        <v>0</v>
      </c>
      <c r="M203" s="3">
        <v>0</v>
      </c>
      <c r="N203" s="3" t="s">
        <v>539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 t="s">
        <v>540</v>
      </c>
      <c r="X203" s="3">
        <v>22.99</v>
      </c>
      <c r="Y203" s="3">
        <v>22.99</v>
      </c>
      <c r="Z203" s="3">
        <v>22.99</v>
      </c>
      <c r="AA203" s="3">
        <v>0</v>
      </c>
      <c r="AB203" s="3" t="s">
        <v>541</v>
      </c>
      <c r="AC203" s="3">
        <v>0</v>
      </c>
      <c r="AD203" s="3">
        <v>0</v>
      </c>
      <c r="AE203" s="3">
        <v>0</v>
      </c>
      <c r="AF203" s="3">
        <v>0</v>
      </c>
      <c r="AG203" s="3">
        <v>0</v>
      </c>
      <c r="AH203" s="3">
        <v>0</v>
      </c>
      <c r="AI203" s="3">
        <v>1.209112</v>
      </c>
      <c r="AJ203" s="3" t="s">
        <v>542</v>
      </c>
    </row>
    <row r="204" spans="1:36">
      <c r="A204" s="4">
        <v>43336</v>
      </c>
      <c r="B204" s="3" t="s">
        <v>328</v>
      </c>
      <c r="C204" s="3" t="s">
        <v>329</v>
      </c>
      <c r="D204" s="3" t="s">
        <v>330</v>
      </c>
      <c r="E204" s="3" t="s">
        <v>331</v>
      </c>
      <c r="F204" s="3" t="s">
        <v>538</v>
      </c>
      <c r="G204" s="3">
        <v>18</v>
      </c>
      <c r="H204" s="3">
        <v>0</v>
      </c>
      <c r="I204" s="3">
        <v>18</v>
      </c>
      <c r="J204" s="3">
        <v>0</v>
      </c>
      <c r="K204" s="3">
        <v>0</v>
      </c>
      <c r="L204" s="3">
        <v>0</v>
      </c>
      <c r="M204" s="3">
        <v>0</v>
      </c>
      <c r="N204" s="3" t="s">
        <v>539</v>
      </c>
      <c r="O204" s="3">
        <v>0</v>
      </c>
      <c r="P204" s="3">
        <v>0</v>
      </c>
      <c r="Q204" s="3">
        <v>0</v>
      </c>
      <c r="R204" s="3">
        <v>0</v>
      </c>
      <c r="S204" s="3">
        <v>5</v>
      </c>
      <c r="T204" s="3">
        <v>11</v>
      </c>
      <c r="U204" s="3">
        <v>20</v>
      </c>
      <c r="V204" s="3">
        <v>22</v>
      </c>
      <c r="W204" s="3"/>
      <c r="X204" s="3">
        <v>13.99</v>
      </c>
      <c r="Y204" s="3">
        <v>13.99</v>
      </c>
      <c r="Z204" s="3">
        <v>13.99</v>
      </c>
      <c r="AA204" s="3">
        <v>0</v>
      </c>
      <c r="AB204" s="3" t="s">
        <v>547</v>
      </c>
      <c r="AC204" s="3">
        <v>20</v>
      </c>
      <c r="AD204" s="3">
        <v>13.99</v>
      </c>
      <c r="AE204" s="3">
        <v>0</v>
      </c>
      <c r="AF204" s="3">
        <v>0</v>
      </c>
      <c r="AG204" s="3">
        <v>0</v>
      </c>
      <c r="AH204" s="3">
        <v>1.44262295081967</v>
      </c>
      <c r="AI204" s="3">
        <v>1.251252</v>
      </c>
      <c r="AJ204" s="3" t="s">
        <v>596</v>
      </c>
    </row>
    <row r="205" spans="1:36">
      <c r="A205" s="4">
        <v>43336</v>
      </c>
      <c r="B205" s="3" t="s">
        <v>1176</v>
      </c>
      <c r="C205" s="3" t="s">
        <v>1177</v>
      </c>
      <c r="D205" s="3" t="s">
        <v>1178</v>
      </c>
      <c r="E205" s="3" t="s">
        <v>1179</v>
      </c>
      <c r="F205" s="3" t="s">
        <v>538</v>
      </c>
      <c r="G205" s="3">
        <v>8</v>
      </c>
      <c r="H205" s="3">
        <v>0</v>
      </c>
      <c r="I205" s="3">
        <v>5</v>
      </c>
      <c r="J205" s="3">
        <v>3</v>
      </c>
      <c r="K205" s="3">
        <v>0</v>
      </c>
      <c r="L205" s="3">
        <v>0</v>
      </c>
      <c r="M205" s="3">
        <v>0</v>
      </c>
      <c r="N205" s="3" t="s">
        <v>539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1</v>
      </c>
      <c r="V205" s="3">
        <v>2</v>
      </c>
      <c r="W205" s="3" t="s">
        <v>540</v>
      </c>
      <c r="X205" s="3">
        <v>22.99</v>
      </c>
      <c r="Y205" s="3">
        <v>22.99</v>
      </c>
      <c r="Z205" s="3">
        <v>22.99</v>
      </c>
      <c r="AA205" s="3">
        <v>0</v>
      </c>
      <c r="AB205" s="3" t="s">
        <v>541</v>
      </c>
      <c r="AC205" s="3">
        <v>0</v>
      </c>
      <c r="AD205" s="3">
        <v>17.94</v>
      </c>
      <c r="AE205" s="3">
        <v>168</v>
      </c>
      <c r="AF205" s="3">
        <v>0</v>
      </c>
      <c r="AG205" s="3">
        <v>384.244654</v>
      </c>
      <c r="AH205" s="3">
        <v>0.4</v>
      </c>
      <c r="AI205" s="3">
        <v>2.916664</v>
      </c>
      <c r="AJ205" s="3" t="s">
        <v>548</v>
      </c>
    </row>
    <row r="206" spans="1:36">
      <c r="A206" s="4">
        <v>43336</v>
      </c>
      <c r="B206" s="3" t="s">
        <v>1180</v>
      </c>
      <c r="C206" s="3" t="s">
        <v>1181</v>
      </c>
      <c r="D206" s="3" t="s">
        <v>1182</v>
      </c>
      <c r="E206" s="3" t="s">
        <v>1183</v>
      </c>
      <c r="F206" s="3" t="s">
        <v>538</v>
      </c>
      <c r="G206" s="3">
        <v>12</v>
      </c>
      <c r="H206" s="3">
        <v>0</v>
      </c>
      <c r="I206" s="3">
        <v>0</v>
      </c>
      <c r="J206" s="3">
        <v>0</v>
      </c>
      <c r="K206" s="3">
        <v>12</v>
      </c>
      <c r="L206" s="3">
        <v>0</v>
      </c>
      <c r="M206" s="3">
        <v>0</v>
      </c>
      <c r="N206" s="3" t="s">
        <v>539</v>
      </c>
      <c r="O206" s="3">
        <v>12</v>
      </c>
      <c r="P206" s="3">
        <v>0.95</v>
      </c>
      <c r="Q206" s="3">
        <v>0</v>
      </c>
      <c r="R206" s="3">
        <v>0</v>
      </c>
      <c r="S206" s="3">
        <v>0</v>
      </c>
      <c r="T206" s="3">
        <v>0</v>
      </c>
      <c r="U206" s="3">
        <v>1</v>
      </c>
      <c r="V206" s="3">
        <v>2</v>
      </c>
      <c r="W206" s="3" t="s">
        <v>553</v>
      </c>
      <c r="X206" s="3">
        <v>10.5</v>
      </c>
      <c r="Y206" s="3">
        <v>10.5</v>
      </c>
      <c r="Z206" s="3">
        <v>10.5</v>
      </c>
      <c r="AA206" s="3">
        <v>0</v>
      </c>
      <c r="AB206" s="3" t="s">
        <v>547</v>
      </c>
      <c r="AC206" s="3">
        <v>12</v>
      </c>
      <c r="AD206" s="3">
        <v>10.5</v>
      </c>
      <c r="AE206" s="3">
        <v>0</v>
      </c>
      <c r="AF206" s="3">
        <v>0</v>
      </c>
      <c r="AG206" s="3">
        <v>0</v>
      </c>
      <c r="AH206" s="3">
        <v>0.156862745098039</v>
      </c>
      <c r="AI206" s="3">
        <v>0.273588</v>
      </c>
      <c r="AJ206" s="3" t="s">
        <v>548</v>
      </c>
    </row>
    <row r="207" spans="1:36">
      <c r="A207" s="4">
        <v>43336</v>
      </c>
      <c r="B207" s="3" t="s">
        <v>1184</v>
      </c>
      <c r="C207" s="3" t="s">
        <v>1185</v>
      </c>
      <c r="D207" s="3" t="s">
        <v>1186</v>
      </c>
      <c r="E207" s="3" t="s">
        <v>1187</v>
      </c>
      <c r="F207" s="3" t="s">
        <v>538</v>
      </c>
      <c r="G207" s="3">
        <v>3</v>
      </c>
      <c r="H207" s="3">
        <v>0</v>
      </c>
      <c r="I207" s="3">
        <v>0</v>
      </c>
      <c r="J207" s="3">
        <v>1</v>
      </c>
      <c r="K207" s="3">
        <v>2</v>
      </c>
      <c r="L207" s="3">
        <v>0</v>
      </c>
      <c r="M207" s="3">
        <v>0</v>
      </c>
      <c r="N207" s="3" t="s">
        <v>539</v>
      </c>
      <c r="O207" s="3">
        <v>2</v>
      </c>
      <c r="P207" s="3">
        <v>0.14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540</v>
      </c>
      <c r="X207" s="3">
        <v>10.59</v>
      </c>
      <c r="Y207" s="3">
        <v>10.59</v>
      </c>
      <c r="Z207" s="3">
        <v>10.59</v>
      </c>
      <c r="AA207" s="3">
        <v>0</v>
      </c>
      <c r="AB207" s="3" t="s">
        <v>547</v>
      </c>
      <c r="AC207" s="3">
        <v>3</v>
      </c>
      <c r="AD207" s="3">
        <v>10.59</v>
      </c>
      <c r="AE207" s="3">
        <v>0</v>
      </c>
      <c r="AF207" s="3">
        <v>0</v>
      </c>
      <c r="AG207" s="3">
        <v>0</v>
      </c>
      <c r="AH207" s="3">
        <v>0</v>
      </c>
      <c r="AI207" s="3">
        <v>0.062499</v>
      </c>
      <c r="AJ207" s="3" t="s">
        <v>548</v>
      </c>
    </row>
    <row r="208" spans="1:36">
      <c r="A208" s="4">
        <v>43336</v>
      </c>
      <c r="B208" s="3" t="s">
        <v>103</v>
      </c>
      <c r="C208" s="3" t="s">
        <v>104</v>
      </c>
      <c r="D208" s="3" t="s">
        <v>105</v>
      </c>
      <c r="E208" s="3" t="s">
        <v>106</v>
      </c>
      <c r="F208" s="3" t="s">
        <v>538</v>
      </c>
      <c r="G208" s="3">
        <v>42</v>
      </c>
      <c r="H208" s="3">
        <v>0</v>
      </c>
      <c r="I208" s="3">
        <v>42</v>
      </c>
      <c r="J208" s="3">
        <v>0</v>
      </c>
      <c r="K208" s="3">
        <v>0</v>
      </c>
      <c r="L208" s="3">
        <v>0</v>
      </c>
      <c r="M208" s="3">
        <v>0</v>
      </c>
      <c r="N208" s="3" t="s">
        <v>539</v>
      </c>
      <c r="O208" s="3">
        <v>0</v>
      </c>
      <c r="P208" s="3">
        <v>0</v>
      </c>
      <c r="Q208" s="3">
        <v>0</v>
      </c>
      <c r="R208" s="3">
        <v>0</v>
      </c>
      <c r="S208" s="3">
        <v>6</v>
      </c>
      <c r="T208" s="3">
        <v>27</v>
      </c>
      <c r="U208" s="3">
        <v>58</v>
      </c>
      <c r="V208" s="3">
        <v>84</v>
      </c>
      <c r="W208" s="3" t="s">
        <v>553</v>
      </c>
      <c r="X208" s="3">
        <v>9.99</v>
      </c>
      <c r="Y208" s="3">
        <v>9.99</v>
      </c>
      <c r="Z208" s="3">
        <v>9.99</v>
      </c>
      <c r="AA208" s="3">
        <v>0</v>
      </c>
      <c r="AB208" s="3" t="s">
        <v>547</v>
      </c>
      <c r="AC208" s="3">
        <v>19</v>
      </c>
      <c r="AD208" s="3">
        <v>9.99</v>
      </c>
      <c r="AE208" s="3">
        <v>0</v>
      </c>
      <c r="AF208" s="3">
        <v>0</v>
      </c>
      <c r="AG208" s="3">
        <v>0</v>
      </c>
      <c r="AH208" s="3">
        <v>3.90697674418604</v>
      </c>
      <c r="AI208" s="3">
        <v>2.441964</v>
      </c>
      <c r="AJ208" s="3" t="s">
        <v>548</v>
      </c>
    </row>
    <row r="209" spans="1:36">
      <c r="A209" s="4">
        <v>43336</v>
      </c>
      <c r="B209" s="3" t="s">
        <v>1188</v>
      </c>
      <c r="C209" s="3" t="s">
        <v>1189</v>
      </c>
      <c r="D209" s="3" t="s">
        <v>1190</v>
      </c>
      <c r="E209" s="3" t="s">
        <v>66</v>
      </c>
      <c r="F209" s="3" t="s">
        <v>538</v>
      </c>
      <c r="G209" s="3">
        <v>4</v>
      </c>
      <c r="H209" s="3">
        <v>0</v>
      </c>
      <c r="I209" s="3">
        <v>4</v>
      </c>
      <c r="J209" s="3">
        <v>0</v>
      </c>
      <c r="K209" s="3">
        <v>0</v>
      </c>
      <c r="L209" s="3">
        <v>0</v>
      </c>
      <c r="M209" s="3">
        <v>0</v>
      </c>
      <c r="N209" s="3" t="s">
        <v>539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1</v>
      </c>
      <c r="U209" s="3">
        <v>1</v>
      </c>
      <c r="V209" s="3">
        <v>1</v>
      </c>
      <c r="W209" s="3" t="s">
        <v>540</v>
      </c>
      <c r="X209" s="3">
        <v>15.99</v>
      </c>
      <c r="Y209" s="3">
        <v>15.99</v>
      </c>
      <c r="Z209" s="3">
        <v>15.99</v>
      </c>
      <c r="AA209" s="3">
        <v>0</v>
      </c>
      <c r="AB209" s="3" t="s">
        <v>541</v>
      </c>
      <c r="AC209" s="3">
        <v>4</v>
      </c>
      <c r="AD209" s="3">
        <v>15.99</v>
      </c>
      <c r="AE209" s="3">
        <v>0</v>
      </c>
      <c r="AF209" s="3">
        <v>0</v>
      </c>
      <c r="AG209" s="3">
        <v>0</v>
      </c>
      <c r="AH209" s="3">
        <v>0.5</v>
      </c>
      <c r="AI209" s="3">
        <v>0.44</v>
      </c>
      <c r="AJ209" s="3" t="s">
        <v>542</v>
      </c>
    </row>
    <row r="210" spans="1:36">
      <c r="A210" s="4">
        <v>43336</v>
      </c>
      <c r="B210" s="3" t="s">
        <v>1191</v>
      </c>
      <c r="C210" s="3" t="s">
        <v>1192</v>
      </c>
      <c r="D210" s="3" t="s">
        <v>1193</v>
      </c>
      <c r="E210" s="3" t="s">
        <v>612</v>
      </c>
      <c r="F210" s="3" t="s">
        <v>538</v>
      </c>
      <c r="G210" s="3">
        <v>6</v>
      </c>
      <c r="H210" s="3">
        <v>0</v>
      </c>
      <c r="I210" s="3">
        <v>6</v>
      </c>
      <c r="J210" s="3">
        <v>0</v>
      </c>
      <c r="K210" s="3">
        <v>0</v>
      </c>
      <c r="L210" s="3">
        <v>0</v>
      </c>
      <c r="M210" s="3">
        <v>0</v>
      </c>
      <c r="N210" s="3" t="s">
        <v>539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540</v>
      </c>
      <c r="X210" s="3">
        <v>22.99</v>
      </c>
      <c r="Y210" s="3">
        <v>22.99</v>
      </c>
      <c r="Z210" s="3">
        <v>22.99</v>
      </c>
      <c r="AA210" s="3">
        <v>0</v>
      </c>
      <c r="AB210" s="3" t="s">
        <v>541</v>
      </c>
      <c r="AC210" s="3">
        <v>0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5">
        <v>6e-6</v>
      </c>
      <c r="AJ210" s="3" t="s">
        <v>542</v>
      </c>
    </row>
    <row r="211" spans="1:36">
      <c r="A211" s="4">
        <v>43336</v>
      </c>
      <c r="B211" s="3" t="s">
        <v>1194</v>
      </c>
      <c r="C211" s="3" t="s">
        <v>1195</v>
      </c>
      <c r="D211" s="3" t="s">
        <v>1196</v>
      </c>
      <c r="E211" s="3" t="s">
        <v>552</v>
      </c>
      <c r="F211" s="3" t="s">
        <v>538</v>
      </c>
      <c r="G211" s="3">
        <v>1</v>
      </c>
      <c r="H211" s="3">
        <v>0</v>
      </c>
      <c r="I211" s="3">
        <v>1</v>
      </c>
      <c r="J211" s="3">
        <v>0</v>
      </c>
      <c r="K211" s="3">
        <v>0</v>
      </c>
      <c r="L211" s="3">
        <v>0</v>
      </c>
      <c r="M211" s="3">
        <v>0</v>
      </c>
      <c r="N211" s="3" t="s">
        <v>539</v>
      </c>
      <c r="O211" s="3">
        <v>0</v>
      </c>
      <c r="P211" s="3">
        <v>0</v>
      </c>
      <c r="Q211" s="3">
        <v>0</v>
      </c>
      <c r="R211" s="3">
        <v>0</v>
      </c>
      <c r="S211" s="3">
        <v>2</v>
      </c>
      <c r="T211" s="3">
        <v>2</v>
      </c>
      <c r="U211" s="3">
        <v>2</v>
      </c>
      <c r="V211" s="3">
        <v>2</v>
      </c>
      <c r="W211" s="3"/>
      <c r="X211" s="3">
        <v>59.9</v>
      </c>
      <c r="Y211" s="3">
        <v>59.9</v>
      </c>
      <c r="Z211" s="3">
        <v>59.9</v>
      </c>
      <c r="AA211" s="3">
        <v>0</v>
      </c>
      <c r="AB211" s="3" t="s">
        <v>547</v>
      </c>
      <c r="AC211" s="3">
        <v>3</v>
      </c>
      <c r="AD211" s="3">
        <v>59.9</v>
      </c>
      <c r="AE211" s="3">
        <v>0</v>
      </c>
      <c r="AF211" s="3">
        <v>0</v>
      </c>
      <c r="AG211" s="3">
        <v>0</v>
      </c>
      <c r="AH211" s="3">
        <v>1</v>
      </c>
      <c r="AI211" s="3">
        <v>0.273733</v>
      </c>
      <c r="AJ211" s="3" t="s">
        <v>548</v>
      </c>
    </row>
    <row r="212" spans="1:36">
      <c r="A212" s="4">
        <v>43336</v>
      </c>
      <c r="B212" s="3" t="s">
        <v>1197</v>
      </c>
      <c r="C212" s="3" t="s">
        <v>1198</v>
      </c>
      <c r="D212" s="3" t="s">
        <v>1199</v>
      </c>
      <c r="E212" s="3" t="s">
        <v>655</v>
      </c>
      <c r="F212" s="3" t="s">
        <v>538</v>
      </c>
      <c r="G212" s="3">
        <v>17</v>
      </c>
      <c r="H212" s="3">
        <v>0</v>
      </c>
      <c r="I212" s="3">
        <v>17</v>
      </c>
      <c r="J212" s="3">
        <v>0</v>
      </c>
      <c r="K212" s="3">
        <v>0</v>
      </c>
      <c r="L212" s="3">
        <v>0</v>
      </c>
      <c r="M212" s="3">
        <v>0</v>
      </c>
      <c r="N212" s="3" t="s">
        <v>539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2</v>
      </c>
      <c r="U212" s="3">
        <v>2</v>
      </c>
      <c r="V212" s="3">
        <v>2</v>
      </c>
      <c r="W212" s="3" t="s">
        <v>540</v>
      </c>
      <c r="X212" s="3">
        <v>16.99</v>
      </c>
      <c r="Y212" s="3">
        <v>16.99</v>
      </c>
      <c r="Z212" s="3">
        <v>16.99</v>
      </c>
      <c r="AA212" s="3">
        <v>0</v>
      </c>
      <c r="AB212" s="3" t="s">
        <v>541</v>
      </c>
      <c r="AC212" s="3">
        <v>17</v>
      </c>
      <c r="AD212" s="3">
        <v>16.99</v>
      </c>
      <c r="AE212" s="3">
        <v>0</v>
      </c>
      <c r="AF212" s="3">
        <v>0</v>
      </c>
      <c r="AG212" s="3">
        <v>0</v>
      </c>
      <c r="AH212" s="3">
        <v>0.235294117647058</v>
      </c>
      <c r="AI212" s="3">
        <v>2.569363</v>
      </c>
      <c r="AJ212" s="3" t="s">
        <v>542</v>
      </c>
    </row>
    <row r="213" spans="1:36">
      <c r="A213" s="4">
        <v>43336</v>
      </c>
      <c r="B213" s="3" t="s">
        <v>1200</v>
      </c>
      <c r="C213" s="3" t="s">
        <v>1201</v>
      </c>
      <c r="D213" s="3" t="s">
        <v>1202</v>
      </c>
      <c r="E213" s="3" t="s">
        <v>1203</v>
      </c>
      <c r="F213" s="3" t="s">
        <v>538</v>
      </c>
      <c r="G213" s="3">
        <v>14</v>
      </c>
      <c r="H213" s="3">
        <v>0</v>
      </c>
      <c r="I213" s="3">
        <v>14</v>
      </c>
      <c r="J213" s="3">
        <v>0</v>
      </c>
      <c r="K213" s="3">
        <v>0</v>
      </c>
      <c r="L213" s="3">
        <v>0</v>
      </c>
      <c r="M213" s="3">
        <v>0</v>
      </c>
      <c r="N213" s="3" t="s">
        <v>539</v>
      </c>
      <c r="O213" s="3">
        <v>0</v>
      </c>
      <c r="P213" s="3">
        <v>0</v>
      </c>
      <c r="Q213" s="3">
        <v>0</v>
      </c>
      <c r="R213" s="3">
        <v>0</v>
      </c>
      <c r="S213" s="3">
        <v>1</v>
      </c>
      <c r="T213" s="3">
        <v>1</v>
      </c>
      <c r="U213" s="3">
        <v>1</v>
      </c>
      <c r="V213" s="3">
        <v>1</v>
      </c>
      <c r="W213" s="3"/>
      <c r="X213" s="3">
        <v>10</v>
      </c>
      <c r="Y213" s="3">
        <v>10</v>
      </c>
      <c r="Z213" s="3">
        <v>10</v>
      </c>
      <c r="AA213" s="3">
        <v>0</v>
      </c>
      <c r="AB213" s="3" t="s">
        <v>547</v>
      </c>
      <c r="AC213" s="3">
        <v>14</v>
      </c>
      <c r="AD213" s="3">
        <v>10</v>
      </c>
      <c r="AE213" s="3">
        <v>0</v>
      </c>
      <c r="AF213" s="3">
        <v>0</v>
      </c>
      <c r="AG213" s="3">
        <v>0</v>
      </c>
      <c r="AH213" s="3">
        <v>0.0833333333333333</v>
      </c>
      <c r="AI213" s="3">
        <v>0.509054</v>
      </c>
      <c r="AJ213" s="3" t="s">
        <v>548</v>
      </c>
    </row>
    <row r="214" spans="1:36">
      <c r="A214" s="4">
        <v>43336</v>
      </c>
      <c r="B214" s="3" t="s">
        <v>308</v>
      </c>
      <c r="C214" s="3" t="s">
        <v>309</v>
      </c>
      <c r="D214" s="3" t="s">
        <v>310</v>
      </c>
      <c r="E214" s="3" t="s">
        <v>311</v>
      </c>
      <c r="F214" s="3" t="s">
        <v>538</v>
      </c>
      <c r="G214" s="3">
        <v>14</v>
      </c>
      <c r="H214" s="3">
        <v>0</v>
      </c>
      <c r="I214" s="3">
        <v>14</v>
      </c>
      <c r="J214" s="3">
        <v>0</v>
      </c>
      <c r="K214" s="3">
        <v>0</v>
      </c>
      <c r="L214" s="3">
        <v>0</v>
      </c>
      <c r="M214" s="3">
        <v>0</v>
      </c>
      <c r="N214" s="3" t="s">
        <v>539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2</v>
      </c>
      <c r="U214" s="3">
        <v>8</v>
      </c>
      <c r="V214" s="3">
        <v>8</v>
      </c>
      <c r="W214" s="3" t="s">
        <v>553</v>
      </c>
      <c r="X214" s="3">
        <v>15.99</v>
      </c>
      <c r="Y214" s="3">
        <v>15.99</v>
      </c>
      <c r="Z214" s="3">
        <v>15.99</v>
      </c>
      <c r="AA214" s="3">
        <v>0</v>
      </c>
      <c r="AB214" s="3" t="s">
        <v>547</v>
      </c>
      <c r="AC214" s="3">
        <v>14</v>
      </c>
      <c r="AD214" s="3">
        <v>15.99</v>
      </c>
      <c r="AE214" s="3">
        <v>0</v>
      </c>
      <c r="AF214" s="3">
        <v>0</v>
      </c>
      <c r="AG214" s="3">
        <v>0</v>
      </c>
      <c r="AH214" s="3">
        <v>1.41176470588235</v>
      </c>
      <c r="AI214" s="3">
        <v>0.929208</v>
      </c>
      <c r="AJ214" s="3" t="s">
        <v>596</v>
      </c>
    </row>
    <row r="215" spans="1:36">
      <c r="A215" s="4">
        <v>43336</v>
      </c>
      <c r="B215" s="3" t="s">
        <v>1204</v>
      </c>
      <c r="C215" s="3" t="s">
        <v>1205</v>
      </c>
      <c r="D215" s="3" t="s">
        <v>1206</v>
      </c>
      <c r="E215" s="3" t="s">
        <v>1207</v>
      </c>
      <c r="F215" s="3" t="s">
        <v>538</v>
      </c>
      <c r="G215" s="3">
        <v>9</v>
      </c>
      <c r="H215" s="3">
        <v>0</v>
      </c>
      <c r="I215" s="3">
        <v>9</v>
      </c>
      <c r="J215" s="3">
        <v>0</v>
      </c>
      <c r="K215" s="3">
        <v>0</v>
      </c>
      <c r="L215" s="3">
        <v>0</v>
      </c>
      <c r="M215" s="3">
        <v>0</v>
      </c>
      <c r="N215" s="3" t="s">
        <v>539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1</v>
      </c>
      <c r="U215" s="3">
        <v>1</v>
      </c>
      <c r="V215" s="3">
        <v>1</v>
      </c>
      <c r="W215" s="3" t="s">
        <v>540</v>
      </c>
      <c r="X215" s="3">
        <v>15.99</v>
      </c>
      <c r="Y215" s="3">
        <v>15.99</v>
      </c>
      <c r="Z215" s="3">
        <v>15.99</v>
      </c>
      <c r="AA215" s="3">
        <v>0</v>
      </c>
      <c r="AB215" s="3" t="s">
        <v>541</v>
      </c>
      <c r="AC215" s="3">
        <v>9</v>
      </c>
      <c r="AD215" s="3">
        <v>15.99</v>
      </c>
      <c r="AE215" s="3">
        <v>0</v>
      </c>
      <c r="AF215" s="3">
        <v>0</v>
      </c>
      <c r="AG215" s="3">
        <v>0</v>
      </c>
      <c r="AH215" s="3">
        <v>0.222222222222222</v>
      </c>
      <c r="AI215" s="3">
        <v>0.897786</v>
      </c>
      <c r="AJ215" s="3" t="s">
        <v>542</v>
      </c>
    </row>
    <row r="216" spans="1:36">
      <c r="A216" s="4">
        <v>43336</v>
      </c>
      <c r="B216" s="3" t="s">
        <v>1208</v>
      </c>
      <c r="C216" s="3" t="s">
        <v>1209</v>
      </c>
      <c r="D216" s="3" t="s">
        <v>1210</v>
      </c>
      <c r="E216" s="3" t="s">
        <v>1211</v>
      </c>
      <c r="F216" s="3" t="s">
        <v>538</v>
      </c>
      <c r="G216" s="3">
        <v>11</v>
      </c>
      <c r="H216" s="3">
        <v>0</v>
      </c>
      <c r="I216" s="3">
        <v>11</v>
      </c>
      <c r="J216" s="3">
        <v>0</v>
      </c>
      <c r="K216" s="3">
        <v>0</v>
      </c>
      <c r="L216" s="3">
        <v>0</v>
      </c>
      <c r="M216" s="3">
        <v>0</v>
      </c>
      <c r="N216" s="3" t="s">
        <v>539</v>
      </c>
      <c r="O216" s="3">
        <v>0</v>
      </c>
      <c r="P216" s="3">
        <v>0</v>
      </c>
      <c r="Q216" s="3">
        <v>0</v>
      </c>
      <c r="R216" s="3">
        <v>0</v>
      </c>
      <c r="S216" s="3">
        <v>3</v>
      </c>
      <c r="T216" s="3">
        <v>6</v>
      </c>
      <c r="U216" s="3">
        <v>8</v>
      </c>
      <c r="V216" s="3">
        <v>11</v>
      </c>
      <c r="W216" s="3"/>
      <c r="X216" s="3">
        <v>13.99</v>
      </c>
      <c r="Y216" s="3">
        <v>13.99</v>
      </c>
      <c r="Z216" s="3">
        <v>13.99</v>
      </c>
      <c r="AA216" s="3">
        <v>0</v>
      </c>
      <c r="AB216" s="3" t="s">
        <v>547</v>
      </c>
      <c r="AC216" s="3">
        <v>13</v>
      </c>
      <c r="AD216" s="3">
        <v>13.99</v>
      </c>
      <c r="AE216" s="3">
        <v>0</v>
      </c>
      <c r="AF216" s="3">
        <v>0</v>
      </c>
      <c r="AG216" s="3">
        <v>0</v>
      </c>
      <c r="AH216" s="3">
        <v>0.897959183673469</v>
      </c>
      <c r="AI216" s="3">
        <v>0.846372999999999</v>
      </c>
      <c r="AJ216" s="3" t="s">
        <v>596</v>
      </c>
    </row>
    <row r="217" spans="1:36">
      <c r="A217" s="4">
        <v>43336</v>
      </c>
      <c r="B217" s="3" t="s">
        <v>1212</v>
      </c>
      <c r="C217" s="3" t="s">
        <v>1213</v>
      </c>
      <c r="D217" s="3" t="s">
        <v>1214</v>
      </c>
      <c r="E217" s="3" t="s">
        <v>1215</v>
      </c>
      <c r="F217" s="3" t="s">
        <v>538</v>
      </c>
      <c r="G217" s="3">
        <v>1</v>
      </c>
      <c r="H217" s="3">
        <v>0</v>
      </c>
      <c r="I217" s="3">
        <v>0</v>
      </c>
      <c r="J217" s="3">
        <v>0</v>
      </c>
      <c r="K217" s="3">
        <v>1</v>
      </c>
      <c r="L217" s="3">
        <v>0</v>
      </c>
      <c r="M217" s="3">
        <v>0</v>
      </c>
      <c r="N217" s="3" t="s">
        <v>539</v>
      </c>
      <c r="O217" s="3">
        <v>1</v>
      </c>
      <c r="P217" s="3">
        <v>0.16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553</v>
      </c>
      <c r="X217" s="3">
        <v>9.9</v>
      </c>
      <c r="Y217" s="3">
        <v>9.9</v>
      </c>
      <c r="Z217" s="3">
        <v>9.9</v>
      </c>
      <c r="AA217" s="3">
        <v>0</v>
      </c>
      <c r="AB217" s="3" t="s">
        <v>562</v>
      </c>
      <c r="AC217" s="3">
        <v>0</v>
      </c>
      <c r="AD217" s="3">
        <v>9.33</v>
      </c>
      <c r="AE217" s="3">
        <v>14</v>
      </c>
      <c r="AF217" s="3">
        <v>0</v>
      </c>
      <c r="AG217" s="3">
        <v>10.215052</v>
      </c>
      <c r="AH217" s="3">
        <v>0</v>
      </c>
      <c r="AI217" s="3">
        <v>0.046667</v>
      </c>
      <c r="AJ217" s="3" t="s">
        <v>548</v>
      </c>
    </row>
    <row r="218" spans="1:36">
      <c r="A218" s="4">
        <v>43336</v>
      </c>
      <c r="B218" s="3" t="s">
        <v>1216</v>
      </c>
      <c r="C218" s="3" t="s">
        <v>1217</v>
      </c>
      <c r="D218" s="3" t="s">
        <v>1218</v>
      </c>
      <c r="E218" s="3" t="s">
        <v>612</v>
      </c>
      <c r="F218" s="3" t="s">
        <v>538</v>
      </c>
      <c r="G218" s="3">
        <v>5</v>
      </c>
      <c r="H218" s="3">
        <v>0</v>
      </c>
      <c r="I218" s="3">
        <v>5</v>
      </c>
      <c r="J218" s="3">
        <v>0</v>
      </c>
      <c r="K218" s="3">
        <v>0</v>
      </c>
      <c r="L218" s="3">
        <v>0</v>
      </c>
      <c r="M218" s="3">
        <v>0</v>
      </c>
      <c r="N218" s="3" t="s">
        <v>539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 t="s">
        <v>540</v>
      </c>
      <c r="X218" s="3">
        <v>15.99</v>
      </c>
      <c r="Y218" s="3">
        <v>15.99</v>
      </c>
      <c r="Z218" s="3">
        <v>15.99</v>
      </c>
      <c r="AA218" s="3">
        <v>0</v>
      </c>
      <c r="AB218" s="3" t="s">
        <v>651</v>
      </c>
      <c r="AC218" s="3">
        <v>5</v>
      </c>
      <c r="AD218" s="3">
        <v>15.99</v>
      </c>
      <c r="AE218" s="3">
        <v>0</v>
      </c>
      <c r="AF218" s="3">
        <v>0</v>
      </c>
      <c r="AG218" s="3">
        <v>0</v>
      </c>
      <c r="AH218" s="3">
        <v>0</v>
      </c>
      <c r="AI218" s="3">
        <v>0.831144999999999</v>
      </c>
      <c r="AJ218" s="3" t="s">
        <v>542</v>
      </c>
    </row>
    <row r="219" spans="1:36">
      <c r="A219" s="4">
        <v>43336</v>
      </c>
      <c r="B219" s="3" t="s">
        <v>1219</v>
      </c>
      <c r="C219" s="3" t="s">
        <v>1220</v>
      </c>
      <c r="D219" s="3" t="s">
        <v>1221</v>
      </c>
      <c r="E219" s="3" t="s">
        <v>1222</v>
      </c>
      <c r="F219" s="3" t="s">
        <v>538</v>
      </c>
      <c r="G219" s="3">
        <v>24</v>
      </c>
      <c r="H219" s="3">
        <v>0</v>
      </c>
      <c r="I219" s="3">
        <v>24</v>
      </c>
      <c r="J219" s="3">
        <v>0</v>
      </c>
      <c r="K219" s="3">
        <v>0</v>
      </c>
      <c r="L219" s="3">
        <v>0</v>
      </c>
      <c r="M219" s="3">
        <v>0</v>
      </c>
      <c r="N219" s="3" t="s">
        <v>539</v>
      </c>
      <c r="O219" s="3">
        <v>0</v>
      </c>
      <c r="P219" s="3">
        <v>0</v>
      </c>
      <c r="Q219" s="3">
        <v>0</v>
      </c>
      <c r="R219" s="3">
        <v>0</v>
      </c>
      <c r="S219" s="3">
        <v>2</v>
      </c>
      <c r="T219" s="3">
        <v>11</v>
      </c>
      <c r="U219" s="3">
        <v>13</v>
      </c>
      <c r="V219" s="3">
        <v>20</v>
      </c>
      <c r="W219" s="3"/>
      <c r="X219" s="3">
        <v>20</v>
      </c>
      <c r="Y219" s="3">
        <v>13.99</v>
      </c>
      <c r="Z219" s="3">
        <v>13.99</v>
      </c>
      <c r="AA219" s="3">
        <v>0</v>
      </c>
      <c r="AB219" s="3" t="s">
        <v>547</v>
      </c>
      <c r="AC219" s="3">
        <v>9</v>
      </c>
      <c r="AD219" s="3">
        <v>13.99</v>
      </c>
      <c r="AE219" s="3">
        <v>0</v>
      </c>
      <c r="AF219" s="3">
        <v>0</v>
      </c>
      <c r="AG219" s="3">
        <v>0</v>
      </c>
      <c r="AH219" s="3">
        <v>1.35593220338983</v>
      </c>
      <c r="AI219" s="3">
        <v>1.846632</v>
      </c>
      <c r="AJ219" s="3" t="s">
        <v>596</v>
      </c>
    </row>
    <row r="220" spans="1:36">
      <c r="A220" s="4">
        <v>43336</v>
      </c>
      <c r="B220" s="3" t="s">
        <v>368</v>
      </c>
      <c r="C220" s="3" t="s">
        <v>369</v>
      </c>
      <c r="D220" s="3" t="s">
        <v>370</v>
      </c>
      <c r="E220" s="3" t="s">
        <v>371</v>
      </c>
      <c r="F220" s="3" t="s">
        <v>538</v>
      </c>
      <c r="G220" s="3">
        <v>6</v>
      </c>
      <c r="H220" s="3">
        <v>0</v>
      </c>
      <c r="I220" s="3">
        <v>6</v>
      </c>
      <c r="J220" s="3">
        <v>0</v>
      </c>
      <c r="K220" s="3">
        <v>0</v>
      </c>
      <c r="L220" s="3">
        <v>0</v>
      </c>
      <c r="M220" s="3">
        <v>0</v>
      </c>
      <c r="N220" s="3" t="s">
        <v>539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4</v>
      </c>
      <c r="U220" s="3">
        <v>4</v>
      </c>
      <c r="V220" s="3">
        <v>4</v>
      </c>
      <c r="W220" s="3" t="s">
        <v>553</v>
      </c>
      <c r="X220" s="3">
        <v>15.99</v>
      </c>
      <c r="Y220" s="3">
        <v>15.99</v>
      </c>
      <c r="Z220" s="3">
        <v>15.99</v>
      </c>
      <c r="AA220" s="3">
        <v>0</v>
      </c>
      <c r="AB220" s="3" t="s">
        <v>547</v>
      </c>
      <c r="AC220" s="3">
        <v>6</v>
      </c>
      <c r="AD220" s="3">
        <v>15.99</v>
      </c>
      <c r="AE220" s="3">
        <v>0</v>
      </c>
      <c r="AF220" s="3">
        <v>0</v>
      </c>
      <c r="AG220" s="3">
        <v>0</v>
      </c>
      <c r="AH220" s="3">
        <v>0.75</v>
      </c>
      <c r="AI220" s="3">
        <v>0.398232</v>
      </c>
      <c r="AJ220" s="3" t="s">
        <v>596</v>
      </c>
    </row>
    <row r="221" spans="1:36">
      <c r="A221" s="4">
        <v>43336</v>
      </c>
      <c r="B221" s="3" t="s">
        <v>1223</v>
      </c>
      <c r="C221" s="3" t="s">
        <v>1224</v>
      </c>
      <c r="D221" s="3" t="s">
        <v>1225</v>
      </c>
      <c r="E221" s="3" t="s">
        <v>1226</v>
      </c>
      <c r="F221" s="3" t="s">
        <v>538</v>
      </c>
      <c r="G221" s="3">
        <v>18</v>
      </c>
      <c r="H221" s="3">
        <v>0</v>
      </c>
      <c r="I221" s="3">
        <v>18</v>
      </c>
      <c r="J221" s="3">
        <v>0</v>
      </c>
      <c r="K221" s="3">
        <v>0</v>
      </c>
      <c r="L221" s="3">
        <v>0</v>
      </c>
      <c r="M221" s="3">
        <v>0</v>
      </c>
      <c r="N221" s="3" t="s">
        <v>539</v>
      </c>
      <c r="O221" s="3">
        <v>0</v>
      </c>
      <c r="P221" s="3">
        <v>0</v>
      </c>
      <c r="Q221" s="3">
        <v>0</v>
      </c>
      <c r="R221" s="3">
        <v>0</v>
      </c>
      <c r="S221" s="3">
        <v>2</v>
      </c>
      <c r="T221" s="3">
        <v>10</v>
      </c>
      <c r="U221" s="3">
        <v>23</v>
      </c>
      <c r="V221" s="3">
        <v>51</v>
      </c>
      <c r="W221" s="3"/>
      <c r="X221" s="3">
        <v>29.99</v>
      </c>
      <c r="Y221" s="3">
        <v>29.99</v>
      </c>
      <c r="Z221" s="3">
        <v>29.99</v>
      </c>
      <c r="AA221" s="3">
        <v>0</v>
      </c>
      <c r="AB221" s="3" t="s">
        <v>547</v>
      </c>
      <c r="AC221" s="3">
        <v>18</v>
      </c>
      <c r="AD221" s="3">
        <v>29.99</v>
      </c>
      <c r="AE221" s="3">
        <v>0</v>
      </c>
      <c r="AF221" s="3">
        <v>0</v>
      </c>
      <c r="AG221" s="3">
        <v>0</v>
      </c>
      <c r="AH221" s="3">
        <v>2.4</v>
      </c>
      <c r="AI221" s="3">
        <v>1.69434</v>
      </c>
      <c r="AJ221" s="3" t="s">
        <v>548</v>
      </c>
    </row>
    <row r="222" spans="1:36">
      <c r="A222" s="4">
        <v>43336</v>
      </c>
      <c r="B222" s="3" t="s">
        <v>1227</v>
      </c>
      <c r="C222" s="3" t="s">
        <v>1228</v>
      </c>
      <c r="D222" s="3" t="s">
        <v>1229</v>
      </c>
      <c r="E222" s="3" t="s">
        <v>1230</v>
      </c>
      <c r="F222" s="3" t="s">
        <v>538</v>
      </c>
      <c r="G222" s="3">
        <v>4</v>
      </c>
      <c r="H222" s="3">
        <v>0</v>
      </c>
      <c r="I222" s="3">
        <v>4</v>
      </c>
      <c r="J222" s="3">
        <v>0</v>
      </c>
      <c r="K222" s="3">
        <v>0</v>
      </c>
      <c r="L222" s="3">
        <v>0</v>
      </c>
      <c r="M222" s="3">
        <v>0</v>
      </c>
      <c r="N222" s="3" t="s">
        <v>539</v>
      </c>
      <c r="O222" s="3">
        <v>0</v>
      </c>
      <c r="P222" s="3">
        <v>0</v>
      </c>
      <c r="Q222" s="3">
        <v>0</v>
      </c>
      <c r="R222" s="3">
        <v>0</v>
      </c>
      <c r="S222" s="3">
        <v>2</v>
      </c>
      <c r="T222" s="3">
        <v>5</v>
      </c>
      <c r="U222" s="3">
        <v>9</v>
      </c>
      <c r="V222" s="3">
        <v>10</v>
      </c>
      <c r="W222" s="3"/>
      <c r="X222" s="3">
        <v>9</v>
      </c>
      <c r="Y222" s="3">
        <v>9</v>
      </c>
      <c r="Z222" s="3">
        <v>9</v>
      </c>
      <c r="AA222" s="3">
        <v>0</v>
      </c>
      <c r="AB222" s="3" t="s">
        <v>547</v>
      </c>
      <c r="AC222" s="3">
        <v>5</v>
      </c>
      <c r="AD222" s="3">
        <v>9</v>
      </c>
      <c r="AE222" s="3">
        <v>0</v>
      </c>
      <c r="AF222" s="3">
        <v>0</v>
      </c>
      <c r="AG222" s="3">
        <v>0</v>
      </c>
      <c r="AH222" s="3">
        <v>2</v>
      </c>
      <c r="AI222" s="3">
        <v>0.108164</v>
      </c>
      <c r="AJ222" s="3" t="s">
        <v>542</v>
      </c>
    </row>
    <row r="223" spans="1:36">
      <c r="A223" s="4">
        <v>43336</v>
      </c>
      <c r="B223" s="3" t="s">
        <v>1231</v>
      </c>
      <c r="C223" s="3" t="s">
        <v>1232</v>
      </c>
      <c r="D223" s="3" t="s">
        <v>1233</v>
      </c>
      <c r="E223" s="3" t="s">
        <v>537</v>
      </c>
      <c r="F223" s="3" t="s">
        <v>538</v>
      </c>
      <c r="G223" s="3">
        <v>6</v>
      </c>
      <c r="H223" s="3">
        <v>0</v>
      </c>
      <c r="I223" s="3">
        <v>6</v>
      </c>
      <c r="J223" s="3">
        <v>0</v>
      </c>
      <c r="K223" s="3">
        <v>0</v>
      </c>
      <c r="L223" s="3">
        <v>0</v>
      </c>
      <c r="M223" s="3">
        <v>0</v>
      </c>
      <c r="N223" s="3" t="s">
        <v>539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 t="s">
        <v>540</v>
      </c>
      <c r="X223" s="3">
        <v>22.99</v>
      </c>
      <c r="Y223" s="3">
        <v>22.99</v>
      </c>
      <c r="Z223" s="3">
        <v>22.99</v>
      </c>
      <c r="AA223" s="3">
        <v>0</v>
      </c>
      <c r="AB223" s="3" t="s">
        <v>541</v>
      </c>
      <c r="AC223" s="3">
        <v>0</v>
      </c>
      <c r="AD223" s="3">
        <v>18.39</v>
      </c>
      <c r="AE223" s="3">
        <v>63</v>
      </c>
      <c r="AF223" s="3">
        <v>0</v>
      </c>
      <c r="AG223" s="3">
        <v>7.984541</v>
      </c>
      <c r="AH223" s="3">
        <v>0</v>
      </c>
      <c r="AI223" s="3">
        <v>1.032474</v>
      </c>
      <c r="AJ223" s="3" t="s">
        <v>542</v>
      </c>
    </row>
    <row r="224" spans="1:36">
      <c r="A224" s="4">
        <v>43336</v>
      </c>
      <c r="B224" s="3" t="s">
        <v>1234</v>
      </c>
      <c r="C224" s="3" t="s">
        <v>1235</v>
      </c>
      <c r="D224" s="3" t="s">
        <v>1236</v>
      </c>
      <c r="E224" s="3" t="s">
        <v>1237</v>
      </c>
      <c r="F224" s="3" t="s">
        <v>538</v>
      </c>
      <c r="G224" s="3">
        <v>23</v>
      </c>
      <c r="H224" s="3">
        <v>0</v>
      </c>
      <c r="I224" s="3">
        <v>23</v>
      </c>
      <c r="J224" s="3">
        <v>0</v>
      </c>
      <c r="K224" s="3">
        <v>0</v>
      </c>
      <c r="L224" s="3">
        <v>0</v>
      </c>
      <c r="M224" s="3">
        <v>0</v>
      </c>
      <c r="N224" s="3" t="s">
        <v>539</v>
      </c>
      <c r="O224" s="3">
        <v>0</v>
      </c>
      <c r="P224" s="3">
        <v>0</v>
      </c>
      <c r="Q224" s="3">
        <v>0</v>
      </c>
      <c r="R224" s="3">
        <v>0</v>
      </c>
      <c r="S224" s="3">
        <v>6</v>
      </c>
      <c r="T224" s="3">
        <v>13</v>
      </c>
      <c r="U224" s="3">
        <v>25</v>
      </c>
      <c r="V224" s="3">
        <v>36</v>
      </c>
      <c r="W224" s="3"/>
      <c r="X224" s="3">
        <v>20</v>
      </c>
      <c r="Y224" s="3">
        <v>12.99</v>
      </c>
      <c r="Z224" s="3">
        <v>12.99</v>
      </c>
      <c r="AA224" s="3">
        <v>0</v>
      </c>
      <c r="AB224" s="3" t="s">
        <v>547</v>
      </c>
      <c r="AC224" s="3">
        <v>25</v>
      </c>
      <c r="AD224" s="3">
        <v>12.99</v>
      </c>
      <c r="AE224" s="3">
        <v>0</v>
      </c>
      <c r="AF224" s="3">
        <v>0</v>
      </c>
      <c r="AG224" s="3">
        <v>0</v>
      </c>
      <c r="AH224" s="3">
        <v>2.18181818181818</v>
      </c>
      <c r="AI224" s="3">
        <v>0.775376</v>
      </c>
      <c r="AJ224" s="3" t="s">
        <v>596</v>
      </c>
    </row>
    <row r="225" spans="1:36">
      <c r="A225" s="4">
        <v>43336</v>
      </c>
      <c r="B225" s="3" t="s">
        <v>1238</v>
      </c>
      <c r="C225" s="3" t="s">
        <v>1239</v>
      </c>
      <c r="D225" s="3" t="s">
        <v>1240</v>
      </c>
      <c r="E225" s="3" t="s">
        <v>1073</v>
      </c>
      <c r="F225" s="3" t="s">
        <v>538</v>
      </c>
      <c r="G225" s="3">
        <v>5</v>
      </c>
      <c r="H225" s="3">
        <v>0</v>
      </c>
      <c r="I225" s="3">
        <v>5</v>
      </c>
      <c r="J225" s="3">
        <v>0</v>
      </c>
      <c r="K225" s="3">
        <v>0</v>
      </c>
      <c r="L225" s="3">
        <v>0</v>
      </c>
      <c r="M225" s="3">
        <v>0</v>
      </c>
      <c r="N225" s="3" t="s">
        <v>539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 t="s">
        <v>540</v>
      </c>
      <c r="X225" s="3">
        <v>19.99</v>
      </c>
      <c r="Y225" s="3">
        <v>19.99</v>
      </c>
      <c r="Z225" s="3">
        <v>19.99</v>
      </c>
      <c r="AA225" s="3">
        <v>0</v>
      </c>
      <c r="AB225" s="3" t="s">
        <v>651</v>
      </c>
      <c r="AC225" s="3">
        <v>5</v>
      </c>
      <c r="AD225" s="3">
        <v>19.99</v>
      </c>
      <c r="AE225" s="3">
        <v>0</v>
      </c>
      <c r="AF225" s="3">
        <v>0</v>
      </c>
      <c r="AG225" s="3">
        <v>0</v>
      </c>
      <c r="AH225" s="3">
        <v>0</v>
      </c>
      <c r="AI225" s="3">
        <v>0.683515</v>
      </c>
      <c r="AJ225" s="3" t="s">
        <v>542</v>
      </c>
    </row>
    <row r="226" spans="1:36">
      <c r="A226" s="4">
        <v>43336</v>
      </c>
      <c r="B226" s="3" t="s">
        <v>1241</v>
      </c>
      <c r="C226" s="3" t="s">
        <v>1242</v>
      </c>
      <c r="D226" s="3" t="s">
        <v>1243</v>
      </c>
      <c r="E226" s="3" t="s">
        <v>612</v>
      </c>
      <c r="F226" s="3" t="s">
        <v>538</v>
      </c>
      <c r="G226" s="3">
        <v>6</v>
      </c>
      <c r="H226" s="3">
        <v>0</v>
      </c>
      <c r="I226" s="3">
        <v>6</v>
      </c>
      <c r="J226" s="3">
        <v>0</v>
      </c>
      <c r="K226" s="3">
        <v>0</v>
      </c>
      <c r="L226" s="3">
        <v>0</v>
      </c>
      <c r="M226" s="3">
        <v>0</v>
      </c>
      <c r="N226" s="3" t="s">
        <v>539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540</v>
      </c>
      <c r="X226" s="3">
        <v>19.99</v>
      </c>
      <c r="Y226" s="3">
        <v>19.99</v>
      </c>
      <c r="Z226" s="3">
        <v>19.99</v>
      </c>
      <c r="AA226" s="3">
        <v>0</v>
      </c>
      <c r="AB226" s="3" t="s">
        <v>541</v>
      </c>
      <c r="AC226" s="3">
        <v>0</v>
      </c>
      <c r="AD226" s="3">
        <v>0</v>
      </c>
      <c r="AE226" s="3">
        <v>0</v>
      </c>
      <c r="AF226" s="3">
        <v>0</v>
      </c>
      <c r="AG226" s="3">
        <v>0</v>
      </c>
      <c r="AH226" s="3">
        <v>0</v>
      </c>
      <c r="AI226" s="5">
        <v>6e-6</v>
      </c>
      <c r="AJ226" s="3" t="s">
        <v>542</v>
      </c>
    </row>
    <row r="227" spans="1:36">
      <c r="A227" s="4">
        <v>43336</v>
      </c>
      <c r="B227" s="3" t="s">
        <v>1244</v>
      </c>
      <c r="C227" s="3" t="s">
        <v>1245</v>
      </c>
      <c r="D227" s="3" t="s">
        <v>1246</v>
      </c>
      <c r="E227" s="3" t="s">
        <v>582</v>
      </c>
      <c r="F227" s="3" t="s">
        <v>538</v>
      </c>
      <c r="G227" s="3">
        <v>4</v>
      </c>
      <c r="H227" s="3">
        <v>0</v>
      </c>
      <c r="I227" s="3">
        <v>0</v>
      </c>
      <c r="J227" s="3">
        <v>4</v>
      </c>
      <c r="K227" s="3">
        <v>0</v>
      </c>
      <c r="L227" s="3">
        <v>0</v>
      </c>
      <c r="M227" s="3">
        <v>0</v>
      </c>
      <c r="N227" s="3" t="s">
        <v>539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540</v>
      </c>
      <c r="X227" s="3">
        <v>11.98</v>
      </c>
      <c r="Y227" s="3">
        <v>11.98</v>
      </c>
      <c r="Z227" s="3">
        <v>11.98</v>
      </c>
      <c r="AA227" s="3">
        <v>0</v>
      </c>
      <c r="AB227" s="3" t="s">
        <v>541</v>
      </c>
      <c r="AC227" s="3">
        <v>0</v>
      </c>
      <c r="AD227" s="3">
        <v>9.58</v>
      </c>
      <c r="AE227" s="3">
        <v>63</v>
      </c>
      <c r="AF227" s="3">
        <v>0</v>
      </c>
      <c r="AG227" s="3">
        <v>2.802641</v>
      </c>
      <c r="AH227" s="3">
        <v>0</v>
      </c>
      <c r="AI227" s="5">
        <v>0.000232</v>
      </c>
      <c r="AJ227" s="3" t="s">
        <v>548</v>
      </c>
    </row>
    <row r="228" spans="1:36">
      <c r="A228" s="4">
        <v>43336</v>
      </c>
      <c r="B228" s="3" t="s">
        <v>1247</v>
      </c>
      <c r="C228" s="3" t="s">
        <v>1248</v>
      </c>
      <c r="D228" s="3" t="s">
        <v>1249</v>
      </c>
      <c r="E228" s="3" t="s">
        <v>612</v>
      </c>
      <c r="F228" s="3" t="s">
        <v>538</v>
      </c>
      <c r="G228" s="3">
        <v>5</v>
      </c>
      <c r="H228" s="3">
        <v>0</v>
      </c>
      <c r="I228" s="3">
        <v>5</v>
      </c>
      <c r="J228" s="3">
        <v>0</v>
      </c>
      <c r="K228" s="3">
        <v>0</v>
      </c>
      <c r="L228" s="3">
        <v>0</v>
      </c>
      <c r="M228" s="3">
        <v>0</v>
      </c>
      <c r="N228" s="3" t="s">
        <v>539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540</v>
      </c>
      <c r="X228" s="3">
        <v>19.99</v>
      </c>
      <c r="Y228" s="3">
        <v>19.99</v>
      </c>
      <c r="Z228" s="3">
        <v>19.99</v>
      </c>
      <c r="AA228" s="3">
        <v>0</v>
      </c>
      <c r="AB228" s="3" t="s">
        <v>541</v>
      </c>
      <c r="AC228" s="3">
        <v>0</v>
      </c>
      <c r="AD228" s="3">
        <v>0</v>
      </c>
      <c r="AE228" s="3">
        <v>0</v>
      </c>
      <c r="AF228" s="3">
        <v>0</v>
      </c>
      <c r="AG228" s="3">
        <v>0</v>
      </c>
      <c r="AH228" s="3">
        <v>0</v>
      </c>
      <c r="AI228" s="5">
        <v>4.99999999999999e-6</v>
      </c>
      <c r="AJ228" s="3" t="s">
        <v>542</v>
      </c>
    </row>
    <row r="229" spans="1:36">
      <c r="A229" s="4">
        <v>43336</v>
      </c>
      <c r="B229" s="3" t="s">
        <v>1250</v>
      </c>
      <c r="C229" s="3" t="s">
        <v>1251</v>
      </c>
      <c r="D229" s="3" t="s">
        <v>1252</v>
      </c>
      <c r="E229" s="3" t="s">
        <v>1253</v>
      </c>
      <c r="F229" s="3" t="s">
        <v>538</v>
      </c>
      <c r="G229" s="3">
        <v>12</v>
      </c>
      <c r="H229" s="3">
        <v>0</v>
      </c>
      <c r="I229" s="3">
        <v>0</v>
      </c>
      <c r="J229" s="3">
        <v>0</v>
      </c>
      <c r="K229" s="3">
        <v>0</v>
      </c>
      <c r="L229" s="3">
        <v>12</v>
      </c>
      <c r="M229" s="3">
        <v>0</v>
      </c>
      <c r="N229" s="3" t="s">
        <v>539</v>
      </c>
      <c r="O229" s="3">
        <v>0</v>
      </c>
      <c r="P229" s="3">
        <v>0</v>
      </c>
      <c r="Q229" s="3">
        <v>12</v>
      </c>
      <c r="R229" s="3">
        <v>6.82</v>
      </c>
      <c r="S229" s="3">
        <v>1</v>
      </c>
      <c r="T229" s="3">
        <v>1</v>
      </c>
      <c r="U229" s="3">
        <v>1</v>
      </c>
      <c r="V229" s="3">
        <v>1</v>
      </c>
      <c r="W229" s="3"/>
      <c r="X229" s="3">
        <v>15.99</v>
      </c>
      <c r="Y229" s="3">
        <v>15.99</v>
      </c>
      <c r="Z229" s="3">
        <v>15.99</v>
      </c>
      <c r="AA229" s="3">
        <v>0</v>
      </c>
      <c r="AB229" s="3" t="s">
        <v>562</v>
      </c>
      <c r="AC229" s="3">
        <v>1</v>
      </c>
      <c r="AD229" s="3">
        <v>13.78</v>
      </c>
      <c r="AE229" s="3">
        <v>168</v>
      </c>
      <c r="AF229" s="3">
        <v>0</v>
      </c>
      <c r="AG229" s="3">
        <v>212.994023</v>
      </c>
      <c r="AH229" s="3">
        <v>0.0769230769230769</v>
      </c>
      <c r="AI229" s="3">
        <v>0.988164</v>
      </c>
      <c r="AJ229" s="3" t="s">
        <v>548</v>
      </c>
    </row>
    <row r="230" spans="1:36">
      <c r="A230" s="4">
        <v>43336</v>
      </c>
      <c r="B230" s="3" t="s">
        <v>1254</v>
      </c>
      <c r="C230" s="3" t="s">
        <v>1255</v>
      </c>
      <c r="D230" s="3" t="s">
        <v>1256</v>
      </c>
      <c r="E230" s="3" t="s">
        <v>655</v>
      </c>
      <c r="F230" s="3" t="s">
        <v>538</v>
      </c>
      <c r="G230" s="3">
        <v>5</v>
      </c>
      <c r="H230" s="3">
        <v>0</v>
      </c>
      <c r="I230" s="3">
        <v>5</v>
      </c>
      <c r="J230" s="3">
        <v>0</v>
      </c>
      <c r="K230" s="3">
        <v>0</v>
      </c>
      <c r="L230" s="3">
        <v>0</v>
      </c>
      <c r="M230" s="3">
        <v>0</v>
      </c>
      <c r="N230" s="3" t="s">
        <v>539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 t="s">
        <v>540</v>
      </c>
      <c r="X230" s="3">
        <v>16.99</v>
      </c>
      <c r="Y230" s="3">
        <v>16.99</v>
      </c>
      <c r="Z230" s="3">
        <v>16.99</v>
      </c>
      <c r="AA230" s="3">
        <v>0</v>
      </c>
      <c r="AB230" s="3" t="s">
        <v>541</v>
      </c>
      <c r="AC230" s="3">
        <v>5</v>
      </c>
      <c r="AD230" s="3">
        <v>16.99</v>
      </c>
      <c r="AE230" s="3">
        <v>0</v>
      </c>
      <c r="AF230" s="3">
        <v>0</v>
      </c>
      <c r="AG230" s="3">
        <v>0</v>
      </c>
      <c r="AH230" s="3">
        <v>0</v>
      </c>
      <c r="AI230" s="3">
        <v>0.767465</v>
      </c>
      <c r="AJ230" s="3" t="s">
        <v>542</v>
      </c>
    </row>
    <row r="231" spans="1:36">
      <c r="A231" s="4">
        <v>43336</v>
      </c>
      <c r="B231" s="3" t="s">
        <v>1257</v>
      </c>
      <c r="C231" s="3" t="s">
        <v>1258</v>
      </c>
      <c r="D231" s="3" t="s">
        <v>1259</v>
      </c>
      <c r="E231" s="3" t="s">
        <v>590</v>
      </c>
      <c r="F231" s="3" t="s">
        <v>538</v>
      </c>
      <c r="G231" s="3">
        <v>8</v>
      </c>
      <c r="H231" s="3">
        <v>0</v>
      </c>
      <c r="I231" s="3">
        <v>8</v>
      </c>
      <c r="J231" s="3">
        <v>0</v>
      </c>
      <c r="K231" s="3">
        <v>0</v>
      </c>
      <c r="L231" s="3">
        <v>0</v>
      </c>
      <c r="M231" s="3">
        <v>0</v>
      </c>
      <c r="N231" s="3" t="s">
        <v>539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540</v>
      </c>
      <c r="X231" s="3">
        <v>19.99</v>
      </c>
      <c r="Y231" s="3">
        <v>19.99</v>
      </c>
      <c r="Z231" s="3">
        <v>19.99</v>
      </c>
      <c r="AA231" s="3">
        <v>0</v>
      </c>
      <c r="AB231" s="3" t="s">
        <v>541</v>
      </c>
      <c r="AC231" s="3">
        <v>0</v>
      </c>
      <c r="AD231" s="3">
        <v>15.99</v>
      </c>
      <c r="AE231" s="3">
        <v>63</v>
      </c>
      <c r="AF231" s="3">
        <v>0</v>
      </c>
      <c r="AG231" s="3">
        <v>9.256904</v>
      </c>
      <c r="AH231" s="3">
        <v>0</v>
      </c>
      <c r="AI231" s="3">
        <v>1.443552</v>
      </c>
      <c r="AJ231" s="3" t="s">
        <v>542</v>
      </c>
    </row>
    <row r="232" spans="1:36">
      <c r="A232" s="4">
        <v>43336</v>
      </c>
      <c r="B232" s="3" t="s">
        <v>1260</v>
      </c>
      <c r="C232" s="3" t="s">
        <v>1261</v>
      </c>
      <c r="D232" s="3" t="s">
        <v>1262</v>
      </c>
      <c r="E232" s="3" t="s">
        <v>1263</v>
      </c>
      <c r="F232" s="3" t="s">
        <v>538</v>
      </c>
      <c r="G232" s="3">
        <v>3</v>
      </c>
      <c r="H232" s="3">
        <v>0</v>
      </c>
      <c r="I232" s="3">
        <v>3</v>
      </c>
      <c r="J232" s="3">
        <v>0</v>
      </c>
      <c r="K232" s="3">
        <v>0</v>
      </c>
      <c r="L232" s="3">
        <v>0</v>
      </c>
      <c r="M232" s="3">
        <v>0</v>
      </c>
      <c r="N232" s="3" t="s">
        <v>539</v>
      </c>
      <c r="O232" s="3">
        <v>0</v>
      </c>
      <c r="P232" s="3">
        <v>0</v>
      </c>
      <c r="Q232" s="3">
        <v>0</v>
      </c>
      <c r="R232" s="3">
        <v>0</v>
      </c>
      <c r="S232" s="3">
        <v>1</v>
      </c>
      <c r="T232" s="3">
        <v>2</v>
      </c>
      <c r="U232" s="3">
        <v>2</v>
      </c>
      <c r="V232" s="3">
        <v>2</v>
      </c>
      <c r="W232" s="3"/>
      <c r="X232" s="3">
        <v>26.99</v>
      </c>
      <c r="Y232" s="3">
        <v>26.99</v>
      </c>
      <c r="Z232" s="3">
        <v>26.99</v>
      </c>
      <c r="AA232" s="3">
        <v>0</v>
      </c>
      <c r="AB232" s="3" t="s">
        <v>547</v>
      </c>
      <c r="AC232" s="3">
        <v>4</v>
      </c>
      <c r="AD232" s="3">
        <v>26.99</v>
      </c>
      <c r="AE232" s="3">
        <v>0</v>
      </c>
      <c r="AF232" s="3">
        <v>0</v>
      </c>
      <c r="AG232" s="3">
        <v>0</v>
      </c>
      <c r="AH232" s="3">
        <v>0.5</v>
      </c>
      <c r="AI232" s="3">
        <v>0.416667</v>
      </c>
      <c r="AJ232" s="3" t="s">
        <v>548</v>
      </c>
    </row>
    <row r="233" spans="1:36">
      <c r="A233" s="4">
        <v>43336</v>
      </c>
      <c r="B233" s="3" t="s">
        <v>1264</v>
      </c>
      <c r="C233" s="3" t="s">
        <v>1265</v>
      </c>
      <c r="D233" s="3" t="s">
        <v>1266</v>
      </c>
      <c r="E233" s="3" t="s">
        <v>1267</v>
      </c>
      <c r="F233" s="3" t="s">
        <v>538</v>
      </c>
      <c r="G233" s="3">
        <v>5</v>
      </c>
      <c r="H233" s="3">
        <v>0</v>
      </c>
      <c r="I233" s="3">
        <v>0</v>
      </c>
      <c r="J233" s="3">
        <v>5</v>
      </c>
      <c r="K233" s="3">
        <v>0</v>
      </c>
      <c r="L233" s="3">
        <v>0</v>
      </c>
      <c r="M233" s="3">
        <v>0</v>
      </c>
      <c r="N233" s="3" t="s">
        <v>539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2</v>
      </c>
      <c r="V233" s="3">
        <v>2</v>
      </c>
      <c r="W233" s="3" t="s">
        <v>540</v>
      </c>
      <c r="X233" s="3">
        <v>22.99</v>
      </c>
      <c r="Y233" s="3">
        <v>22.99</v>
      </c>
      <c r="Z233" s="3">
        <v>22.99</v>
      </c>
      <c r="AA233" s="3">
        <v>0</v>
      </c>
      <c r="AB233" s="3" t="s">
        <v>541</v>
      </c>
      <c r="AC233" s="3">
        <v>5</v>
      </c>
      <c r="AD233" s="3">
        <v>22.99</v>
      </c>
      <c r="AE233" s="3">
        <v>0</v>
      </c>
      <c r="AF233" s="3">
        <v>0</v>
      </c>
      <c r="AG233" s="3">
        <v>0</v>
      </c>
      <c r="AH233" s="3">
        <v>0.333333333333333</v>
      </c>
      <c r="AI233" s="3">
        <v>1.296295</v>
      </c>
      <c r="AJ233" s="3" t="s">
        <v>548</v>
      </c>
    </row>
    <row r="234" spans="1:36">
      <c r="A234" s="4">
        <v>43336</v>
      </c>
      <c r="B234" s="3" t="s">
        <v>1268</v>
      </c>
      <c r="C234" s="3" t="s">
        <v>1269</v>
      </c>
      <c r="D234" s="3" t="s">
        <v>1270</v>
      </c>
      <c r="E234" s="3" t="s">
        <v>590</v>
      </c>
      <c r="F234" s="3" t="s">
        <v>538</v>
      </c>
      <c r="G234" s="3">
        <v>8</v>
      </c>
      <c r="H234" s="3">
        <v>0</v>
      </c>
      <c r="I234" s="3">
        <v>8</v>
      </c>
      <c r="J234" s="3">
        <v>0</v>
      </c>
      <c r="K234" s="3">
        <v>0</v>
      </c>
      <c r="L234" s="3">
        <v>0</v>
      </c>
      <c r="M234" s="3">
        <v>0</v>
      </c>
      <c r="N234" s="3" t="s">
        <v>539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540</v>
      </c>
      <c r="X234" s="3">
        <v>19.99</v>
      </c>
      <c r="Y234" s="3">
        <v>19.99</v>
      </c>
      <c r="Z234" s="3">
        <v>19.99</v>
      </c>
      <c r="AA234" s="3">
        <v>0</v>
      </c>
      <c r="AB234" s="3" t="s">
        <v>541</v>
      </c>
      <c r="AC234" s="3">
        <v>0</v>
      </c>
      <c r="AD234" s="3">
        <v>15.99</v>
      </c>
      <c r="AE234" s="3">
        <v>63</v>
      </c>
      <c r="AF234" s="3">
        <v>0</v>
      </c>
      <c r="AG234" s="3">
        <v>9.256904</v>
      </c>
      <c r="AH234" s="3">
        <v>0</v>
      </c>
      <c r="AI234" s="3">
        <v>1.441736</v>
      </c>
      <c r="AJ234" s="3" t="s">
        <v>542</v>
      </c>
    </row>
    <row r="235" spans="1:36">
      <c r="A235" s="4">
        <v>43336</v>
      </c>
      <c r="B235" s="3" t="s">
        <v>1271</v>
      </c>
      <c r="C235" s="3" t="s">
        <v>1272</v>
      </c>
      <c r="D235" s="3" t="s">
        <v>1273</v>
      </c>
      <c r="E235" s="3" t="s">
        <v>1274</v>
      </c>
      <c r="F235" s="3" t="s">
        <v>538</v>
      </c>
      <c r="G235" s="3">
        <v>32</v>
      </c>
      <c r="H235" s="3">
        <v>0</v>
      </c>
      <c r="I235" s="3">
        <v>0</v>
      </c>
      <c r="J235" s="3">
        <v>1</v>
      </c>
      <c r="K235" s="3">
        <v>31</v>
      </c>
      <c r="L235" s="3">
        <v>0</v>
      </c>
      <c r="M235" s="3">
        <v>0</v>
      </c>
      <c r="N235" s="3" t="s">
        <v>539</v>
      </c>
      <c r="O235" s="3">
        <v>32</v>
      </c>
      <c r="P235" s="3">
        <v>1.55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 t="s">
        <v>553</v>
      </c>
      <c r="X235" s="3">
        <v>9.9</v>
      </c>
      <c r="Y235" s="3">
        <v>9.9</v>
      </c>
      <c r="Z235" s="3">
        <v>9.9</v>
      </c>
      <c r="AA235" s="3">
        <v>0</v>
      </c>
      <c r="AB235" s="3" t="s">
        <v>562</v>
      </c>
      <c r="AC235" s="3">
        <v>0</v>
      </c>
      <c r="AD235" s="3">
        <v>8.19</v>
      </c>
      <c r="AE235" s="3">
        <v>364</v>
      </c>
      <c r="AF235" s="3">
        <v>0</v>
      </c>
      <c r="AG235" s="3">
        <v>148.880359</v>
      </c>
      <c r="AH235" s="3">
        <v>0</v>
      </c>
      <c r="AI235" s="3">
        <v>0.444448</v>
      </c>
      <c r="AJ235" s="3" t="s">
        <v>548</v>
      </c>
    </row>
    <row r="236" spans="1:36">
      <c r="A236" s="4">
        <v>43336</v>
      </c>
      <c r="B236" s="3" t="s">
        <v>1275</v>
      </c>
      <c r="C236" s="3" t="s">
        <v>1276</v>
      </c>
      <c r="D236" s="3" t="s">
        <v>1277</v>
      </c>
      <c r="E236" s="3" t="s">
        <v>1278</v>
      </c>
      <c r="F236" s="3" t="s">
        <v>538</v>
      </c>
      <c r="G236" s="3">
        <v>2</v>
      </c>
      <c r="H236" s="3">
        <v>0</v>
      </c>
      <c r="I236" s="3">
        <v>0</v>
      </c>
      <c r="J236" s="3">
        <v>0</v>
      </c>
      <c r="K236" s="3">
        <v>2</v>
      </c>
      <c r="L236" s="3">
        <v>0</v>
      </c>
      <c r="M236" s="3">
        <v>0</v>
      </c>
      <c r="N236" s="3" t="s">
        <v>539</v>
      </c>
      <c r="O236" s="3">
        <v>2</v>
      </c>
      <c r="P236" s="3">
        <v>0.84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 t="s">
        <v>540</v>
      </c>
      <c r="X236" s="3">
        <v>9.99</v>
      </c>
      <c r="Y236" s="3">
        <v>9.99</v>
      </c>
      <c r="Z236" s="3">
        <v>9.99</v>
      </c>
      <c r="AA236" s="3">
        <v>0</v>
      </c>
      <c r="AB236" s="3" t="s">
        <v>562</v>
      </c>
      <c r="AC236" s="3">
        <v>0</v>
      </c>
      <c r="AD236" s="3">
        <v>7.99</v>
      </c>
      <c r="AE236" s="3">
        <v>63</v>
      </c>
      <c r="AF236" s="3">
        <v>0</v>
      </c>
      <c r="AG236" s="3">
        <v>34.322285</v>
      </c>
      <c r="AH236" s="3">
        <v>0</v>
      </c>
      <c r="AI236" s="3">
        <v>0.24445</v>
      </c>
      <c r="AJ236" s="3" t="s">
        <v>596</v>
      </c>
    </row>
    <row r="237" spans="1:36">
      <c r="A237" s="4">
        <v>43336</v>
      </c>
      <c r="B237" s="3" t="s">
        <v>131</v>
      </c>
      <c r="C237" s="3" t="s">
        <v>132</v>
      </c>
      <c r="D237" s="3" t="s">
        <v>133</v>
      </c>
      <c r="E237" s="3" t="s">
        <v>134</v>
      </c>
      <c r="F237" s="3" t="s">
        <v>538</v>
      </c>
      <c r="G237" s="3">
        <v>7</v>
      </c>
      <c r="H237" s="3">
        <v>0</v>
      </c>
      <c r="I237" s="3">
        <v>7</v>
      </c>
      <c r="J237" s="3">
        <v>0</v>
      </c>
      <c r="K237" s="3">
        <v>0</v>
      </c>
      <c r="L237" s="3">
        <v>0</v>
      </c>
      <c r="M237" s="3">
        <v>0</v>
      </c>
      <c r="N237" s="3" t="s">
        <v>539</v>
      </c>
      <c r="O237" s="3">
        <v>0</v>
      </c>
      <c r="P237" s="3">
        <v>0</v>
      </c>
      <c r="Q237" s="3">
        <v>0</v>
      </c>
      <c r="R237" s="3">
        <v>0</v>
      </c>
      <c r="S237" s="3">
        <v>1</v>
      </c>
      <c r="T237" s="3">
        <v>10</v>
      </c>
      <c r="U237" s="3">
        <v>10</v>
      </c>
      <c r="V237" s="3">
        <v>10</v>
      </c>
      <c r="W237" s="3"/>
      <c r="X237" s="3">
        <v>15.99</v>
      </c>
      <c r="Y237" s="3">
        <v>15.99</v>
      </c>
      <c r="Z237" s="3">
        <v>15.99</v>
      </c>
      <c r="AA237" s="3">
        <v>0</v>
      </c>
      <c r="AB237" s="3" t="s">
        <v>547</v>
      </c>
      <c r="AC237" s="3">
        <v>4</v>
      </c>
      <c r="AD237" s="3">
        <v>15.99</v>
      </c>
      <c r="AE237" s="3">
        <v>0</v>
      </c>
      <c r="AF237" s="3">
        <v>0</v>
      </c>
      <c r="AG237" s="3">
        <v>0</v>
      </c>
      <c r="AH237" s="3">
        <v>4</v>
      </c>
      <c r="AI237" s="3">
        <v>1.403444</v>
      </c>
      <c r="AJ237" s="3" t="s">
        <v>548</v>
      </c>
    </row>
    <row r="238" spans="1:36">
      <c r="A238" s="4">
        <v>43336</v>
      </c>
      <c r="B238" s="3" t="s">
        <v>1279</v>
      </c>
      <c r="C238" s="3" t="s">
        <v>1280</v>
      </c>
      <c r="D238" s="3" t="s">
        <v>1281</v>
      </c>
      <c r="E238" s="3" t="s">
        <v>482</v>
      </c>
      <c r="F238" s="3" t="s">
        <v>538</v>
      </c>
      <c r="G238" s="3">
        <v>3</v>
      </c>
      <c r="H238" s="3">
        <v>0</v>
      </c>
      <c r="I238" s="3">
        <v>0</v>
      </c>
      <c r="J238" s="3">
        <v>0</v>
      </c>
      <c r="K238" s="3">
        <v>1</v>
      </c>
      <c r="L238" s="3">
        <v>2</v>
      </c>
      <c r="M238" s="3">
        <v>0</v>
      </c>
      <c r="N238" s="3" t="s">
        <v>539</v>
      </c>
      <c r="O238" s="3">
        <v>3</v>
      </c>
      <c r="P238" s="3">
        <v>0.76</v>
      </c>
      <c r="Q238" s="3">
        <v>0</v>
      </c>
      <c r="R238" s="3">
        <v>0</v>
      </c>
      <c r="S238" s="3">
        <v>0</v>
      </c>
      <c r="T238" s="3">
        <v>2</v>
      </c>
      <c r="U238" s="3">
        <v>2</v>
      </c>
      <c r="V238" s="3">
        <v>2</v>
      </c>
      <c r="W238" s="3" t="s">
        <v>553</v>
      </c>
      <c r="X238" s="3">
        <v>13.99</v>
      </c>
      <c r="Y238" s="3">
        <v>13.99</v>
      </c>
      <c r="Z238" s="3">
        <v>13.99</v>
      </c>
      <c r="AA238" s="3">
        <v>0</v>
      </c>
      <c r="AB238" s="3" t="s">
        <v>547</v>
      </c>
      <c r="AC238" s="3">
        <v>3</v>
      </c>
      <c r="AD238" s="3">
        <v>13.99</v>
      </c>
      <c r="AE238" s="3">
        <v>0</v>
      </c>
      <c r="AF238" s="3">
        <v>0</v>
      </c>
      <c r="AG238" s="3">
        <v>0</v>
      </c>
      <c r="AH238" s="3">
        <v>0.444444444444444</v>
      </c>
      <c r="AI238" s="3">
        <v>0.221313</v>
      </c>
      <c r="AJ238" s="3" t="s">
        <v>596</v>
      </c>
    </row>
    <row r="239" spans="1:36">
      <c r="A239" s="4">
        <v>43336</v>
      </c>
      <c r="B239" s="3" t="s">
        <v>1282</v>
      </c>
      <c r="C239" s="3" t="s">
        <v>1283</v>
      </c>
      <c r="D239" s="3" t="s">
        <v>1284</v>
      </c>
      <c r="E239" s="3" t="s">
        <v>757</v>
      </c>
      <c r="F239" s="3" t="s">
        <v>538</v>
      </c>
      <c r="G239" s="3">
        <v>5</v>
      </c>
      <c r="H239" s="3">
        <v>0</v>
      </c>
      <c r="I239" s="3">
        <v>5</v>
      </c>
      <c r="J239" s="3">
        <v>0</v>
      </c>
      <c r="K239" s="3">
        <v>0</v>
      </c>
      <c r="L239" s="3">
        <v>0</v>
      </c>
      <c r="M239" s="3">
        <v>0</v>
      </c>
      <c r="N239" s="3" t="s">
        <v>539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 t="s">
        <v>540</v>
      </c>
      <c r="X239" s="3">
        <v>19.99</v>
      </c>
      <c r="Y239" s="3">
        <v>19.99</v>
      </c>
      <c r="Z239" s="3">
        <v>19.99</v>
      </c>
      <c r="AA239" s="3">
        <v>0</v>
      </c>
      <c r="AB239" s="3" t="s">
        <v>541</v>
      </c>
      <c r="AC239" s="3">
        <v>0</v>
      </c>
      <c r="AD239" s="3">
        <v>0</v>
      </c>
      <c r="AE239" s="3">
        <v>0</v>
      </c>
      <c r="AF239" s="3">
        <v>0</v>
      </c>
      <c r="AG239" s="3">
        <v>0</v>
      </c>
      <c r="AH239" s="3">
        <v>0</v>
      </c>
      <c r="AI239" s="3">
        <v>0.76699</v>
      </c>
      <c r="AJ239" s="3" t="s">
        <v>542</v>
      </c>
    </row>
    <row r="240" spans="1:36">
      <c r="A240" s="4">
        <v>43336</v>
      </c>
      <c r="B240" s="3" t="s">
        <v>1285</v>
      </c>
      <c r="C240" s="3" t="s">
        <v>1286</v>
      </c>
      <c r="D240" s="3" t="s">
        <v>1287</v>
      </c>
      <c r="E240" s="3" t="s">
        <v>19</v>
      </c>
      <c r="F240" s="3" t="s">
        <v>538</v>
      </c>
      <c r="G240" s="3">
        <v>23</v>
      </c>
      <c r="H240" s="3">
        <v>0</v>
      </c>
      <c r="I240" s="3">
        <v>23</v>
      </c>
      <c r="J240" s="3">
        <v>0</v>
      </c>
      <c r="K240" s="3">
        <v>0</v>
      </c>
      <c r="L240" s="3">
        <v>0</v>
      </c>
      <c r="M240" s="3">
        <v>0</v>
      </c>
      <c r="N240" s="3" t="s">
        <v>539</v>
      </c>
      <c r="O240" s="3">
        <v>0</v>
      </c>
      <c r="P240" s="3">
        <v>0</v>
      </c>
      <c r="Q240" s="3">
        <v>0</v>
      </c>
      <c r="R240" s="3">
        <v>0</v>
      </c>
      <c r="S240" s="3">
        <v>1</v>
      </c>
      <c r="T240" s="3">
        <v>12</v>
      </c>
      <c r="U240" s="3">
        <v>16</v>
      </c>
      <c r="V240" s="3">
        <v>16</v>
      </c>
      <c r="W240" s="3"/>
      <c r="X240" s="3">
        <v>15.99</v>
      </c>
      <c r="Y240" s="3">
        <v>15.99</v>
      </c>
      <c r="Z240" s="3">
        <v>15.99</v>
      </c>
      <c r="AA240" s="3">
        <v>0</v>
      </c>
      <c r="AB240" s="3" t="s">
        <v>547</v>
      </c>
      <c r="AC240" s="3">
        <v>23</v>
      </c>
      <c r="AD240" s="3">
        <v>15.99</v>
      </c>
      <c r="AE240" s="3">
        <v>0</v>
      </c>
      <c r="AF240" s="3">
        <v>0</v>
      </c>
      <c r="AG240" s="3">
        <v>0</v>
      </c>
      <c r="AH240" s="3">
        <v>0.941176470588235</v>
      </c>
      <c r="AI240" s="3">
        <v>1.526556</v>
      </c>
      <c r="AJ240" s="3" t="s">
        <v>596</v>
      </c>
    </row>
    <row r="241" spans="1:36">
      <c r="A241" s="4">
        <v>43336</v>
      </c>
      <c r="B241" s="3" t="s">
        <v>1288</v>
      </c>
      <c r="C241" s="3" t="s">
        <v>1289</v>
      </c>
      <c r="D241" s="3" t="s">
        <v>1290</v>
      </c>
      <c r="E241" s="3" t="s">
        <v>582</v>
      </c>
      <c r="F241" s="3" t="s">
        <v>538</v>
      </c>
      <c r="G241" s="3">
        <v>4</v>
      </c>
      <c r="H241" s="3">
        <v>0</v>
      </c>
      <c r="I241" s="3">
        <v>0</v>
      </c>
      <c r="J241" s="3">
        <v>4</v>
      </c>
      <c r="K241" s="3">
        <v>0</v>
      </c>
      <c r="L241" s="3">
        <v>0</v>
      </c>
      <c r="M241" s="3">
        <v>0</v>
      </c>
      <c r="N241" s="3" t="s">
        <v>539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540</v>
      </c>
      <c r="X241" s="3">
        <v>11.98</v>
      </c>
      <c r="Y241" s="3">
        <v>11.98</v>
      </c>
      <c r="Z241" s="3">
        <v>11.98</v>
      </c>
      <c r="AA241" s="3">
        <v>0</v>
      </c>
      <c r="AB241" s="3" t="s">
        <v>541</v>
      </c>
      <c r="AC241" s="3">
        <v>0</v>
      </c>
      <c r="AD241" s="3">
        <v>9.58</v>
      </c>
      <c r="AE241" s="3">
        <v>63</v>
      </c>
      <c r="AF241" s="3">
        <v>0</v>
      </c>
      <c r="AG241" s="3">
        <v>2.802641</v>
      </c>
      <c r="AH241" s="3">
        <v>0</v>
      </c>
      <c r="AI241" s="5">
        <v>0.000232</v>
      </c>
      <c r="AJ241" s="3" t="s">
        <v>548</v>
      </c>
    </row>
    <row r="242" spans="1:36">
      <c r="A242" s="4">
        <v>43336</v>
      </c>
      <c r="B242" s="3" t="s">
        <v>1291</v>
      </c>
      <c r="C242" s="3" t="s">
        <v>1292</v>
      </c>
      <c r="D242" s="3" t="s">
        <v>1293</v>
      </c>
      <c r="E242" s="3" t="s">
        <v>1294</v>
      </c>
      <c r="F242" s="3" t="s">
        <v>538</v>
      </c>
      <c r="G242" s="3">
        <v>8</v>
      </c>
      <c r="H242" s="3">
        <v>0</v>
      </c>
      <c r="I242" s="3">
        <v>1</v>
      </c>
      <c r="J242" s="3">
        <v>0</v>
      </c>
      <c r="K242" s="3">
        <v>0</v>
      </c>
      <c r="L242" s="3">
        <v>7</v>
      </c>
      <c r="M242" s="3">
        <v>0</v>
      </c>
      <c r="N242" s="3" t="s">
        <v>539</v>
      </c>
      <c r="O242" s="3">
        <v>1</v>
      </c>
      <c r="P242" s="3">
        <v>0.04</v>
      </c>
      <c r="Q242" s="3">
        <v>6</v>
      </c>
      <c r="R242" s="3">
        <v>3</v>
      </c>
      <c r="S242" s="3">
        <v>0</v>
      </c>
      <c r="T242" s="3">
        <v>0</v>
      </c>
      <c r="U242" s="3">
        <v>2</v>
      </c>
      <c r="V242" s="3">
        <v>5</v>
      </c>
      <c r="W242" s="3" t="s">
        <v>553</v>
      </c>
      <c r="X242" s="3">
        <v>25.99</v>
      </c>
      <c r="Y242" s="3">
        <v>25.99</v>
      </c>
      <c r="Z242" s="3">
        <v>25.99</v>
      </c>
      <c r="AA242" s="3">
        <v>0</v>
      </c>
      <c r="AB242" s="3" t="s">
        <v>562</v>
      </c>
      <c r="AC242" s="3">
        <v>0</v>
      </c>
      <c r="AD242" s="3">
        <v>24.3</v>
      </c>
      <c r="AE242" s="3">
        <v>168</v>
      </c>
      <c r="AF242" s="3">
        <v>0</v>
      </c>
      <c r="AG242" s="3">
        <v>131.890668</v>
      </c>
      <c r="AH242" s="3">
        <v>0.555555555555555</v>
      </c>
      <c r="AI242" s="3">
        <v>0.102688</v>
      </c>
      <c r="AJ242" s="3" t="s">
        <v>548</v>
      </c>
    </row>
    <row r="243" spans="1:36">
      <c r="A243" s="4">
        <v>43336</v>
      </c>
      <c r="B243" s="3" t="s">
        <v>348</v>
      </c>
      <c r="C243" s="3" t="s">
        <v>349</v>
      </c>
      <c r="D243" s="3" t="s">
        <v>350</v>
      </c>
      <c r="E243" s="3" t="s">
        <v>351</v>
      </c>
      <c r="F243" s="3" t="s">
        <v>538</v>
      </c>
      <c r="G243" s="3">
        <v>15</v>
      </c>
      <c r="H243" s="3">
        <v>0</v>
      </c>
      <c r="I243" s="3">
        <v>15</v>
      </c>
      <c r="J243" s="3">
        <v>0</v>
      </c>
      <c r="K243" s="3">
        <v>0</v>
      </c>
      <c r="L243" s="3">
        <v>0</v>
      </c>
      <c r="M243" s="3">
        <v>0</v>
      </c>
      <c r="N243" s="3" t="s">
        <v>539</v>
      </c>
      <c r="O243" s="3">
        <v>0</v>
      </c>
      <c r="P243" s="3">
        <v>0</v>
      </c>
      <c r="Q243" s="3">
        <v>0</v>
      </c>
      <c r="R243" s="3">
        <v>0</v>
      </c>
      <c r="S243" s="3">
        <v>4</v>
      </c>
      <c r="T243" s="3">
        <v>7</v>
      </c>
      <c r="U243" s="3">
        <v>15</v>
      </c>
      <c r="V243" s="3">
        <v>20</v>
      </c>
      <c r="W243" s="3"/>
      <c r="X243" s="3">
        <v>13.99</v>
      </c>
      <c r="Y243" s="3">
        <v>13.99</v>
      </c>
      <c r="Z243" s="3">
        <v>13.99</v>
      </c>
      <c r="AA243" s="3">
        <v>0</v>
      </c>
      <c r="AB243" s="3" t="s">
        <v>547</v>
      </c>
      <c r="AC243" s="3">
        <v>16</v>
      </c>
      <c r="AD243" s="3">
        <v>13.99</v>
      </c>
      <c r="AE243" s="3">
        <v>0</v>
      </c>
      <c r="AF243" s="3">
        <v>0</v>
      </c>
      <c r="AG243" s="3">
        <v>0</v>
      </c>
      <c r="AH243" s="3">
        <v>1.70212765957446</v>
      </c>
      <c r="AI243" s="3">
        <v>1.04271</v>
      </c>
      <c r="AJ243" s="3" t="s">
        <v>596</v>
      </c>
    </row>
    <row r="244" spans="1:36">
      <c r="A244" s="4">
        <v>43336</v>
      </c>
      <c r="B244" s="3" t="s">
        <v>1295</v>
      </c>
      <c r="C244" s="3" t="s">
        <v>1296</v>
      </c>
      <c r="D244" s="3" t="s">
        <v>1297</v>
      </c>
      <c r="E244" s="3" t="s">
        <v>1038</v>
      </c>
      <c r="F244" s="3" t="s">
        <v>538</v>
      </c>
      <c r="G244" s="3">
        <v>4</v>
      </c>
      <c r="H244" s="3">
        <v>0</v>
      </c>
      <c r="I244" s="3">
        <v>0</v>
      </c>
      <c r="J244" s="3">
        <v>4</v>
      </c>
      <c r="K244" s="3">
        <v>0</v>
      </c>
      <c r="L244" s="3">
        <v>0</v>
      </c>
      <c r="M244" s="3">
        <v>0</v>
      </c>
      <c r="N244" s="3" t="s">
        <v>539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540</v>
      </c>
      <c r="X244" s="3">
        <v>9.98</v>
      </c>
      <c r="Y244" s="3">
        <v>9.98</v>
      </c>
      <c r="Z244" s="3">
        <v>9.98</v>
      </c>
      <c r="AA244" s="3">
        <v>0</v>
      </c>
      <c r="AB244" s="3" t="s">
        <v>541</v>
      </c>
      <c r="AC244" s="3">
        <v>0</v>
      </c>
      <c r="AD244" s="3">
        <v>7.98</v>
      </c>
      <c r="AE244" s="3">
        <v>63</v>
      </c>
      <c r="AF244" s="3">
        <v>0</v>
      </c>
      <c r="AG244" s="3">
        <v>2.339591</v>
      </c>
      <c r="AH244" s="3">
        <v>0</v>
      </c>
      <c r="AI244" s="5">
        <v>0.000232</v>
      </c>
      <c r="AJ244" s="3" t="s">
        <v>548</v>
      </c>
    </row>
    <row r="245" spans="1:36">
      <c r="A245" s="4">
        <v>43336</v>
      </c>
      <c r="B245" s="3" t="s">
        <v>1298</v>
      </c>
      <c r="C245" s="3" t="s">
        <v>1299</v>
      </c>
      <c r="D245" s="3" t="s">
        <v>1300</v>
      </c>
      <c r="E245" s="3" t="s">
        <v>1301</v>
      </c>
      <c r="F245" s="3" t="s">
        <v>538</v>
      </c>
      <c r="G245" s="3">
        <v>8</v>
      </c>
      <c r="H245" s="3">
        <v>0</v>
      </c>
      <c r="I245" s="3">
        <v>8</v>
      </c>
      <c r="J245" s="3">
        <v>0</v>
      </c>
      <c r="K245" s="3">
        <v>0</v>
      </c>
      <c r="L245" s="3">
        <v>0</v>
      </c>
      <c r="M245" s="3">
        <v>0</v>
      </c>
      <c r="N245" s="3" t="s">
        <v>539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1</v>
      </c>
      <c r="U245" s="3">
        <v>2</v>
      </c>
      <c r="V245" s="3">
        <v>2</v>
      </c>
      <c r="W245" s="3" t="s">
        <v>553</v>
      </c>
      <c r="X245" s="3">
        <v>12.99</v>
      </c>
      <c r="Y245" s="3">
        <v>12.99</v>
      </c>
      <c r="Z245" s="3">
        <v>12.99</v>
      </c>
      <c r="AA245" s="3">
        <v>0</v>
      </c>
      <c r="AB245" s="3" t="s">
        <v>547</v>
      </c>
      <c r="AC245" s="3">
        <v>8</v>
      </c>
      <c r="AD245" s="3">
        <v>12.99</v>
      </c>
      <c r="AE245" s="3">
        <v>0</v>
      </c>
      <c r="AF245" s="3">
        <v>0</v>
      </c>
      <c r="AG245" s="3">
        <v>0</v>
      </c>
      <c r="AH245" s="3">
        <v>0.352941176470588</v>
      </c>
      <c r="AI245" s="3">
        <v>0.269696</v>
      </c>
      <c r="AJ245" s="3" t="s">
        <v>596</v>
      </c>
    </row>
    <row r="246" spans="1:36">
      <c r="A246" s="4">
        <v>43336</v>
      </c>
      <c r="B246" s="3" t="s">
        <v>1302</v>
      </c>
      <c r="C246" s="3" t="s">
        <v>1303</v>
      </c>
      <c r="D246" s="3" t="s">
        <v>1304</v>
      </c>
      <c r="E246" s="3" t="s">
        <v>1305</v>
      </c>
      <c r="F246" s="3" t="s">
        <v>538</v>
      </c>
      <c r="G246" s="3">
        <v>16</v>
      </c>
      <c r="H246" s="3">
        <v>0</v>
      </c>
      <c r="I246" s="3">
        <v>16</v>
      </c>
      <c r="J246" s="3">
        <v>0</v>
      </c>
      <c r="K246" s="3">
        <v>0</v>
      </c>
      <c r="L246" s="3">
        <v>0</v>
      </c>
      <c r="M246" s="3">
        <v>0</v>
      </c>
      <c r="N246" s="3" t="s">
        <v>539</v>
      </c>
      <c r="O246" s="3">
        <v>0</v>
      </c>
      <c r="P246" s="3">
        <v>0</v>
      </c>
      <c r="Q246" s="3">
        <v>0</v>
      </c>
      <c r="R246" s="3">
        <v>0</v>
      </c>
      <c r="S246" s="3">
        <v>1</v>
      </c>
      <c r="T246" s="3">
        <v>1</v>
      </c>
      <c r="U246" s="3">
        <v>5</v>
      </c>
      <c r="V246" s="3">
        <v>7</v>
      </c>
      <c r="W246" s="3" t="s">
        <v>553</v>
      </c>
      <c r="X246" s="3">
        <v>13.99</v>
      </c>
      <c r="Y246" s="3">
        <v>13.99</v>
      </c>
      <c r="Z246" s="3">
        <v>13.99</v>
      </c>
      <c r="AA246" s="3">
        <v>0</v>
      </c>
      <c r="AB246" s="3" t="s">
        <v>547</v>
      </c>
      <c r="AC246" s="3">
        <v>16</v>
      </c>
      <c r="AD246" s="3">
        <v>13.99</v>
      </c>
      <c r="AE246" s="3">
        <v>0</v>
      </c>
      <c r="AF246" s="3">
        <v>0</v>
      </c>
      <c r="AG246" s="3">
        <v>0</v>
      </c>
      <c r="AH246" s="3">
        <v>0.538461538461538</v>
      </c>
      <c r="AI246" s="3">
        <v>1.231088</v>
      </c>
      <c r="AJ246" s="3" t="s">
        <v>596</v>
      </c>
    </row>
    <row r="247" spans="1:36">
      <c r="A247" s="4">
        <v>43336</v>
      </c>
      <c r="B247" s="3" t="s">
        <v>1306</v>
      </c>
      <c r="C247" s="3" t="s">
        <v>1307</v>
      </c>
      <c r="D247" s="3" t="s">
        <v>1308</v>
      </c>
      <c r="E247" s="3" t="s">
        <v>582</v>
      </c>
      <c r="F247" s="3" t="s">
        <v>538</v>
      </c>
      <c r="G247" s="3">
        <v>4</v>
      </c>
      <c r="H247" s="3">
        <v>0</v>
      </c>
      <c r="I247" s="3">
        <v>0</v>
      </c>
      <c r="J247" s="3">
        <v>4</v>
      </c>
      <c r="K247" s="3">
        <v>0</v>
      </c>
      <c r="L247" s="3">
        <v>0</v>
      </c>
      <c r="M247" s="3">
        <v>0</v>
      </c>
      <c r="N247" s="3" t="s">
        <v>539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540</v>
      </c>
      <c r="X247" s="3">
        <v>11.98</v>
      </c>
      <c r="Y247" s="3">
        <v>11.98</v>
      </c>
      <c r="Z247" s="3">
        <v>11.98</v>
      </c>
      <c r="AA247" s="3">
        <v>0</v>
      </c>
      <c r="AB247" s="3" t="s">
        <v>541</v>
      </c>
      <c r="AC247" s="3">
        <v>0</v>
      </c>
      <c r="AD247" s="3">
        <v>9.58</v>
      </c>
      <c r="AE247" s="3">
        <v>63</v>
      </c>
      <c r="AF247" s="3">
        <v>0</v>
      </c>
      <c r="AG247" s="3">
        <v>2.802641</v>
      </c>
      <c r="AH247" s="3">
        <v>0</v>
      </c>
      <c r="AI247" s="5">
        <v>0.000232</v>
      </c>
      <c r="AJ247" s="3" t="s">
        <v>548</v>
      </c>
    </row>
    <row r="248" spans="1:36">
      <c r="A248" s="4">
        <v>43336</v>
      </c>
      <c r="B248" s="3" t="s">
        <v>1309</v>
      </c>
      <c r="C248" s="3" t="s">
        <v>1310</v>
      </c>
      <c r="D248" s="3" t="s">
        <v>1311</v>
      </c>
      <c r="E248" s="3" t="s">
        <v>1312</v>
      </c>
      <c r="F248" s="3" t="s">
        <v>538</v>
      </c>
      <c r="G248" s="3">
        <v>8</v>
      </c>
      <c r="H248" s="3">
        <v>0</v>
      </c>
      <c r="I248" s="3">
        <v>0</v>
      </c>
      <c r="J248" s="3">
        <v>0</v>
      </c>
      <c r="K248" s="3">
        <v>0</v>
      </c>
      <c r="L248" s="3">
        <v>8</v>
      </c>
      <c r="M248" s="3">
        <v>0</v>
      </c>
      <c r="N248" s="3" t="s">
        <v>539</v>
      </c>
      <c r="O248" s="3">
        <v>8</v>
      </c>
      <c r="P248" s="3">
        <v>1.87</v>
      </c>
      <c r="Q248" s="3">
        <v>0</v>
      </c>
      <c r="R248" s="3">
        <v>0</v>
      </c>
      <c r="S248" s="3">
        <v>0</v>
      </c>
      <c r="T248" s="3">
        <v>1</v>
      </c>
      <c r="U248" s="3">
        <v>1</v>
      </c>
      <c r="V248" s="3">
        <v>1</v>
      </c>
      <c r="W248" s="3" t="s">
        <v>540</v>
      </c>
      <c r="X248" s="3">
        <v>22.7</v>
      </c>
      <c r="Y248" s="3">
        <v>22.7</v>
      </c>
      <c r="Z248" s="3">
        <v>22.7</v>
      </c>
      <c r="AA248" s="3">
        <v>0</v>
      </c>
      <c r="AB248" s="3" t="s">
        <v>541</v>
      </c>
      <c r="AC248" s="3">
        <v>8</v>
      </c>
      <c r="AD248" s="3">
        <v>22.7</v>
      </c>
      <c r="AE248" s="3">
        <v>0</v>
      </c>
      <c r="AF248" s="3">
        <v>0</v>
      </c>
      <c r="AG248" s="3">
        <v>0</v>
      </c>
      <c r="AH248" s="3">
        <v>0.114285714285714</v>
      </c>
      <c r="AI248" s="3">
        <v>0.5434</v>
      </c>
      <c r="AJ248" s="3" t="s">
        <v>596</v>
      </c>
    </row>
    <row r="249" spans="1:36">
      <c r="A249" s="4">
        <v>43336</v>
      </c>
      <c r="B249" s="3" t="s">
        <v>396</v>
      </c>
      <c r="C249" s="3" t="s">
        <v>397</v>
      </c>
      <c r="D249" s="3" t="s">
        <v>398</v>
      </c>
      <c r="E249" s="3" t="s">
        <v>399</v>
      </c>
      <c r="F249" s="3" t="s">
        <v>538</v>
      </c>
      <c r="G249" s="3">
        <v>45</v>
      </c>
      <c r="H249" s="3">
        <v>0</v>
      </c>
      <c r="I249" s="3">
        <v>45</v>
      </c>
      <c r="J249" s="3">
        <v>0</v>
      </c>
      <c r="K249" s="3">
        <v>0</v>
      </c>
      <c r="L249" s="3">
        <v>0</v>
      </c>
      <c r="M249" s="3">
        <v>0</v>
      </c>
      <c r="N249" s="3" t="s">
        <v>539</v>
      </c>
      <c r="O249" s="3">
        <v>0</v>
      </c>
      <c r="P249" s="3">
        <v>0</v>
      </c>
      <c r="Q249" s="3">
        <v>0</v>
      </c>
      <c r="R249" s="3">
        <v>0</v>
      </c>
      <c r="S249" s="3">
        <v>28</v>
      </c>
      <c r="T249" s="3">
        <v>88</v>
      </c>
      <c r="U249" s="3">
        <v>122</v>
      </c>
      <c r="V249" s="3">
        <v>122</v>
      </c>
      <c r="W249" s="3" t="s">
        <v>553</v>
      </c>
      <c r="X249" s="3">
        <v>22.99</v>
      </c>
      <c r="Y249" s="3">
        <v>22.99</v>
      </c>
      <c r="Z249" s="3">
        <v>22.99</v>
      </c>
      <c r="AA249" s="3">
        <v>0</v>
      </c>
      <c r="AB249" s="3" t="s">
        <v>547</v>
      </c>
      <c r="AC249" s="3">
        <v>51</v>
      </c>
      <c r="AD249" s="3">
        <v>22.99</v>
      </c>
      <c r="AE249" s="3">
        <v>0</v>
      </c>
      <c r="AF249" s="3">
        <v>0</v>
      </c>
      <c r="AG249" s="3">
        <v>0</v>
      </c>
      <c r="AH249" s="3">
        <v>4.97959183673469</v>
      </c>
      <c r="AI249" s="3">
        <v>2.88576</v>
      </c>
      <c r="AJ249" s="3" t="s">
        <v>596</v>
      </c>
    </row>
    <row r="250" spans="1:36">
      <c r="A250" s="4">
        <v>43336</v>
      </c>
      <c r="B250" s="3" t="s">
        <v>1313</v>
      </c>
      <c r="C250" s="3" t="s">
        <v>1314</v>
      </c>
      <c r="D250" s="3" t="s">
        <v>1315</v>
      </c>
      <c r="E250" s="3" t="s">
        <v>66</v>
      </c>
      <c r="F250" s="3" t="s">
        <v>538</v>
      </c>
      <c r="G250" s="3">
        <v>7</v>
      </c>
      <c r="H250" s="3">
        <v>0</v>
      </c>
      <c r="I250" s="3">
        <v>7</v>
      </c>
      <c r="J250" s="3">
        <v>0</v>
      </c>
      <c r="K250" s="3">
        <v>0</v>
      </c>
      <c r="L250" s="3">
        <v>0</v>
      </c>
      <c r="M250" s="3">
        <v>0</v>
      </c>
      <c r="N250" s="3" t="s">
        <v>539</v>
      </c>
      <c r="O250" s="3">
        <v>0</v>
      </c>
      <c r="P250" s="3">
        <v>0</v>
      </c>
      <c r="Q250" s="3">
        <v>0</v>
      </c>
      <c r="R250" s="3">
        <v>0</v>
      </c>
      <c r="S250" s="3">
        <v>2</v>
      </c>
      <c r="T250" s="3">
        <v>3</v>
      </c>
      <c r="U250" s="3">
        <v>3</v>
      </c>
      <c r="V250" s="3">
        <v>3</v>
      </c>
      <c r="W250" s="3" t="s">
        <v>540</v>
      </c>
      <c r="X250" s="3">
        <v>15.99</v>
      </c>
      <c r="Y250" s="3">
        <v>15.99</v>
      </c>
      <c r="Z250" s="3">
        <v>15.99</v>
      </c>
      <c r="AA250" s="3">
        <v>0</v>
      </c>
      <c r="AB250" s="3" t="s">
        <v>541</v>
      </c>
      <c r="AC250" s="3">
        <v>7</v>
      </c>
      <c r="AD250" s="3">
        <v>15.99</v>
      </c>
      <c r="AE250" s="3">
        <v>0</v>
      </c>
      <c r="AF250" s="3">
        <v>0</v>
      </c>
      <c r="AG250" s="3">
        <v>0</v>
      </c>
      <c r="AH250" s="3">
        <v>0.857142857142857</v>
      </c>
      <c r="AI250" s="3">
        <v>0.699566</v>
      </c>
      <c r="AJ250" s="3" t="s">
        <v>542</v>
      </c>
    </row>
    <row r="251" spans="1:36">
      <c r="A251" s="4">
        <v>43336</v>
      </c>
      <c r="B251" s="3" t="s">
        <v>1316</v>
      </c>
      <c r="C251" s="3" t="s">
        <v>1317</v>
      </c>
      <c r="D251" s="3" t="s">
        <v>1318</v>
      </c>
      <c r="E251" s="3" t="s">
        <v>1319</v>
      </c>
      <c r="F251" s="3" t="s">
        <v>538</v>
      </c>
      <c r="G251" s="3">
        <v>6</v>
      </c>
      <c r="H251" s="3">
        <v>0</v>
      </c>
      <c r="I251" s="3">
        <v>0</v>
      </c>
      <c r="J251" s="3">
        <v>6</v>
      </c>
      <c r="K251" s="3">
        <v>0</v>
      </c>
      <c r="L251" s="3">
        <v>0</v>
      </c>
      <c r="M251" s="3">
        <v>0</v>
      </c>
      <c r="N251" s="3" t="s">
        <v>539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 t="s">
        <v>540</v>
      </c>
      <c r="X251" s="3">
        <v>9.99</v>
      </c>
      <c r="Y251" s="3">
        <v>9.99</v>
      </c>
      <c r="Z251" s="3">
        <v>9.99</v>
      </c>
      <c r="AA251" s="3">
        <v>0</v>
      </c>
      <c r="AB251" s="3" t="s">
        <v>541</v>
      </c>
      <c r="AC251" s="3">
        <v>0</v>
      </c>
      <c r="AD251" s="3">
        <v>7.99</v>
      </c>
      <c r="AE251" s="3">
        <v>63</v>
      </c>
      <c r="AF251" s="3">
        <v>0</v>
      </c>
      <c r="AG251" s="3">
        <v>21.7216</v>
      </c>
      <c r="AH251" s="3">
        <v>0</v>
      </c>
      <c r="AI251" s="3">
        <v>0.145836</v>
      </c>
      <c r="AJ251" s="3" t="s">
        <v>548</v>
      </c>
    </row>
    <row r="252" spans="1:36">
      <c r="A252" s="4">
        <v>43336</v>
      </c>
      <c r="B252" s="3" t="s">
        <v>1320</v>
      </c>
      <c r="C252" s="3" t="s">
        <v>1321</v>
      </c>
      <c r="D252" s="3" t="s">
        <v>1322</v>
      </c>
      <c r="E252" s="3" t="s">
        <v>1323</v>
      </c>
      <c r="F252" s="3" t="s">
        <v>538</v>
      </c>
      <c r="G252" s="3">
        <v>24</v>
      </c>
      <c r="H252" s="3">
        <v>0</v>
      </c>
      <c r="I252" s="3">
        <v>0</v>
      </c>
      <c r="J252" s="3">
        <v>10</v>
      </c>
      <c r="K252" s="3">
        <v>12</v>
      </c>
      <c r="L252" s="3">
        <v>2</v>
      </c>
      <c r="M252" s="3">
        <v>0</v>
      </c>
      <c r="N252" s="3" t="s">
        <v>539</v>
      </c>
      <c r="O252" s="3">
        <v>14</v>
      </c>
      <c r="P252" s="3">
        <v>3.22</v>
      </c>
      <c r="Q252" s="3">
        <v>0</v>
      </c>
      <c r="R252" s="3">
        <v>0</v>
      </c>
      <c r="S252" s="3">
        <v>0</v>
      </c>
      <c r="T252" s="3">
        <v>1</v>
      </c>
      <c r="U252" s="3">
        <v>4</v>
      </c>
      <c r="V252" s="3">
        <v>12</v>
      </c>
      <c r="W252" s="3"/>
      <c r="X252" s="3">
        <v>12.99</v>
      </c>
      <c r="Y252" s="3">
        <v>12.99</v>
      </c>
      <c r="Z252" s="3">
        <v>12.99</v>
      </c>
      <c r="AA252" s="3">
        <v>0</v>
      </c>
      <c r="AB252" s="3" t="s">
        <v>562</v>
      </c>
      <c r="AC252" s="3">
        <v>0</v>
      </c>
      <c r="AD252" s="3">
        <v>10.18</v>
      </c>
      <c r="AE252" s="3">
        <v>196</v>
      </c>
      <c r="AF252" s="3">
        <v>0</v>
      </c>
      <c r="AG252" s="3">
        <v>223.387675</v>
      </c>
      <c r="AH252" s="3">
        <v>0.424778761061946</v>
      </c>
      <c r="AI252" s="3">
        <v>1.601232</v>
      </c>
      <c r="AJ252" s="3" t="s">
        <v>548</v>
      </c>
    </row>
    <row r="253" spans="1:36">
      <c r="A253" s="4">
        <v>43336</v>
      </c>
      <c r="B253" s="3" t="s">
        <v>1324</v>
      </c>
      <c r="C253" s="3" t="s">
        <v>1325</v>
      </c>
      <c r="D253" s="3" t="s">
        <v>1326</v>
      </c>
      <c r="E253" s="3" t="s">
        <v>1327</v>
      </c>
      <c r="F253" s="3" t="s">
        <v>538</v>
      </c>
      <c r="G253" s="3">
        <v>6</v>
      </c>
      <c r="H253" s="3">
        <v>0</v>
      </c>
      <c r="I253" s="3">
        <v>6</v>
      </c>
      <c r="J253" s="3">
        <v>0</v>
      </c>
      <c r="K253" s="3">
        <v>0</v>
      </c>
      <c r="L253" s="3">
        <v>0</v>
      </c>
      <c r="M253" s="3">
        <v>0</v>
      </c>
      <c r="N253" s="3" t="s">
        <v>539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2</v>
      </c>
      <c r="V253" s="3">
        <v>5</v>
      </c>
      <c r="W253" s="3" t="s">
        <v>553</v>
      </c>
      <c r="X253" s="3">
        <v>23.99</v>
      </c>
      <c r="Y253" s="3">
        <v>23.99</v>
      </c>
      <c r="Z253" s="3">
        <v>23.99</v>
      </c>
      <c r="AA253" s="3">
        <v>0</v>
      </c>
      <c r="AB253" s="3" t="s">
        <v>562</v>
      </c>
      <c r="AC253" s="3">
        <v>0</v>
      </c>
      <c r="AD253" s="3">
        <v>15.63</v>
      </c>
      <c r="AE253" s="3">
        <v>84</v>
      </c>
      <c r="AF253" s="3">
        <v>0</v>
      </c>
      <c r="AG253" s="3">
        <v>44.866887</v>
      </c>
      <c r="AH253" s="3">
        <v>0.952380952380952</v>
      </c>
      <c r="AI253" s="3">
        <v>0.466734</v>
      </c>
      <c r="AJ253" s="3" t="s">
        <v>548</v>
      </c>
    </row>
    <row r="254" spans="1:36">
      <c r="A254" s="4">
        <v>43336</v>
      </c>
      <c r="B254" s="3" t="s">
        <v>1328</v>
      </c>
      <c r="C254" s="3" t="s">
        <v>1329</v>
      </c>
      <c r="D254" s="3" t="s">
        <v>1330</v>
      </c>
      <c r="E254" s="3" t="s">
        <v>570</v>
      </c>
      <c r="F254" s="3" t="s">
        <v>538</v>
      </c>
      <c r="G254" s="3">
        <v>3</v>
      </c>
      <c r="H254" s="3">
        <v>0</v>
      </c>
      <c r="I254" s="3">
        <v>3</v>
      </c>
      <c r="J254" s="3">
        <v>0</v>
      </c>
      <c r="K254" s="3">
        <v>0</v>
      </c>
      <c r="L254" s="3">
        <v>0</v>
      </c>
      <c r="M254" s="3">
        <v>0</v>
      </c>
      <c r="N254" s="3" t="s">
        <v>539</v>
      </c>
      <c r="O254" s="3">
        <v>0</v>
      </c>
      <c r="P254" s="3">
        <v>0</v>
      </c>
      <c r="Q254" s="3">
        <v>0</v>
      </c>
      <c r="R254" s="3">
        <v>0</v>
      </c>
      <c r="S254" s="3">
        <v>2</v>
      </c>
      <c r="T254" s="3">
        <v>2</v>
      </c>
      <c r="U254" s="3">
        <v>2</v>
      </c>
      <c r="V254" s="3">
        <v>2</v>
      </c>
      <c r="W254" s="3"/>
      <c r="X254" s="3">
        <v>9</v>
      </c>
      <c r="Y254" s="3">
        <v>9</v>
      </c>
      <c r="Z254" s="3">
        <v>9</v>
      </c>
      <c r="AA254" s="3">
        <v>0</v>
      </c>
      <c r="AB254" s="3" t="s">
        <v>547</v>
      </c>
      <c r="AC254" s="3">
        <v>3</v>
      </c>
      <c r="AD254" s="3">
        <v>9</v>
      </c>
      <c r="AE254" s="3">
        <v>0</v>
      </c>
      <c r="AF254" s="3">
        <v>0</v>
      </c>
      <c r="AG254" s="3">
        <v>0</v>
      </c>
      <c r="AH254" s="3">
        <v>0.5</v>
      </c>
      <c r="AI254" s="3">
        <v>0.08325</v>
      </c>
      <c r="AJ254" s="3" t="s">
        <v>542</v>
      </c>
    </row>
    <row r="255" spans="1:36">
      <c r="A255" s="4">
        <v>43336</v>
      </c>
      <c r="B255" s="3" t="s">
        <v>300</v>
      </c>
      <c r="C255" s="3" t="s">
        <v>301</v>
      </c>
      <c r="D255" s="3" t="s">
        <v>302</v>
      </c>
      <c r="E255" s="3" t="s">
        <v>303</v>
      </c>
      <c r="F255" s="3" t="s">
        <v>538</v>
      </c>
      <c r="G255" s="3">
        <v>7</v>
      </c>
      <c r="H255" s="3">
        <v>0</v>
      </c>
      <c r="I255" s="3">
        <v>0</v>
      </c>
      <c r="J255" s="3">
        <v>0</v>
      </c>
      <c r="K255" s="3">
        <v>7</v>
      </c>
      <c r="L255" s="3">
        <v>0</v>
      </c>
      <c r="M255" s="3">
        <v>0</v>
      </c>
      <c r="N255" s="3" t="s">
        <v>539</v>
      </c>
      <c r="O255" s="3">
        <v>7</v>
      </c>
      <c r="P255" s="3">
        <v>2.82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540</v>
      </c>
      <c r="X255" s="3">
        <v>39.9</v>
      </c>
      <c r="Y255" s="3">
        <v>39.9</v>
      </c>
      <c r="Z255" s="3">
        <v>39.9</v>
      </c>
      <c r="AA255" s="3">
        <v>0</v>
      </c>
      <c r="AB255" s="3" t="s">
        <v>562</v>
      </c>
      <c r="AC255" s="3">
        <v>0</v>
      </c>
      <c r="AD255" s="3">
        <v>31.92</v>
      </c>
      <c r="AE255" s="3">
        <v>63</v>
      </c>
      <c r="AF255" s="3">
        <v>0</v>
      </c>
      <c r="AG255" s="3">
        <v>128.646675</v>
      </c>
      <c r="AH255" s="3">
        <v>0</v>
      </c>
      <c r="AI255" s="3">
        <v>0.816669</v>
      </c>
      <c r="AJ255" s="3" t="s">
        <v>548</v>
      </c>
    </row>
    <row r="256" spans="1:36">
      <c r="A256" s="4">
        <v>43336</v>
      </c>
      <c r="B256" s="3" t="s">
        <v>1331</v>
      </c>
      <c r="C256" s="3" t="s">
        <v>1332</v>
      </c>
      <c r="D256" s="3" t="s">
        <v>1333</v>
      </c>
      <c r="E256" s="3" t="s">
        <v>1334</v>
      </c>
      <c r="F256" s="3" t="s">
        <v>538</v>
      </c>
      <c r="G256" s="3">
        <v>19</v>
      </c>
      <c r="H256" s="3">
        <v>0</v>
      </c>
      <c r="I256" s="3">
        <v>19</v>
      </c>
      <c r="J256" s="3">
        <v>0</v>
      </c>
      <c r="K256" s="3">
        <v>0</v>
      </c>
      <c r="L256" s="3">
        <v>0</v>
      </c>
      <c r="M256" s="3">
        <v>0</v>
      </c>
      <c r="N256" s="3" t="s">
        <v>539</v>
      </c>
      <c r="O256" s="3">
        <v>0</v>
      </c>
      <c r="P256" s="3">
        <v>0</v>
      </c>
      <c r="Q256" s="3">
        <v>0</v>
      </c>
      <c r="R256" s="3">
        <v>0</v>
      </c>
      <c r="S256" s="3">
        <v>2</v>
      </c>
      <c r="T256" s="3">
        <v>8</v>
      </c>
      <c r="U256" s="3">
        <v>26</v>
      </c>
      <c r="V256" s="3">
        <v>26</v>
      </c>
      <c r="W256" s="3" t="s">
        <v>553</v>
      </c>
      <c r="X256" s="3">
        <v>22.99</v>
      </c>
      <c r="Y256" s="3">
        <v>22.99</v>
      </c>
      <c r="Z256" s="3">
        <v>22.99</v>
      </c>
      <c r="AA256" s="3">
        <v>0</v>
      </c>
      <c r="AB256" s="3" t="s">
        <v>547</v>
      </c>
      <c r="AC256" s="3">
        <v>19</v>
      </c>
      <c r="AD256" s="3">
        <v>22.99</v>
      </c>
      <c r="AE256" s="3">
        <v>0</v>
      </c>
      <c r="AF256" s="3">
        <v>0</v>
      </c>
      <c r="AG256" s="3">
        <v>0</v>
      </c>
      <c r="AH256" s="3">
        <v>3.9</v>
      </c>
      <c r="AI256" s="3">
        <v>1.75740499999999</v>
      </c>
      <c r="AJ256" s="3" t="s">
        <v>596</v>
      </c>
    </row>
    <row r="257" spans="1:36">
      <c r="A257" s="4">
        <v>43336</v>
      </c>
      <c r="B257" s="3" t="s">
        <v>1335</v>
      </c>
      <c r="C257" s="3" t="s">
        <v>1336</v>
      </c>
      <c r="D257" s="3" t="s">
        <v>1337</v>
      </c>
      <c r="E257" s="3" t="s">
        <v>537</v>
      </c>
      <c r="F257" s="3" t="s">
        <v>538</v>
      </c>
      <c r="G257" s="3">
        <v>6</v>
      </c>
      <c r="H257" s="3">
        <v>0</v>
      </c>
      <c r="I257" s="3">
        <v>6</v>
      </c>
      <c r="J257" s="3">
        <v>0</v>
      </c>
      <c r="K257" s="3">
        <v>0</v>
      </c>
      <c r="L257" s="3">
        <v>0</v>
      </c>
      <c r="M257" s="3">
        <v>0</v>
      </c>
      <c r="N257" s="3" t="s">
        <v>539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 t="s">
        <v>540</v>
      </c>
      <c r="X257" s="3">
        <v>19.99</v>
      </c>
      <c r="Y257" s="3">
        <v>19.99</v>
      </c>
      <c r="Z257" s="3">
        <v>19.99</v>
      </c>
      <c r="AA257" s="3">
        <v>0</v>
      </c>
      <c r="AB257" s="3" t="s">
        <v>541</v>
      </c>
      <c r="AC257" s="3">
        <v>0</v>
      </c>
      <c r="AD257" s="3">
        <v>15.99</v>
      </c>
      <c r="AE257" s="3">
        <v>63</v>
      </c>
      <c r="AF257" s="3">
        <v>0</v>
      </c>
      <c r="AG257" s="3">
        <v>6.942678</v>
      </c>
      <c r="AH257" s="3">
        <v>0</v>
      </c>
      <c r="AI257" s="3">
        <v>0.759984</v>
      </c>
      <c r="AJ257" s="3" t="s">
        <v>542</v>
      </c>
    </row>
    <row r="258" spans="1:36">
      <c r="A258" s="4">
        <v>43336</v>
      </c>
      <c r="B258" s="3" t="s">
        <v>1338</v>
      </c>
      <c r="C258" s="3" t="s">
        <v>1339</v>
      </c>
      <c r="D258" s="3" t="s">
        <v>1340</v>
      </c>
      <c r="E258" s="3" t="s">
        <v>612</v>
      </c>
      <c r="F258" s="3" t="s">
        <v>538</v>
      </c>
      <c r="G258" s="3">
        <v>4</v>
      </c>
      <c r="H258" s="3">
        <v>0</v>
      </c>
      <c r="I258" s="3">
        <v>4</v>
      </c>
      <c r="J258" s="3">
        <v>0</v>
      </c>
      <c r="K258" s="3">
        <v>0</v>
      </c>
      <c r="L258" s="3">
        <v>0</v>
      </c>
      <c r="M258" s="3">
        <v>0</v>
      </c>
      <c r="N258" s="3" t="s">
        <v>539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1</v>
      </c>
      <c r="U258" s="3">
        <v>1</v>
      </c>
      <c r="V258" s="3">
        <v>1</v>
      </c>
      <c r="W258" s="3" t="s">
        <v>540</v>
      </c>
      <c r="X258" s="3">
        <v>15.99</v>
      </c>
      <c r="Y258" s="3">
        <v>15.99</v>
      </c>
      <c r="Z258" s="3">
        <v>15.99</v>
      </c>
      <c r="AA258" s="3">
        <v>0</v>
      </c>
      <c r="AB258" s="3" t="s">
        <v>651</v>
      </c>
      <c r="AC258" s="3">
        <v>4</v>
      </c>
      <c r="AD258" s="3">
        <v>15.99</v>
      </c>
      <c r="AE258" s="3">
        <v>0</v>
      </c>
      <c r="AF258" s="3">
        <v>0</v>
      </c>
      <c r="AG258" s="3">
        <v>0</v>
      </c>
      <c r="AH258" s="3">
        <v>0.5</v>
      </c>
      <c r="AI258" s="3">
        <v>0.50074</v>
      </c>
      <c r="AJ258" s="3" t="s">
        <v>542</v>
      </c>
    </row>
    <row r="259" spans="1:36">
      <c r="A259" s="4">
        <v>43336</v>
      </c>
      <c r="B259" s="3" t="s">
        <v>1341</v>
      </c>
      <c r="C259" s="3" t="s">
        <v>1342</v>
      </c>
      <c r="D259" s="3" t="s">
        <v>1343</v>
      </c>
      <c r="E259" s="3" t="s">
        <v>1344</v>
      </c>
      <c r="F259" s="3" t="s">
        <v>538</v>
      </c>
      <c r="G259" s="3">
        <v>12</v>
      </c>
      <c r="H259" s="3">
        <v>0</v>
      </c>
      <c r="I259" s="3">
        <v>1</v>
      </c>
      <c r="J259" s="3">
        <v>0</v>
      </c>
      <c r="K259" s="3">
        <v>5</v>
      </c>
      <c r="L259" s="3">
        <v>6</v>
      </c>
      <c r="M259" s="3">
        <v>0</v>
      </c>
      <c r="N259" s="3" t="s">
        <v>539</v>
      </c>
      <c r="O259" s="3">
        <v>11</v>
      </c>
      <c r="P259" s="3">
        <v>3.14</v>
      </c>
      <c r="Q259" s="3">
        <v>0</v>
      </c>
      <c r="R259" s="3">
        <v>0</v>
      </c>
      <c r="S259" s="3">
        <v>0</v>
      </c>
      <c r="T259" s="3">
        <v>0</v>
      </c>
      <c r="U259" s="3">
        <v>2</v>
      </c>
      <c r="V259" s="3">
        <v>4</v>
      </c>
      <c r="W259" s="3" t="s">
        <v>553</v>
      </c>
      <c r="X259" s="3">
        <v>26.93</v>
      </c>
      <c r="Y259" s="3">
        <v>26.93</v>
      </c>
      <c r="Z259" s="3">
        <v>26.93</v>
      </c>
      <c r="AA259" s="3">
        <v>0</v>
      </c>
      <c r="AB259" s="3" t="s">
        <v>547</v>
      </c>
      <c r="AC259" s="3">
        <v>12</v>
      </c>
      <c r="AD259" s="3">
        <v>26.93</v>
      </c>
      <c r="AE259" s="3">
        <v>0</v>
      </c>
      <c r="AF259" s="3">
        <v>0</v>
      </c>
      <c r="AG259" s="3">
        <v>0</v>
      </c>
      <c r="AH259" s="3">
        <v>0.313725490196078</v>
      </c>
      <c r="AI259" s="3">
        <v>0.992652</v>
      </c>
      <c r="AJ259" s="3" t="s">
        <v>548</v>
      </c>
    </row>
    <row r="260" spans="1:36">
      <c r="A260" s="4">
        <v>43336</v>
      </c>
      <c r="B260" s="3" t="s">
        <v>1345</v>
      </c>
      <c r="C260" s="3" t="s">
        <v>1346</v>
      </c>
      <c r="D260" s="3" t="s">
        <v>1347</v>
      </c>
      <c r="E260" s="3" t="s">
        <v>1348</v>
      </c>
      <c r="F260" s="3" t="s">
        <v>538</v>
      </c>
      <c r="G260" s="3">
        <v>6</v>
      </c>
      <c r="H260" s="3">
        <v>0</v>
      </c>
      <c r="I260" s="3">
        <v>6</v>
      </c>
      <c r="J260" s="3">
        <v>0</v>
      </c>
      <c r="K260" s="3">
        <v>0</v>
      </c>
      <c r="L260" s="3">
        <v>0</v>
      </c>
      <c r="M260" s="3">
        <v>0</v>
      </c>
      <c r="N260" s="3" t="s">
        <v>539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540</v>
      </c>
      <c r="X260" s="3">
        <v>22.99</v>
      </c>
      <c r="Y260" s="3">
        <v>22.99</v>
      </c>
      <c r="Z260" s="3">
        <v>22.99</v>
      </c>
      <c r="AA260" s="3">
        <v>0</v>
      </c>
      <c r="AB260" s="3" t="s">
        <v>541</v>
      </c>
      <c r="AC260" s="3">
        <v>0</v>
      </c>
      <c r="AD260" s="3">
        <v>0</v>
      </c>
      <c r="AE260" s="3">
        <v>0</v>
      </c>
      <c r="AF260" s="3">
        <v>0</v>
      </c>
      <c r="AG260" s="3">
        <v>0</v>
      </c>
      <c r="AH260" s="3">
        <v>0</v>
      </c>
      <c r="AI260" s="3">
        <v>0.811188</v>
      </c>
      <c r="AJ260" s="3" t="s">
        <v>542</v>
      </c>
    </row>
    <row r="261" spans="1:36">
      <c r="A261" s="4">
        <v>43336</v>
      </c>
      <c r="B261" s="3" t="s">
        <v>435</v>
      </c>
      <c r="C261" s="3" t="s">
        <v>436</v>
      </c>
      <c r="D261" s="3" t="s">
        <v>437</v>
      </c>
      <c r="E261" s="3" t="s">
        <v>438</v>
      </c>
      <c r="F261" s="3" t="s">
        <v>538</v>
      </c>
      <c r="G261" s="3">
        <v>66</v>
      </c>
      <c r="H261" s="3">
        <v>0</v>
      </c>
      <c r="I261" s="3">
        <v>66</v>
      </c>
      <c r="J261" s="3">
        <v>0</v>
      </c>
      <c r="K261" s="3">
        <v>0</v>
      </c>
      <c r="L261" s="3">
        <v>0</v>
      </c>
      <c r="M261" s="3">
        <v>0</v>
      </c>
      <c r="N261" s="3" t="s">
        <v>539</v>
      </c>
      <c r="O261" s="3">
        <v>0</v>
      </c>
      <c r="P261" s="3">
        <v>0</v>
      </c>
      <c r="Q261" s="3">
        <v>0</v>
      </c>
      <c r="R261" s="3">
        <v>0</v>
      </c>
      <c r="S261" s="3">
        <v>13</v>
      </c>
      <c r="T261" s="3">
        <v>32</v>
      </c>
      <c r="U261" s="3">
        <v>32</v>
      </c>
      <c r="V261" s="3">
        <v>32</v>
      </c>
      <c r="W261" s="3" t="s">
        <v>553</v>
      </c>
      <c r="X261" s="3">
        <v>27.99</v>
      </c>
      <c r="Y261" s="3">
        <v>27.99</v>
      </c>
      <c r="Z261" s="3">
        <v>27.99</v>
      </c>
      <c r="AA261" s="3">
        <v>0</v>
      </c>
      <c r="AB261" s="3" t="s">
        <v>562</v>
      </c>
      <c r="AC261" s="3">
        <v>31</v>
      </c>
      <c r="AD261" s="3">
        <v>26.34</v>
      </c>
      <c r="AE261" s="3">
        <v>84</v>
      </c>
      <c r="AF261" s="3">
        <v>0</v>
      </c>
      <c r="AG261" s="3">
        <v>1128.835999</v>
      </c>
      <c r="AH261" s="3">
        <v>0.484848484848484</v>
      </c>
      <c r="AI261" s="3">
        <v>2.07207</v>
      </c>
      <c r="AJ261" s="3" t="s">
        <v>596</v>
      </c>
    </row>
    <row r="262" spans="1:36">
      <c r="A262" s="4">
        <v>43336</v>
      </c>
      <c r="B262" s="3" t="s">
        <v>1349</v>
      </c>
      <c r="C262" s="3" t="s">
        <v>1350</v>
      </c>
      <c r="D262" s="3" t="s">
        <v>1351</v>
      </c>
      <c r="E262" s="3" t="s">
        <v>1352</v>
      </c>
      <c r="F262" s="3" t="s">
        <v>538</v>
      </c>
      <c r="G262" s="3">
        <v>8</v>
      </c>
      <c r="H262" s="3">
        <v>0</v>
      </c>
      <c r="I262" s="3">
        <v>0</v>
      </c>
      <c r="J262" s="3">
        <v>0</v>
      </c>
      <c r="K262" s="3">
        <v>8</v>
      </c>
      <c r="L262" s="3">
        <v>0</v>
      </c>
      <c r="M262" s="3">
        <v>0</v>
      </c>
      <c r="N262" s="3" t="s">
        <v>539</v>
      </c>
      <c r="O262" s="3">
        <v>8</v>
      </c>
      <c r="P262" s="3">
        <v>2.22</v>
      </c>
      <c r="Q262" s="3">
        <v>0</v>
      </c>
      <c r="R262" s="3">
        <v>0</v>
      </c>
      <c r="S262" s="3">
        <v>0</v>
      </c>
      <c r="T262" s="3">
        <v>3</v>
      </c>
      <c r="U262" s="3">
        <v>4</v>
      </c>
      <c r="V262" s="3">
        <v>5</v>
      </c>
      <c r="W262" s="3"/>
      <c r="X262" s="3">
        <v>16.7</v>
      </c>
      <c r="Y262" s="3">
        <v>16.7</v>
      </c>
      <c r="Z262" s="3">
        <v>16.7</v>
      </c>
      <c r="AA262" s="3">
        <v>0</v>
      </c>
      <c r="AB262" s="3" t="s">
        <v>547</v>
      </c>
      <c r="AC262" s="3">
        <v>8</v>
      </c>
      <c r="AD262" s="3">
        <v>16.7</v>
      </c>
      <c r="AE262" s="3">
        <v>0</v>
      </c>
      <c r="AF262" s="3">
        <v>0</v>
      </c>
      <c r="AG262" s="3">
        <v>0</v>
      </c>
      <c r="AH262" s="3">
        <v>0.454545454545454</v>
      </c>
      <c r="AI262" s="3">
        <v>0.638656</v>
      </c>
      <c r="AJ262" s="3" t="s">
        <v>548</v>
      </c>
    </row>
    <row r="263" spans="1:36">
      <c r="A263" s="4">
        <v>43336</v>
      </c>
      <c r="B263" s="3" t="s">
        <v>1353</v>
      </c>
      <c r="C263" s="3" t="s">
        <v>1354</v>
      </c>
      <c r="D263" s="3" t="s">
        <v>1355</v>
      </c>
      <c r="E263" s="3" t="s">
        <v>1356</v>
      </c>
      <c r="F263" s="3" t="s">
        <v>538</v>
      </c>
      <c r="G263" s="3">
        <v>76</v>
      </c>
      <c r="H263" s="3">
        <v>0</v>
      </c>
      <c r="I263" s="3">
        <v>76</v>
      </c>
      <c r="J263" s="3">
        <v>0</v>
      </c>
      <c r="K263" s="3">
        <v>0</v>
      </c>
      <c r="L263" s="3">
        <v>0</v>
      </c>
      <c r="M263" s="3">
        <v>0</v>
      </c>
      <c r="N263" s="3" t="s">
        <v>539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9</v>
      </c>
      <c r="U263" s="3">
        <v>9</v>
      </c>
      <c r="V263" s="3">
        <v>9</v>
      </c>
      <c r="W263" s="3"/>
      <c r="X263" s="3">
        <v>10</v>
      </c>
      <c r="Y263" s="3">
        <v>10</v>
      </c>
      <c r="Z263" s="3">
        <v>10</v>
      </c>
      <c r="AA263" s="3">
        <v>0</v>
      </c>
      <c r="AB263" s="3" t="s">
        <v>547</v>
      </c>
      <c r="AC263" s="3">
        <v>56</v>
      </c>
      <c r="AD263" s="3">
        <v>10</v>
      </c>
      <c r="AE263" s="3">
        <v>0</v>
      </c>
      <c r="AF263" s="3">
        <v>0</v>
      </c>
      <c r="AG263" s="3">
        <v>0</v>
      </c>
      <c r="AH263" s="3">
        <v>0.246575342465753</v>
      </c>
      <c r="AI263" s="3">
        <v>2.482312</v>
      </c>
      <c r="AJ263" s="3" t="s">
        <v>548</v>
      </c>
    </row>
    <row r="264" spans="1:36">
      <c r="A264" s="4">
        <v>43336</v>
      </c>
      <c r="B264" s="3" t="s">
        <v>1357</v>
      </c>
      <c r="C264" s="3" t="s">
        <v>1358</v>
      </c>
      <c r="D264" s="3" t="s">
        <v>1359</v>
      </c>
      <c r="E264" s="3" t="s">
        <v>1360</v>
      </c>
      <c r="F264" s="3" t="s">
        <v>538</v>
      </c>
      <c r="G264" s="3">
        <v>11</v>
      </c>
      <c r="H264" s="3">
        <v>0</v>
      </c>
      <c r="I264" s="3">
        <v>0</v>
      </c>
      <c r="J264" s="3">
        <v>0</v>
      </c>
      <c r="K264" s="3">
        <v>11</v>
      </c>
      <c r="L264" s="3">
        <v>0</v>
      </c>
      <c r="M264" s="3">
        <v>0</v>
      </c>
      <c r="N264" s="3" t="s">
        <v>539</v>
      </c>
      <c r="O264" s="3">
        <v>11</v>
      </c>
      <c r="P264" s="3">
        <v>2.96</v>
      </c>
      <c r="Q264" s="3">
        <v>0</v>
      </c>
      <c r="R264" s="3">
        <v>0</v>
      </c>
      <c r="S264" s="3">
        <v>0</v>
      </c>
      <c r="T264" s="3">
        <v>0</v>
      </c>
      <c r="U264" s="3">
        <v>1</v>
      </c>
      <c r="V264" s="3">
        <v>1</v>
      </c>
      <c r="W264" s="3" t="s">
        <v>553</v>
      </c>
      <c r="X264" s="3">
        <v>20</v>
      </c>
      <c r="Y264" s="3">
        <v>20</v>
      </c>
      <c r="Z264" s="3">
        <v>20</v>
      </c>
      <c r="AA264" s="3">
        <v>0</v>
      </c>
      <c r="AB264" s="3" t="s">
        <v>562</v>
      </c>
      <c r="AC264" s="3">
        <v>0</v>
      </c>
      <c r="AD264" s="3">
        <v>15.18</v>
      </c>
      <c r="AE264" s="3">
        <v>364</v>
      </c>
      <c r="AF264" s="3">
        <v>0</v>
      </c>
      <c r="AG264" s="3">
        <v>178.134372</v>
      </c>
      <c r="AH264" s="3">
        <v>0.0869565217391304</v>
      </c>
      <c r="AI264" s="3">
        <v>0.850784</v>
      </c>
      <c r="AJ264" s="3" t="s">
        <v>548</v>
      </c>
    </row>
    <row r="265" spans="1:36">
      <c r="A265" s="4">
        <v>43336</v>
      </c>
      <c r="B265" s="3" t="s">
        <v>1361</v>
      </c>
      <c r="C265" s="3" t="s">
        <v>1362</v>
      </c>
      <c r="D265" s="3" t="s">
        <v>1363</v>
      </c>
      <c r="E265" s="3" t="s">
        <v>1038</v>
      </c>
      <c r="F265" s="3" t="s">
        <v>538</v>
      </c>
      <c r="G265" s="3">
        <v>4</v>
      </c>
      <c r="H265" s="3">
        <v>0</v>
      </c>
      <c r="I265" s="3">
        <v>0</v>
      </c>
      <c r="J265" s="3">
        <v>4</v>
      </c>
      <c r="K265" s="3">
        <v>0</v>
      </c>
      <c r="L265" s="3">
        <v>0</v>
      </c>
      <c r="M265" s="3">
        <v>0</v>
      </c>
      <c r="N265" s="3" t="s">
        <v>539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540</v>
      </c>
      <c r="X265" s="3">
        <v>11.98</v>
      </c>
      <c r="Y265" s="3">
        <v>11.98</v>
      </c>
      <c r="Z265" s="3">
        <v>11.98</v>
      </c>
      <c r="AA265" s="3">
        <v>0</v>
      </c>
      <c r="AB265" s="3" t="s">
        <v>541</v>
      </c>
      <c r="AC265" s="3">
        <v>0</v>
      </c>
      <c r="AD265" s="3">
        <v>9.58</v>
      </c>
      <c r="AE265" s="3">
        <v>63</v>
      </c>
      <c r="AF265" s="3">
        <v>0</v>
      </c>
      <c r="AG265" s="3">
        <v>2.802641</v>
      </c>
      <c r="AH265" s="3">
        <v>0</v>
      </c>
      <c r="AI265" s="5">
        <v>0.000232</v>
      </c>
      <c r="AJ265" s="3" t="s">
        <v>548</v>
      </c>
    </row>
    <row r="266" spans="1:36">
      <c r="A266" s="4">
        <v>43336</v>
      </c>
      <c r="B266" s="3" t="s">
        <v>1364</v>
      </c>
      <c r="C266" s="3" t="s">
        <v>1365</v>
      </c>
      <c r="D266" s="3" t="s">
        <v>1366</v>
      </c>
      <c r="E266" s="3" t="s">
        <v>1367</v>
      </c>
      <c r="F266" s="3" t="s">
        <v>538</v>
      </c>
      <c r="G266" s="3">
        <v>11</v>
      </c>
      <c r="H266" s="3">
        <v>0</v>
      </c>
      <c r="I266" s="3">
        <v>11</v>
      </c>
      <c r="J266" s="3">
        <v>0</v>
      </c>
      <c r="K266" s="3">
        <v>0</v>
      </c>
      <c r="L266" s="3">
        <v>0</v>
      </c>
      <c r="M266" s="3">
        <v>0</v>
      </c>
      <c r="N266" s="3" t="s">
        <v>539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13</v>
      </c>
      <c r="U266" s="3">
        <v>29</v>
      </c>
      <c r="V266" s="3">
        <v>29</v>
      </c>
      <c r="W266" s="3" t="s">
        <v>553</v>
      </c>
      <c r="X266" s="3">
        <v>24.99</v>
      </c>
      <c r="Y266" s="3">
        <v>24.99</v>
      </c>
      <c r="Z266" s="3">
        <v>24.99</v>
      </c>
      <c r="AA266" s="3">
        <v>0</v>
      </c>
      <c r="AB266" s="3" t="s">
        <v>547</v>
      </c>
      <c r="AC266" s="3">
        <v>14</v>
      </c>
      <c r="AD266" s="3">
        <v>24.99</v>
      </c>
      <c r="AE266" s="3">
        <v>0</v>
      </c>
      <c r="AF266" s="3">
        <v>0</v>
      </c>
      <c r="AG266" s="3">
        <v>0</v>
      </c>
      <c r="AH266" s="3">
        <v>3.34615384615384</v>
      </c>
      <c r="AI266" s="3">
        <v>0.763884</v>
      </c>
      <c r="AJ266" s="3" t="s">
        <v>548</v>
      </c>
    </row>
    <row r="267" spans="1:36">
      <c r="A267" s="4">
        <v>43336</v>
      </c>
      <c r="B267" s="3" t="s">
        <v>1368</v>
      </c>
      <c r="C267" s="3" t="s">
        <v>1369</v>
      </c>
      <c r="D267" s="3" t="s">
        <v>1370</v>
      </c>
      <c r="E267" s="3" t="s">
        <v>582</v>
      </c>
      <c r="F267" s="3" t="s">
        <v>538</v>
      </c>
      <c r="G267" s="3">
        <v>4</v>
      </c>
      <c r="H267" s="3">
        <v>0</v>
      </c>
      <c r="I267" s="3">
        <v>0</v>
      </c>
      <c r="J267" s="3">
        <v>4</v>
      </c>
      <c r="K267" s="3">
        <v>0</v>
      </c>
      <c r="L267" s="3">
        <v>0</v>
      </c>
      <c r="M267" s="3">
        <v>0</v>
      </c>
      <c r="N267" s="3" t="s">
        <v>539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540</v>
      </c>
      <c r="X267" s="3">
        <v>11.98</v>
      </c>
      <c r="Y267" s="3">
        <v>11.98</v>
      </c>
      <c r="Z267" s="3">
        <v>11.98</v>
      </c>
      <c r="AA267" s="3">
        <v>0</v>
      </c>
      <c r="AB267" s="3" t="s">
        <v>541</v>
      </c>
      <c r="AC267" s="3">
        <v>0</v>
      </c>
      <c r="AD267" s="3">
        <v>9.58</v>
      </c>
      <c r="AE267" s="3">
        <v>63</v>
      </c>
      <c r="AF267" s="3">
        <v>0</v>
      </c>
      <c r="AG267" s="3">
        <v>2.802641</v>
      </c>
      <c r="AH267" s="3">
        <v>0</v>
      </c>
      <c r="AI267" s="5">
        <v>0.000232</v>
      </c>
      <c r="AJ267" s="3" t="s">
        <v>548</v>
      </c>
    </row>
    <row r="268" spans="1:36">
      <c r="A268" s="4">
        <v>43336</v>
      </c>
      <c r="B268" s="3" t="s">
        <v>167</v>
      </c>
      <c r="C268" s="3" t="s">
        <v>168</v>
      </c>
      <c r="D268" s="3" t="s">
        <v>169</v>
      </c>
      <c r="E268" s="3" t="s">
        <v>170</v>
      </c>
      <c r="F268" s="3" t="s">
        <v>538</v>
      </c>
      <c r="G268" s="3">
        <v>142</v>
      </c>
      <c r="H268" s="3">
        <v>0</v>
      </c>
      <c r="I268" s="3">
        <v>142</v>
      </c>
      <c r="J268" s="3">
        <v>0</v>
      </c>
      <c r="K268" s="3">
        <v>0</v>
      </c>
      <c r="L268" s="3">
        <v>0</v>
      </c>
      <c r="M268" s="3">
        <v>0</v>
      </c>
      <c r="N268" s="3" t="s">
        <v>539</v>
      </c>
      <c r="O268" s="3">
        <v>0</v>
      </c>
      <c r="P268" s="3">
        <v>0</v>
      </c>
      <c r="Q268" s="3">
        <v>0</v>
      </c>
      <c r="R268" s="3">
        <v>0</v>
      </c>
      <c r="S268" s="3">
        <v>56</v>
      </c>
      <c r="T268" s="3">
        <v>225</v>
      </c>
      <c r="U268" s="3">
        <v>332</v>
      </c>
      <c r="V268" s="3">
        <v>405</v>
      </c>
      <c r="W268" s="3"/>
      <c r="X268" s="3">
        <v>22.99</v>
      </c>
      <c r="Y268" s="3">
        <v>22.99</v>
      </c>
      <c r="Z268" s="3">
        <v>22.99</v>
      </c>
      <c r="AA268" s="3">
        <v>0</v>
      </c>
      <c r="AB268" s="3" t="s">
        <v>547</v>
      </c>
      <c r="AC268" s="3">
        <v>134</v>
      </c>
      <c r="AD268" s="3">
        <v>22.99</v>
      </c>
      <c r="AE268" s="3">
        <v>0</v>
      </c>
      <c r="AF268" s="3">
        <v>0</v>
      </c>
      <c r="AG268" s="3">
        <v>0</v>
      </c>
      <c r="AH268" s="3">
        <v>10.8724832214765</v>
      </c>
      <c r="AI268" s="3">
        <v>4.519718</v>
      </c>
      <c r="AJ268" s="3" t="s">
        <v>596</v>
      </c>
    </row>
    <row r="269" spans="1:36">
      <c r="A269" s="4">
        <v>43336</v>
      </c>
      <c r="B269" s="3" t="s">
        <v>1371</v>
      </c>
      <c r="C269" s="3" t="s">
        <v>1372</v>
      </c>
      <c r="D269" s="3" t="s">
        <v>1373</v>
      </c>
      <c r="E269" s="3" t="s">
        <v>1374</v>
      </c>
      <c r="F269" s="3" t="s">
        <v>538</v>
      </c>
      <c r="G269" s="3">
        <v>46</v>
      </c>
      <c r="H269" s="3">
        <v>0</v>
      </c>
      <c r="I269" s="3">
        <v>46</v>
      </c>
      <c r="J269" s="3">
        <v>0</v>
      </c>
      <c r="K269" s="3">
        <v>0</v>
      </c>
      <c r="L269" s="3">
        <v>0</v>
      </c>
      <c r="M269" s="3">
        <v>0</v>
      </c>
      <c r="N269" s="3" t="s">
        <v>539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1</v>
      </c>
      <c r="V269" s="3">
        <v>1</v>
      </c>
      <c r="W269" s="3" t="s">
        <v>553</v>
      </c>
      <c r="X269" s="3">
        <v>13.99</v>
      </c>
      <c r="Y269" s="3">
        <v>13.99</v>
      </c>
      <c r="Z269" s="3">
        <v>13.99</v>
      </c>
      <c r="AA269" s="3">
        <v>0</v>
      </c>
      <c r="AB269" s="3" t="s">
        <v>562</v>
      </c>
      <c r="AC269" s="3">
        <v>0</v>
      </c>
      <c r="AD269" s="3">
        <v>10.67</v>
      </c>
      <c r="AE269" s="3">
        <v>364</v>
      </c>
      <c r="AF269" s="3">
        <v>0</v>
      </c>
      <c r="AG269" s="3">
        <v>513.327475</v>
      </c>
      <c r="AH269" s="3">
        <v>0.0338983050847457</v>
      </c>
      <c r="AI269" s="3">
        <v>3.53937799999999</v>
      </c>
      <c r="AJ269" s="3" t="s">
        <v>596</v>
      </c>
    </row>
    <row r="270" spans="1:36">
      <c r="A270" s="4">
        <v>43336</v>
      </c>
      <c r="B270" s="3" t="s">
        <v>352</v>
      </c>
      <c r="C270" s="3" t="s">
        <v>353</v>
      </c>
      <c r="D270" s="3" t="s">
        <v>354</v>
      </c>
      <c r="E270" s="3" t="s">
        <v>355</v>
      </c>
      <c r="F270" s="3" t="s">
        <v>538</v>
      </c>
      <c r="G270" s="3">
        <v>14</v>
      </c>
      <c r="H270" s="3">
        <v>0</v>
      </c>
      <c r="I270" s="3">
        <v>14</v>
      </c>
      <c r="J270" s="3">
        <v>0</v>
      </c>
      <c r="K270" s="3">
        <v>0</v>
      </c>
      <c r="L270" s="3">
        <v>0</v>
      </c>
      <c r="M270" s="3">
        <v>0</v>
      </c>
      <c r="N270" s="3" t="s">
        <v>539</v>
      </c>
      <c r="O270" s="3">
        <v>0</v>
      </c>
      <c r="P270" s="3">
        <v>0</v>
      </c>
      <c r="Q270" s="3">
        <v>0</v>
      </c>
      <c r="R270" s="3">
        <v>0</v>
      </c>
      <c r="S270" s="3">
        <v>14</v>
      </c>
      <c r="T270" s="3">
        <v>21</v>
      </c>
      <c r="U270" s="3">
        <v>25</v>
      </c>
      <c r="V270" s="3">
        <v>25</v>
      </c>
      <c r="W270" s="3"/>
      <c r="X270" s="3">
        <v>9</v>
      </c>
      <c r="Y270" s="3">
        <v>9</v>
      </c>
      <c r="Z270" s="3">
        <v>9</v>
      </c>
      <c r="AA270" s="3">
        <v>0</v>
      </c>
      <c r="AB270" s="3" t="s">
        <v>547</v>
      </c>
      <c r="AC270" s="3">
        <v>15</v>
      </c>
      <c r="AD270" s="3">
        <v>9</v>
      </c>
      <c r="AE270" s="3">
        <v>0</v>
      </c>
      <c r="AF270" s="3">
        <v>0</v>
      </c>
      <c r="AG270" s="3">
        <v>0</v>
      </c>
      <c r="AH270" s="3">
        <v>3.4090909090909</v>
      </c>
      <c r="AI270" s="3">
        <v>0.378573999999999</v>
      </c>
      <c r="AJ270" s="3" t="s">
        <v>542</v>
      </c>
    </row>
    <row r="271" spans="1:36">
      <c r="A271" s="4">
        <v>43336</v>
      </c>
      <c r="B271" s="3" t="s">
        <v>1375</v>
      </c>
      <c r="C271" s="3" t="s">
        <v>1376</v>
      </c>
      <c r="D271" s="3" t="s">
        <v>1377</v>
      </c>
      <c r="E271" s="3" t="s">
        <v>1378</v>
      </c>
      <c r="F271" s="3" t="s">
        <v>538</v>
      </c>
      <c r="G271" s="3">
        <v>9</v>
      </c>
      <c r="H271" s="3">
        <v>0</v>
      </c>
      <c r="I271" s="3">
        <v>0</v>
      </c>
      <c r="J271" s="3">
        <v>0</v>
      </c>
      <c r="K271" s="3">
        <v>0</v>
      </c>
      <c r="L271" s="3">
        <v>1</v>
      </c>
      <c r="M271" s="3">
        <v>8</v>
      </c>
      <c r="N271" s="3" t="s">
        <v>539</v>
      </c>
      <c r="O271" s="3">
        <v>1</v>
      </c>
      <c r="P271" s="3">
        <v>0</v>
      </c>
      <c r="Q271" s="3">
        <v>8</v>
      </c>
      <c r="R271" s="3">
        <v>4</v>
      </c>
      <c r="S271" s="3">
        <v>0</v>
      </c>
      <c r="T271" s="3">
        <v>0</v>
      </c>
      <c r="U271" s="3">
        <v>0</v>
      </c>
      <c r="V271" s="3">
        <v>1</v>
      </c>
      <c r="W271" s="3" t="s">
        <v>540</v>
      </c>
      <c r="X271" s="3">
        <v>35.2</v>
      </c>
      <c r="Y271" s="3">
        <v>35.2</v>
      </c>
      <c r="Z271" s="3">
        <v>35.2</v>
      </c>
      <c r="AA271" s="3">
        <v>0</v>
      </c>
      <c r="AB271" s="3" t="s">
        <v>562</v>
      </c>
      <c r="AC271" s="3">
        <v>0</v>
      </c>
      <c r="AD271" s="3">
        <v>27.19</v>
      </c>
      <c r="AE271" s="3">
        <v>364</v>
      </c>
      <c r="AF271" s="3">
        <v>0</v>
      </c>
      <c r="AG271" s="3">
        <v>137.537151</v>
      </c>
      <c r="AH271" s="3">
        <v>0.108108108108108</v>
      </c>
      <c r="AI271" s="5">
        <v>0.000522</v>
      </c>
      <c r="AJ271" s="3" t="s">
        <v>548</v>
      </c>
    </row>
    <row r="272" spans="1:36">
      <c r="A272" s="4">
        <v>43336</v>
      </c>
      <c r="B272" s="3" t="s">
        <v>155</v>
      </c>
      <c r="C272" s="3" t="s">
        <v>156</v>
      </c>
      <c r="D272" s="3" t="s">
        <v>157</v>
      </c>
      <c r="E272" s="3" t="s">
        <v>158</v>
      </c>
      <c r="F272" s="3" t="s">
        <v>538</v>
      </c>
      <c r="G272" s="3">
        <v>11</v>
      </c>
      <c r="H272" s="3">
        <v>0</v>
      </c>
      <c r="I272" s="3">
        <v>11</v>
      </c>
      <c r="J272" s="3">
        <v>0</v>
      </c>
      <c r="K272" s="3">
        <v>0</v>
      </c>
      <c r="L272" s="3">
        <v>0</v>
      </c>
      <c r="M272" s="3">
        <v>0</v>
      </c>
      <c r="N272" s="3" t="s">
        <v>539</v>
      </c>
      <c r="O272" s="3">
        <v>0</v>
      </c>
      <c r="P272" s="3">
        <v>0</v>
      </c>
      <c r="Q272" s="3">
        <v>0</v>
      </c>
      <c r="R272" s="3">
        <v>0</v>
      </c>
      <c r="S272" s="3">
        <v>4</v>
      </c>
      <c r="T272" s="3">
        <v>8</v>
      </c>
      <c r="U272" s="3">
        <v>13</v>
      </c>
      <c r="V272" s="3">
        <v>20</v>
      </c>
      <c r="W272" s="3"/>
      <c r="X272" s="3">
        <v>13.99</v>
      </c>
      <c r="Y272" s="3">
        <v>13.99</v>
      </c>
      <c r="Z272" s="3">
        <v>13.99</v>
      </c>
      <c r="AA272" s="3">
        <v>0</v>
      </c>
      <c r="AB272" s="3" t="s">
        <v>547</v>
      </c>
      <c r="AC272" s="3">
        <v>11</v>
      </c>
      <c r="AD272" s="3">
        <v>13.99</v>
      </c>
      <c r="AE272" s="3">
        <v>0</v>
      </c>
      <c r="AF272" s="3">
        <v>0</v>
      </c>
      <c r="AG272" s="3">
        <v>0</v>
      </c>
      <c r="AH272" s="3">
        <v>1.25</v>
      </c>
      <c r="AI272" s="3">
        <v>0.983410999999999</v>
      </c>
      <c r="AJ272" s="3" t="s">
        <v>548</v>
      </c>
    </row>
    <row r="273" spans="1:36">
      <c r="A273" s="4">
        <v>43336</v>
      </c>
      <c r="B273" s="3" t="s">
        <v>1379</v>
      </c>
      <c r="C273" s="3" t="s">
        <v>1380</v>
      </c>
      <c r="D273" s="3" t="s">
        <v>1381</v>
      </c>
      <c r="E273" s="3" t="s">
        <v>537</v>
      </c>
      <c r="F273" s="3" t="s">
        <v>538</v>
      </c>
      <c r="G273" s="3">
        <v>6</v>
      </c>
      <c r="H273" s="3">
        <v>0</v>
      </c>
      <c r="I273" s="3">
        <v>6</v>
      </c>
      <c r="J273" s="3">
        <v>0</v>
      </c>
      <c r="K273" s="3">
        <v>0</v>
      </c>
      <c r="L273" s="3">
        <v>0</v>
      </c>
      <c r="M273" s="3">
        <v>0</v>
      </c>
      <c r="N273" s="3" t="s">
        <v>539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540</v>
      </c>
      <c r="X273" s="3">
        <v>19.99</v>
      </c>
      <c r="Y273" s="3">
        <v>19.99</v>
      </c>
      <c r="Z273" s="3">
        <v>19.99</v>
      </c>
      <c r="AA273" s="3">
        <v>0</v>
      </c>
      <c r="AB273" s="3" t="s">
        <v>541</v>
      </c>
      <c r="AC273" s="3">
        <v>0</v>
      </c>
      <c r="AD273" s="3">
        <v>15.99</v>
      </c>
      <c r="AE273" s="3">
        <v>63</v>
      </c>
      <c r="AF273" s="3">
        <v>0</v>
      </c>
      <c r="AG273" s="3">
        <v>6.942678</v>
      </c>
      <c r="AH273" s="3">
        <v>0</v>
      </c>
      <c r="AI273" s="3">
        <v>1.297632</v>
      </c>
      <c r="AJ273" s="3" t="s">
        <v>542</v>
      </c>
    </row>
    <row r="274" spans="1:36">
      <c r="A274" s="4">
        <v>43336</v>
      </c>
      <c r="B274" s="3" t="s">
        <v>1382</v>
      </c>
      <c r="C274" s="3" t="s">
        <v>1383</v>
      </c>
      <c r="D274" s="3" t="s">
        <v>1384</v>
      </c>
      <c r="E274" s="3" t="s">
        <v>590</v>
      </c>
      <c r="F274" s="3" t="s">
        <v>538</v>
      </c>
      <c r="G274" s="3">
        <v>6</v>
      </c>
      <c r="H274" s="3">
        <v>0</v>
      </c>
      <c r="I274" s="3">
        <v>6</v>
      </c>
      <c r="J274" s="3">
        <v>0</v>
      </c>
      <c r="K274" s="3">
        <v>0</v>
      </c>
      <c r="L274" s="3">
        <v>0</v>
      </c>
      <c r="M274" s="3">
        <v>0</v>
      </c>
      <c r="N274" s="3" t="s">
        <v>539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 t="s">
        <v>540</v>
      </c>
      <c r="X274" s="3">
        <v>19.99</v>
      </c>
      <c r="Y274" s="3">
        <v>19.99</v>
      </c>
      <c r="Z274" s="3">
        <v>19.99</v>
      </c>
      <c r="AA274" s="3">
        <v>0</v>
      </c>
      <c r="AB274" s="3" t="s">
        <v>541</v>
      </c>
      <c r="AC274" s="3">
        <v>0</v>
      </c>
      <c r="AD274" s="3">
        <v>15.99</v>
      </c>
      <c r="AE274" s="3">
        <v>63</v>
      </c>
      <c r="AF274" s="3">
        <v>0</v>
      </c>
      <c r="AG274" s="3">
        <v>6.942678</v>
      </c>
      <c r="AH274" s="3">
        <v>0</v>
      </c>
      <c r="AI274" s="3">
        <v>0.868596</v>
      </c>
      <c r="AJ274" s="3" t="s">
        <v>542</v>
      </c>
    </row>
    <row r="275" spans="1:36">
      <c r="A275" s="4">
        <v>43336</v>
      </c>
      <c r="B275" s="3" t="s">
        <v>1385</v>
      </c>
      <c r="C275" s="3" t="s">
        <v>1386</v>
      </c>
      <c r="D275" s="3" t="s">
        <v>1387</v>
      </c>
      <c r="E275" s="3" t="s">
        <v>1388</v>
      </c>
      <c r="F275" s="3" t="s">
        <v>538</v>
      </c>
      <c r="G275" s="3">
        <v>9</v>
      </c>
      <c r="H275" s="3">
        <v>0</v>
      </c>
      <c r="I275" s="3">
        <v>9</v>
      </c>
      <c r="J275" s="3">
        <v>0</v>
      </c>
      <c r="K275" s="3">
        <v>0</v>
      </c>
      <c r="L275" s="3">
        <v>0</v>
      </c>
      <c r="M275" s="3">
        <v>0</v>
      </c>
      <c r="N275" s="3" t="s">
        <v>539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3</v>
      </c>
      <c r="U275" s="3">
        <v>5</v>
      </c>
      <c r="V275" s="3">
        <v>5</v>
      </c>
      <c r="W275" s="3"/>
      <c r="X275" s="3">
        <v>15.99</v>
      </c>
      <c r="Y275" s="3">
        <v>15.99</v>
      </c>
      <c r="Z275" s="3">
        <v>15.99</v>
      </c>
      <c r="AA275" s="3">
        <v>0</v>
      </c>
      <c r="AB275" s="3" t="s">
        <v>743</v>
      </c>
      <c r="AC275" s="3">
        <v>0</v>
      </c>
      <c r="AD275" s="3">
        <v>15.19</v>
      </c>
      <c r="AE275" s="3">
        <v>0</v>
      </c>
      <c r="AF275" s="3">
        <v>9</v>
      </c>
      <c r="AG275" s="3">
        <v>12.228902</v>
      </c>
      <c r="AH275" s="3">
        <v>0.833333333333333</v>
      </c>
      <c r="AI275" s="3">
        <v>0.411192</v>
      </c>
      <c r="AJ275" s="3" t="s">
        <v>596</v>
      </c>
    </row>
    <row r="276" spans="1:36">
      <c r="A276" s="4">
        <v>43336</v>
      </c>
      <c r="B276" s="3" t="s">
        <v>1389</v>
      </c>
      <c r="C276" s="3" t="s">
        <v>1390</v>
      </c>
      <c r="D276" s="3" t="s">
        <v>1391</v>
      </c>
      <c r="E276" s="3" t="s">
        <v>66</v>
      </c>
      <c r="F276" s="3" t="s">
        <v>538</v>
      </c>
      <c r="G276" s="3">
        <v>5</v>
      </c>
      <c r="H276" s="3">
        <v>0</v>
      </c>
      <c r="I276" s="3">
        <v>5</v>
      </c>
      <c r="J276" s="3">
        <v>0</v>
      </c>
      <c r="K276" s="3">
        <v>0</v>
      </c>
      <c r="L276" s="3">
        <v>0</v>
      </c>
      <c r="M276" s="3">
        <v>0</v>
      </c>
      <c r="N276" s="3" t="s">
        <v>539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 t="s">
        <v>540</v>
      </c>
      <c r="X276" s="3">
        <v>15.99</v>
      </c>
      <c r="Y276" s="3">
        <v>15.99</v>
      </c>
      <c r="Z276" s="3">
        <v>15.99</v>
      </c>
      <c r="AA276" s="3">
        <v>0</v>
      </c>
      <c r="AB276" s="3" t="s">
        <v>541</v>
      </c>
      <c r="AC276" s="3">
        <v>5</v>
      </c>
      <c r="AD276" s="3">
        <v>15.99</v>
      </c>
      <c r="AE276" s="3">
        <v>0</v>
      </c>
      <c r="AF276" s="3">
        <v>0</v>
      </c>
      <c r="AG276" s="3">
        <v>0</v>
      </c>
      <c r="AH276" s="3">
        <v>0</v>
      </c>
      <c r="AI276" s="3">
        <v>0.385484999999999</v>
      </c>
      <c r="AJ276" s="3" t="s">
        <v>542</v>
      </c>
    </row>
    <row r="277" spans="1:36">
      <c r="A277" s="4">
        <v>43336</v>
      </c>
      <c r="B277" s="3" t="s">
        <v>1392</v>
      </c>
      <c r="C277" s="3" t="s">
        <v>1393</v>
      </c>
      <c r="D277" s="3" t="s">
        <v>1394</v>
      </c>
      <c r="E277" s="3" t="s">
        <v>482</v>
      </c>
      <c r="F277" s="3" t="s">
        <v>538</v>
      </c>
      <c r="G277" s="3">
        <v>2</v>
      </c>
      <c r="H277" s="3">
        <v>0</v>
      </c>
      <c r="I277" s="3">
        <v>0</v>
      </c>
      <c r="J277" s="3">
        <v>0</v>
      </c>
      <c r="K277" s="3">
        <v>0</v>
      </c>
      <c r="L277" s="3">
        <v>2</v>
      </c>
      <c r="M277" s="3">
        <v>0</v>
      </c>
      <c r="N277" s="3" t="s">
        <v>539</v>
      </c>
      <c r="O277" s="3">
        <v>2</v>
      </c>
      <c r="P277" s="3">
        <v>0.51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1</v>
      </c>
      <c r="W277" s="3" t="s">
        <v>553</v>
      </c>
      <c r="X277" s="3">
        <v>13.99</v>
      </c>
      <c r="Y277" s="3">
        <v>13.99</v>
      </c>
      <c r="Z277" s="3">
        <v>13.99</v>
      </c>
      <c r="AA277" s="3">
        <v>0</v>
      </c>
      <c r="AB277" s="3" t="s">
        <v>547</v>
      </c>
      <c r="AC277" s="3">
        <v>2</v>
      </c>
      <c r="AD277" s="3">
        <v>13.99</v>
      </c>
      <c r="AE277" s="3">
        <v>0</v>
      </c>
      <c r="AF277" s="3">
        <v>0</v>
      </c>
      <c r="AG277" s="3">
        <v>0</v>
      </c>
      <c r="AH277" s="3">
        <v>0.363636363636363</v>
      </c>
      <c r="AI277" s="3">
        <v>0.147542</v>
      </c>
      <c r="AJ277" s="3" t="s">
        <v>596</v>
      </c>
    </row>
    <row r="278" spans="1:36">
      <c r="A278" s="4">
        <v>43336</v>
      </c>
      <c r="B278" s="3" t="s">
        <v>1395</v>
      </c>
      <c r="C278" s="3" t="s">
        <v>1396</v>
      </c>
      <c r="D278" s="3" t="s">
        <v>1397</v>
      </c>
      <c r="E278" s="3" t="s">
        <v>66</v>
      </c>
      <c r="F278" s="3" t="s">
        <v>538</v>
      </c>
      <c r="G278" s="3">
        <v>2</v>
      </c>
      <c r="H278" s="3">
        <v>0</v>
      </c>
      <c r="I278" s="3">
        <v>2</v>
      </c>
      <c r="J278" s="3">
        <v>0</v>
      </c>
      <c r="K278" s="3">
        <v>0</v>
      </c>
      <c r="L278" s="3">
        <v>0</v>
      </c>
      <c r="M278" s="3">
        <v>0</v>
      </c>
      <c r="N278" s="3" t="s">
        <v>539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3</v>
      </c>
      <c r="U278" s="3">
        <v>3</v>
      </c>
      <c r="V278" s="3">
        <v>3</v>
      </c>
      <c r="W278" s="3" t="s">
        <v>540</v>
      </c>
      <c r="X278" s="3">
        <v>15.99</v>
      </c>
      <c r="Y278" s="3">
        <v>15.99</v>
      </c>
      <c r="Z278" s="3">
        <v>15.99</v>
      </c>
      <c r="AA278" s="3">
        <v>0</v>
      </c>
      <c r="AB278" s="3" t="s">
        <v>541</v>
      </c>
      <c r="AC278" s="3">
        <v>2</v>
      </c>
      <c r="AD278" s="3">
        <v>15.99</v>
      </c>
      <c r="AE278" s="3">
        <v>0</v>
      </c>
      <c r="AF278" s="3">
        <v>0</v>
      </c>
      <c r="AG278" s="3">
        <v>0</v>
      </c>
      <c r="AH278" s="3">
        <v>3</v>
      </c>
      <c r="AI278" s="3">
        <v>0.140556</v>
      </c>
      <c r="AJ278" s="3" t="s">
        <v>542</v>
      </c>
    </row>
    <row r="279" spans="1:36">
      <c r="A279" s="4">
        <v>43336</v>
      </c>
      <c r="B279" s="3" t="s">
        <v>1398</v>
      </c>
      <c r="C279" s="3" t="s">
        <v>1399</v>
      </c>
      <c r="D279" s="3" t="s">
        <v>1400</v>
      </c>
      <c r="E279" s="3" t="s">
        <v>1401</v>
      </c>
      <c r="F279" s="3" t="s">
        <v>538</v>
      </c>
      <c r="G279" s="3">
        <v>5</v>
      </c>
      <c r="H279" s="3">
        <v>0</v>
      </c>
      <c r="I279" s="3">
        <v>0</v>
      </c>
      <c r="J279" s="3">
        <v>0</v>
      </c>
      <c r="K279" s="3">
        <v>5</v>
      </c>
      <c r="L279" s="3">
        <v>0</v>
      </c>
      <c r="M279" s="3">
        <v>0</v>
      </c>
      <c r="N279" s="3" t="s">
        <v>539</v>
      </c>
      <c r="O279" s="3">
        <v>5</v>
      </c>
      <c r="P279" s="3">
        <v>0.35</v>
      </c>
      <c r="Q279" s="3">
        <v>0</v>
      </c>
      <c r="R279" s="3">
        <v>0</v>
      </c>
      <c r="S279" s="3">
        <v>0</v>
      </c>
      <c r="T279" s="3">
        <v>1</v>
      </c>
      <c r="U279" s="3">
        <v>2</v>
      </c>
      <c r="V279" s="3">
        <v>5</v>
      </c>
      <c r="W279" s="3" t="s">
        <v>553</v>
      </c>
      <c r="X279" s="3">
        <v>12.99</v>
      </c>
      <c r="Y279" s="3">
        <v>12.99</v>
      </c>
      <c r="Z279" s="3">
        <v>12.99</v>
      </c>
      <c r="AA279" s="3">
        <v>0</v>
      </c>
      <c r="AB279" s="3" t="s">
        <v>547</v>
      </c>
      <c r="AC279" s="3">
        <v>5</v>
      </c>
      <c r="AD279" s="3">
        <v>12.99</v>
      </c>
      <c r="AE279" s="3">
        <v>0</v>
      </c>
      <c r="AF279" s="3">
        <v>0</v>
      </c>
      <c r="AG279" s="3">
        <v>0</v>
      </c>
      <c r="AH279" s="3">
        <v>0.714285714285714</v>
      </c>
      <c r="AI279" s="3">
        <v>0.104165</v>
      </c>
      <c r="AJ279" s="3" t="s">
        <v>548</v>
      </c>
    </row>
    <row r="280" spans="1:36">
      <c r="A280" s="4">
        <v>43336</v>
      </c>
      <c r="B280" s="3" t="s">
        <v>1402</v>
      </c>
      <c r="C280" s="3" t="s">
        <v>1403</v>
      </c>
      <c r="D280" s="3" t="s">
        <v>1404</v>
      </c>
      <c r="E280" s="3" t="s">
        <v>1405</v>
      </c>
      <c r="F280" s="3" t="s">
        <v>538</v>
      </c>
      <c r="G280" s="3">
        <v>13</v>
      </c>
      <c r="H280" s="3">
        <v>0</v>
      </c>
      <c r="I280" s="3">
        <v>13</v>
      </c>
      <c r="J280" s="3">
        <v>0</v>
      </c>
      <c r="K280" s="3">
        <v>0</v>
      </c>
      <c r="L280" s="3">
        <v>0</v>
      </c>
      <c r="M280" s="3">
        <v>0</v>
      </c>
      <c r="N280" s="3" t="s">
        <v>539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2</v>
      </c>
      <c r="V280" s="3">
        <v>5</v>
      </c>
      <c r="W280" s="3" t="s">
        <v>553</v>
      </c>
      <c r="X280" s="3">
        <v>15.99</v>
      </c>
      <c r="Y280" s="3">
        <v>15.99</v>
      </c>
      <c r="Z280" s="3">
        <v>15.99</v>
      </c>
      <c r="AA280" s="3">
        <v>0</v>
      </c>
      <c r="AB280" s="3" t="s">
        <v>562</v>
      </c>
      <c r="AC280" s="3">
        <v>1</v>
      </c>
      <c r="AD280" s="3">
        <v>12.79</v>
      </c>
      <c r="AE280" s="3">
        <v>364</v>
      </c>
      <c r="AF280" s="3">
        <v>0</v>
      </c>
      <c r="AG280" s="3">
        <v>67.931492</v>
      </c>
      <c r="AH280" s="3">
        <v>0.689655172413793</v>
      </c>
      <c r="AI280" s="3">
        <v>0.593944</v>
      </c>
      <c r="AJ280" s="3" t="s">
        <v>596</v>
      </c>
    </row>
    <row r="281" spans="1:36">
      <c r="A281" s="4">
        <v>43336</v>
      </c>
      <c r="B281" s="3" t="s">
        <v>1406</v>
      </c>
      <c r="C281" s="3" t="s">
        <v>1407</v>
      </c>
      <c r="D281" s="3" t="s">
        <v>1408</v>
      </c>
      <c r="E281" s="3" t="s">
        <v>66</v>
      </c>
      <c r="F281" s="3" t="s">
        <v>538</v>
      </c>
      <c r="G281" s="3">
        <v>3</v>
      </c>
      <c r="H281" s="3">
        <v>0</v>
      </c>
      <c r="I281" s="3">
        <v>3</v>
      </c>
      <c r="J281" s="3">
        <v>0</v>
      </c>
      <c r="K281" s="3">
        <v>0</v>
      </c>
      <c r="L281" s="3">
        <v>0</v>
      </c>
      <c r="M281" s="3">
        <v>0</v>
      </c>
      <c r="N281" s="3" t="s">
        <v>539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2</v>
      </c>
      <c r="U281" s="3">
        <v>2</v>
      </c>
      <c r="V281" s="3">
        <v>2</v>
      </c>
      <c r="W281" s="3" t="s">
        <v>540</v>
      </c>
      <c r="X281" s="3">
        <v>15.99</v>
      </c>
      <c r="Y281" s="3">
        <v>15.99</v>
      </c>
      <c r="Z281" s="3">
        <v>15.99</v>
      </c>
      <c r="AA281" s="3">
        <v>0</v>
      </c>
      <c r="AB281" s="3" t="s">
        <v>541</v>
      </c>
      <c r="AC281" s="3">
        <v>3</v>
      </c>
      <c r="AD281" s="3">
        <v>15.99</v>
      </c>
      <c r="AE281" s="3">
        <v>0</v>
      </c>
      <c r="AF281" s="3">
        <v>0</v>
      </c>
      <c r="AG281" s="3">
        <v>0</v>
      </c>
      <c r="AH281" s="3">
        <v>1.33333333333333</v>
      </c>
      <c r="AI281" s="3">
        <v>0.322467</v>
      </c>
      <c r="AJ281" s="3" t="s">
        <v>542</v>
      </c>
    </row>
    <row r="282" spans="1:36">
      <c r="A282" s="4">
        <v>43336</v>
      </c>
      <c r="B282" s="3" t="s">
        <v>1409</v>
      </c>
      <c r="C282" s="3" t="s">
        <v>1410</v>
      </c>
      <c r="D282" s="3" t="s">
        <v>1411</v>
      </c>
      <c r="E282" s="3" t="s">
        <v>655</v>
      </c>
      <c r="F282" s="3" t="s">
        <v>538</v>
      </c>
      <c r="G282" s="3">
        <v>6</v>
      </c>
      <c r="H282" s="3">
        <v>0</v>
      </c>
      <c r="I282" s="3">
        <v>6</v>
      </c>
      <c r="J282" s="3">
        <v>0</v>
      </c>
      <c r="K282" s="3">
        <v>0</v>
      </c>
      <c r="L282" s="3">
        <v>0</v>
      </c>
      <c r="M282" s="3">
        <v>0</v>
      </c>
      <c r="N282" s="3" t="s">
        <v>539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 t="s">
        <v>540</v>
      </c>
      <c r="X282" s="3">
        <v>16.99</v>
      </c>
      <c r="Y282" s="3">
        <v>16.99</v>
      </c>
      <c r="Z282" s="3">
        <v>16.99</v>
      </c>
      <c r="AA282" s="3">
        <v>0</v>
      </c>
      <c r="AB282" s="3" t="s">
        <v>541</v>
      </c>
      <c r="AC282" s="3">
        <v>6</v>
      </c>
      <c r="AD282" s="3">
        <v>16.99</v>
      </c>
      <c r="AE282" s="3">
        <v>0</v>
      </c>
      <c r="AF282" s="3">
        <v>0</v>
      </c>
      <c r="AG282" s="3">
        <v>0</v>
      </c>
      <c r="AH282" s="3">
        <v>0</v>
      </c>
      <c r="AI282" s="3">
        <v>0.906833999999999</v>
      </c>
      <c r="AJ282" s="3" t="s">
        <v>542</v>
      </c>
    </row>
    <row r="283" spans="1:36">
      <c r="A283" s="4">
        <v>43336</v>
      </c>
      <c r="B283" s="3" t="s">
        <v>1412</v>
      </c>
      <c r="C283" s="3" t="s">
        <v>1413</v>
      </c>
      <c r="D283" s="3" t="s">
        <v>1414</v>
      </c>
      <c r="E283" s="3" t="s">
        <v>537</v>
      </c>
      <c r="F283" s="3" t="s">
        <v>538</v>
      </c>
      <c r="G283" s="3">
        <v>6</v>
      </c>
      <c r="H283" s="3">
        <v>0</v>
      </c>
      <c r="I283" s="3">
        <v>6</v>
      </c>
      <c r="J283" s="3">
        <v>0</v>
      </c>
      <c r="K283" s="3">
        <v>0</v>
      </c>
      <c r="L283" s="3">
        <v>0</v>
      </c>
      <c r="M283" s="3">
        <v>0</v>
      </c>
      <c r="N283" s="3" t="s">
        <v>539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540</v>
      </c>
      <c r="X283" s="3">
        <v>22.99</v>
      </c>
      <c r="Y283" s="3">
        <v>22.99</v>
      </c>
      <c r="Z283" s="3">
        <v>22.99</v>
      </c>
      <c r="AA283" s="3">
        <v>0</v>
      </c>
      <c r="AB283" s="3" t="s">
        <v>541</v>
      </c>
      <c r="AC283" s="3">
        <v>0</v>
      </c>
      <c r="AD283" s="3">
        <v>17.59</v>
      </c>
      <c r="AE283" s="3">
        <v>63</v>
      </c>
      <c r="AF283" s="3">
        <v>0</v>
      </c>
      <c r="AG283" s="3">
        <v>7.637217</v>
      </c>
      <c r="AH283" s="3">
        <v>0</v>
      </c>
      <c r="AI283" s="3">
        <v>0.956777999999999</v>
      </c>
      <c r="AJ283" s="3" t="s">
        <v>542</v>
      </c>
    </row>
    <row r="284" spans="1:36">
      <c r="A284" s="4">
        <v>43336</v>
      </c>
      <c r="B284" s="3" t="s">
        <v>1415</v>
      </c>
      <c r="C284" s="3" t="s">
        <v>1416</v>
      </c>
      <c r="D284" s="3" t="s">
        <v>1417</v>
      </c>
      <c r="E284" s="3" t="s">
        <v>1418</v>
      </c>
      <c r="F284" s="3" t="s">
        <v>538</v>
      </c>
      <c r="G284" s="3">
        <v>4</v>
      </c>
      <c r="H284" s="3">
        <v>0</v>
      </c>
      <c r="I284" s="3">
        <v>4</v>
      </c>
      <c r="J284" s="3">
        <v>0</v>
      </c>
      <c r="K284" s="3">
        <v>0</v>
      </c>
      <c r="L284" s="3">
        <v>0</v>
      </c>
      <c r="M284" s="3">
        <v>0</v>
      </c>
      <c r="N284" s="3" t="s">
        <v>539</v>
      </c>
      <c r="O284" s="3">
        <v>0</v>
      </c>
      <c r="P284" s="3">
        <v>0</v>
      </c>
      <c r="Q284" s="3">
        <v>0</v>
      </c>
      <c r="R284" s="3">
        <v>0</v>
      </c>
      <c r="S284" s="3">
        <v>1</v>
      </c>
      <c r="T284" s="3">
        <v>1</v>
      </c>
      <c r="U284" s="3">
        <v>1</v>
      </c>
      <c r="V284" s="3">
        <v>1</v>
      </c>
      <c r="W284" s="3"/>
      <c r="X284" s="3">
        <v>18.99</v>
      </c>
      <c r="Y284" s="3">
        <v>18.99</v>
      </c>
      <c r="Z284" s="3">
        <v>18.99</v>
      </c>
      <c r="AA284" s="3">
        <v>0</v>
      </c>
      <c r="AB284" s="3" t="s">
        <v>562</v>
      </c>
      <c r="AC284" s="3">
        <v>0</v>
      </c>
      <c r="AD284" s="3">
        <v>15.19</v>
      </c>
      <c r="AE284" s="3">
        <v>63</v>
      </c>
      <c r="AF284" s="3">
        <v>0</v>
      </c>
      <c r="AG284" s="3">
        <v>141.957393</v>
      </c>
      <c r="AH284" s="3">
        <v>0.25</v>
      </c>
      <c r="AI284" s="3">
        <v>1.099096</v>
      </c>
      <c r="AJ284" s="3" t="s">
        <v>548</v>
      </c>
    </row>
    <row r="285" spans="1:36">
      <c r="A285" s="4">
        <v>43336</v>
      </c>
      <c r="B285" s="3" t="s">
        <v>1419</v>
      </c>
      <c r="C285" s="3" t="s">
        <v>1420</v>
      </c>
      <c r="D285" s="3" t="s">
        <v>1421</v>
      </c>
      <c r="E285" s="3" t="s">
        <v>1422</v>
      </c>
      <c r="F285" s="3" t="s">
        <v>538</v>
      </c>
      <c r="G285" s="3">
        <v>12</v>
      </c>
      <c r="H285" s="3">
        <v>0</v>
      </c>
      <c r="I285" s="3">
        <v>7</v>
      </c>
      <c r="J285" s="3">
        <v>4</v>
      </c>
      <c r="K285" s="3">
        <v>1</v>
      </c>
      <c r="L285" s="3">
        <v>0</v>
      </c>
      <c r="M285" s="3">
        <v>0</v>
      </c>
      <c r="N285" s="3" t="s">
        <v>539</v>
      </c>
      <c r="O285" s="3">
        <v>4</v>
      </c>
      <c r="P285" s="3">
        <v>1.35</v>
      </c>
      <c r="Q285" s="3">
        <v>0</v>
      </c>
      <c r="R285" s="3">
        <v>0</v>
      </c>
      <c r="S285" s="3">
        <v>1</v>
      </c>
      <c r="T285" s="3">
        <v>7</v>
      </c>
      <c r="U285" s="3">
        <v>19</v>
      </c>
      <c r="V285" s="3">
        <v>27</v>
      </c>
      <c r="W285" s="3"/>
      <c r="X285" s="3">
        <v>29.99</v>
      </c>
      <c r="Y285" s="3">
        <v>29.99</v>
      </c>
      <c r="Z285" s="3">
        <v>29.99</v>
      </c>
      <c r="AA285" s="3">
        <v>0</v>
      </c>
      <c r="AB285" s="3" t="s">
        <v>547</v>
      </c>
      <c r="AC285" s="3">
        <v>12</v>
      </c>
      <c r="AD285" s="3">
        <v>29.99</v>
      </c>
      <c r="AE285" s="3">
        <v>0</v>
      </c>
      <c r="AF285" s="3">
        <v>0</v>
      </c>
      <c r="AG285" s="3">
        <v>0</v>
      </c>
      <c r="AH285" s="3">
        <v>1.27058823529411</v>
      </c>
      <c r="AI285" s="3">
        <v>1.174032</v>
      </c>
      <c r="AJ285" s="3" t="s">
        <v>548</v>
      </c>
    </row>
    <row r="286" spans="1:36">
      <c r="A286" s="4">
        <v>43336</v>
      </c>
      <c r="B286" s="3" t="s">
        <v>312</v>
      </c>
      <c r="C286" s="3" t="s">
        <v>313</v>
      </c>
      <c r="D286" s="3" t="s">
        <v>314</v>
      </c>
      <c r="E286" s="3" t="s">
        <v>315</v>
      </c>
      <c r="F286" s="3" t="s">
        <v>538</v>
      </c>
      <c r="G286" s="3">
        <v>25</v>
      </c>
      <c r="H286" s="3">
        <v>0</v>
      </c>
      <c r="I286" s="3">
        <v>25</v>
      </c>
      <c r="J286" s="3">
        <v>0</v>
      </c>
      <c r="K286" s="3">
        <v>0</v>
      </c>
      <c r="L286" s="3">
        <v>0</v>
      </c>
      <c r="M286" s="3">
        <v>0</v>
      </c>
      <c r="N286" s="3" t="s">
        <v>539</v>
      </c>
      <c r="O286" s="3">
        <v>0</v>
      </c>
      <c r="P286" s="3">
        <v>0</v>
      </c>
      <c r="Q286" s="3">
        <v>0</v>
      </c>
      <c r="R286" s="3">
        <v>0</v>
      </c>
      <c r="S286" s="3">
        <v>2</v>
      </c>
      <c r="T286" s="3">
        <v>8</v>
      </c>
      <c r="U286" s="3">
        <v>20</v>
      </c>
      <c r="V286" s="3">
        <v>20</v>
      </c>
      <c r="W286" s="3"/>
      <c r="X286" s="3">
        <v>9</v>
      </c>
      <c r="Y286" s="3">
        <v>9</v>
      </c>
      <c r="Z286" s="3">
        <v>9</v>
      </c>
      <c r="AA286" s="3">
        <v>0</v>
      </c>
      <c r="AB286" s="3" t="s">
        <v>547</v>
      </c>
      <c r="AC286" s="3">
        <v>25</v>
      </c>
      <c r="AD286" s="3">
        <v>9</v>
      </c>
      <c r="AE286" s="3">
        <v>0</v>
      </c>
      <c r="AF286" s="3">
        <v>0</v>
      </c>
      <c r="AG286" s="3">
        <v>0</v>
      </c>
      <c r="AH286" s="3">
        <v>1.53846153846153</v>
      </c>
      <c r="AI286" s="3">
        <v>0.68885</v>
      </c>
      <c r="AJ286" s="3" t="s">
        <v>542</v>
      </c>
    </row>
    <row r="287" spans="1:36">
      <c r="A287" s="4">
        <v>43336</v>
      </c>
      <c r="B287" s="3" t="s">
        <v>1423</v>
      </c>
      <c r="C287" s="3" t="s">
        <v>1424</v>
      </c>
      <c r="D287" s="3" t="s">
        <v>1425</v>
      </c>
      <c r="E287" s="3" t="s">
        <v>1426</v>
      </c>
      <c r="F287" s="3" t="s">
        <v>538</v>
      </c>
      <c r="G287" s="3">
        <v>15</v>
      </c>
      <c r="H287" s="3">
        <v>0</v>
      </c>
      <c r="I287" s="3">
        <v>0</v>
      </c>
      <c r="J287" s="3">
        <v>0</v>
      </c>
      <c r="K287" s="3">
        <v>1</v>
      </c>
      <c r="L287" s="3">
        <v>14</v>
      </c>
      <c r="M287" s="3">
        <v>0</v>
      </c>
      <c r="N287" s="3" t="s">
        <v>539</v>
      </c>
      <c r="O287" s="3">
        <v>2</v>
      </c>
      <c r="P287" s="3">
        <v>0.54</v>
      </c>
      <c r="Q287" s="3">
        <v>13</v>
      </c>
      <c r="R287" s="3">
        <v>6.89</v>
      </c>
      <c r="S287" s="3">
        <v>0</v>
      </c>
      <c r="T287" s="3">
        <v>0</v>
      </c>
      <c r="U287" s="3">
        <v>1</v>
      </c>
      <c r="V287" s="3">
        <v>1</v>
      </c>
      <c r="W287" s="3" t="s">
        <v>553</v>
      </c>
      <c r="X287" s="3">
        <v>23.99</v>
      </c>
      <c r="Y287" s="3">
        <v>23.99</v>
      </c>
      <c r="Z287" s="3">
        <v>23.99</v>
      </c>
      <c r="AA287" s="3">
        <v>0</v>
      </c>
      <c r="AB287" s="3" t="s">
        <v>562</v>
      </c>
      <c r="AC287" s="3">
        <v>0</v>
      </c>
      <c r="AD287" s="3">
        <v>20.21</v>
      </c>
      <c r="AE287" s="3">
        <v>259</v>
      </c>
      <c r="AF287" s="3">
        <v>0</v>
      </c>
      <c r="AG287" s="3">
        <v>279.236079</v>
      </c>
      <c r="AH287" s="3">
        <v>0.064516129032258</v>
      </c>
      <c r="AI287" s="3">
        <v>1.153755</v>
      </c>
      <c r="AJ287" s="3" t="s">
        <v>548</v>
      </c>
    </row>
    <row r="288" spans="1:36">
      <c r="A288" s="4">
        <v>43336</v>
      </c>
      <c r="B288" s="3" t="s">
        <v>1427</v>
      </c>
      <c r="C288" s="3" t="s">
        <v>1428</v>
      </c>
      <c r="D288" s="3" t="s">
        <v>1429</v>
      </c>
      <c r="E288" s="3" t="s">
        <v>403</v>
      </c>
      <c r="F288" s="3" t="s">
        <v>538</v>
      </c>
      <c r="G288" s="3">
        <v>6</v>
      </c>
      <c r="H288" s="3">
        <v>0</v>
      </c>
      <c r="I288" s="3">
        <v>0</v>
      </c>
      <c r="J288" s="3">
        <v>0</v>
      </c>
      <c r="K288" s="3">
        <v>0</v>
      </c>
      <c r="L288" s="3">
        <v>6</v>
      </c>
      <c r="M288" s="3">
        <v>0</v>
      </c>
      <c r="N288" s="3" t="s">
        <v>539</v>
      </c>
      <c r="O288" s="3">
        <v>6</v>
      </c>
      <c r="P288" s="3">
        <v>0.96</v>
      </c>
      <c r="Q288" s="3">
        <v>0</v>
      </c>
      <c r="R288" s="3">
        <v>0</v>
      </c>
      <c r="S288" s="3">
        <v>0</v>
      </c>
      <c r="T288" s="3">
        <v>3</v>
      </c>
      <c r="U288" s="3">
        <v>4</v>
      </c>
      <c r="V288" s="3">
        <v>5</v>
      </c>
      <c r="W288" s="3"/>
      <c r="X288" s="3">
        <v>10</v>
      </c>
      <c r="Y288" s="3">
        <v>10</v>
      </c>
      <c r="Z288" s="3">
        <v>10</v>
      </c>
      <c r="AA288" s="3">
        <v>0</v>
      </c>
      <c r="AB288" s="3" t="s">
        <v>547</v>
      </c>
      <c r="AC288" s="3">
        <v>6</v>
      </c>
      <c r="AD288" s="3">
        <v>10</v>
      </c>
      <c r="AE288" s="3">
        <v>0</v>
      </c>
      <c r="AF288" s="3">
        <v>0</v>
      </c>
      <c r="AG288" s="3">
        <v>0</v>
      </c>
      <c r="AH288" s="3">
        <v>0.555555555555555</v>
      </c>
      <c r="AI288" s="3">
        <v>0.279792</v>
      </c>
      <c r="AJ288" s="3" t="s">
        <v>596</v>
      </c>
    </row>
    <row r="289" spans="1:36">
      <c r="A289" s="4">
        <v>43336</v>
      </c>
      <c r="B289" s="3" t="s">
        <v>1430</v>
      </c>
      <c r="C289" s="3" t="s">
        <v>1431</v>
      </c>
      <c r="D289" s="3" t="s">
        <v>1432</v>
      </c>
      <c r="E289" s="3" t="s">
        <v>1433</v>
      </c>
      <c r="F289" s="3" t="s">
        <v>538</v>
      </c>
      <c r="G289" s="3">
        <v>6</v>
      </c>
      <c r="H289" s="3">
        <v>0</v>
      </c>
      <c r="I289" s="3">
        <v>0</v>
      </c>
      <c r="J289" s="3">
        <v>6</v>
      </c>
      <c r="K289" s="3">
        <v>0</v>
      </c>
      <c r="L289" s="3">
        <v>0</v>
      </c>
      <c r="M289" s="3">
        <v>0</v>
      </c>
      <c r="N289" s="3" t="s">
        <v>539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 t="s">
        <v>540</v>
      </c>
      <c r="X289" s="3">
        <v>9.99</v>
      </c>
      <c r="Y289" s="3">
        <v>9.99</v>
      </c>
      <c r="Z289" s="3">
        <v>9.99</v>
      </c>
      <c r="AA289" s="3">
        <v>0</v>
      </c>
      <c r="AB289" s="3" t="s">
        <v>541</v>
      </c>
      <c r="AC289" s="3">
        <v>0</v>
      </c>
      <c r="AD289" s="3">
        <v>7.99</v>
      </c>
      <c r="AE289" s="3">
        <v>63</v>
      </c>
      <c r="AF289" s="3">
        <v>0</v>
      </c>
      <c r="AG289" s="3">
        <v>20.991512</v>
      </c>
      <c r="AH289" s="3">
        <v>0</v>
      </c>
      <c r="AI289" s="3">
        <v>0.139998</v>
      </c>
      <c r="AJ289" s="3" t="s">
        <v>548</v>
      </c>
    </row>
    <row r="290" spans="1:36">
      <c r="A290" s="4">
        <v>43336</v>
      </c>
      <c r="B290" s="3" t="s">
        <v>16</v>
      </c>
      <c r="C290" s="3" t="s">
        <v>17</v>
      </c>
      <c r="D290" s="3" t="s">
        <v>18</v>
      </c>
      <c r="E290" s="3" t="s">
        <v>19</v>
      </c>
      <c r="F290" s="3" t="s">
        <v>538</v>
      </c>
      <c r="G290" s="3">
        <v>37</v>
      </c>
      <c r="H290" s="3">
        <v>0</v>
      </c>
      <c r="I290" s="3">
        <v>37</v>
      </c>
      <c r="J290" s="3">
        <v>0</v>
      </c>
      <c r="K290" s="3">
        <v>0</v>
      </c>
      <c r="L290" s="3">
        <v>0</v>
      </c>
      <c r="M290" s="3">
        <v>0</v>
      </c>
      <c r="N290" s="3" t="s">
        <v>539</v>
      </c>
      <c r="O290" s="3">
        <v>0</v>
      </c>
      <c r="P290" s="3">
        <v>0</v>
      </c>
      <c r="Q290" s="3">
        <v>0</v>
      </c>
      <c r="R290" s="3">
        <v>0</v>
      </c>
      <c r="S290" s="3">
        <v>3</v>
      </c>
      <c r="T290" s="3">
        <v>3</v>
      </c>
      <c r="U290" s="3">
        <v>3</v>
      </c>
      <c r="V290" s="3">
        <v>3</v>
      </c>
      <c r="W290" s="3"/>
      <c r="X290" s="3">
        <v>15.99</v>
      </c>
      <c r="Y290" s="3">
        <v>15.99</v>
      </c>
      <c r="Z290" s="3">
        <v>15.99</v>
      </c>
      <c r="AA290" s="3">
        <v>0</v>
      </c>
      <c r="AB290" s="3" t="s">
        <v>562</v>
      </c>
      <c r="AC290" s="3">
        <v>4</v>
      </c>
      <c r="AD290" s="3">
        <v>14.69</v>
      </c>
      <c r="AE290" s="3">
        <v>168</v>
      </c>
      <c r="AF290" s="3">
        <v>0</v>
      </c>
      <c r="AG290" s="3">
        <v>541.985279</v>
      </c>
      <c r="AH290" s="3">
        <v>0.081081081081081</v>
      </c>
      <c r="AI290" s="3">
        <v>2.455764</v>
      </c>
      <c r="AJ290" s="3" t="s">
        <v>596</v>
      </c>
    </row>
    <row r="291" spans="1:36">
      <c r="A291" s="4">
        <v>43336</v>
      </c>
      <c r="B291" s="3" t="s">
        <v>428</v>
      </c>
      <c r="C291" s="3" t="s">
        <v>429</v>
      </c>
      <c r="D291" s="3" t="s">
        <v>430</v>
      </c>
      <c r="E291" s="3" t="s">
        <v>431</v>
      </c>
      <c r="F291" s="3" t="s">
        <v>538</v>
      </c>
      <c r="G291" s="3">
        <v>15</v>
      </c>
      <c r="H291" s="3">
        <v>0</v>
      </c>
      <c r="I291" s="3">
        <v>15</v>
      </c>
      <c r="J291" s="3">
        <v>0</v>
      </c>
      <c r="K291" s="3">
        <v>0</v>
      </c>
      <c r="L291" s="3">
        <v>0</v>
      </c>
      <c r="M291" s="3">
        <v>0</v>
      </c>
      <c r="N291" s="3" t="s">
        <v>539</v>
      </c>
      <c r="O291" s="3">
        <v>0</v>
      </c>
      <c r="P291" s="3">
        <v>0</v>
      </c>
      <c r="Q291" s="3">
        <v>0</v>
      </c>
      <c r="R291" s="3">
        <v>0</v>
      </c>
      <c r="S291" s="3">
        <v>3</v>
      </c>
      <c r="T291" s="3">
        <v>17</v>
      </c>
      <c r="U291" s="3">
        <v>23</v>
      </c>
      <c r="V291" s="3">
        <v>27</v>
      </c>
      <c r="W291" s="3" t="s">
        <v>553</v>
      </c>
      <c r="X291" s="3">
        <v>19.99</v>
      </c>
      <c r="Y291" s="3">
        <v>19.99</v>
      </c>
      <c r="Z291" s="3">
        <v>19.99</v>
      </c>
      <c r="AA291" s="3">
        <v>0</v>
      </c>
      <c r="AB291" s="3" t="s">
        <v>547</v>
      </c>
      <c r="AC291" s="3">
        <v>15</v>
      </c>
      <c r="AD291" s="3">
        <v>19.99</v>
      </c>
      <c r="AE291" s="3">
        <v>0</v>
      </c>
      <c r="AF291" s="3">
        <v>0</v>
      </c>
      <c r="AG291" s="3">
        <v>0</v>
      </c>
      <c r="AH291" s="3">
        <v>0.378947368421052</v>
      </c>
      <c r="AI291" s="3">
        <v>0.536459999999999</v>
      </c>
      <c r="AJ291" s="3" t="s">
        <v>596</v>
      </c>
    </row>
    <row r="292" spans="1:36">
      <c r="A292" s="4">
        <v>43336</v>
      </c>
      <c r="B292" s="3" t="s">
        <v>1434</v>
      </c>
      <c r="C292" s="3" t="s">
        <v>1435</v>
      </c>
      <c r="D292" s="3" t="s">
        <v>1436</v>
      </c>
      <c r="E292" s="3" t="s">
        <v>1437</v>
      </c>
      <c r="F292" s="3" t="s">
        <v>538</v>
      </c>
      <c r="G292" s="3">
        <v>13</v>
      </c>
      <c r="H292" s="3">
        <v>0</v>
      </c>
      <c r="I292" s="3">
        <v>11</v>
      </c>
      <c r="J292" s="3">
        <v>0</v>
      </c>
      <c r="K292" s="3">
        <v>2</v>
      </c>
      <c r="L292" s="3">
        <v>0</v>
      </c>
      <c r="M292" s="3">
        <v>0</v>
      </c>
      <c r="N292" s="3" t="s">
        <v>539</v>
      </c>
      <c r="O292" s="3">
        <v>2</v>
      </c>
      <c r="P292" s="3">
        <v>0.82</v>
      </c>
      <c r="Q292" s="3">
        <v>0</v>
      </c>
      <c r="R292" s="3">
        <v>0</v>
      </c>
      <c r="S292" s="3">
        <v>0</v>
      </c>
      <c r="T292" s="3">
        <v>4</v>
      </c>
      <c r="U292" s="3">
        <v>6</v>
      </c>
      <c r="V292" s="3">
        <v>7</v>
      </c>
      <c r="W292" s="3"/>
      <c r="X292" s="3">
        <v>39.99</v>
      </c>
      <c r="Y292" s="3">
        <v>39.99</v>
      </c>
      <c r="Z292" s="3">
        <v>39.99</v>
      </c>
      <c r="AA292" s="3">
        <v>0</v>
      </c>
      <c r="AB292" s="3" t="s">
        <v>547</v>
      </c>
      <c r="AC292" s="3">
        <v>3</v>
      </c>
      <c r="AD292" s="3">
        <v>39.99</v>
      </c>
      <c r="AE292" s="3">
        <v>0</v>
      </c>
      <c r="AF292" s="3">
        <v>0</v>
      </c>
      <c r="AG292" s="3">
        <v>0</v>
      </c>
      <c r="AH292" s="3">
        <v>0.756756756756756</v>
      </c>
      <c r="AI292" s="3">
        <v>1.5366</v>
      </c>
      <c r="AJ292" s="3" t="s">
        <v>548</v>
      </c>
    </row>
    <row r="293" spans="1:36">
      <c r="A293" s="4">
        <v>43336</v>
      </c>
      <c r="B293" s="3" t="s">
        <v>1438</v>
      </c>
      <c r="C293" s="3" t="s">
        <v>1439</v>
      </c>
      <c r="D293" s="3" t="s">
        <v>1440</v>
      </c>
      <c r="E293" s="3" t="s">
        <v>1441</v>
      </c>
      <c r="F293" s="3" t="s">
        <v>538</v>
      </c>
      <c r="G293" s="3">
        <v>16</v>
      </c>
      <c r="H293" s="3">
        <v>0</v>
      </c>
      <c r="I293" s="3">
        <v>1</v>
      </c>
      <c r="J293" s="3">
        <v>0</v>
      </c>
      <c r="K293" s="3">
        <v>0</v>
      </c>
      <c r="L293" s="3">
        <v>10</v>
      </c>
      <c r="M293" s="3">
        <v>5</v>
      </c>
      <c r="N293" s="3" t="s">
        <v>539</v>
      </c>
      <c r="O293" s="3">
        <v>0</v>
      </c>
      <c r="P293" s="3">
        <v>0</v>
      </c>
      <c r="Q293" s="3">
        <v>15</v>
      </c>
      <c r="R293" s="3">
        <v>10.08</v>
      </c>
      <c r="S293" s="3">
        <v>0</v>
      </c>
      <c r="T293" s="3">
        <v>1</v>
      </c>
      <c r="U293" s="3">
        <v>1</v>
      </c>
      <c r="V293" s="3">
        <v>1</v>
      </c>
      <c r="W293" s="3"/>
      <c r="X293" s="3">
        <v>16.44</v>
      </c>
      <c r="Y293" s="3">
        <v>16.44</v>
      </c>
      <c r="Z293" s="3">
        <v>16.44</v>
      </c>
      <c r="AA293" s="3">
        <v>0</v>
      </c>
      <c r="AB293" s="3" t="s">
        <v>562</v>
      </c>
      <c r="AC293" s="3">
        <v>9</v>
      </c>
      <c r="AD293" s="3">
        <v>15.09</v>
      </c>
      <c r="AE293" s="3">
        <v>91</v>
      </c>
      <c r="AF293" s="3">
        <v>0</v>
      </c>
      <c r="AG293" s="3">
        <v>2.849012</v>
      </c>
      <c r="AH293" s="3">
        <v>0.0625</v>
      </c>
      <c r="AI293" s="3">
        <v>1.55816</v>
      </c>
      <c r="AJ293" s="3" t="s">
        <v>548</v>
      </c>
    </row>
    <row r="294" spans="1:36">
      <c r="A294" s="4">
        <v>43336</v>
      </c>
      <c r="B294" s="3" t="s">
        <v>216</v>
      </c>
      <c r="C294" s="3" t="s">
        <v>217</v>
      </c>
      <c r="D294" s="3" t="s">
        <v>218</v>
      </c>
      <c r="E294" s="3" t="s">
        <v>219</v>
      </c>
      <c r="F294" s="3" t="s">
        <v>538</v>
      </c>
      <c r="G294" s="3">
        <v>5</v>
      </c>
      <c r="H294" s="3">
        <v>0</v>
      </c>
      <c r="I294" s="3">
        <v>5</v>
      </c>
      <c r="J294" s="3">
        <v>0</v>
      </c>
      <c r="K294" s="3">
        <v>0</v>
      </c>
      <c r="L294" s="3">
        <v>0</v>
      </c>
      <c r="M294" s="3">
        <v>0</v>
      </c>
      <c r="N294" s="3" t="s">
        <v>539</v>
      </c>
      <c r="O294" s="3">
        <v>0</v>
      </c>
      <c r="P294" s="3">
        <v>0</v>
      </c>
      <c r="Q294" s="3">
        <v>0</v>
      </c>
      <c r="R294" s="3">
        <v>0</v>
      </c>
      <c r="S294" s="3">
        <v>8</v>
      </c>
      <c r="T294" s="3">
        <v>14</v>
      </c>
      <c r="U294" s="3">
        <v>19</v>
      </c>
      <c r="V294" s="3">
        <v>27</v>
      </c>
      <c r="W294" s="3"/>
      <c r="X294" s="3">
        <v>39.4</v>
      </c>
      <c r="Y294" s="3">
        <v>13.9</v>
      </c>
      <c r="Z294" s="3">
        <v>13.9</v>
      </c>
      <c r="AA294" s="3">
        <v>0</v>
      </c>
      <c r="AB294" s="3" t="s">
        <v>547</v>
      </c>
      <c r="AC294" s="3">
        <v>3</v>
      </c>
      <c r="AD294" s="3">
        <v>13.9</v>
      </c>
      <c r="AE294" s="3">
        <v>0</v>
      </c>
      <c r="AF294" s="3">
        <v>0</v>
      </c>
      <c r="AG294" s="3">
        <v>0</v>
      </c>
      <c r="AH294" s="3">
        <v>3.72413793103448</v>
      </c>
      <c r="AI294" s="3">
        <v>0.349654999999999</v>
      </c>
      <c r="AJ294" s="3" t="s">
        <v>548</v>
      </c>
    </row>
    <row r="295" spans="1:36">
      <c r="A295" s="4">
        <v>43336</v>
      </c>
      <c r="B295" s="3" t="s">
        <v>1442</v>
      </c>
      <c r="C295" s="3" t="s">
        <v>1443</v>
      </c>
      <c r="D295" s="3" t="s">
        <v>1444</v>
      </c>
      <c r="E295" s="3" t="s">
        <v>1445</v>
      </c>
      <c r="F295" s="3" t="s">
        <v>538</v>
      </c>
      <c r="G295" s="3">
        <v>13</v>
      </c>
      <c r="H295" s="3">
        <v>0</v>
      </c>
      <c r="I295" s="3">
        <v>13</v>
      </c>
      <c r="J295" s="3">
        <v>0</v>
      </c>
      <c r="K295" s="3">
        <v>0</v>
      </c>
      <c r="L295" s="3">
        <v>0</v>
      </c>
      <c r="M295" s="3">
        <v>0</v>
      </c>
      <c r="N295" s="3" t="s">
        <v>539</v>
      </c>
      <c r="O295" s="3">
        <v>0</v>
      </c>
      <c r="P295" s="3">
        <v>0</v>
      </c>
      <c r="Q295" s="3">
        <v>0</v>
      </c>
      <c r="R295" s="3">
        <v>0</v>
      </c>
      <c r="S295" s="3">
        <v>1</v>
      </c>
      <c r="T295" s="3">
        <v>8</v>
      </c>
      <c r="U295" s="3">
        <v>12</v>
      </c>
      <c r="V295" s="3">
        <v>15</v>
      </c>
      <c r="W295" s="3"/>
      <c r="X295" s="3">
        <v>13.99</v>
      </c>
      <c r="Y295" s="3">
        <v>13.99</v>
      </c>
      <c r="Z295" s="3">
        <v>13.99</v>
      </c>
      <c r="AA295" s="3">
        <v>0</v>
      </c>
      <c r="AB295" s="3" t="s">
        <v>547</v>
      </c>
      <c r="AC295" s="3">
        <v>13</v>
      </c>
      <c r="AD295" s="3">
        <v>13.99</v>
      </c>
      <c r="AE295" s="3">
        <v>0</v>
      </c>
      <c r="AF295" s="3">
        <v>0</v>
      </c>
      <c r="AG295" s="3">
        <v>0</v>
      </c>
      <c r="AH295" s="3">
        <v>1.11111111111111</v>
      </c>
      <c r="AI295" s="3">
        <v>1.000259</v>
      </c>
      <c r="AJ295" s="3" t="s">
        <v>596</v>
      </c>
    </row>
    <row r="296" spans="1:36">
      <c r="A296" s="4">
        <v>43336</v>
      </c>
      <c r="B296" s="3" t="s">
        <v>127</v>
      </c>
      <c r="C296" s="3" t="s">
        <v>128</v>
      </c>
      <c r="D296" s="3" t="s">
        <v>129</v>
      </c>
      <c r="E296" s="3" t="s">
        <v>130</v>
      </c>
      <c r="F296" s="3" t="s">
        <v>538</v>
      </c>
      <c r="G296" s="3">
        <v>6</v>
      </c>
      <c r="H296" s="3">
        <v>0</v>
      </c>
      <c r="I296" s="3">
        <v>6</v>
      </c>
      <c r="J296" s="3">
        <v>0</v>
      </c>
      <c r="K296" s="3">
        <v>0</v>
      </c>
      <c r="L296" s="3">
        <v>0</v>
      </c>
      <c r="M296" s="3">
        <v>0</v>
      </c>
      <c r="N296" s="3" t="s">
        <v>539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4</v>
      </c>
      <c r="U296" s="3">
        <v>4</v>
      </c>
      <c r="V296" s="3">
        <v>4</v>
      </c>
      <c r="W296" s="3"/>
      <c r="X296" s="3">
        <v>15.99</v>
      </c>
      <c r="Y296" s="3">
        <v>15.99</v>
      </c>
      <c r="Z296" s="3">
        <v>15.99</v>
      </c>
      <c r="AA296" s="3">
        <v>0</v>
      </c>
      <c r="AB296" s="3" t="s">
        <v>547</v>
      </c>
      <c r="AC296" s="3">
        <v>6</v>
      </c>
      <c r="AD296" s="3">
        <v>15.99</v>
      </c>
      <c r="AE296" s="3">
        <v>0</v>
      </c>
      <c r="AF296" s="3">
        <v>0</v>
      </c>
      <c r="AG296" s="3">
        <v>0</v>
      </c>
      <c r="AH296" s="3">
        <v>1.33333333333333</v>
      </c>
      <c r="AI296" s="3">
        <v>0.692082</v>
      </c>
      <c r="AJ296" s="3" t="s">
        <v>548</v>
      </c>
    </row>
    <row r="297" spans="1:36">
      <c r="A297" s="4">
        <v>43336</v>
      </c>
      <c r="B297" s="3" t="s">
        <v>1446</v>
      </c>
      <c r="C297" s="3" t="s">
        <v>1447</v>
      </c>
      <c r="D297" s="3" t="s">
        <v>1448</v>
      </c>
      <c r="E297" s="3" t="s">
        <v>1449</v>
      </c>
      <c r="F297" s="3" t="s">
        <v>538</v>
      </c>
      <c r="G297" s="3">
        <v>2</v>
      </c>
      <c r="H297" s="3">
        <v>0</v>
      </c>
      <c r="I297" s="3">
        <v>0</v>
      </c>
      <c r="J297" s="3">
        <v>2</v>
      </c>
      <c r="K297" s="3">
        <v>0</v>
      </c>
      <c r="L297" s="3">
        <v>0</v>
      </c>
      <c r="M297" s="3">
        <v>0</v>
      </c>
      <c r="N297" s="3" t="s">
        <v>539</v>
      </c>
      <c r="O297" s="3">
        <v>2</v>
      </c>
      <c r="P297" s="3">
        <v>1.01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 t="s">
        <v>540</v>
      </c>
      <c r="X297" s="3">
        <v>9.99</v>
      </c>
      <c r="Y297" s="3">
        <v>9.99</v>
      </c>
      <c r="Z297" s="3">
        <v>9.99</v>
      </c>
      <c r="AA297" s="3">
        <v>0</v>
      </c>
      <c r="AB297" s="3" t="s">
        <v>541</v>
      </c>
      <c r="AC297" s="3">
        <v>0</v>
      </c>
      <c r="AD297" s="3">
        <v>9.43</v>
      </c>
      <c r="AE297" s="3">
        <v>28</v>
      </c>
      <c r="AF297" s="3">
        <v>0</v>
      </c>
      <c r="AG297" s="3">
        <v>44.7867</v>
      </c>
      <c r="AH297" s="3">
        <v>0</v>
      </c>
      <c r="AI297" s="3">
        <v>0.292142</v>
      </c>
      <c r="AJ297" s="3" t="s">
        <v>548</v>
      </c>
    </row>
    <row r="298" spans="1:36">
      <c r="A298" s="4">
        <v>43336</v>
      </c>
      <c r="B298" s="3" t="s">
        <v>1450</v>
      </c>
      <c r="C298" s="3" t="s">
        <v>1451</v>
      </c>
      <c r="D298" s="3" t="s">
        <v>1452</v>
      </c>
      <c r="E298" s="3" t="s">
        <v>1453</v>
      </c>
      <c r="F298" s="3" t="s">
        <v>538</v>
      </c>
      <c r="G298" s="3">
        <v>17</v>
      </c>
      <c r="H298" s="3">
        <v>0</v>
      </c>
      <c r="I298" s="3">
        <v>0</v>
      </c>
      <c r="J298" s="3">
        <v>0</v>
      </c>
      <c r="K298" s="3">
        <v>2</v>
      </c>
      <c r="L298" s="3">
        <v>15</v>
      </c>
      <c r="M298" s="3">
        <v>0</v>
      </c>
      <c r="N298" s="3" t="s">
        <v>539</v>
      </c>
      <c r="O298" s="3">
        <v>17</v>
      </c>
      <c r="P298" s="3">
        <v>0.66</v>
      </c>
      <c r="Q298" s="3">
        <v>0</v>
      </c>
      <c r="R298" s="3">
        <v>0</v>
      </c>
      <c r="S298" s="3">
        <v>7</v>
      </c>
      <c r="T298" s="3">
        <v>11</v>
      </c>
      <c r="U298" s="3">
        <v>12</v>
      </c>
      <c r="V298" s="3">
        <v>14</v>
      </c>
      <c r="W298" s="3" t="s">
        <v>553</v>
      </c>
      <c r="X298" s="3">
        <v>8.99</v>
      </c>
      <c r="Y298" s="3">
        <v>8.99</v>
      </c>
      <c r="Z298" s="3">
        <v>8.99</v>
      </c>
      <c r="AA298" s="3">
        <v>0</v>
      </c>
      <c r="AB298" s="3" t="s">
        <v>547</v>
      </c>
      <c r="AC298" s="3">
        <v>17</v>
      </c>
      <c r="AD298" s="3">
        <v>8.99</v>
      </c>
      <c r="AE298" s="3">
        <v>0</v>
      </c>
      <c r="AF298" s="3">
        <v>0</v>
      </c>
      <c r="AG298" s="3">
        <v>0</v>
      </c>
      <c r="AH298" s="3">
        <v>0.528301886792452</v>
      </c>
      <c r="AI298" s="3">
        <v>0.190077</v>
      </c>
      <c r="AJ298" s="3" t="s">
        <v>548</v>
      </c>
    </row>
    <row r="299" spans="1:36">
      <c r="A299" s="4">
        <v>43336</v>
      </c>
      <c r="B299" s="3" t="s">
        <v>175</v>
      </c>
      <c r="C299" s="3" t="s">
        <v>176</v>
      </c>
      <c r="D299" s="3" t="s">
        <v>177</v>
      </c>
      <c r="E299" s="3" t="s">
        <v>178</v>
      </c>
      <c r="F299" s="3" t="s">
        <v>538</v>
      </c>
      <c r="G299" s="3">
        <v>7</v>
      </c>
      <c r="H299" s="3">
        <v>0</v>
      </c>
      <c r="I299" s="3">
        <v>7</v>
      </c>
      <c r="J299" s="3">
        <v>0</v>
      </c>
      <c r="K299" s="3">
        <v>0</v>
      </c>
      <c r="L299" s="3">
        <v>0</v>
      </c>
      <c r="M299" s="3">
        <v>0</v>
      </c>
      <c r="N299" s="3" t="s">
        <v>539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 t="s">
        <v>553</v>
      </c>
      <c r="X299" s="3">
        <v>25</v>
      </c>
      <c r="Y299" s="3">
        <v>25</v>
      </c>
      <c r="Z299" s="3">
        <v>25</v>
      </c>
      <c r="AA299" s="3">
        <v>0</v>
      </c>
      <c r="AB299" s="3" t="s">
        <v>547</v>
      </c>
      <c r="AC299" s="3">
        <v>7</v>
      </c>
      <c r="AD299" s="3">
        <v>25</v>
      </c>
      <c r="AE299" s="3">
        <v>0</v>
      </c>
      <c r="AF299" s="3">
        <v>0</v>
      </c>
      <c r="AG299" s="3">
        <v>0</v>
      </c>
      <c r="AH299" s="3">
        <v>0</v>
      </c>
      <c r="AI299" s="5">
        <v>7e-6</v>
      </c>
      <c r="AJ299" s="3" t="s">
        <v>548</v>
      </c>
    </row>
    <row r="300" spans="1:36">
      <c r="A300" s="4">
        <v>43336</v>
      </c>
      <c r="B300" s="3" t="s">
        <v>1454</v>
      </c>
      <c r="C300" s="3" t="s">
        <v>1455</v>
      </c>
      <c r="D300" s="3" t="s">
        <v>1456</v>
      </c>
      <c r="E300" s="3" t="s">
        <v>552</v>
      </c>
      <c r="F300" s="3" t="s">
        <v>538</v>
      </c>
      <c r="G300" s="3">
        <v>3</v>
      </c>
      <c r="H300" s="3">
        <v>0</v>
      </c>
      <c r="I300" s="3">
        <v>3</v>
      </c>
      <c r="J300" s="3">
        <v>0</v>
      </c>
      <c r="K300" s="3">
        <v>0</v>
      </c>
      <c r="L300" s="3">
        <v>0</v>
      </c>
      <c r="M300" s="3">
        <v>0</v>
      </c>
      <c r="N300" s="3" t="s">
        <v>539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 t="s">
        <v>553</v>
      </c>
      <c r="X300" s="3">
        <v>27.9</v>
      </c>
      <c r="Y300" s="3">
        <v>27.9</v>
      </c>
      <c r="Z300" s="3">
        <v>27.9</v>
      </c>
      <c r="AA300" s="3">
        <v>0</v>
      </c>
      <c r="AB300" s="3" t="s">
        <v>547</v>
      </c>
      <c r="AC300" s="3">
        <v>3</v>
      </c>
      <c r="AD300" s="3">
        <v>27.9</v>
      </c>
      <c r="AE300" s="3">
        <v>0</v>
      </c>
      <c r="AF300" s="3">
        <v>0</v>
      </c>
      <c r="AG300" s="3">
        <v>0</v>
      </c>
      <c r="AH300" s="3">
        <v>0</v>
      </c>
      <c r="AI300" s="3">
        <v>0.627089999999999</v>
      </c>
      <c r="AJ300" s="3" t="s">
        <v>548</v>
      </c>
    </row>
    <row r="301" spans="1:36">
      <c r="A301" s="4">
        <v>43336</v>
      </c>
      <c r="B301" s="3" t="s">
        <v>1457</v>
      </c>
      <c r="C301" s="3" t="s">
        <v>1458</v>
      </c>
      <c r="D301" s="3" t="s">
        <v>1459</v>
      </c>
      <c r="E301" s="3" t="s">
        <v>1460</v>
      </c>
      <c r="F301" s="3" t="s">
        <v>538</v>
      </c>
      <c r="G301" s="3">
        <v>34</v>
      </c>
      <c r="H301" s="3">
        <v>0</v>
      </c>
      <c r="I301" s="3">
        <v>34</v>
      </c>
      <c r="J301" s="3">
        <v>0</v>
      </c>
      <c r="K301" s="3">
        <v>0</v>
      </c>
      <c r="L301" s="3">
        <v>0</v>
      </c>
      <c r="M301" s="3">
        <v>0</v>
      </c>
      <c r="N301" s="3" t="s">
        <v>539</v>
      </c>
      <c r="O301" s="3">
        <v>0</v>
      </c>
      <c r="P301" s="3">
        <v>0</v>
      </c>
      <c r="Q301" s="3">
        <v>0</v>
      </c>
      <c r="R301" s="3">
        <v>0</v>
      </c>
      <c r="S301" s="3">
        <v>2</v>
      </c>
      <c r="T301" s="3">
        <v>6</v>
      </c>
      <c r="U301" s="3">
        <v>11</v>
      </c>
      <c r="V301" s="3">
        <v>14</v>
      </c>
      <c r="W301" s="3"/>
      <c r="X301" s="3">
        <v>13.99</v>
      </c>
      <c r="Y301" s="3">
        <v>13.99</v>
      </c>
      <c r="Z301" s="3">
        <v>13.99</v>
      </c>
      <c r="AA301" s="3">
        <v>0</v>
      </c>
      <c r="AB301" s="3" t="s">
        <v>562</v>
      </c>
      <c r="AC301" s="3">
        <v>34</v>
      </c>
      <c r="AD301" s="3">
        <v>13.27</v>
      </c>
      <c r="AE301" s="3">
        <v>14</v>
      </c>
      <c r="AF301" s="3">
        <v>0</v>
      </c>
      <c r="AG301" s="3">
        <v>0.209332</v>
      </c>
      <c r="AH301" s="3">
        <v>0.903225806451612</v>
      </c>
      <c r="AI301" s="3">
        <v>2.363476</v>
      </c>
      <c r="AJ301" s="3" t="s">
        <v>596</v>
      </c>
    </row>
    <row r="302" spans="1:36">
      <c r="A302" s="4">
        <v>43336</v>
      </c>
      <c r="B302" s="3" t="s">
        <v>1461</v>
      </c>
      <c r="C302" s="3" t="s">
        <v>1462</v>
      </c>
      <c r="D302" s="3" t="s">
        <v>1463</v>
      </c>
      <c r="E302" s="3" t="s">
        <v>403</v>
      </c>
      <c r="F302" s="3" t="s">
        <v>538</v>
      </c>
      <c r="G302" s="3">
        <v>4</v>
      </c>
      <c r="H302" s="3">
        <v>0</v>
      </c>
      <c r="I302" s="3">
        <v>0</v>
      </c>
      <c r="J302" s="3">
        <v>0</v>
      </c>
      <c r="K302" s="3">
        <v>4</v>
      </c>
      <c r="L302" s="3">
        <v>0</v>
      </c>
      <c r="M302" s="3">
        <v>0</v>
      </c>
      <c r="N302" s="3" t="s">
        <v>539</v>
      </c>
      <c r="O302" s="3">
        <v>4</v>
      </c>
      <c r="P302" s="3">
        <v>0.64</v>
      </c>
      <c r="Q302" s="3">
        <v>0</v>
      </c>
      <c r="R302" s="3">
        <v>0</v>
      </c>
      <c r="S302" s="3">
        <v>1</v>
      </c>
      <c r="T302" s="3">
        <v>2</v>
      </c>
      <c r="U302" s="3">
        <v>2</v>
      </c>
      <c r="V302" s="3">
        <v>2</v>
      </c>
      <c r="W302" s="3"/>
      <c r="X302" s="3">
        <v>10</v>
      </c>
      <c r="Y302" s="3">
        <v>10</v>
      </c>
      <c r="Z302" s="3">
        <v>10</v>
      </c>
      <c r="AA302" s="3">
        <v>0</v>
      </c>
      <c r="AB302" s="3" t="s">
        <v>547</v>
      </c>
      <c r="AC302" s="3">
        <v>5</v>
      </c>
      <c r="AD302" s="3">
        <v>10</v>
      </c>
      <c r="AE302" s="3">
        <v>0</v>
      </c>
      <c r="AF302" s="3">
        <v>0</v>
      </c>
      <c r="AG302" s="3">
        <v>0</v>
      </c>
      <c r="AH302" s="3">
        <v>0.363636363636363</v>
      </c>
      <c r="AI302" s="3">
        <v>0.184724</v>
      </c>
      <c r="AJ302" s="3" t="s">
        <v>596</v>
      </c>
    </row>
    <row r="303" spans="1:36">
      <c r="A303" s="4">
        <v>43336</v>
      </c>
      <c r="B303" s="3" t="s">
        <v>44</v>
      </c>
      <c r="C303" s="3" t="s">
        <v>45</v>
      </c>
      <c r="D303" s="3" t="s">
        <v>46</v>
      </c>
      <c r="E303" s="3" t="s">
        <v>47</v>
      </c>
      <c r="F303" s="3" t="s">
        <v>538</v>
      </c>
      <c r="G303" s="3">
        <v>11</v>
      </c>
      <c r="H303" s="3">
        <v>0</v>
      </c>
      <c r="I303" s="3">
        <v>11</v>
      </c>
      <c r="J303" s="3">
        <v>0</v>
      </c>
      <c r="K303" s="3">
        <v>0</v>
      </c>
      <c r="L303" s="3">
        <v>0</v>
      </c>
      <c r="M303" s="3">
        <v>0</v>
      </c>
      <c r="N303" s="3" t="s">
        <v>539</v>
      </c>
      <c r="O303" s="3">
        <v>0</v>
      </c>
      <c r="P303" s="3">
        <v>0</v>
      </c>
      <c r="Q303" s="3">
        <v>0</v>
      </c>
      <c r="R303" s="3">
        <v>0</v>
      </c>
      <c r="S303" s="3">
        <v>4</v>
      </c>
      <c r="T303" s="3">
        <v>4</v>
      </c>
      <c r="U303" s="3">
        <v>4</v>
      </c>
      <c r="V303" s="3">
        <v>4</v>
      </c>
      <c r="W303" s="3"/>
      <c r="X303" s="3">
        <v>10</v>
      </c>
      <c r="Y303" s="3">
        <v>10</v>
      </c>
      <c r="Z303" s="3">
        <v>10</v>
      </c>
      <c r="AA303" s="3">
        <v>0</v>
      </c>
      <c r="AB303" s="3" t="s">
        <v>547</v>
      </c>
      <c r="AC303" s="3">
        <v>11</v>
      </c>
      <c r="AD303" s="3">
        <v>10</v>
      </c>
      <c r="AE303" s="3">
        <v>0</v>
      </c>
      <c r="AF303" s="3">
        <v>0</v>
      </c>
      <c r="AG303" s="3">
        <v>0</v>
      </c>
      <c r="AH303" s="3">
        <v>0.421052631578947</v>
      </c>
      <c r="AI303" s="3">
        <v>0.345763</v>
      </c>
      <c r="AJ303" s="3" t="s">
        <v>548</v>
      </c>
    </row>
    <row r="304" spans="1:36">
      <c r="A304" s="4">
        <v>43336</v>
      </c>
      <c r="B304" s="3" t="s">
        <v>1464</v>
      </c>
      <c r="C304" s="3" t="s">
        <v>1465</v>
      </c>
      <c r="D304" s="3" t="s">
        <v>1466</v>
      </c>
      <c r="E304" s="3" t="s">
        <v>1467</v>
      </c>
      <c r="F304" s="3" t="s">
        <v>538</v>
      </c>
      <c r="G304" s="3">
        <v>13</v>
      </c>
      <c r="H304" s="3">
        <v>0</v>
      </c>
      <c r="I304" s="3">
        <v>13</v>
      </c>
      <c r="J304" s="3">
        <v>0</v>
      </c>
      <c r="K304" s="3">
        <v>0</v>
      </c>
      <c r="L304" s="3">
        <v>0</v>
      </c>
      <c r="M304" s="3">
        <v>0</v>
      </c>
      <c r="N304" s="3" t="s">
        <v>539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2</v>
      </c>
      <c r="U304" s="3">
        <v>2</v>
      </c>
      <c r="V304" s="3">
        <v>9</v>
      </c>
      <c r="W304" s="3" t="s">
        <v>553</v>
      </c>
      <c r="X304" s="3">
        <v>13.99</v>
      </c>
      <c r="Y304" s="3">
        <v>13.99</v>
      </c>
      <c r="Z304" s="3">
        <v>13.99</v>
      </c>
      <c r="AA304" s="3">
        <v>0</v>
      </c>
      <c r="AB304" s="3" t="s">
        <v>562</v>
      </c>
      <c r="AC304" s="3">
        <v>0</v>
      </c>
      <c r="AD304" s="3">
        <v>10.34</v>
      </c>
      <c r="AE304" s="3">
        <v>364</v>
      </c>
      <c r="AF304" s="3">
        <v>0</v>
      </c>
      <c r="AG304" s="3">
        <v>178.582112</v>
      </c>
      <c r="AH304" s="3">
        <v>0.620689655172413</v>
      </c>
      <c r="AI304" s="3">
        <v>1.180309</v>
      </c>
      <c r="AJ304" s="3" t="s">
        <v>548</v>
      </c>
    </row>
    <row r="305" spans="1:36">
      <c r="A305" s="4">
        <v>43336</v>
      </c>
      <c r="B305" s="3" t="s">
        <v>1468</v>
      </c>
      <c r="C305" s="3" t="s">
        <v>1469</v>
      </c>
      <c r="D305" s="3" t="s">
        <v>1470</v>
      </c>
      <c r="E305" s="3" t="s">
        <v>1471</v>
      </c>
      <c r="F305" s="3" t="s">
        <v>538</v>
      </c>
      <c r="G305" s="3">
        <v>8</v>
      </c>
      <c r="H305" s="3">
        <v>0</v>
      </c>
      <c r="I305" s="3">
        <v>8</v>
      </c>
      <c r="J305" s="3">
        <v>0</v>
      </c>
      <c r="K305" s="3">
        <v>0</v>
      </c>
      <c r="L305" s="3">
        <v>0</v>
      </c>
      <c r="M305" s="3">
        <v>0</v>
      </c>
      <c r="N305" s="3" t="s">
        <v>539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2</v>
      </c>
      <c r="U305" s="3">
        <v>3</v>
      </c>
      <c r="V305" s="3">
        <v>6</v>
      </c>
      <c r="W305" s="3" t="s">
        <v>553</v>
      </c>
      <c r="X305" s="3">
        <v>14.99</v>
      </c>
      <c r="Y305" s="3">
        <v>14.99</v>
      </c>
      <c r="Z305" s="3">
        <v>14.99</v>
      </c>
      <c r="AA305" s="3">
        <v>0</v>
      </c>
      <c r="AB305" s="3" t="s">
        <v>547</v>
      </c>
      <c r="AC305" s="3">
        <v>8</v>
      </c>
      <c r="AD305" s="3">
        <v>14.99</v>
      </c>
      <c r="AE305" s="3">
        <v>0</v>
      </c>
      <c r="AF305" s="3">
        <v>0</v>
      </c>
      <c r="AG305" s="3">
        <v>0</v>
      </c>
      <c r="AH305" s="3">
        <v>0.75</v>
      </c>
      <c r="AI305" s="3">
        <v>0.465208</v>
      </c>
      <c r="AJ305" s="3" t="s">
        <v>596</v>
      </c>
    </row>
    <row r="306" spans="1:36">
      <c r="A306" s="4">
        <v>43336</v>
      </c>
      <c r="B306" s="3" t="s">
        <v>1472</v>
      </c>
      <c r="C306" s="3" t="s">
        <v>1473</v>
      </c>
      <c r="D306" s="3" t="s">
        <v>1474</v>
      </c>
      <c r="E306" s="3" t="s">
        <v>1475</v>
      </c>
      <c r="F306" s="3" t="s">
        <v>538</v>
      </c>
      <c r="G306" s="3">
        <v>2</v>
      </c>
      <c r="H306" s="3">
        <v>0</v>
      </c>
      <c r="I306" s="3">
        <v>0</v>
      </c>
      <c r="J306" s="3">
        <v>0</v>
      </c>
      <c r="K306" s="3">
        <v>2</v>
      </c>
      <c r="L306" s="3">
        <v>0</v>
      </c>
      <c r="M306" s="3">
        <v>0</v>
      </c>
      <c r="N306" s="3" t="s">
        <v>539</v>
      </c>
      <c r="O306" s="3">
        <v>2</v>
      </c>
      <c r="P306" s="3">
        <v>0.14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 t="s">
        <v>540</v>
      </c>
      <c r="X306" s="3">
        <v>12.99</v>
      </c>
      <c r="Y306" s="3">
        <v>12.99</v>
      </c>
      <c r="Z306" s="3">
        <v>12.99</v>
      </c>
      <c r="AA306" s="3">
        <v>0</v>
      </c>
      <c r="AB306" s="3" t="s">
        <v>547</v>
      </c>
      <c r="AC306" s="3">
        <v>2</v>
      </c>
      <c r="AD306" s="3">
        <v>12.99</v>
      </c>
      <c r="AE306" s="3">
        <v>0</v>
      </c>
      <c r="AF306" s="3">
        <v>0</v>
      </c>
      <c r="AG306" s="3">
        <v>0</v>
      </c>
      <c r="AH306" s="3">
        <v>0</v>
      </c>
      <c r="AI306" s="3">
        <v>0.041666</v>
      </c>
      <c r="AJ306" s="3" t="s">
        <v>548</v>
      </c>
    </row>
    <row r="307" spans="1:36">
      <c r="A307" s="4">
        <v>43336</v>
      </c>
      <c r="B307" s="3" t="s">
        <v>1476</v>
      </c>
      <c r="C307" s="3" t="s">
        <v>1477</v>
      </c>
      <c r="D307" s="3" t="s">
        <v>1478</v>
      </c>
      <c r="E307" s="3" t="s">
        <v>677</v>
      </c>
      <c r="F307" s="3" t="s">
        <v>538</v>
      </c>
      <c r="G307" s="3">
        <v>13</v>
      </c>
      <c r="H307" s="3">
        <v>0</v>
      </c>
      <c r="I307" s="3">
        <v>0</v>
      </c>
      <c r="J307" s="3">
        <v>1</v>
      </c>
      <c r="K307" s="3">
        <v>10</v>
      </c>
      <c r="L307" s="3">
        <v>2</v>
      </c>
      <c r="M307" s="3">
        <v>0</v>
      </c>
      <c r="N307" s="3" t="s">
        <v>539</v>
      </c>
      <c r="O307" s="3">
        <v>12</v>
      </c>
      <c r="P307" s="3">
        <v>2.01</v>
      </c>
      <c r="Q307" s="3">
        <v>0</v>
      </c>
      <c r="R307" s="3">
        <v>0</v>
      </c>
      <c r="S307" s="3">
        <v>0</v>
      </c>
      <c r="T307" s="3">
        <v>0</v>
      </c>
      <c r="U307" s="3">
        <v>1</v>
      </c>
      <c r="V307" s="3">
        <v>1</v>
      </c>
      <c r="W307" s="3" t="s">
        <v>553</v>
      </c>
      <c r="X307" s="3">
        <v>21.39</v>
      </c>
      <c r="Y307" s="3">
        <v>21.39</v>
      </c>
      <c r="Z307" s="3">
        <v>21.39</v>
      </c>
      <c r="AA307" s="3">
        <v>0</v>
      </c>
      <c r="AB307" s="3" t="s">
        <v>562</v>
      </c>
      <c r="AC307" s="3">
        <v>2</v>
      </c>
      <c r="AD307" s="3">
        <v>19.53</v>
      </c>
      <c r="AE307" s="3">
        <v>168</v>
      </c>
      <c r="AF307" s="3">
        <v>0</v>
      </c>
      <c r="AG307" s="3">
        <v>208.423086</v>
      </c>
      <c r="AH307" s="3">
        <v>0.074074074074074</v>
      </c>
      <c r="AI307" s="3">
        <v>0.623103</v>
      </c>
      <c r="AJ307" s="3" t="s">
        <v>548</v>
      </c>
    </row>
    <row r="308" spans="1:36">
      <c r="A308" s="4">
        <v>43336</v>
      </c>
      <c r="B308" s="3" t="s">
        <v>412</v>
      </c>
      <c r="C308" s="3" t="s">
        <v>413</v>
      </c>
      <c r="D308" s="3" t="s">
        <v>414</v>
      </c>
      <c r="E308" s="3" t="s">
        <v>415</v>
      </c>
      <c r="F308" s="3" t="s">
        <v>538</v>
      </c>
      <c r="G308" s="3">
        <v>140</v>
      </c>
      <c r="H308" s="3">
        <v>0</v>
      </c>
      <c r="I308" s="3">
        <v>140</v>
      </c>
      <c r="J308" s="3">
        <v>0</v>
      </c>
      <c r="K308" s="3">
        <v>0</v>
      </c>
      <c r="L308" s="3">
        <v>0</v>
      </c>
      <c r="M308" s="3">
        <v>0</v>
      </c>
      <c r="N308" s="3" t="s">
        <v>539</v>
      </c>
      <c r="O308" s="3">
        <v>0</v>
      </c>
      <c r="P308" s="3">
        <v>0</v>
      </c>
      <c r="Q308" s="3">
        <v>0</v>
      </c>
      <c r="R308" s="3">
        <v>0</v>
      </c>
      <c r="S308" s="3">
        <v>4</v>
      </c>
      <c r="T308" s="3">
        <v>31</v>
      </c>
      <c r="U308" s="3">
        <v>72</v>
      </c>
      <c r="V308" s="3">
        <v>108</v>
      </c>
      <c r="W308" s="3" t="s">
        <v>553</v>
      </c>
      <c r="X308" s="3">
        <v>22.99</v>
      </c>
      <c r="Y308" s="3">
        <v>22.9</v>
      </c>
      <c r="Z308" s="3">
        <v>22.9</v>
      </c>
      <c r="AA308" s="3">
        <v>0</v>
      </c>
      <c r="AB308" s="3" t="s">
        <v>547</v>
      </c>
      <c r="AC308" s="3">
        <v>142</v>
      </c>
      <c r="AD308" s="3">
        <v>22.9</v>
      </c>
      <c r="AE308" s="3">
        <v>0</v>
      </c>
      <c r="AF308" s="3">
        <v>0</v>
      </c>
      <c r="AG308" s="3">
        <v>0</v>
      </c>
      <c r="AH308" s="3">
        <v>1.11053984575835</v>
      </c>
      <c r="AI308" s="3">
        <v>12.55058</v>
      </c>
      <c r="AJ308" s="3" t="s">
        <v>596</v>
      </c>
    </row>
    <row r="309" spans="1:36">
      <c r="A309" s="4">
        <v>43336</v>
      </c>
      <c r="B309" s="3" t="s">
        <v>256</v>
      </c>
      <c r="C309" s="3" t="s">
        <v>257</v>
      </c>
      <c r="D309" s="3" t="s">
        <v>258</v>
      </c>
      <c r="E309" s="3" t="s">
        <v>259</v>
      </c>
      <c r="F309" s="3" t="s">
        <v>538</v>
      </c>
      <c r="G309" s="3">
        <v>3</v>
      </c>
      <c r="H309" s="3">
        <v>0</v>
      </c>
      <c r="I309" s="3">
        <v>3</v>
      </c>
      <c r="J309" s="3">
        <v>0</v>
      </c>
      <c r="K309" s="3">
        <v>0</v>
      </c>
      <c r="L309" s="3">
        <v>0</v>
      </c>
      <c r="M309" s="3">
        <v>0</v>
      </c>
      <c r="N309" s="3" t="s">
        <v>539</v>
      </c>
      <c r="O309" s="3">
        <v>0</v>
      </c>
      <c r="P309" s="3">
        <v>0</v>
      </c>
      <c r="Q309" s="3">
        <v>0</v>
      </c>
      <c r="R309" s="3">
        <v>0</v>
      </c>
      <c r="S309" s="3">
        <v>4</v>
      </c>
      <c r="T309" s="3">
        <v>7</v>
      </c>
      <c r="U309" s="3">
        <v>12</v>
      </c>
      <c r="V309" s="3">
        <v>14</v>
      </c>
      <c r="W309" s="3" t="s">
        <v>553</v>
      </c>
      <c r="X309" s="3">
        <v>29.6</v>
      </c>
      <c r="Y309" s="3">
        <v>10.9</v>
      </c>
      <c r="Z309" s="3">
        <v>10.9</v>
      </c>
      <c r="AA309" s="3">
        <v>0</v>
      </c>
      <c r="AB309" s="3" t="s">
        <v>562</v>
      </c>
      <c r="AC309" s="3">
        <v>0</v>
      </c>
      <c r="AD309" s="3">
        <v>8.72</v>
      </c>
      <c r="AE309" s="3">
        <v>21</v>
      </c>
      <c r="AF309" s="3">
        <v>0</v>
      </c>
      <c r="AG309" s="3">
        <v>7.916251</v>
      </c>
      <c r="AH309" s="3">
        <v>4.66666666666666</v>
      </c>
      <c r="AI309" s="3">
        <v>0.17325</v>
      </c>
      <c r="AJ309" s="3" t="s">
        <v>548</v>
      </c>
    </row>
    <row r="310" spans="1:36">
      <c r="A310" s="4">
        <v>43336</v>
      </c>
      <c r="B310" s="3" t="s">
        <v>1479</v>
      </c>
      <c r="C310" s="3" t="s">
        <v>1480</v>
      </c>
      <c r="D310" s="3" t="s">
        <v>1481</v>
      </c>
      <c r="E310" s="3" t="s">
        <v>19</v>
      </c>
      <c r="F310" s="3" t="s">
        <v>538</v>
      </c>
      <c r="G310" s="3">
        <v>39</v>
      </c>
      <c r="H310" s="3">
        <v>0</v>
      </c>
      <c r="I310" s="3">
        <v>39</v>
      </c>
      <c r="J310" s="3">
        <v>0</v>
      </c>
      <c r="K310" s="3">
        <v>0</v>
      </c>
      <c r="L310" s="3">
        <v>0</v>
      </c>
      <c r="M310" s="3">
        <v>0</v>
      </c>
      <c r="N310" s="3" t="s">
        <v>539</v>
      </c>
      <c r="O310" s="3">
        <v>0</v>
      </c>
      <c r="P310" s="3">
        <v>0</v>
      </c>
      <c r="Q310" s="3">
        <v>0</v>
      </c>
      <c r="R310" s="3">
        <v>0</v>
      </c>
      <c r="S310" s="3">
        <v>2</v>
      </c>
      <c r="T310" s="3">
        <v>6</v>
      </c>
      <c r="U310" s="3">
        <v>8</v>
      </c>
      <c r="V310" s="3">
        <v>8</v>
      </c>
      <c r="W310" s="3"/>
      <c r="X310" s="3">
        <v>20.99</v>
      </c>
      <c r="Y310" s="3">
        <v>15.99</v>
      </c>
      <c r="Z310" s="3">
        <v>15.99</v>
      </c>
      <c r="AA310" s="3">
        <v>0</v>
      </c>
      <c r="AB310" s="3" t="s">
        <v>547</v>
      </c>
      <c r="AC310" s="3">
        <v>39</v>
      </c>
      <c r="AD310" s="3">
        <v>15.99</v>
      </c>
      <c r="AE310" s="3">
        <v>0</v>
      </c>
      <c r="AF310" s="3">
        <v>0</v>
      </c>
      <c r="AG310" s="3">
        <v>0</v>
      </c>
      <c r="AH310" s="3">
        <v>0.258064516129032</v>
      </c>
      <c r="AI310" s="3">
        <v>2.588508</v>
      </c>
      <c r="AJ310" s="3" t="s">
        <v>596</v>
      </c>
    </row>
    <row r="311" spans="1:36">
      <c r="A311" s="4">
        <v>43336</v>
      </c>
      <c r="B311" s="3" t="s">
        <v>171</v>
      </c>
      <c r="C311" s="3" t="s">
        <v>172</v>
      </c>
      <c r="D311" s="3" t="s">
        <v>173</v>
      </c>
      <c r="E311" s="3" t="s">
        <v>174</v>
      </c>
      <c r="F311" s="3" t="s">
        <v>538</v>
      </c>
      <c r="G311" s="3">
        <v>15</v>
      </c>
      <c r="H311" s="3">
        <v>0</v>
      </c>
      <c r="I311" s="3">
        <v>15</v>
      </c>
      <c r="J311" s="3">
        <v>0</v>
      </c>
      <c r="K311" s="3">
        <v>0</v>
      </c>
      <c r="L311" s="3">
        <v>0</v>
      </c>
      <c r="M311" s="3">
        <v>0</v>
      </c>
      <c r="N311" s="3" t="s">
        <v>539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5</v>
      </c>
      <c r="U311" s="3">
        <v>14</v>
      </c>
      <c r="V311" s="3">
        <v>22</v>
      </c>
      <c r="W311" s="3"/>
      <c r="X311" s="3">
        <v>13.99</v>
      </c>
      <c r="Y311" s="3">
        <v>13.99</v>
      </c>
      <c r="Z311" s="3">
        <v>13.99</v>
      </c>
      <c r="AA311" s="3">
        <v>0</v>
      </c>
      <c r="AB311" s="3" t="s">
        <v>547</v>
      </c>
      <c r="AC311" s="3">
        <v>11</v>
      </c>
      <c r="AD311" s="3">
        <v>13.99</v>
      </c>
      <c r="AE311" s="3">
        <v>0</v>
      </c>
      <c r="AF311" s="3">
        <v>0</v>
      </c>
      <c r="AG311" s="3">
        <v>0</v>
      </c>
      <c r="AH311" s="3">
        <v>2.93333333333333</v>
      </c>
      <c r="AI311" s="3">
        <v>1.652535</v>
      </c>
      <c r="AJ311" s="3" t="s">
        <v>548</v>
      </c>
    </row>
    <row r="312" spans="1:36">
      <c r="A312" s="4">
        <v>43336</v>
      </c>
      <c r="B312" s="3" t="s">
        <v>1482</v>
      </c>
      <c r="C312" s="3" t="s">
        <v>1483</v>
      </c>
      <c r="D312" s="3" t="s">
        <v>1484</v>
      </c>
      <c r="E312" s="3" t="s">
        <v>616</v>
      </c>
      <c r="F312" s="3" t="s">
        <v>538</v>
      </c>
      <c r="G312" s="3">
        <v>6</v>
      </c>
      <c r="H312" s="3">
        <v>0</v>
      </c>
      <c r="I312" s="3">
        <v>6</v>
      </c>
      <c r="J312" s="3">
        <v>0</v>
      </c>
      <c r="K312" s="3">
        <v>0</v>
      </c>
      <c r="L312" s="3">
        <v>0</v>
      </c>
      <c r="M312" s="3">
        <v>0</v>
      </c>
      <c r="N312" s="3" t="s">
        <v>539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 t="s">
        <v>540</v>
      </c>
      <c r="X312" s="3">
        <v>17.99</v>
      </c>
      <c r="Y312" s="3">
        <v>17.99</v>
      </c>
      <c r="Z312" s="3">
        <v>17.99</v>
      </c>
      <c r="AA312" s="3">
        <v>0</v>
      </c>
      <c r="AB312" s="3" t="s">
        <v>541</v>
      </c>
      <c r="AC312" s="3">
        <v>0</v>
      </c>
      <c r="AD312" s="3">
        <v>14.39</v>
      </c>
      <c r="AE312" s="3">
        <v>63</v>
      </c>
      <c r="AF312" s="3">
        <v>0</v>
      </c>
      <c r="AG312" s="3">
        <v>6.248103</v>
      </c>
      <c r="AH312" s="3">
        <v>0</v>
      </c>
      <c r="AI312" s="3">
        <v>0.50709</v>
      </c>
      <c r="AJ312" s="3" t="s">
        <v>542</v>
      </c>
    </row>
    <row r="313" spans="1:36">
      <c r="A313" s="4">
        <v>43336</v>
      </c>
      <c r="B313" s="3" t="s">
        <v>55</v>
      </c>
      <c r="C313" s="3" t="s">
        <v>56</v>
      </c>
      <c r="D313" s="3" t="s">
        <v>57</v>
      </c>
      <c r="E313" s="3" t="s">
        <v>58</v>
      </c>
      <c r="F313" s="3" t="s">
        <v>538</v>
      </c>
      <c r="G313" s="3">
        <v>106</v>
      </c>
      <c r="H313" s="3">
        <v>0</v>
      </c>
      <c r="I313" s="3">
        <v>106</v>
      </c>
      <c r="J313" s="3">
        <v>0</v>
      </c>
      <c r="K313" s="3">
        <v>0</v>
      </c>
      <c r="L313" s="3">
        <v>0</v>
      </c>
      <c r="M313" s="3">
        <v>0</v>
      </c>
      <c r="N313" s="3" t="s">
        <v>539</v>
      </c>
      <c r="O313" s="3">
        <v>0</v>
      </c>
      <c r="P313" s="3">
        <v>0</v>
      </c>
      <c r="Q313" s="3">
        <v>0</v>
      </c>
      <c r="R313" s="3">
        <v>0</v>
      </c>
      <c r="S313" s="3">
        <v>13</v>
      </c>
      <c r="T313" s="3">
        <v>59</v>
      </c>
      <c r="U313" s="3">
        <v>64</v>
      </c>
      <c r="V313" s="3">
        <v>64</v>
      </c>
      <c r="W313" s="3"/>
      <c r="X313" s="3">
        <v>15.99</v>
      </c>
      <c r="Y313" s="3">
        <v>15.99</v>
      </c>
      <c r="Z313" s="3">
        <v>15.99</v>
      </c>
      <c r="AA313" s="3">
        <v>0</v>
      </c>
      <c r="AB313" s="3" t="s">
        <v>547</v>
      </c>
      <c r="AC313" s="3">
        <v>21</v>
      </c>
      <c r="AD313" s="3">
        <v>15.99</v>
      </c>
      <c r="AE313" s="3">
        <v>0</v>
      </c>
      <c r="AF313" s="3">
        <v>0</v>
      </c>
      <c r="AG313" s="3">
        <v>0</v>
      </c>
      <c r="AH313" s="3">
        <v>1.43820224719101</v>
      </c>
      <c r="AI313" s="3">
        <v>20.0505359999999</v>
      </c>
      <c r="AJ313" s="3" t="s">
        <v>548</v>
      </c>
    </row>
    <row r="314" spans="1:36">
      <c r="A314" s="4">
        <v>43336</v>
      </c>
      <c r="B314" s="3" t="s">
        <v>1485</v>
      </c>
      <c r="C314" s="3" t="s">
        <v>1486</v>
      </c>
      <c r="D314" s="3" t="s">
        <v>1487</v>
      </c>
      <c r="E314" s="3" t="s">
        <v>1488</v>
      </c>
      <c r="F314" s="3" t="s">
        <v>538</v>
      </c>
      <c r="G314" s="3">
        <v>17</v>
      </c>
      <c r="H314" s="3">
        <v>0</v>
      </c>
      <c r="I314" s="3">
        <v>17</v>
      </c>
      <c r="J314" s="3">
        <v>0</v>
      </c>
      <c r="K314" s="3">
        <v>0</v>
      </c>
      <c r="L314" s="3">
        <v>0</v>
      </c>
      <c r="M314" s="3">
        <v>0</v>
      </c>
      <c r="N314" s="3" t="s">
        <v>539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1</v>
      </c>
      <c r="U314" s="3">
        <v>3</v>
      </c>
      <c r="V314" s="3">
        <v>3</v>
      </c>
      <c r="W314" s="3"/>
      <c r="X314" s="3">
        <v>11.99</v>
      </c>
      <c r="Y314" s="3">
        <v>10.9</v>
      </c>
      <c r="Z314" s="3">
        <v>10.9</v>
      </c>
      <c r="AA314" s="3">
        <v>0</v>
      </c>
      <c r="AB314" s="3" t="s">
        <v>547</v>
      </c>
      <c r="AC314" s="3">
        <v>17</v>
      </c>
      <c r="AD314" s="3">
        <v>10.9</v>
      </c>
      <c r="AE314" s="3">
        <v>0</v>
      </c>
      <c r="AF314" s="3">
        <v>0</v>
      </c>
      <c r="AG314" s="3">
        <v>0</v>
      </c>
      <c r="AH314" s="3">
        <v>0.218181818181818</v>
      </c>
      <c r="AI314" s="3">
        <v>0.804848</v>
      </c>
      <c r="AJ314" s="3" t="s">
        <v>548</v>
      </c>
    </row>
    <row r="315" spans="1:36">
      <c r="A315" s="4">
        <v>43336</v>
      </c>
      <c r="B315" s="3" t="s">
        <v>1489</v>
      </c>
      <c r="C315" s="3" t="s">
        <v>1490</v>
      </c>
      <c r="D315" s="3" t="s">
        <v>1491</v>
      </c>
      <c r="E315" s="3" t="s">
        <v>582</v>
      </c>
      <c r="F315" s="3" t="s">
        <v>538</v>
      </c>
      <c r="G315" s="3">
        <v>4</v>
      </c>
      <c r="H315" s="3">
        <v>0</v>
      </c>
      <c r="I315" s="3">
        <v>0</v>
      </c>
      <c r="J315" s="3">
        <v>4</v>
      </c>
      <c r="K315" s="3">
        <v>0</v>
      </c>
      <c r="L315" s="3">
        <v>0</v>
      </c>
      <c r="M315" s="3">
        <v>0</v>
      </c>
      <c r="N315" s="3" t="s">
        <v>539</v>
      </c>
      <c r="O315" s="3">
        <v>0</v>
      </c>
      <c r="P315" s="3">
        <v>0</v>
      </c>
      <c r="Q315" s="3">
        <v>0</v>
      </c>
      <c r="R315" s="3">
        <v>0</v>
      </c>
      <c r="S315" s="3">
        <v>0</v>
      </c>
      <c r="T315" s="3">
        <v>0</v>
      </c>
      <c r="U315" s="3">
        <v>0</v>
      </c>
      <c r="V315" s="3">
        <v>0</v>
      </c>
      <c r="W315" s="3" t="s">
        <v>540</v>
      </c>
      <c r="X315" s="3">
        <v>9.98</v>
      </c>
      <c r="Y315" s="3">
        <v>9.98</v>
      </c>
      <c r="Z315" s="3">
        <v>9.98</v>
      </c>
      <c r="AA315" s="3">
        <v>0</v>
      </c>
      <c r="AB315" s="3" t="s">
        <v>541</v>
      </c>
      <c r="AC315" s="3">
        <v>0</v>
      </c>
      <c r="AD315" s="3">
        <v>7.98</v>
      </c>
      <c r="AE315" s="3">
        <v>63</v>
      </c>
      <c r="AF315" s="3">
        <v>0</v>
      </c>
      <c r="AG315" s="3">
        <v>2.339591</v>
      </c>
      <c r="AH315" s="3">
        <v>0</v>
      </c>
      <c r="AI315" s="5">
        <v>0.000232</v>
      </c>
      <c r="AJ315" s="3" t="s">
        <v>548</v>
      </c>
    </row>
    <row r="316" spans="1:36">
      <c r="A316" s="4">
        <v>43336</v>
      </c>
      <c r="B316" s="3" t="s">
        <v>1492</v>
      </c>
      <c r="C316" s="3" t="s">
        <v>1493</v>
      </c>
      <c r="D316" s="3" t="s">
        <v>1494</v>
      </c>
      <c r="E316" s="3" t="s">
        <v>1495</v>
      </c>
      <c r="F316" s="3" t="s">
        <v>538</v>
      </c>
      <c r="G316" s="3">
        <v>12</v>
      </c>
      <c r="H316" s="3">
        <v>0</v>
      </c>
      <c r="I316" s="3">
        <v>12</v>
      </c>
      <c r="J316" s="3">
        <v>0</v>
      </c>
      <c r="K316" s="3">
        <v>0</v>
      </c>
      <c r="L316" s="3">
        <v>0</v>
      </c>
      <c r="M316" s="3">
        <v>0</v>
      </c>
      <c r="N316" s="3" t="s">
        <v>539</v>
      </c>
      <c r="O316" s="3">
        <v>0</v>
      </c>
      <c r="P316" s="3">
        <v>0</v>
      </c>
      <c r="Q316" s="3">
        <v>0</v>
      </c>
      <c r="R316" s="3">
        <v>0</v>
      </c>
      <c r="S316" s="3">
        <v>3</v>
      </c>
      <c r="T316" s="3">
        <v>6</v>
      </c>
      <c r="U316" s="3">
        <v>13</v>
      </c>
      <c r="V316" s="3">
        <v>22</v>
      </c>
      <c r="W316" s="3" t="s">
        <v>553</v>
      </c>
      <c r="X316" s="3">
        <v>13.99</v>
      </c>
      <c r="Y316" s="3">
        <v>13.99</v>
      </c>
      <c r="Z316" s="3">
        <v>13.99</v>
      </c>
      <c r="AA316" s="3">
        <v>0</v>
      </c>
      <c r="AB316" s="3" t="s">
        <v>547</v>
      </c>
      <c r="AC316" s="3">
        <v>16</v>
      </c>
      <c r="AD316" s="3">
        <v>13.99</v>
      </c>
      <c r="AE316" s="3">
        <v>0</v>
      </c>
      <c r="AF316" s="3">
        <v>0</v>
      </c>
      <c r="AG316" s="3">
        <v>0</v>
      </c>
      <c r="AH316" s="3">
        <v>1.35384615384615</v>
      </c>
      <c r="AI316" s="3">
        <v>2.151936</v>
      </c>
      <c r="AJ316" s="3" t="s">
        <v>548</v>
      </c>
    </row>
    <row r="317" spans="1:36">
      <c r="A317" s="4">
        <v>43336</v>
      </c>
      <c r="B317" s="3" t="s">
        <v>1496</v>
      </c>
      <c r="C317" s="3" t="s">
        <v>1497</v>
      </c>
      <c r="D317" s="3" t="s">
        <v>1498</v>
      </c>
      <c r="E317" s="3" t="s">
        <v>1499</v>
      </c>
      <c r="F317" s="3" t="s">
        <v>538</v>
      </c>
      <c r="G317" s="3">
        <v>1</v>
      </c>
      <c r="H317" s="3">
        <v>0</v>
      </c>
      <c r="I317" s="3">
        <v>1</v>
      </c>
      <c r="J317" s="3">
        <v>0</v>
      </c>
      <c r="K317" s="3">
        <v>0</v>
      </c>
      <c r="L317" s="3">
        <v>0</v>
      </c>
      <c r="M317" s="3">
        <v>0</v>
      </c>
      <c r="N317" s="3" t="s">
        <v>539</v>
      </c>
      <c r="O317" s="3">
        <v>0</v>
      </c>
      <c r="P317" s="3">
        <v>0</v>
      </c>
      <c r="Q317" s="3">
        <v>0</v>
      </c>
      <c r="R317" s="3">
        <v>0</v>
      </c>
      <c r="S317" s="3">
        <v>0</v>
      </c>
      <c r="T317" s="3">
        <v>0</v>
      </c>
      <c r="U317" s="3">
        <v>0</v>
      </c>
      <c r="V317" s="3">
        <v>0</v>
      </c>
      <c r="W317" s="3" t="s">
        <v>540</v>
      </c>
      <c r="X317" s="3">
        <v>10.99</v>
      </c>
      <c r="Y317" s="3">
        <v>10.99</v>
      </c>
      <c r="Z317" s="3">
        <v>10.99</v>
      </c>
      <c r="AA317" s="3">
        <v>0</v>
      </c>
      <c r="AB317" s="3" t="s">
        <v>541</v>
      </c>
      <c r="AC317" s="3">
        <v>0</v>
      </c>
      <c r="AD317" s="3">
        <v>0</v>
      </c>
      <c r="AE317" s="3">
        <v>0</v>
      </c>
      <c r="AF317" s="3">
        <v>0</v>
      </c>
      <c r="AG317" s="3">
        <v>0</v>
      </c>
      <c r="AH317" s="3">
        <v>0</v>
      </c>
      <c r="AI317" s="3">
        <v>0.081772</v>
      </c>
      <c r="AJ317" s="3" t="s">
        <v>548</v>
      </c>
    </row>
    <row r="318" spans="1:36">
      <c r="A318" s="4">
        <v>43336</v>
      </c>
      <c r="B318" s="3" t="s">
        <v>400</v>
      </c>
      <c r="C318" s="3" t="s">
        <v>401</v>
      </c>
      <c r="D318" s="3" t="s">
        <v>402</v>
      </c>
      <c r="E318" s="3" t="s">
        <v>403</v>
      </c>
      <c r="F318" s="3" t="s">
        <v>538</v>
      </c>
      <c r="G318" s="3">
        <v>13</v>
      </c>
      <c r="H318" s="3">
        <v>0</v>
      </c>
      <c r="I318" s="3">
        <v>0</v>
      </c>
      <c r="J318" s="3">
        <v>0</v>
      </c>
      <c r="K318" s="3">
        <v>1</v>
      </c>
      <c r="L318" s="3">
        <v>12</v>
      </c>
      <c r="M318" s="3">
        <v>0</v>
      </c>
      <c r="N318" s="3" t="s">
        <v>539</v>
      </c>
      <c r="O318" s="3">
        <v>13</v>
      </c>
      <c r="P318" s="3">
        <v>2.66</v>
      </c>
      <c r="Q318" s="3">
        <v>0</v>
      </c>
      <c r="R318" s="3">
        <v>0</v>
      </c>
      <c r="S318" s="3">
        <v>0</v>
      </c>
      <c r="T318" s="3">
        <v>2</v>
      </c>
      <c r="U318" s="3">
        <v>2</v>
      </c>
      <c r="V318" s="3">
        <v>2</v>
      </c>
      <c r="W318" s="3" t="s">
        <v>553</v>
      </c>
      <c r="X318" s="3">
        <v>13.99</v>
      </c>
      <c r="Y318" s="3">
        <v>13.99</v>
      </c>
      <c r="Z318" s="3">
        <v>13.99</v>
      </c>
      <c r="AA318" s="3">
        <v>0</v>
      </c>
      <c r="AB318" s="3" t="s">
        <v>547</v>
      </c>
      <c r="AC318" s="3">
        <v>14</v>
      </c>
      <c r="AD318" s="3">
        <v>13.99</v>
      </c>
      <c r="AE318" s="3">
        <v>0</v>
      </c>
      <c r="AF318" s="3">
        <v>0</v>
      </c>
      <c r="AG318" s="3">
        <v>0</v>
      </c>
      <c r="AH318" s="3">
        <v>0.129032258064516</v>
      </c>
      <c r="AI318" s="3">
        <v>0.771875</v>
      </c>
      <c r="AJ318" s="3" t="s">
        <v>596</v>
      </c>
    </row>
    <row r="319" spans="1:36">
      <c r="A319" s="4">
        <v>43336</v>
      </c>
      <c r="B319" s="3" t="s">
        <v>495</v>
      </c>
      <c r="C319" s="3" t="s">
        <v>496</v>
      </c>
      <c r="D319" s="3" t="s">
        <v>497</v>
      </c>
      <c r="E319" s="3" t="s">
        <v>498</v>
      </c>
      <c r="F319" s="3" t="s">
        <v>538</v>
      </c>
      <c r="G319" s="3">
        <v>10</v>
      </c>
      <c r="H319" s="3">
        <v>0</v>
      </c>
      <c r="I319" s="3">
        <v>10</v>
      </c>
      <c r="J319" s="3">
        <v>0</v>
      </c>
      <c r="K319" s="3">
        <v>0</v>
      </c>
      <c r="L319" s="3">
        <v>0</v>
      </c>
      <c r="M319" s="3">
        <v>0</v>
      </c>
      <c r="N319" s="3" t="s">
        <v>539</v>
      </c>
      <c r="O319" s="3">
        <v>0</v>
      </c>
      <c r="P319" s="3">
        <v>0</v>
      </c>
      <c r="Q319" s="3">
        <v>0</v>
      </c>
      <c r="R319" s="3">
        <v>0</v>
      </c>
      <c r="S319" s="3">
        <v>1</v>
      </c>
      <c r="T319" s="3">
        <v>5</v>
      </c>
      <c r="U319" s="3">
        <v>5</v>
      </c>
      <c r="V319" s="3">
        <v>5</v>
      </c>
      <c r="W319" s="3"/>
      <c r="X319" s="3">
        <v>16.99</v>
      </c>
      <c r="Y319" s="3">
        <v>16.99</v>
      </c>
      <c r="Z319" s="3">
        <v>16.99</v>
      </c>
      <c r="AA319" s="3">
        <v>0</v>
      </c>
      <c r="AB319" s="3" t="s">
        <v>547</v>
      </c>
      <c r="AC319" s="3">
        <v>1</v>
      </c>
      <c r="AD319" s="3">
        <v>16.99</v>
      </c>
      <c r="AE319" s="3">
        <v>0</v>
      </c>
      <c r="AF319" s="3">
        <v>0</v>
      </c>
      <c r="AG319" s="3">
        <v>0</v>
      </c>
      <c r="AH319" s="3">
        <v>2</v>
      </c>
      <c r="AI319" s="3">
        <v>0.91308</v>
      </c>
      <c r="AJ319" s="3" t="s">
        <v>548</v>
      </c>
    </row>
    <row r="320" spans="1:36">
      <c r="A320" s="4">
        <v>43336</v>
      </c>
      <c r="B320" s="3" t="s">
        <v>1500</v>
      </c>
      <c r="C320" s="3" t="s">
        <v>1501</v>
      </c>
      <c r="D320" s="3" t="s">
        <v>1502</v>
      </c>
      <c r="E320" s="3" t="s">
        <v>537</v>
      </c>
      <c r="F320" s="3" t="s">
        <v>538</v>
      </c>
      <c r="G320" s="3">
        <v>6</v>
      </c>
      <c r="H320" s="3">
        <v>0</v>
      </c>
      <c r="I320" s="3">
        <v>6</v>
      </c>
      <c r="J320" s="3">
        <v>0</v>
      </c>
      <c r="K320" s="3">
        <v>0</v>
      </c>
      <c r="L320" s="3">
        <v>0</v>
      </c>
      <c r="M320" s="3">
        <v>0</v>
      </c>
      <c r="N320" s="3" t="s">
        <v>539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 t="s">
        <v>540</v>
      </c>
      <c r="X320" s="3">
        <v>22.99</v>
      </c>
      <c r="Y320" s="3">
        <v>22.99</v>
      </c>
      <c r="Z320" s="3">
        <v>22.99</v>
      </c>
      <c r="AA320" s="3">
        <v>0</v>
      </c>
      <c r="AB320" s="3" t="s">
        <v>541</v>
      </c>
      <c r="AC320" s="3">
        <v>0</v>
      </c>
      <c r="AD320" s="3">
        <v>18.39</v>
      </c>
      <c r="AE320" s="3">
        <v>63</v>
      </c>
      <c r="AF320" s="3">
        <v>0</v>
      </c>
      <c r="AG320" s="3">
        <v>7.984541</v>
      </c>
      <c r="AH320" s="3">
        <v>0</v>
      </c>
      <c r="AI320" s="3">
        <v>1.168128</v>
      </c>
      <c r="AJ320" s="3" t="s">
        <v>542</v>
      </c>
    </row>
    <row r="321" spans="1:36">
      <c r="A321" s="4">
        <v>43336</v>
      </c>
      <c r="B321" s="3" t="s">
        <v>447</v>
      </c>
      <c r="C321" s="3" t="s">
        <v>448</v>
      </c>
      <c r="D321" s="3" t="s">
        <v>449</v>
      </c>
      <c r="E321" s="3" t="s">
        <v>450</v>
      </c>
      <c r="F321" s="3" t="s">
        <v>538</v>
      </c>
      <c r="G321" s="3">
        <v>68</v>
      </c>
      <c r="H321" s="3">
        <v>0</v>
      </c>
      <c r="I321" s="3">
        <v>68</v>
      </c>
      <c r="J321" s="3">
        <v>0</v>
      </c>
      <c r="K321" s="3">
        <v>0</v>
      </c>
      <c r="L321" s="3">
        <v>0</v>
      </c>
      <c r="M321" s="3">
        <v>0</v>
      </c>
      <c r="N321" s="3" t="s">
        <v>539</v>
      </c>
      <c r="O321" s="3">
        <v>0</v>
      </c>
      <c r="P321" s="3">
        <v>0</v>
      </c>
      <c r="Q321" s="3">
        <v>0</v>
      </c>
      <c r="R321" s="3">
        <v>0</v>
      </c>
      <c r="S321" s="3">
        <v>29</v>
      </c>
      <c r="T321" s="3">
        <v>97</v>
      </c>
      <c r="U321" s="3">
        <v>129</v>
      </c>
      <c r="V321" s="3">
        <v>129</v>
      </c>
      <c r="W321" s="3"/>
      <c r="X321" s="3">
        <v>22.99</v>
      </c>
      <c r="Y321" s="3">
        <v>22.99</v>
      </c>
      <c r="Z321" s="3">
        <v>22.99</v>
      </c>
      <c r="AA321" s="3">
        <v>0</v>
      </c>
      <c r="AB321" s="3" t="s">
        <v>547</v>
      </c>
      <c r="AC321" s="3">
        <v>79</v>
      </c>
      <c r="AD321" s="3">
        <v>22.99</v>
      </c>
      <c r="AE321" s="3">
        <v>0</v>
      </c>
      <c r="AF321" s="3">
        <v>0</v>
      </c>
      <c r="AG321" s="3">
        <v>0</v>
      </c>
      <c r="AH321" s="3">
        <v>3.68571428571428</v>
      </c>
      <c r="AI321" s="3">
        <v>4.360704</v>
      </c>
      <c r="AJ321" s="3" t="s">
        <v>596</v>
      </c>
    </row>
    <row r="322" spans="1:36">
      <c r="A322" s="4">
        <v>43336</v>
      </c>
      <c r="B322" s="3" t="s">
        <v>1503</v>
      </c>
      <c r="C322" s="3" t="s">
        <v>1504</v>
      </c>
      <c r="D322" s="3" t="s">
        <v>1505</v>
      </c>
      <c r="E322" s="3" t="s">
        <v>1506</v>
      </c>
      <c r="F322" s="3" t="s">
        <v>538</v>
      </c>
      <c r="G322" s="3">
        <v>11</v>
      </c>
      <c r="H322" s="3">
        <v>0</v>
      </c>
      <c r="I322" s="3">
        <v>7</v>
      </c>
      <c r="J322" s="3">
        <v>4</v>
      </c>
      <c r="K322" s="3">
        <v>0</v>
      </c>
      <c r="L322" s="3">
        <v>0</v>
      </c>
      <c r="M322" s="3">
        <v>0</v>
      </c>
      <c r="N322" s="3" t="s">
        <v>539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3</v>
      </c>
      <c r="U322" s="3">
        <v>4</v>
      </c>
      <c r="V322" s="3">
        <v>4</v>
      </c>
      <c r="W322" s="3"/>
      <c r="X322" s="3">
        <v>99.9</v>
      </c>
      <c r="Y322" s="3">
        <v>25.54</v>
      </c>
      <c r="Z322" s="3">
        <v>25.54</v>
      </c>
      <c r="AA322" s="3">
        <v>0</v>
      </c>
      <c r="AB322" s="3" t="s">
        <v>562</v>
      </c>
      <c r="AC322" s="3">
        <v>0</v>
      </c>
      <c r="AD322" s="3">
        <v>16.26</v>
      </c>
      <c r="AE322" s="3">
        <v>70</v>
      </c>
      <c r="AF322" s="3">
        <v>0</v>
      </c>
      <c r="AG322" s="3">
        <v>51.148644</v>
      </c>
      <c r="AH322" s="3">
        <v>0.421052631578947</v>
      </c>
      <c r="AI322" s="3">
        <v>0.853192999999999</v>
      </c>
      <c r="AJ322" s="3" t="s">
        <v>548</v>
      </c>
    </row>
    <row r="323" spans="1:36">
      <c r="A323" s="4">
        <v>43336</v>
      </c>
      <c r="B323" s="3" t="s">
        <v>244</v>
      </c>
      <c r="C323" s="3" t="s">
        <v>245</v>
      </c>
      <c r="D323" s="3" t="s">
        <v>246</v>
      </c>
      <c r="E323" s="3" t="s">
        <v>247</v>
      </c>
      <c r="F323" s="3" t="s">
        <v>538</v>
      </c>
      <c r="G323" s="3">
        <v>7</v>
      </c>
      <c r="H323" s="3">
        <v>0</v>
      </c>
      <c r="I323" s="3">
        <v>0</v>
      </c>
      <c r="J323" s="3">
        <v>0</v>
      </c>
      <c r="K323" s="3">
        <v>3</v>
      </c>
      <c r="L323" s="3">
        <v>4</v>
      </c>
      <c r="M323" s="3">
        <v>0</v>
      </c>
      <c r="N323" s="3" t="s">
        <v>539</v>
      </c>
      <c r="O323" s="3">
        <v>3</v>
      </c>
      <c r="P323" s="3">
        <v>0.39</v>
      </c>
      <c r="Q323" s="3">
        <v>4</v>
      </c>
      <c r="R323" s="3">
        <v>2</v>
      </c>
      <c r="S323" s="3">
        <v>0</v>
      </c>
      <c r="T323" s="3">
        <v>1</v>
      </c>
      <c r="U323" s="3">
        <v>1</v>
      </c>
      <c r="V323" s="3">
        <v>1</v>
      </c>
      <c r="W323" s="3"/>
      <c r="X323" s="3">
        <v>12.99</v>
      </c>
      <c r="Y323" s="3">
        <v>12.99</v>
      </c>
      <c r="Z323" s="3">
        <v>12.99</v>
      </c>
      <c r="AA323" s="3">
        <v>0</v>
      </c>
      <c r="AB323" s="3" t="s">
        <v>547</v>
      </c>
      <c r="AC323" s="3">
        <v>7</v>
      </c>
      <c r="AD323" s="3">
        <v>12.99</v>
      </c>
      <c r="AE323" s="3">
        <v>0</v>
      </c>
      <c r="AF323" s="3">
        <v>0</v>
      </c>
      <c r="AG323" s="3">
        <v>0</v>
      </c>
      <c r="AH323" s="3">
        <v>0.129032258064516</v>
      </c>
      <c r="AI323" s="3">
        <v>0.267309</v>
      </c>
      <c r="AJ323" s="3" t="s">
        <v>548</v>
      </c>
    </row>
    <row r="324" spans="1:36">
      <c r="A324" s="4">
        <v>43336</v>
      </c>
      <c r="B324" s="3" t="s">
        <v>1507</v>
      </c>
      <c r="C324" s="3" t="s">
        <v>1508</v>
      </c>
      <c r="D324" s="3" t="s">
        <v>1509</v>
      </c>
      <c r="E324" s="3" t="s">
        <v>19</v>
      </c>
      <c r="F324" s="3" t="s">
        <v>538</v>
      </c>
      <c r="G324" s="3">
        <v>10</v>
      </c>
      <c r="H324" s="3">
        <v>0</v>
      </c>
      <c r="I324" s="3">
        <v>0</v>
      </c>
      <c r="J324" s="3">
        <v>10</v>
      </c>
      <c r="K324" s="3">
        <v>0</v>
      </c>
      <c r="L324" s="3">
        <v>0</v>
      </c>
      <c r="M324" s="3">
        <v>0</v>
      </c>
      <c r="N324" s="3" t="s">
        <v>539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1</v>
      </c>
      <c r="W324" s="3"/>
      <c r="X324" s="3"/>
      <c r="Y324" s="3"/>
      <c r="Z324" s="3">
        <v>-1</v>
      </c>
      <c r="AA324" s="3">
        <v>-1</v>
      </c>
      <c r="AB324" s="3" t="s">
        <v>595</v>
      </c>
      <c r="AC324" s="3">
        <v>0</v>
      </c>
      <c r="AD324" s="3">
        <v>0</v>
      </c>
      <c r="AE324" s="3">
        <v>0</v>
      </c>
      <c r="AF324" s="3">
        <v>0</v>
      </c>
      <c r="AG324" s="3">
        <v>0</v>
      </c>
      <c r="AH324" s="3">
        <v>0.0975609756097561</v>
      </c>
      <c r="AI324" s="3">
        <v>0.66372</v>
      </c>
      <c r="AJ324" s="3" t="s">
        <v>596</v>
      </c>
    </row>
    <row r="325" spans="1:36">
      <c r="A325" s="4">
        <v>43336</v>
      </c>
      <c r="B325" s="3" t="s">
        <v>475</v>
      </c>
      <c r="C325" s="3" t="s">
        <v>476</v>
      </c>
      <c r="D325" s="3" t="s">
        <v>477</v>
      </c>
      <c r="E325" s="3" t="s">
        <v>478</v>
      </c>
      <c r="F325" s="3" t="s">
        <v>538</v>
      </c>
      <c r="G325" s="3">
        <v>13</v>
      </c>
      <c r="H325" s="3">
        <v>0</v>
      </c>
      <c r="I325" s="3">
        <v>13</v>
      </c>
      <c r="J325" s="3">
        <v>0</v>
      </c>
      <c r="K325" s="3">
        <v>0</v>
      </c>
      <c r="L325" s="3">
        <v>0</v>
      </c>
      <c r="M325" s="3">
        <v>0</v>
      </c>
      <c r="N325" s="3" t="s">
        <v>539</v>
      </c>
      <c r="O325" s="3">
        <v>0</v>
      </c>
      <c r="P325" s="3">
        <v>0</v>
      </c>
      <c r="Q325" s="3">
        <v>0</v>
      </c>
      <c r="R325" s="3">
        <v>0</v>
      </c>
      <c r="S325" s="3">
        <v>2</v>
      </c>
      <c r="T325" s="3">
        <v>7</v>
      </c>
      <c r="U325" s="3">
        <v>7</v>
      </c>
      <c r="V325" s="3">
        <v>7</v>
      </c>
      <c r="W325" s="3"/>
      <c r="X325" s="3">
        <v>25.99</v>
      </c>
      <c r="Y325" s="3">
        <v>25.99</v>
      </c>
      <c r="Z325" s="3">
        <v>25.99</v>
      </c>
      <c r="AA325" s="3">
        <v>0</v>
      </c>
      <c r="AB325" s="3" t="s">
        <v>547</v>
      </c>
      <c r="AC325" s="3">
        <v>10</v>
      </c>
      <c r="AD325" s="3">
        <v>25.99</v>
      </c>
      <c r="AE325" s="3">
        <v>0</v>
      </c>
      <c r="AF325" s="3">
        <v>0</v>
      </c>
      <c r="AG325" s="3">
        <v>0</v>
      </c>
      <c r="AH325" s="3">
        <v>0.823529411764705</v>
      </c>
      <c r="AI325" s="3">
        <v>1.949701</v>
      </c>
      <c r="AJ325" s="3" t="s">
        <v>548</v>
      </c>
    </row>
    <row r="326" spans="1:36">
      <c r="A326" s="4">
        <v>43336</v>
      </c>
      <c r="B326" s="3" t="s">
        <v>1510</v>
      </c>
      <c r="C326" s="3" t="s">
        <v>1511</v>
      </c>
      <c r="D326" s="3" t="s">
        <v>1512</v>
      </c>
      <c r="E326" s="3" t="s">
        <v>582</v>
      </c>
      <c r="F326" s="3" t="s">
        <v>538</v>
      </c>
      <c r="G326" s="3">
        <v>4</v>
      </c>
      <c r="H326" s="3">
        <v>0</v>
      </c>
      <c r="I326" s="3">
        <v>0</v>
      </c>
      <c r="J326" s="3">
        <v>4</v>
      </c>
      <c r="K326" s="3">
        <v>0</v>
      </c>
      <c r="L326" s="3">
        <v>0</v>
      </c>
      <c r="M326" s="3">
        <v>0</v>
      </c>
      <c r="N326" s="3" t="s">
        <v>539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 t="s">
        <v>540</v>
      </c>
      <c r="X326" s="3">
        <v>11.98</v>
      </c>
      <c r="Y326" s="3">
        <v>11.98</v>
      </c>
      <c r="Z326" s="3">
        <v>11.98</v>
      </c>
      <c r="AA326" s="3">
        <v>0</v>
      </c>
      <c r="AB326" s="3" t="s">
        <v>541</v>
      </c>
      <c r="AC326" s="3">
        <v>0</v>
      </c>
      <c r="AD326" s="3">
        <v>9.58</v>
      </c>
      <c r="AE326" s="3">
        <v>63</v>
      </c>
      <c r="AF326" s="3">
        <v>0</v>
      </c>
      <c r="AG326" s="3">
        <v>2.802641</v>
      </c>
      <c r="AH326" s="3">
        <v>0</v>
      </c>
      <c r="AI326" s="5">
        <v>0.000232</v>
      </c>
      <c r="AJ326" s="3" t="s">
        <v>548</v>
      </c>
    </row>
    <row r="327" spans="1:36">
      <c r="A327" s="4">
        <v>43336</v>
      </c>
      <c r="B327" s="3" t="s">
        <v>1513</v>
      </c>
      <c r="C327" s="3" t="s">
        <v>1514</v>
      </c>
      <c r="D327" s="3" t="s">
        <v>1515</v>
      </c>
      <c r="E327" s="3" t="s">
        <v>552</v>
      </c>
      <c r="F327" s="3" t="s">
        <v>538</v>
      </c>
      <c r="G327" s="3">
        <v>3</v>
      </c>
      <c r="H327" s="3">
        <v>0</v>
      </c>
      <c r="I327" s="3">
        <v>3</v>
      </c>
      <c r="J327" s="3">
        <v>0</v>
      </c>
      <c r="K327" s="3">
        <v>0</v>
      </c>
      <c r="L327" s="3">
        <v>0</v>
      </c>
      <c r="M327" s="3">
        <v>0</v>
      </c>
      <c r="N327" s="3" t="s">
        <v>539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 t="s">
        <v>553</v>
      </c>
      <c r="X327" s="3">
        <v>23.9</v>
      </c>
      <c r="Y327" s="3">
        <v>23.9</v>
      </c>
      <c r="Z327" s="3">
        <v>23.9</v>
      </c>
      <c r="AA327" s="3">
        <v>0</v>
      </c>
      <c r="AB327" s="3" t="s">
        <v>562</v>
      </c>
      <c r="AC327" s="3">
        <v>0</v>
      </c>
      <c r="AD327" s="3">
        <v>19.12</v>
      </c>
      <c r="AE327" s="3">
        <v>63</v>
      </c>
      <c r="AF327" s="3">
        <v>0</v>
      </c>
      <c r="AG327" s="3">
        <v>42.216651</v>
      </c>
      <c r="AH327" s="3">
        <v>0</v>
      </c>
      <c r="AI327" s="3">
        <v>0.304272</v>
      </c>
      <c r="AJ327" s="3" t="s">
        <v>548</v>
      </c>
    </row>
    <row r="328" spans="1:36">
      <c r="A328" s="4">
        <v>43336</v>
      </c>
      <c r="B328" s="3" t="s">
        <v>1516</v>
      </c>
      <c r="C328" s="3" t="s">
        <v>1517</v>
      </c>
      <c r="D328" s="3" t="s">
        <v>1518</v>
      </c>
      <c r="E328" s="3" t="s">
        <v>66</v>
      </c>
      <c r="F328" s="3" t="s">
        <v>538</v>
      </c>
      <c r="G328" s="3">
        <v>5</v>
      </c>
      <c r="H328" s="3">
        <v>0</v>
      </c>
      <c r="I328" s="3">
        <v>5</v>
      </c>
      <c r="J328" s="3">
        <v>0</v>
      </c>
      <c r="K328" s="3">
        <v>0</v>
      </c>
      <c r="L328" s="3">
        <v>0</v>
      </c>
      <c r="M328" s="3">
        <v>0</v>
      </c>
      <c r="N328" s="3" t="s">
        <v>539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 t="s">
        <v>540</v>
      </c>
      <c r="X328" s="3">
        <v>15.99</v>
      </c>
      <c r="Y328" s="3">
        <v>15.99</v>
      </c>
      <c r="Z328" s="3">
        <v>15.99</v>
      </c>
      <c r="AA328" s="3">
        <v>0</v>
      </c>
      <c r="AB328" s="3" t="s">
        <v>541</v>
      </c>
      <c r="AC328" s="3">
        <v>5</v>
      </c>
      <c r="AD328" s="3">
        <v>15.99</v>
      </c>
      <c r="AE328" s="3">
        <v>0</v>
      </c>
      <c r="AF328" s="3">
        <v>0</v>
      </c>
      <c r="AG328" s="3">
        <v>0</v>
      </c>
      <c r="AH328" s="3">
        <v>0</v>
      </c>
      <c r="AI328" s="3">
        <v>0.385484999999999</v>
      </c>
      <c r="AJ328" s="3" t="s">
        <v>542</v>
      </c>
    </row>
    <row r="329" spans="1:36">
      <c r="A329" s="4">
        <v>43336</v>
      </c>
      <c r="B329" s="3" t="s">
        <v>1519</v>
      </c>
      <c r="C329" s="3" t="s">
        <v>1520</v>
      </c>
      <c r="D329" s="3" t="s">
        <v>1521</v>
      </c>
      <c r="E329" s="3" t="s">
        <v>1522</v>
      </c>
      <c r="F329" s="3" t="s">
        <v>538</v>
      </c>
      <c r="G329" s="3">
        <v>21</v>
      </c>
      <c r="H329" s="3">
        <v>0</v>
      </c>
      <c r="I329" s="3">
        <v>0</v>
      </c>
      <c r="J329" s="3">
        <v>0</v>
      </c>
      <c r="K329" s="3">
        <v>0</v>
      </c>
      <c r="L329" s="3">
        <v>21</v>
      </c>
      <c r="M329" s="3">
        <v>0</v>
      </c>
      <c r="N329" s="3" t="s">
        <v>539</v>
      </c>
      <c r="O329" s="3">
        <v>0</v>
      </c>
      <c r="P329" s="3">
        <v>0</v>
      </c>
      <c r="Q329" s="3">
        <v>21</v>
      </c>
      <c r="R329" s="3">
        <v>10.5</v>
      </c>
      <c r="S329" s="3">
        <v>1</v>
      </c>
      <c r="T329" s="3">
        <v>2</v>
      </c>
      <c r="U329" s="3">
        <v>2</v>
      </c>
      <c r="V329" s="3">
        <v>4</v>
      </c>
      <c r="W329" s="3"/>
      <c r="X329" s="3">
        <v>12.99</v>
      </c>
      <c r="Y329" s="3">
        <v>12.99</v>
      </c>
      <c r="Z329" s="3">
        <v>12.99</v>
      </c>
      <c r="AA329" s="3">
        <v>0</v>
      </c>
      <c r="AB329" s="3" t="s">
        <v>562</v>
      </c>
      <c r="AC329" s="3">
        <v>0</v>
      </c>
      <c r="AD329" s="3">
        <v>10.9</v>
      </c>
      <c r="AE329" s="3">
        <v>364</v>
      </c>
      <c r="AF329" s="3">
        <v>0</v>
      </c>
      <c r="AG329" s="3">
        <v>139.891539</v>
      </c>
      <c r="AH329" s="3">
        <v>0.170212765957446</v>
      </c>
      <c r="AI329" s="3">
        <v>0.198722999999999</v>
      </c>
      <c r="AJ329" s="3" t="s">
        <v>548</v>
      </c>
    </row>
    <row r="330" spans="1:36">
      <c r="A330" s="4">
        <v>43336</v>
      </c>
      <c r="B330" s="3" t="s">
        <v>1523</v>
      </c>
      <c r="C330" s="3" t="s">
        <v>1524</v>
      </c>
      <c r="D330" s="3" t="s">
        <v>1525</v>
      </c>
      <c r="E330" s="3" t="s">
        <v>1526</v>
      </c>
      <c r="F330" s="3" t="s">
        <v>538</v>
      </c>
      <c r="G330" s="3">
        <v>2</v>
      </c>
      <c r="H330" s="3">
        <v>0</v>
      </c>
      <c r="I330" s="3">
        <v>2</v>
      </c>
      <c r="J330" s="3">
        <v>0</v>
      </c>
      <c r="K330" s="3">
        <v>0</v>
      </c>
      <c r="L330" s="3">
        <v>0</v>
      </c>
      <c r="M330" s="3">
        <v>0</v>
      </c>
      <c r="N330" s="3" t="s">
        <v>539</v>
      </c>
      <c r="O330" s="3">
        <v>0</v>
      </c>
      <c r="P330" s="3">
        <v>0</v>
      </c>
      <c r="Q330" s="3">
        <v>0</v>
      </c>
      <c r="R330" s="3">
        <v>0</v>
      </c>
      <c r="S330" s="3">
        <v>3</v>
      </c>
      <c r="T330" s="3">
        <v>6</v>
      </c>
      <c r="U330" s="3">
        <v>14</v>
      </c>
      <c r="V330" s="3">
        <v>15</v>
      </c>
      <c r="W330" s="3" t="s">
        <v>553</v>
      </c>
      <c r="X330" s="3">
        <v>19.99</v>
      </c>
      <c r="Y330" s="3">
        <v>15.99</v>
      </c>
      <c r="Z330" s="3">
        <v>15.99</v>
      </c>
      <c r="AA330" s="3">
        <v>0</v>
      </c>
      <c r="AB330" s="3" t="s">
        <v>547</v>
      </c>
      <c r="AC330" s="3">
        <v>3</v>
      </c>
      <c r="AD330" s="3">
        <v>15.99</v>
      </c>
      <c r="AE330" s="3">
        <v>0</v>
      </c>
      <c r="AF330" s="3">
        <v>0</v>
      </c>
      <c r="AG330" s="3">
        <v>0</v>
      </c>
      <c r="AH330" s="3">
        <v>3.52941176470588</v>
      </c>
      <c r="AI330" s="3">
        <v>0.091376</v>
      </c>
      <c r="AJ330" s="3" t="s">
        <v>596</v>
      </c>
    </row>
    <row r="331" spans="1:36">
      <c r="A331" s="4">
        <v>43336</v>
      </c>
      <c r="B331" s="3" t="s">
        <v>1527</v>
      </c>
      <c r="C331" s="3" t="s">
        <v>1528</v>
      </c>
      <c r="D331" s="3" t="s">
        <v>1529</v>
      </c>
      <c r="E331" s="3" t="s">
        <v>863</v>
      </c>
      <c r="F331" s="3" t="s">
        <v>538</v>
      </c>
      <c r="G331" s="3">
        <v>1</v>
      </c>
      <c r="H331" s="3">
        <v>0</v>
      </c>
      <c r="I331" s="3">
        <v>1</v>
      </c>
      <c r="J331" s="3">
        <v>0</v>
      </c>
      <c r="K331" s="3">
        <v>0</v>
      </c>
      <c r="L331" s="3">
        <v>0</v>
      </c>
      <c r="M331" s="3">
        <v>0</v>
      </c>
      <c r="N331" s="3" t="s">
        <v>539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2</v>
      </c>
      <c r="V331" s="3">
        <v>2</v>
      </c>
      <c r="W331" s="3" t="s">
        <v>540</v>
      </c>
      <c r="X331" s="3">
        <v>29.9</v>
      </c>
      <c r="Y331" s="3">
        <v>29.9</v>
      </c>
      <c r="Z331" s="3">
        <v>29.9</v>
      </c>
      <c r="AA331" s="3">
        <v>0</v>
      </c>
      <c r="AB331" s="3" t="s">
        <v>541</v>
      </c>
      <c r="AC331" s="3">
        <v>1</v>
      </c>
      <c r="AD331" s="3">
        <v>29.9</v>
      </c>
      <c r="AE331" s="3">
        <v>0</v>
      </c>
      <c r="AF331" s="3">
        <v>0</v>
      </c>
      <c r="AG331" s="3">
        <v>0</v>
      </c>
      <c r="AH331" s="3">
        <v>1.33333333333333</v>
      </c>
      <c r="AI331" s="3">
        <v>0.210757</v>
      </c>
      <c r="AJ331" s="3" t="s">
        <v>548</v>
      </c>
    </row>
    <row r="332" spans="1:36">
      <c r="A332" s="4">
        <v>43336</v>
      </c>
      <c r="B332" s="3" t="s">
        <v>1530</v>
      </c>
      <c r="C332" s="3" t="s">
        <v>1531</v>
      </c>
      <c r="D332" s="3" t="s">
        <v>1532</v>
      </c>
      <c r="E332" s="3" t="s">
        <v>1533</v>
      </c>
      <c r="F332" s="3" t="s">
        <v>538</v>
      </c>
      <c r="G332" s="3">
        <v>7</v>
      </c>
      <c r="H332" s="3">
        <v>0</v>
      </c>
      <c r="I332" s="3">
        <v>0</v>
      </c>
      <c r="J332" s="3">
        <v>7</v>
      </c>
      <c r="K332" s="3">
        <v>0</v>
      </c>
      <c r="L332" s="3">
        <v>0</v>
      </c>
      <c r="M332" s="3">
        <v>0</v>
      </c>
      <c r="N332" s="3" t="s">
        <v>539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 t="s">
        <v>540</v>
      </c>
      <c r="X332" s="3">
        <v>22.99</v>
      </c>
      <c r="Y332" s="3">
        <v>22.99</v>
      </c>
      <c r="Z332" s="3">
        <v>22.99</v>
      </c>
      <c r="AA332" s="3">
        <v>0</v>
      </c>
      <c r="AB332" s="3" t="s">
        <v>541</v>
      </c>
      <c r="AC332" s="3">
        <v>0</v>
      </c>
      <c r="AD332" s="3">
        <v>19.09</v>
      </c>
      <c r="AE332" s="3">
        <v>168</v>
      </c>
      <c r="AF332" s="3">
        <v>0</v>
      </c>
      <c r="AG332" s="3">
        <v>312.626029</v>
      </c>
      <c r="AH332" s="3">
        <v>0</v>
      </c>
      <c r="AI332" s="3">
        <v>2.132809</v>
      </c>
      <c r="AJ332" s="3" t="s">
        <v>548</v>
      </c>
    </row>
    <row r="333" spans="1:36">
      <c r="A333" s="4">
        <v>43336</v>
      </c>
      <c r="B333" s="3" t="s">
        <v>32</v>
      </c>
      <c r="C333" s="3" t="s">
        <v>33</v>
      </c>
      <c r="D333" s="3" t="s">
        <v>34</v>
      </c>
      <c r="E333" s="3" t="s">
        <v>19</v>
      </c>
      <c r="F333" s="3" t="s">
        <v>538</v>
      </c>
      <c r="G333" s="3">
        <v>30</v>
      </c>
      <c r="H333" s="3">
        <v>0</v>
      </c>
      <c r="I333" s="3">
        <v>30</v>
      </c>
      <c r="J333" s="3">
        <v>0</v>
      </c>
      <c r="K333" s="3">
        <v>0</v>
      </c>
      <c r="L333" s="3">
        <v>0</v>
      </c>
      <c r="M333" s="3">
        <v>0</v>
      </c>
      <c r="N333" s="3" t="s">
        <v>539</v>
      </c>
      <c r="O333" s="3">
        <v>0</v>
      </c>
      <c r="P333" s="3">
        <v>0</v>
      </c>
      <c r="Q333" s="3">
        <v>0</v>
      </c>
      <c r="R333" s="3">
        <v>0</v>
      </c>
      <c r="S333" s="3">
        <v>8</v>
      </c>
      <c r="T333" s="3">
        <v>22</v>
      </c>
      <c r="U333" s="3">
        <v>30</v>
      </c>
      <c r="V333" s="3">
        <v>38</v>
      </c>
      <c r="W333" s="3"/>
      <c r="X333" s="3">
        <v>20.99</v>
      </c>
      <c r="Y333" s="3">
        <v>15.99</v>
      </c>
      <c r="Z333" s="3">
        <v>15.99</v>
      </c>
      <c r="AA333" s="3">
        <v>0</v>
      </c>
      <c r="AB333" s="3" t="s">
        <v>547</v>
      </c>
      <c r="AC333" s="3">
        <v>24</v>
      </c>
      <c r="AD333" s="3">
        <v>15.99</v>
      </c>
      <c r="AE333" s="3">
        <v>0</v>
      </c>
      <c r="AF333" s="3">
        <v>0</v>
      </c>
      <c r="AG333" s="3">
        <v>0</v>
      </c>
      <c r="AH333" s="3">
        <v>3.30434782608695</v>
      </c>
      <c r="AI333" s="3">
        <v>1.99116</v>
      </c>
      <c r="AJ333" s="3" t="s">
        <v>596</v>
      </c>
    </row>
    <row r="334" spans="1:36">
      <c r="A334" s="4">
        <v>43336</v>
      </c>
      <c r="B334" s="3" t="s">
        <v>1534</v>
      </c>
      <c r="C334" s="3" t="s">
        <v>1535</v>
      </c>
      <c r="D334" s="3" t="s">
        <v>1536</v>
      </c>
      <c r="E334" s="3" t="s">
        <v>1537</v>
      </c>
      <c r="F334" s="3" t="s">
        <v>538</v>
      </c>
      <c r="G334" s="3">
        <v>13</v>
      </c>
      <c r="H334" s="3">
        <v>0</v>
      </c>
      <c r="I334" s="3">
        <v>13</v>
      </c>
      <c r="J334" s="3">
        <v>0</v>
      </c>
      <c r="K334" s="3">
        <v>0</v>
      </c>
      <c r="L334" s="3">
        <v>0</v>
      </c>
      <c r="M334" s="3">
        <v>0</v>
      </c>
      <c r="N334" s="3" t="s">
        <v>539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3</v>
      </c>
      <c r="V334" s="3">
        <v>11</v>
      </c>
      <c r="W334" s="3" t="s">
        <v>553</v>
      </c>
      <c r="X334" s="3">
        <v>13.99</v>
      </c>
      <c r="Y334" s="3">
        <v>13.99</v>
      </c>
      <c r="Z334" s="3">
        <v>13.99</v>
      </c>
      <c r="AA334" s="3">
        <v>0</v>
      </c>
      <c r="AB334" s="3" t="s">
        <v>562</v>
      </c>
      <c r="AC334" s="3">
        <v>0</v>
      </c>
      <c r="AD334" s="3">
        <v>11.19</v>
      </c>
      <c r="AE334" s="3">
        <v>63</v>
      </c>
      <c r="AF334" s="3">
        <v>0</v>
      </c>
      <c r="AG334" s="3">
        <v>150.616329</v>
      </c>
      <c r="AH334" s="3">
        <v>1.76</v>
      </c>
      <c r="AI334" s="3">
        <v>1.162772</v>
      </c>
      <c r="AJ334" s="3" t="s">
        <v>548</v>
      </c>
    </row>
    <row r="335" spans="1:36">
      <c r="A335" s="4">
        <v>43336</v>
      </c>
      <c r="B335" s="3" t="s">
        <v>1538</v>
      </c>
      <c r="C335" s="3" t="s">
        <v>1539</v>
      </c>
      <c r="D335" s="3" t="s">
        <v>1540</v>
      </c>
      <c r="E335" s="3" t="s">
        <v>1541</v>
      </c>
      <c r="F335" s="3" t="s">
        <v>538</v>
      </c>
      <c r="G335" s="3">
        <v>9</v>
      </c>
      <c r="H335" s="3">
        <v>0</v>
      </c>
      <c r="I335" s="3">
        <v>7</v>
      </c>
      <c r="J335" s="3">
        <v>2</v>
      </c>
      <c r="K335" s="3">
        <v>0</v>
      </c>
      <c r="L335" s="3">
        <v>0</v>
      </c>
      <c r="M335" s="3">
        <v>0</v>
      </c>
      <c r="N335" s="3" t="s">
        <v>539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1</v>
      </c>
      <c r="U335" s="3">
        <v>6</v>
      </c>
      <c r="V335" s="3">
        <v>6</v>
      </c>
      <c r="W335" s="3"/>
      <c r="X335" s="3">
        <v>25.8</v>
      </c>
      <c r="Y335" s="3">
        <v>25.8</v>
      </c>
      <c r="Z335" s="3">
        <v>25.8</v>
      </c>
      <c r="AA335" s="3">
        <v>0</v>
      </c>
      <c r="AB335" s="3" t="s">
        <v>547</v>
      </c>
      <c r="AC335" s="3">
        <v>9</v>
      </c>
      <c r="AD335" s="3">
        <v>25.8</v>
      </c>
      <c r="AE335" s="3">
        <v>0</v>
      </c>
      <c r="AF335" s="3">
        <v>0</v>
      </c>
      <c r="AG335" s="3">
        <v>0</v>
      </c>
      <c r="AH335" s="3">
        <v>0.827586206896551</v>
      </c>
      <c r="AI335" s="3">
        <v>0.631926</v>
      </c>
      <c r="AJ335" s="3" t="s">
        <v>548</v>
      </c>
    </row>
    <row r="336" spans="1:36">
      <c r="A336" s="4">
        <v>43336</v>
      </c>
      <c r="B336" s="3" t="s">
        <v>1542</v>
      </c>
      <c r="C336" s="3" t="s">
        <v>1543</v>
      </c>
      <c r="D336" s="3" t="s">
        <v>1544</v>
      </c>
      <c r="E336" s="3" t="s">
        <v>537</v>
      </c>
      <c r="F336" s="3" t="s">
        <v>538</v>
      </c>
      <c r="G336" s="3">
        <v>6</v>
      </c>
      <c r="H336" s="3">
        <v>0</v>
      </c>
      <c r="I336" s="3">
        <v>6</v>
      </c>
      <c r="J336" s="3">
        <v>0</v>
      </c>
      <c r="K336" s="3">
        <v>0</v>
      </c>
      <c r="L336" s="3">
        <v>0</v>
      </c>
      <c r="M336" s="3">
        <v>0</v>
      </c>
      <c r="N336" s="3" t="s">
        <v>539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 t="s">
        <v>540</v>
      </c>
      <c r="X336" s="3">
        <v>19.99</v>
      </c>
      <c r="Y336" s="3">
        <v>19.99</v>
      </c>
      <c r="Z336" s="3">
        <v>19.99</v>
      </c>
      <c r="AA336" s="3">
        <v>0</v>
      </c>
      <c r="AB336" s="3" t="s">
        <v>541</v>
      </c>
      <c r="AC336" s="3">
        <v>0</v>
      </c>
      <c r="AD336" s="3">
        <v>15.99</v>
      </c>
      <c r="AE336" s="3">
        <v>63</v>
      </c>
      <c r="AF336" s="3">
        <v>0</v>
      </c>
      <c r="AG336" s="3">
        <v>6.942678</v>
      </c>
      <c r="AH336" s="3">
        <v>0</v>
      </c>
      <c r="AI336" s="3">
        <v>1.298502</v>
      </c>
      <c r="AJ336" s="3" t="s">
        <v>542</v>
      </c>
    </row>
    <row r="337" spans="1:36">
      <c r="A337" s="4">
        <v>43336</v>
      </c>
      <c r="B337" s="3" t="s">
        <v>151</v>
      </c>
      <c r="C337" s="3" t="s">
        <v>152</v>
      </c>
      <c r="D337" s="3" t="s">
        <v>153</v>
      </c>
      <c r="E337" s="3" t="s">
        <v>154</v>
      </c>
      <c r="F337" s="3" t="s">
        <v>538</v>
      </c>
      <c r="G337" s="3">
        <v>338</v>
      </c>
      <c r="H337" s="3">
        <v>0</v>
      </c>
      <c r="I337" s="3">
        <v>338</v>
      </c>
      <c r="J337" s="3">
        <v>0</v>
      </c>
      <c r="K337" s="3">
        <v>0</v>
      </c>
      <c r="L337" s="3">
        <v>0</v>
      </c>
      <c r="M337" s="3">
        <v>0</v>
      </c>
      <c r="N337" s="3" t="s">
        <v>539</v>
      </c>
      <c r="O337" s="3">
        <v>0</v>
      </c>
      <c r="P337" s="3">
        <v>0</v>
      </c>
      <c r="Q337" s="3">
        <v>0</v>
      </c>
      <c r="R337" s="3">
        <v>0</v>
      </c>
      <c r="S337" s="3">
        <v>79</v>
      </c>
      <c r="T337" s="3">
        <v>343</v>
      </c>
      <c r="U337" s="3">
        <v>716</v>
      </c>
      <c r="V337" s="3">
        <v>1064</v>
      </c>
      <c r="W337" s="3"/>
      <c r="X337" s="3">
        <v>22.99</v>
      </c>
      <c r="Y337" s="3">
        <v>22.99</v>
      </c>
      <c r="Z337" s="3">
        <v>22.99</v>
      </c>
      <c r="AA337" s="3">
        <v>0</v>
      </c>
      <c r="AB337" s="3" t="s">
        <v>547</v>
      </c>
      <c r="AC337" s="3">
        <v>308</v>
      </c>
      <c r="AD337" s="3">
        <v>22.99</v>
      </c>
      <c r="AE337" s="3">
        <v>0</v>
      </c>
      <c r="AF337" s="3">
        <v>0</v>
      </c>
      <c r="AG337" s="3">
        <v>0</v>
      </c>
      <c r="AH337" s="3">
        <v>7.46666666666666</v>
      </c>
      <c r="AI337" s="3">
        <v>10.6115099999999</v>
      </c>
      <c r="AJ337" s="3" t="s">
        <v>596</v>
      </c>
    </row>
    <row r="338" spans="1:36">
      <c r="A338" s="4">
        <v>43336</v>
      </c>
      <c r="B338" s="3" t="s">
        <v>1545</v>
      </c>
      <c r="C338" s="3" t="s">
        <v>1546</v>
      </c>
      <c r="D338" s="3" t="s">
        <v>1547</v>
      </c>
      <c r="E338" s="3" t="s">
        <v>1548</v>
      </c>
      <c r="F338" s="3" t="s">
        <v>538</v>
      </c>
      <c r="G338" s="3">
        <v>7</v>
      </c>
      <c r="H338" s="3">
        <v>0</v>
      </c>
      <c r="I338" s="3">
        <v>0</v>
      </c>
      <c r="J338" s="3">
        <v>0</v>
      </c>
      <c r="K338" s="3">
        <v>0</v>
      </c>
      <c r="L338" s="3">
        <v>0</v>
      </c>
      <c r="M338" s="3">
        <v>7</v>
      </c>
      <c r="N338" s="3" t="s">
        <v>539</v>
      </c>
      <c r="O338" s="3">
        <v>0</v>
      </c>
      <c r="P338" s="3">
        <v>0</v>
      </c>
      <c r="Q338" s="3">
        <v>7</v>
      </c>
      <c r="R338" s="3">
        <v>3.5</v>
      </c>
      <c r="S338" s="3">
        <v>0</v>
      </c>
      <c r="T338" s="3">
        <v>0</v>
      </c>
      <c r="U338" s="3">
        <v>0</v>
      </c>
      <c r="V338" s="3">
        <v>0</v>
      </c>
      <c r="W338" s="3" t="s">
        <v>553</v>
      </c>
      <c r="X338" s="3">
        <v>29.1</v>
      </c>
      <c r="Y338" s="3">
        <v>29.1</v>
      </c>
      <c r="Z338" s="3">
        <v>29.1</v>
      </c>
      <c r="AA338" s="3">
        <v>0</v>
      </c>
      <c r="AB338" s="3" t="s">
        <v>562</v>
      </c>
      <c r="AC338" s="3">
        <v>0</v>
      </c>
      <c r="AD338" s="3">
        <v>25.19</v>
      </c>
      <c r="AE338" s="3">
        <v>364</v>
      </c>
      <c r="AF338" s="3">
        <v>0</v>
      </c>
      <c r="AG338" s="3">
        <v>102.319782</v>
      </c>
      <c r="AH338" s="3">
        <v>0</v>
      </c>
      <c r="AI338" s="5">
        <v>0.000406</v>
      </c>
      <c r="AJ338" s="3" t="s">
        <v>548</v>
      </c>
    </row>
    <row r="339" spans="1:36">
      <c r="A339" s="4">
        <v>43336</v>
      </c>
      <c r="B339" s="3" t="s">
        <v>1549</v>
      </c>
      <c r="C339" s="3" t="s">
        <v>1550</v>
      </c>
      <c r="D339" s="3" t="s">
        <v>1551</v>
      </c>
      <c r="E339" s="3" t="s">
        <v>1552</v>
      </c>
      <c r="F339" s="3" t="s">
        <v>538</v>
      </c>
      <c r="G339" s="3">
        <v>23</v>
      </c>
      <c r="H339" s="3">
        <v>0</v>
      </c>
      <c r="I339" s="3">
        <v>23</v>
      </c>
      <c r="J339" s="3">
        <v>0</v>
      </c>
      <c r="K339" s="3">
        <v>0</v>
      </c>
      <c r="L339" s="3">
        <v>0</v>
      </c>
      <c r="M339" s="3">
        <v>0</v>
      </c>
      <c r="N339" s="3" t="s">
        <v>539</v>
      </c>
      <c r="O339" s="3">
        <v>0</v>
      </c>
      <c r="P339" s="3">
        <v>0</v>
      </c>
      <c r="Q339" s="3">
        <v>0</v>
      </c>
      <c r="R339" s="3">
        <v>0</v>
      </c>
      <c r="S339" s="3">
        <v>2</v>
      </c>
      <c r="T339" s="3">
        <v>14</v>
      </c>
      <c r="U339" s="3">
        <v>25</v>
      </c>
      <c r="V339" s="3">
        <v>32</v>
      </c>
      <c r="W339" s="3"/>
      <c r="X339" s="3">
        <v>13.99</v>
      </c>
      <c r="Y339" s="3">
        <v>13.99</v>
      </c>
      <c r="Z339" s="3">
        <v>13.99</v>
      </c>
      <c r="AA339" s="3">
        <v>0</v>
      </c>
      <c r="AB339" s="3" t="s">
        <v>547</v>
      </c>
      <c r="AC339" s="3">
        <v>23</v>
      </c>
      <c r="AD339" s="3">
        <v>13.99</v>
      </c>
      <c r="AE339" s="3">
        <v>0</v>
      </c>
      <c r="AF339" s="3">
        <v>0</v>
      </c>
      <c r="AG339" s="3">
        <v>0</v>
      </c>
      <c r="AH339" s="3">
        <v>2.56</v>
      </c>
      <c r="AI339" s="3">
        <v>1.598822</v>
      </c>
      <c r="AJ339" s="3" t="s">
        <v>596</v>
      </c>
    </row>
    <row r="340" spans="1:36">
      <c r="A340" s="4">
        <v>43336</v>
      </c>
      <c r="B340" s="3" t="s">
        <v>29</v>
      </c>
      <c r="C340" s="3" t="s">
        <v>30</v>
      </c>
      <c r="D340" s="3" t="s">
        <v>31</v>
      </c>
      <c r="E340" s="3" t="s">
        <v>19</v>
      </c>
      <c r="F340" s="3" t="s">
        <v>538</v>
      </c>
      <c r="G340" s="3">
        <v>29</v>
      </c>
      <c r="H340" s="3">
        <v>0</v>
      </c>
      <c r="I340" s="3">
        <v>29</v>
      </c>
      <c r="J340" s="3">
        <v>0</v>
      </c>
      <c r="K340" s="3">
        <v>0</v>
      </c>
      <c r="L340" s="3">
        <v>0</v>
      </c>
      <c r="M340" s="3">
        <v>0</v>
      </c>
      <c r="N340" s="3" t="s">
        <v>539</v>
      </c>
      <c r="O340" s="3">
        <v>0</v>
      </c>
      <c r="P340" s="3">
        <v>0</v>
      </c>
      <c r="Q340" s="3">
        <v>0</v>
      </c>
      <c r="R340" s="3">
        <v>0</v>
      </c>
      <c r="S340" s="3">
        <v>2</v>
      </c>
      <c r="T340" s="3">
        <v>7</v>
      </c>
      <c r="U340" s="3">
        <v>15</v>
      </c>
      <c r="V340" s="3">
        <v>20</v>
      </c>
      <c r="W340" s="3" t="s">
        <v>553</v>
      </c>
      <c r="X340" s="3">
        <v>15.99</v>
      </c>
      <c r="Y340" s="3">
        <v>15.99</v>
      </c>
      <c r="Z340" s="3">
        <v>15.99</v>
      </c>
      <c r="AA340" s="3">
        <v>0</v>
      </c>
      <c r="AB340" s="3" t="s">
        <v>547</v>
      </c>
      <c r="AC340" s="3">
        <v>29</v>
      </c>
      <c r="AD340" s="3">
        <v>15.99</v>
      </c>
      <c r="AE340" s="3">
        <v>0</v>
      </c>
      <c r="AF340" s="3">
        <v>0</v>
      </c>
      <c r="AG340" s="3">
        <v>0</v>
      </c>
      <c r="AH340" s="3">
        <v>1.7391304347826</v>
      </c>
      <c r="AI340" s="3">
        <v>1.924788</v>
      </c>
      <c r="AJ340" s="3" t="s">
        <v>596</v>
      </c>
    </row>
    <row r="341" spans="1:36">
      <c r="A341" s="4">
        <v>43336</v>
      </c>
      <c r="B341" s="3" t="s">
        <v>1553</v>
      </c>
      <c r="C341" s="3" t="s">
        <v>1554</v>
      </c>
      <c r="D341" s="3" t="s">
        <v>1555</v>
      </c>
      <c r="E341" s="3" t="s">
        <v>1556</v>
      </c>
      <c r="F341" s="3" t="s">
        <v>538</v>
      </c>
      <c r="G341" s="3">
        <v>15</v>
      </c>
      <c r="H341" s="3">
        <v>0</v>
      </c>
      <c r="I341" s="3">
        <v>15</v>
      </c>
      <c r="J341" s="3">
        <v>0</v>
      </c>
      <c r="K341" s="3">
        <v>0</v>
      </c>
      <c r="L341" s="3">
        <v>0</v>
      </c>
      <c r="M341" s="3">
        <v>0</v>
      </c>
      <c r="N341" s="3" t="s">
        <v>539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1</v>
      </c>
      <c r="U341" s="3">
        <v>3</v>
      </c>
      <c r="V341" s="3">
        <v>4</v>
      </c>
      <c r="W341" s="3" t="s">
        <v>553</v>
      </c>
      <c r="X341" s="3">
        <v>14.99</v>
      </c>
      <c r="Y341" s="3">
        <v>14.99</v>
      </c>
      <c r="Z341" s="3">
        <v>14.99</v>
      </c>
      <c r="AA341" s="3">
        <v>0</v>
      </c>
      <c r="AB341" s="3" t="s">
        <v>547</v>
      </c>
      <c r="AC341" s="3">
        <v>15</v>
      </c>
      <c r="AD341" s="3">
        <v>14.99</v>
      </c>
      <c r="AE341" s="3">
        <v>0</v>
      </c>
      <c r="AF341" s="3">
        <v>0</v>
      </c>
      <c r="AG341" s="3">
        <v>0</v>
      </c>
      <c r="AH341" s="3">
        <v>0.326530612244897</v>
      </c>
      <c r="AI341" s="3">
        <v>0.872265</v>
      </c>
      <c r="AJ341" s="3" t="s">
        <v>596</v>
      </c>
    </row>
    <row r="342" spans="1:36">
      <c r="A342" s="4">
        <v>43336</v>
      </c>
      <c r="B342" s="3" t="s">
        <v>1557</v>
      </c>
      <c r="C342" s="3" t="s">
        <v>1558</v>
      </c>
      <c r="D342" s="3" t="s">
        <v>1559</v>
      </c>
      <c r="E342" s="3" t="s">
        <v>1560</v>
      </c>
      <c r="F342" s="3" t="s">
        <v>538</v>
      </c>
      <c r="G342" s="3">
        <v>15</v>
      </c>
      <c r="H342" s="3">
        <v>0</v>
      </c>
      <c r="I342" s="3">
        <v>0</v>
      </c>
      <c r="J342" s="3">
        <v>0</v>
      </c>
      <c r="K342" s="3">
        <v>0</v>
      </c>
      <c r="L342" s="3">
        <v>10</v>
      </c>
      <c r="M342" s="3">
        <v>5</v>
      </c>
      <c r="N342" s="3" t="s">
        <v>539</v>
      </c>
      <c r="O342" s="3">
        <v>0</v>
      </c>
      <c r="P342" s="3">
        <v>0</v>
      </c>
      <c r="Q342" s="3">
        <v>15</v>
      </c>
      <c r="R342" s="3">
        <v>7.78</v>
      </c>
      <c r="S342" s="3">
        <v>0</v>
      </c>
      <c r="T342" s="3">
        <v>0</v>
      </c>
      <c r="U342" s="3">
        <v>0</v>
      </c>
      <c r="V342" s="3">
        <v>0</v>
      </c>
      <c r="W342" s="3" t="s">
        <v>553</v>
      </c>
      <c r="X342" s="3">
        <v>25.99</v>
      </c>
      <c r="Y342" s="3">
        <v>25.99</v>
      </c>
      <c r="Z342" s="3">
        <v>25.99</v>
      </c>
      <c r="AA342" s="3">
        <v>0</v>
      </c>
      <c r="AB342" s="3" t="s">
        <v>562</v>
      </c>
      <c r="AC342" s="3">
        <v>0</v>
      </c>
      <c r="AD342" s="3">
        <v>18.27</v>
      </c>
      <c r="AE342" s="3">
        <v>364</v>
      </c>
      <c r="AF342" s="3">
        <v>0</v>
      </c>
      <c r="AG342" s="3">
        <v>236.595388</v>
      </c>
      <c r="AH342" s="3">
        <v>0</v>
      </c>
      <c r="AI342" s="3">
        <v>1.12501499999999</v>
      </c>
      <c r="AJ342" s="3" t="s">
        <v>548</v>
      </c>
    </row>
    <row r="343" spans="1:36">
      <c r="A343" s="4">
        <v>43336</v>
      </c>
      <c r="B343" s="3" t="s">
        <v>1561</v>
      </c>
      <c r="C343" s="3" t="s">
        <v>1562</v>
      </c>
      <c r="D343" s="3" t="s">
        <v>1563</v>
      </c>
      <c r="E343" s="3" t="s">
        <v>1564</v>
      </c>
      <c r="F343" s="3" t="s">
        <v>538</v>
      </c>
      <c r="G343" s="3">
        <v>4</v>
      </c>
      <c r="H343" s="3">
        <v>0</v>
      </c>
      <c r="I343" s="3">
        <v>4</v>
      </c>
      <c r="J343" s="3">
        <v>0</v>
      </c>
      <c r="K343" s="3">
        <v>0</v>
      </c>
      <c r="L343" s="3">
        <v>0</v>
      </c>
      <c r="M343" s="3">
        <v>0</v>
      </c>
      <c r="N343" s="3" t="s">
        <v>539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1</v>
      </c>
      <c r="U343" s="3">
        <v>1</v>
      </c>
      <c r="V343" s="3">
        <v>1</v>
      </c>
      <c r="W343" s="3"/>
      <c r="X343" s="3">
        <v>14.99</v>
      </c>
      <c r="Y343" s="3">
        <v>14.99</v>
      </c>
      <c r="Z343" s="3">
        <v>14.99</v>
      </c>
      <c r="AA343" s="3">
        <v>0</v>
      </c>
      <c r="AB343" s="3" t="s">
        <v>547</v>
      </c>
      <c r="AC343" s="3">
        <v>4</v>
      </c>
      <c r="AD343" s="3">
        <v>14.99</v>
      </c>
      <c r="AE343" s="3">
        <v>0</v>
      </c>
      <c r="AF343" s="3">
        <v>0</v>
      </c>
      <c r="AG343" s="3">
        <v>0</v>
      </c>
      <c r="AH343" s="3">
        <v>0.25</v>
      </c>
      <c r="AI343" s="3">
        <v>0.466908</v>
      </c>
      <c r="AJ343" s="3" t="s">
        <v>548</v>
      </c>
    </row>
    <row r="344" spans="1:36">
      <c r="A344" s="4">
        <v>43336</v>
      </c>
      <c r="B344" s="3" t="s">
        <v>1565</v>
      </c>
      <c r="C344" s="3" t="s">
        <v>1566</v>
      </c>
      <c r="D344" s="3" t="s">
        <v>1567</v>
      </c>
      <c r="E344" s="3" t="s">
        <v>66</v>
      </c>
      <c r="F344" s="3" t="s">
        <v>538</v>
      </c>
      <c r="G344" s="3">
        <v>22</v>
      </c>
      <c r="H344" s="3">
        <v>0</v>
      </c>
      <c r="I344" s="3">
        <v>22</v>
      </c>
      <c r="J344" s="3">
        <v>0</v>
      </c>
      <c r="K344" s="3">
        <v>0</v>
      </c>
      <c r="L344" s="3">
        <v>0</v>
      </c>
      <c r="M344" s="3">
        <v>0</v>
      </c>
      <c r="N344" s="3" t="s">
        <v>539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3</v>
      </c>
      <c r="U344" s="3">
        <v>3</v>
      </c>
      <c r="V344" s="3">
        <v>3</v>
      </c>
      <c r="W344" s="3" t="s">
        <v>540</v>
      </c>
      <c r="X344" s="3">
        <v>15.99</v>
      </c>
      <c r="Y344" s="3">
        <v>15.99</v>
      </c>
      <c r="Z344" s="3">
        <v>15.99</v>
      </c>
      <c r="AA344" s="3">
        <v>0</v>
      </c>
      <c r="AB344" s="3" t="s">
        <v>541</v>
      </c>
      <c r="AC344" s="3">
        <v>22</v>
      </c>
      <c r="AD344" s="3">
        <v>15.99</v>
      </c>
      <c r="AE344" s="3">
        <v>0</v>
      </c>
      <c r="AF344" s="3">
        <v>0</v>
      </c>
      <c r="AG344" s="3">
        <v>0</v>
      </c>
      <c r="AH344" s="3">
        <v>0.272727272727272</v>
      </c>
      <c r="AI344" s="3">
        <v>1.544752</v>
      </c>
      <c r="AJ344" s="3" t="s">
        <v>542</v>
      </c>
    </row>
    <row r="345" spans="1:36">
      <c r="A345" s="4">
        <v>43336</v>
      </c>
      <c r="B345" s="3" t="s">
        <v>1568</v>
      </c>
      <c r="C345" s="3" t="s">
        <v>1569</v>
      </c>
      <c r="D345" s="3" t="s">
        <v>1570</v>
      </c>
      <c r="E345" s="3" t="s">
        <v>1571</v>
      </c>
      <c r="F345" s="3" t="s">
        <v>538</v>
      </c>
      <c r="G345" s="3">
        <v>7</v>
      </c>
      <c r="H345" s="3">
        <v>0</v>
      </c>
      <c r="I345" s="3">
        <v>7</v>
      </c>
      <c r="J345" s="3">
        <v>0</v>
      </c>
      <c r="K345" s="3">
        <v>0</v>
      </c>
      <c r="L345" s="3">
        <v>0</v>
      </c>
      <c r="M345" s="3">
        <v>0</v>
      </c>
      <c r="N345" s="3" t="s">
        <v>539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1</v>
      </c>
      <c r="U345" s="3">
        <v>4</v>
      </c>
      <c r="V345" s="3">
        <v>7</v>
      </c>
      <c r="W345" s="3" t="s">
        <v>540</v>
      </c>
      <c r="X345" s="3">
        <v>8.99</v>
      </c>
      <c r="Y345" s="3">
        <v>8.99</v>
      </c>
      <c r="Z345" s="3">
        <v>8.99</v>
      </c>
      <c r="AA345" s="3">
        <v>0</v>
      </c>
      <c r="AB345" s="3" t="s">
        <v>541</v>
      </c>
      <c r="AC345" s="3">
        <v>0</v>
      </c>
      <c r="AD345" s="3">
        <v>5.41</v>
      </c>
      <c r="AE345" s="3">
        <v>49</v>
      </c>
      <c r="AF345" s="3">
        <v>0</v>
      </c>
      <c r="AG345" s="3">
        <v>79.510446</v>
      </c>
      <c r="AH345" s="3">
        <v>1.86666666666666</v>
      </c>
      <c r="AI345" s="3">
        <v>1.177057</v>
      </c>
      <c r="AJ345" s="3" t="s">
        <v>548</v>
      </c>
    </row>
    <row r="346" spans="1:36">
      <c r="A346" s="4">
        <v>43336</v>
      </c>
      <c r="B346" s="3" t="s">
        <v>1572</v>
      </c>
      <c r="C346" s="3" t="s">
        <v>1573</v>
      </c>
      <c r="D346" s="3" t="s">
        <v>1574</v>
      </c>
      <c r="E346" s="3" t="s">
        <v>1575</v>
      </c>
      <c r="F346" s="3" t="s">
        <v>538</v>
      </c>
      <c r="G346" s="3">
        <v>3</v>
      </c>
      <c r="H346" s="3">
        <v>0</v>
      </c>
      <c r="I346" s="3">
        <v>3</v>
      </c>
      <c r="J346" s="3">
        <v>0</v>
      </c>
      <c r="K346" s="3">
        <v>0</v>
      </c>
      <c r="L346" s="3">
        <v>0</v>
      </c>
      <c r="M346" s="3">
        <v>0</v>
      </c>
      <c r="N346" s="3" t="s">
        <v>539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 t="s">
        <v>553</v>
      </c>
      <c r="X346" s="3">
        <v>29.9</v>
      </c>
      <c r="Y346" s="3">
        <v>29.9</v>
      </c>
      <c r="Z346" s="3">
        <v>29.9</v>
      </c>
      <c r="AA346" s="3">
        <v>0</v>
      </c>
      <c r="AB346" s="3" t="s">
        <v>743</v>
      </c>
      <c r="AC346" s="3">
        <v>0</v>
      </c>
      <c r="AD346" s="3">
        <v>29.9</v>
      </c>
      <c r="AE346" s="3">
        <v>0</v>
      </c>
      <c r="AF346" s="3">
        <v>3</v>
      </c>
      <c r="AG346" s="3">
        <v>41.211792</v>
      </c>
      <c r="AH346" s="3">
        <v>0</v>
      </c>
      <c r="AI346" s="3">
        <v>0.287796</v>
      </c>
      <c r="AJ346" s="3" t="s">
        <v>548</v>
      </c>
    </row>
    <row r="347" spans="1:36">
      <c r="A347" s="4">
        <v>43336</v>
      </c>
      <c r="B347" s="3" t="s">
        <v>201</v>
      </c>
      <c r="C347" s="3" t="s">
        <v>202</v>
      </c>
      <c r="D347" s="3" t="s">
        <v>203</v>
      </c>
      <c r="E347" s="3" t="s">
        <v>19</v>
      </c>
      <c r="F347" s="3" t="s">
        <v>538</v>
      </c>
      <c r="G347" s="3">
        <v>7</v>
      </c>
      <c r="H347" s="3">
        <v>0</v>
      </c>
      <c r="I347" s="3">
        <v>7</v>
      </c>
      <c r="J347" s="3">
        <v>0</v>
      </c>
      <c r="K347" s="3">
        <v>0</v>
      </c>
      <c r="L347" s="3">
        <v>0</v>
      </c>
      <c r="M347" s="3">
        <v>0</v>
      </c>
      <c r="N347" s="3" t="s">
        <v>539</v>
      </c>
      <c r="O347" s="3">
        <v>0</v>
      </c>
      <c r="P347" s="3">
        <v>0</v>
      </c>
      <c r="Q347" s="3">
        <v>0</v>
      </c>
      <c r="R347" s="3">
        <v>0</v>
      </c>
      <c r="S347" s="3">
        <v>6</v>
      </c>
      <c r="T347" s="3">
        <v>17</v>
      </c>
      <c r="U347" s="3">
        <v>27</v>
      </c>
      <c r="V347" s="3">
        <v>30</v>
      </c>
      <c r="W347" s="3"/>
      <c r="X347" s="3">
        <v>20.99</v>
      </c>
      <c r="Y347" s="3">
        <v>15.99</v>
      </c>
      <c r="Z347" s="3">
        <v>15.99</v>
      </c>
      <c r="AA347" s="3">
        <v>0</v>
      </c>
      <c r="AB347" s="3" t="s">
        <v>547</v>
      </c>
      <c r="AC347" s="3">
        <v>9</v>
      </c>
      <c r="AD347" s="3">
        <v>15.99</v>
      </c>
      <c r="AE347" s="3">
        <v>0</v>
      </c>
      <c r="AF347" s="3">
        <v>0</v>
      </c>
      <c r="AG347" s="3">
        <v>0</v>
      </c>
      <c r="AH347" s="3">
        <v>6</v>
      </c>
      <c r="AI347" s="3">
        <v>0.464604</v>
      </c>
      <c r="AJ347" s="3" t="s">
        <v>596</v>
      </c>
    </row>
    <row r="348" spans="1:36">
      <c r="A348" s="4">
        <v>43336</v>
      </c>
      <c r="B348" s="3" t="s">
        <v>1576</v>
      </c>
      <c r="C348" s="3" t="s">
        <v>1577</v>
      </c>
      <c r="D348" s="3" t="s">
        <v>1578</v>
      </c>
      <c r="E348" s="3" t="s">
        <v>1579</v>
      </c>
      <c r="F348" s="3" t="s">
        <v>538</v>
      </c>
      <c r="G348" s="3">
        <v>3</v>
      </c>
      <c r="H348" s="3">
        <v>0</v>
      </c>
      <c r="I348" s="3">
        <v>0</v>
      </c>
      <c r="J348" s="3">
        <v>0</v>
      </c>
      <c r="K348" s="3">
        <v>3</v>
      </c>
      <c r="L348" s="3">
        <v>0</v>
      </c>
      <c r="M348" s="3">
        <v>0</v>
      </c>
      <c r="N348" s="3" t="s">
        <v>539</v>
      </c>
      <c r="O348" s="3">
        <v>3</v>
      </c>
      <c r="P348" s="3">
        <v>0.22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 t="s">
        <v>540</v>
      </c>
      <c r="X348" s="3">
        <v>13.59</v>
      </c>
      <c r="Y348" s="3">
        <v>13.59</v>
      </c>
      <c r="Z348" s="3">
        <v>13.59</v>
      </c>
      <c r="AA348" s="3">
        <v>0</v>
      </c>
      <c r="AB348" s="3" t="s">
        <v>562</v>
      </c>
      <c r="AC348" s="3">
        <v>0</v>
      </c>
      <c r="AD348" s="3">
        <v>10.87</v>
      </c>
      <c r="AE348" s="3">
        <v>63</v>
      </c>
      <c r="AF348" s="3">
        <v>0</v>
      </c>
      <c r="AG348" s="3">
        <v>10.182189</v>
      </c>
      <c r="AH348" s="3">
        <v>0</v>
      </c>
      <c r="AI348" s="3">
        <v>0.062499</v>
      </c>
      <c r="AJ348" s="3" t="s">
        <v>548</v>
      </c>
    </row>
    <row r="349" spans="1:36">
      <c r="A349" s="4">
        <v>43336</v>
      </c>
      <c r="B349" s="3" t="s">
        <v>471</v>
      </c>
      <c r="C349" s="3" t="s">
        <v>472</v>
      </c>
      <c r="D349" s="3" t="s">
        <v>473</v>
      </c>
      <c r="E349" s="3" t="s">
        <v>474</v>
      </c>
      <c r="F349" s="3" t="s">
        <v>538</v>
      </c>
      <c r="G349" s="3">
        <v>145</v>
      </c>
      <c r="H349" s="3">
        <v>0</v>
      </c>
      <c r="I349" s="3">
        <v>145</v>
      </c>
      <c r="J349" s="3">
        <v>0</v>
      </c>
      <c r="K349" s="3">
        <v>0</v>
      </c>
      <c r="L349" s="3">
        <v>0</v>
      </c>
      <c r="M349" s="3">
        <v>0</v>
      </c>
      <c r="N349" s="3" t="s">
        <v>539</v>
      </c>
      <c r="O349" s="3">
        <v>0</v>
      </c>
      <c r="P349" s="3">
        <v>0</v>
      </c>
      <c r="Q349" s="3">
        <v>0</v>
      </c>
      <c r="R349" s="3">
        <v>0</v>
      </c>
      <c r="S349" s="3">
        <v>45</v>
      </c>
      <c r="T349" s="3">
        <v>152</v>
      </c>
      <c r="U349" s="3">
        <v>183</v>
      </c>
      <c r="V349" s="3">
        <v>183</v>
      </c>
      <c r="W349" s="3"/>
      <c r="X349" s="3">
        <v>44.99</v>
      </c>
      <c r="Y349" s="3">
        <v>44.99</v>
      </c>
      <c r="Z349" s="3">
        <v>44.99</v>
      </c>
      <c r="AA349" s="3">
        <v>0</v>
      </c>
      <c r="AB349" s="3" t="s">
        <v>547</v>
      </c>
      <c r="AC349" s="3">
        <v>148</v>
      </c>
      <c r="AD349" s="3">
        <v>44.99</v>
      </c>
      <c r="AE349" s="3">
        <v>0</v>
      </c>
      <c r="AF349" s="3">
        <v>0</v>
      </c>
      <c r="AG349" s="3">
        <v>0</v>
      </c>
      <c r="AH349" s="3">
        <v>2.96756756756756</v>
      </c>
      <c r="AI349" s="3">
        <v>12.006145</v>
      </c>
      <c r="AJ349" s="3" t="s">
        <v>719</v>
      </c>
    </row>
    <row r="350" spans="1:36">
      <c r="A350" s="4">
        <v>43336</v>
      </c>
      <c r="B350" s="3" t="s">
        <v>95</v>
      </c>
      <c r="C350" s="3" t="s">
        <v>96</v>
      </c>
      <c r="D350" s="3" t="s">
        <v>97</v>
      </c>
      <c r="E350" s="3" t="s">
        <v>98</v>
      </c>
      <c r="F350" s="3" t="s">
        <v>538</v>
      </c>
      <c r="G350" s="3">
        <v>1</v>
      </c>
      <c r="H350" s="3">
        <v>0</v>
      </c>
      <c r="I350" s="3">
        <v>1</v>
      </c>
      <c r="J350" s="3">
        <v>0</v>
      </c>
      <c r="K350" s="3">
        <v>0</v>
      </c>
      <c r="L350" s="3">
        <v>0</v>
      </c>
      <c r="M350" s="3">
        <v>0</v>
      </c>
      <c r="N350" s="3" t="s">
        <v>539</v>
      </c>
      <c r="O350" s="3">
        <v>0</v>
      </c>
      <c r="P350" s="3">
        <v>0</v>
      </c>
      <c r="Q350" s="3">
        <v>0</v>
      </c>
      <c r="R350" s="3">
        <v>0</v>
      </c>
      <c r="S350" s="3">
        <v>5</v>
      </c>
      <c r="T350" s="3">
        <v>31</v>
      </c>
      <c r="U350" s="3">
        <v>52</v>
      </c>
      <c r="V350" s="3">
        <v>60</v>
      </c>
      <c r="W350" s="3"/>
      <c r="X350" s="3">
        <v>24.99</v>
      </c>
      <c r="Y350" s="3">
        <v>24.99</v>
      </c>
      <c r="Z350" s="3">
        <v>24.99</v>
      </c>
      <c r="AA350" s="3">
        <v>0</v>
      </c>
      <c r="AB350" s="3" t="s">
        <v>547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6.15384615384615</v>
      </c>
      <c r="AI350" s="3">
        <v>0.156119</v>
      </c>
      <c r="AJ350" s="3" t="s">
        <v>548</v>
      </c>
    </row>
    <row r="351" spans="1:36">
      <c r="A351" s="4">
        <v>43336</v>
      </c>
      <c r="B351" s="3" t="s">
        <v>1580</v>
      </c>
      <c r="C351" s="3" t="s">
        <v>1581</v>
      </c>
      <c r="D351" s="3" t="s">
        <v>1582</v>
      </c>
      <c r="E351" s="3" t="s">
        <v>552</v>
      </c>
      <c r="F351" s="3" t="s">
        <v>538</v>
      </c>
      <c r="G351" s="3">
        <v>8</v>
      </c>
      <c r="H351" s="3">
        <v>0</v>
      </c>
      <c r="I351" s="3">
        <v>0</v>
      </c>
      <c r="J351" s="3">
        <v>0</v>
      </c>
      <c r="K351" s="3">
        <v>8</v>
      </c>
      <c r="L351" s="3">
        <v>0</v>
      </c>
      <c r="M351" s="3">
        <v>0</v>
      </c>
      <c r="N351" s="3" t="s">
        <v>539</v>
      </c>
      <c r="O351" s="3">
        <v>8</v>
      </c>
      <c r="P351" s="3">
        <v>2.16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 t="s">
        <v>553</v>
      </c>
      <c r="X351" s="3">
        <v>21.9</v>
      </c>
      <c r="Y351" s="3">
        <v>21.9</v>
      </c>
      <c r="Z351" s="3">
        <v>21.9</v>
      </c>
      <c r="AA351" s="3">
        <v>0</v>
      </c>
      <c r="AB351" s="3" t="s">
        <v>562</v>
      </c>
      <c r="AC351" s="3">
        <v>0</v>
      </c>
      <c r="AD351" s="3">
        <v>17.52</v>
      </c>
      <c r="AE351" s="3">
        <v>63</v>
      </c>
      <c r="AF351" s="3">
        <v>0</v>
      </c>
      <c r="AG351" s="3">
        <v>95.113632</v>
      </c>
      <c r="AH351" s="3">
        <v>0</v>
      </c>
      <c r="AI351" s="3">
        <v>0.626664</v>
      </c>
      <c r="AJ351" s="3" t="s">
        <v>548</v>
      </c>
    </row>
    <row r="352" spans="1:36">
      <c r="A352" s="4">
        <v>43336</v>
      </c>
      <c r="B352" s="3" t="s">
        <v>1583</v>
      </c>
      <c r="C352" s="3" t="s">
        <v>1584</v>
      </c>
      <c r="D352" s="3" t="s">
        <v>1585</v>
      </c>
      <c r="E352" s="3" t="s">
        <v>757</v>
      </c>
      <c r="F352" s="3" t="s">
        <v>538</v>
      </c>
      <c r="G352" s="3">
        <v>6</v>
      </c>
      <c r="H352" s="3">
        <v>0</v>
      </c>
      <c r="I352" s="3">
        <v>6</v>
      </c>
      <c r="J352" s="3">
        <v>0</v>
      </c>
      <c r="K352" s="3">
        <v>0</v>
      </c>
      <c r="L352" s="3">
        <v>0</v>
      </c>
      <c r="M352" s="3">
        <v>0</v>
      </c>
      <c r="N352" s="3" t="s">
        <v>539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 t="s">
        <v>540</v>
      </c>
      <c r="X352" s="3">
        <v>19.99</v>
      </c>
      <c r="Y352" s="3">
        <v>19.99</v>
      </c>
      <c r="Z352" s="3">
        <v>19.99</v>
      </c>
      <c r="AA352" s="3">
        <v>0</v>
      </c>
      <c r="AB352" s="3" t="s">
        <v>541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0.920388</v>
      </c>
      <c r="AJ352" s="3" t="s">
        <v>542</v>
      </c>
    </row>
    <row r="353" spans="1:36">
      <c r="A353" s="4">
        <v>43336</v>
      </c>
      <c r="B353" s="3" t="s">
        <v>1586</v>
      </c>
      <c r="C353" s="3" t="s">
        <v>1587</v>
      </c>
      <c r="D353" s="3" t="s">
        <v>1588</v>
      </c>
      <c r="E353" s="3" t="s">
        <v>1589</v>
      </c>
      <c r="F353" s="3" t="s">
        <v>538</v>
      </c>
      <c r="G353" s="3">
        <v>15</v>
      </c>
      <c r="H353" s="3">
        <v>0</v>
      </c>
      <c r="I353" s="3">
        <v>15</v>
      </c>
      <c r="J353" s="3">
        <v>0</v>
      </c>
      <c r="K353" s="3">
        <v>0</v>
      </c>
      <c r="L353" s="3">
        <v>0</v>
      </c>
      <c r="M353" s="3">
        <v>0</v>
      </c>
      <c r="N353" s="3" t="s">
        <v>539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 t="s">
        <v>553</v>
      </c>
      <c r="X353" s="3">
        <v>22.99</v>
      </c>
      <c r="Y353" s="3">
        <v>22.99</v>
      </c>
      <c r="Z353" s="3">
        <v>22.99</v>
      </c>
      <c r="AA353" s="3">
        <v>0</v>
      </c>
      <c r="AB353" s="3" t="s">
        <v>547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0.96192</v>
      </c>
      <c r="AJ353" s="3" t="s">
        <v>596</v>
      </c>
    </row>
    <row r="354" spans="1:36">
      <c r="A354" s="4">
        <v>43336</v>
      </c>
      <c r="B354" s="3" t="s">
        <v>123</v>
      </c>
      <c r="C354" s="3" t="s">
        <v>124</v>
      </c>
      <c r="D354" s="3" t="s">
        <v>125</v>
      </c>
      <c r="E354" s="3" t="s">
        <v>126</v>
      </c>
      <c r="F354" s="3" t="s">
        <v>538</v>
      </c>
      <c r="G354" s="3">
        <v>6</v>
      </c>
      <c r="H354" s="3">
        <v>0</v>
      </c>
      <c r="I354" s="3">
        <v>6</v>
      </c>
      <c r="J354" s="3">
        <v>0</v>
      </c>
      <c r="K354" s="3">
        <v>0</v>
      </c>
      <c r="L354" s="3">
        <v>0</v>
      </c>
      <c r="M354" s="3">
        <v>0</v>
      </c>
      <c r="N354" s="3" t="s">
        <v>539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4</v>
      </c>
      <c r="U354" s="3">
        <v>4</v>
      </c>
      <c r="V354" s="3">
        <v>4</v>
      </c>
      <c r="W354" s="3"/>
      <c r="X354" s="3">
        <v>15.99</v>
      </c>
      <c r="Y354" s="3">
        <v>15.99</v>
      </c>
      <c r="Z354" s="3">
        <v>15.99</v>
      </c>
      <c r="AA354" s="3">
        <v>0</v>
      </c>
      <c r="AB354" s="3" t="s">
        <v>547</v>
      </c>
      <c r="AC354" s="3">
        <v>6</v>
      </c>
      <c r="AD354" s="3">
        <v>15.99</v>
      </c>
      <c r="AE354" s="3">
        <v>0</v>
      </c>
      <c r="AF354" s="3">
        <v>0</v>
      </c>
      <c r="AG354" s="3">
        <v>0</v>
      </c>
      <c r="AH354" s="3">
        <v>1.33333333333333</v>
      </c>
      <c r="AI354" s="3">
        <v>0.73116</v>
      </c>
      <c r="AJ354" s="3" t="s">
        <v>548</v>
      </c>
    </row>
    <row r="355" spans="1:36">
      <c r="A355" s="4">
        <v>43336</v>
      </c>
      <c r="B355" s="3" t="s">
        <v>1590</v>
      </c>
      <c r="C355" s="3" t="s">
        <v>1591</v>
      </c>
      <c r="D355" s="3" t="s">
        <v>1592</v>
      </c>
      <c r="E355" s="3" t="s">
        <v>1593</v>
      </c>
      <c r="F355" s="3" t="s">
        <v>538</v>
      </c>
      <c r="G355" s="3">
        <v>6</v>
      </c>
      <c r="H355" s="3">
        <v>0</v>
      </c>
      <c r="I355" s="3">
        <v>0</v>
      </c>
      <c r="J355" s="3">
        <v>0</v>
      </c>
      <c r="K355" s="3">
        <v>0</v>
      </c>
      <c r="L355" s="3">
        <v>0</v>
      </c>
      <c r="M355" s="3">
        <v>6</v>
      </c>
      <c r="N355" s="3" t="s">
        <v>539</v>
      </c>
      <c r="O355" s="3">
        <v>0</v>
      </c>
      <c r="P355" s="3">
        <v>0</v>
      </c>
      <c r="Q355" s="3">
        <v>6</v>
      </c>
      <c r="R355" s="3">
        <v>3</v>
      </c>
      <c r="S355" s="3">
        <v>0</v>
      </c>
      <c r="T355" s="3">
        <v>1</v>
      </c>
      <c r="U355" s="3">
        <v>1</v>
      </c>
      <c r="V355" s="3">
        <v>3</v>
      </c>
      <c r="W355" s="3" t="s">
        <v>540</v>
      </c>
      <c r="X355" s="3">
        <v>10</v>
      </c>
      <c r="Y355" s="3">
        <v>10</v>
      </c>
      <c r="Z355" s="3">
        <v>10</v>
      </c>
      <c r="AA355" s="3">
        <v>0</v>
      </c>
      <c r="AB355" s="3" t="s">
        <v>541</v>
      </c>
      <c r="AC355" s="3">
        <v>6</v>
      </c>
      <c r="AD355" s="3">
        <v>10</v>
      </c>
      <c r="AE355" s="3">
        <v>0</v>
      </c>
      <c r="AF355" s="3">
        <v>0</v>
      </c>
      <c r="AG355" s="3">
        <v>0</v>
      </c>
      <c r="AH355" s="3">
        <v>0.413793103448275</v>
      </c>
      <c r="AI355" s="5">
        <v>0.000348</v>
      </c>
      <c r="AJ355" s="3" t="s">
        <v>548</v>
      </c>
    </row>
    <row r="356" spans="1:36">
      <c r="A356" s="4">
        <v>43336</v>
      </c>
      <c r="B356" s="3" t="s">
        <v>1594</v>
      </c>
      <c r="C356" s="3" t="s">
        <v>1595</v>
      </c>
      <c r="D356" s="3" t="s">
        <v>1596</v>
      </c>
      <c r="E356" s="3" t="s">
        <v>552</v>
      </c>
      <c r="F356" s="3" t="s">
        <v>538</v>
      </c>
      <c r="G356" s="3">
        <v>4</v>
      </c>
      <c r="H356" s="3">
        <v>0</v>
      </c>
      <c r="I356" s="3">
        <v>0</v>
      </c>
      <c r="J356" s="3">
        <v>0</v>
      </c>
      <c r="K356" s="3">
        <v>4</v>
      </c>
      <c r="L356" s="3">
        <v>0</v>
      </c>
      <c r="M356" s="3">
        <v>0</v>
      </c>
      <c r="N356" s="3" t="s">
        <v>539</v>
      </c>
      <c r="O356" s="3">
        <v>4</v>
      </c>
      <c r="P356" s="3">
        <v>1.68</v>
      </c>
      <c r="Q356" s="3">
        <v>0</v>
      </c>
      <c r="R356" s="3">
        <v>0</v>
      </c>
      <c r="S356" s="3">
        <v>0</v>
      </c>
      <c r="T356" s="3">
        <v>0</v>
      </c>
      <c r="U356" s="3">
        <v>2</v>
      </c>
      <c r="V356" s="3">
        <v>3</v>
      </c>
      <c r="W356" s="3" t="s">
        <v>553</v>
      </c>
      <c r="X356" s="3">
        <v>21.9</v>
      </c>
      <c r="Y356" s="3">
        <v>21.9</v>
      </c>
      <c r="Z356" s="3">
        <v>21.9</v>
      </c>
      <c r="AA356" s="3">
        <v>0</v>
      </c>
      <c r="AB356" s="3" t="s">
        <v>562</v>
      </c>
      <c r="AC356" s="3">
        <v>0</v>
      </c>
      <c r="AD356" s="3">
        <v>17.52</v>
      </c>
      <c r="AE356" s="3">
        <v>63</v>
      </c>
      <c r="AF356" s="3">
        <v>0</v>
      </c>
      <c r="AG356" s="3">
        <v>47.384655</v>
      </c>
      <c r="AH356" s="3">
        <v>0.571428571428571</v>
      </c>
      <c r="AI356" s="3">
        <v>0.486112</v>
      </c>
      <c r="AJ356" s="3" t="s">
        <v>548</v>
      </c>
    </row>
    <row r="357" spans="1:36">
      <c r="A357" s="4">
        <v>43336</v>
      </c>
      <c r="B357" s="3" t="s">
        <v>1597</v>
      </c>
      <c r="C357" s="3" t="s">
        <v>1598</v>
      </c>
      <c r="D357" s="3" t="s">
        <v>1599</v>
      </c>
      <c r="E357" s="3" t="s">
        <v>1600</v>
      </c>
      <c r="F357" s="3" t="s">
        <v>538</v>
      </c>
      <c r="G357" s="3">
        <v>1</v>
      </c>
      <c r="H357" s="3">
        <v>0</v>
      </c>
      <c r="I357" s="3">
        <v>0</v>
      </c>
      <c r="J357" s="3">
        <v>0</v>
      </c>
      <c r="K357" s="3">
        <v>0</v>
      </c>
      <c r="L357" s="3">
        <v>1</v>
      </c>
      <c r="M357" s="3">
        <v>0</v>
      </c>
      <c r="N357" s="3" t="s">
        <v>539</v>
      </c>
      <c r="O357" s="3">
        <v>1</v>
      </c>
      <c r="P357" s="3">
        <v>0.08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 t="s">
        <v>553</v>
      </c>
      <c r="X357" s="3">
        <v>9.9</v>
      </c>
      <c r="Y357" s="3">
        <v>9.9</v>
      </c>
      <c r="Z357" s="3">
        <v>9.9</v>
      </c>
      <c r="AA357" s="3">
        <v>0</v>
      </c>
      <c r="AB357" s="3" t="s">
        <v>547</v>
      </c>
      <c r="AC357" s="3">
        <v>1</v>
      </c>
      <c r="AD357" s="3">
        <v>9.9</v>
      </c>
      <c r="AE357" s="3">
        <v>0</v>
      </c>
      <c r="AF357" s="3">
        <v>0</v>
      </c>
      <c r="AG357" s="3">
        <v>0</v>
      </c>
      <c r="AH357" s="3">
        <v>0</v>
      </c>
      <c r="AI357" s="3">
        <v>0.024534</v>
      </c>
      <c r="AJ357" s="3" t="s">
        <v>548</v>
      </c>
    </row>
    <row r="358" spans="1:36">
      <c r="A358" s="4">
        <v>43336</v>
      </c>
      <c r="B358" s="3" t="s">
        <v>1601</v>
      </c>
      <c r="C358" s="3" t="s">
        <v>1602</v>
      </c>
      <c r="D358" s="3" t="s">
        <v>1603</v>
      </c>
      <c r="E358" s="3" t="s">
        <v>552</v>
      </c>
      <c r="F358" s="3" t="s">
        <v>538</v>
      </c>
      <c r="G358" s="3">
        <v>3</v>
      </c>
      <c r="H358" s="3">
        <v>0</v>
      </c>
      <c r="I358" s="3">
        <v>3</v>
      </c>
      <c r="J358" s="3">
        <v>0</v>
      </c>
      <c r="K358" s="3">
        <v>0</v>
      </c>
      <c r="L358" s="3">
        <v>0</v>
      </c>
      <c r="M358" s="3">
        <v>0</v>
      </c>
      <c r="N358" s="3" t="s">
        <v>539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0</v>
      </c>
      <c r="W358" s="3" t="s">
        <v>553</v>
      </c>
      <c r="X358" s="3">
        <v>17.9</v>
      </c>
      <c r="Y358" s="3">
        <v>17.9</v>
      </c>
      <c r="Z358" s="3">
        <v>17.9</v>
      </c>
      <c r="AA358" s="3">
        <v>0</v>
      </c>
      <c r="AB358" s="3" t="s">
        <v>547</v>
      </c>
      <c r="AC358" s="3">
        <v>3</v>
      </c>
      <c r="AD358" s="3">
        <v>17.9</v>
      </c>
      <c r="AE358" s="3">
        <v>0</v>
      </c>
      <c r="AF358" s="3">
        <v>0</v>
      </c>
      <c r="AG358" s="3">
        <v>0</v>
      </c>
      <c r="AH358" s="3">
        <v>0</v>
      </c>
      <c r="AI358" s="3">
        <v>0.078264</v>
      </c>
      <c r="AJ358" s="3" t="s">
        <v>548</v>
      </c>
    </row>
    <row r="359" spans="1:36">
      <c r="A359" s="4">
        <v>43336</v>
      </c>
      <c r="B359" s="3" t="s">
        <v>1604</v>
      </c>
      <c r="C359" s="3" t="s">
        <v>1605</v>
      </c>
      <c r="D359" s="3" t="s">
        <v>1606</v>
      </c>
      <c r="E359" s="3" t="s">
        <v>1073</v>
      </c>
      <c r="F359" s="3" t="s">
        <v>538</v>
      </c>
      <c r="G359" s="3">
        <v>5</v>
      </c>
      <c r="H359" s="3">
        <v>0</v>
      </c>
      <c r="I359" s="3">
        <v>5</v>
      </c>
      <c r="J359" s="3">
        <v>0</v>
      </c>
      <c r="K359" s="3">
        <v>0</v>
      </c>
      <c r="L359" s="3">
        <v>0</v>
      </c>
      <c r="M359" s="3">
        <v>0</v>
      </c>
      <c r="N359" s="3" t="s">
        <v>539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 t="s">
        <v>540</v>
      </c>
      <c r="X359" s="3">
        <v>19.99</v>
      </c>
      <c r="Y359" s="3">
        <v>19.99</v>
      </c>
      <c r="Z359" s="3">
        <v>19.99</v>
      </c>
      <c r="AA359" s="3">
        <v>0</v>
      </c>
      <c r="AB359" s="3" t="s">
        <v>651</v>
      </c>
      <c r="AC359" s="3">
        <v>5</v>
      </c>
      <c r="AD359" s="3">
        <v>19.99</v>
      </c>
      <c r="AE359" s="3">
        <v>0</v>
      </c>
      <c r="AF359" s="3">
        <v>0</v>
      </c>
      <c r="AG359" s="3">
        <v>0</v>
      </c>
      <c r="AH359" s="3">
        <v>0</v>
      </c>
      <c r="AI359" s="3">
        <v>0.73253</v>
      </c>
      <c r="AJ359" s="3" t="s">
        <v>542</v>
      </c>
    </row>
    <row r="360" spans="1:36">
      <c r="A360" s="4">
        <v>43336</v>
      </c>
      <c r="B360" s="3" t="s">
        <v>1607</v>
      </c>
      <c r="C360" s="3" t="s">
        <v>1608</v>
      </c>
      <c r="D360" s="3" t="s">
        <v>1609</v>
      </c>
      <c r="E360" s="3" t="s">
        <v>1610</v>
      </c>
      <c r="F360" s="3" t="s">
        <v>538</v>
      </c>
      <c r="G360" s="3">
        <v>8</v>
      </c>
      <c r="H360" s="3">
        <v>0</v>
      </c>
      <c r="I360" s="3">
        <v>0</v>
      </c>
      <c r="J360" s="3">
        <v>8</v>
      </c>
      <c r="K360" s="3">
        <v>0</v>
      </c>
      <c r="L360" s="3">
        <v>0</v>
      </c>
      <c r="M360" s="3">
        <v>0</v>
      </c>
      <c r="N360" s="3" t="s">
        <v>539</v>
      </c>
      <c r="O360" s="3">
        <v>0</v>
      </c>
      <c r="P360" s="3">
        <v>0</v>
      </c>
      <c r="Q360" s="3">
        <v>0</v>
      </c>
      <c r="R360" s="3">
        <v>0</v>
      </c>
      <c r="S360" s="3">
        <v>2</v>
      </c>
      <c r="T360" s="3">
        <v>10</v>
      </c>
      <c r="U360" s="3">
        <v>14</v>
      </c>
      <c r="V360" s="3">
        <v>19</v>
      </c>
      <c r="W360" s="3"/>
      <c r="X360" s="3">
        <v>19.99</v>
      </c>
      <c r="Y360" s="3">
        <v>19.99</v>
      </c>
      <c r="Z360" s="3">
        <v>19.99</v>
      </c>
      <c r="AA360" s="3">
        <v>0</v>
      </c>
      <c r="AB360" s="3" t="s">
        <v>547</v>
      </c>
      <c r="AC360" s="3">
        <v>9</v>
      </c>
      <c r="AD360" s="3">
        <v>19.99</v>
      </c>
      <c r="AE360" s="3">
        <v>0</v>
      </c>
      <c r="AF360" s="3">
        <v>0</v>
      </c>
      <c r="AG360" s="3">
        <v>0</v>
      </c>
      <c r="AH360" s="3">
        <v>1.01333333333333</v>
      </c>
      <c r="AI360" s="3">
        <v>1.180128</v>
      </c>
      <c r="AJ360" s="3" t="s">
        <v>548</v>
      </c>
    </row>
    <row r="361" spans="1:36">
      <c r="A361" s="4">
        <v>43336</v>
      </c>
      <c r="B361" s="3" t="s">
        <v>1611</v>
      </c>
      <c r="C361" s="3" t="s">
        <v>1612</v>
      </c>
      <c r="D361" s="3" t="s">
        <v>1613</v>
      </c>
      <c r="E361" s="3" t="s">
        <v>849</v>
      </c>
      <c r="F361" s="3" t="s">
        <v>538</v>
      </c>
      <c r="G361" s="3">
        <v>6</v>
      </c>
      <c r="H361" s="3">
        <v>0</v>
      </c>
      <c r="I361" s="3">
        <v>6</v>
      </c>
      <c r="J361" s="3">
        <v>0</v>
      </c>
      <c r="K361" s="3">
        <v>0</v>
      </c>
      <c r="L361" s="3">
        <v>0</v>
      </c>
      <c r="M361" s="3">
        <v>0</v>
      </c>
      <c r="N361" s="3" t="s">
        <v>539</v>
      </c>
      <c r="O361" s="3">
        <v>0</v>
      </c>
      <c r="P361" s="3">
        <v>0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 t="s">
        <v>540</v>
      </c>
      <c r="X361" s="3">
        <v>17.99</v>
      </c>
      <c r="Y361" s="3">
        <v>17.99</v>
      </c>
      <c r="Z361" s="3">
        <v>17.99</v>
      </c>
      <c r="AA361" s="3">
        <v>0</v>
      </c>
      <c r="AB361" s="3" t="s">
        <v>541</v>
      </c>
      <c r="AC361" s="3">
        <v>0</v>
      </c>
      <c r="AD361" s="3">
        <v>14.39</v>
      </c>
      <c r="AE361" s="3">
        <v>63</v>
      </c>
      <c r="AF361" s="3">
        <v>0</v>
      </c>
      <c r="AG361" s="3">
        <v>6.248103</v>
      </c>
      <c r="AH361" s="3">
        <v>0</v>
      </c>
      <c r="AI361" s="3">
        <v>0.71661</v>
      </c>
      <c r="AJ361" s="3" t="s">
        <v>542</v>
      </c>
    </row>
    <row r="362" spans="1:36">
      <c r="A362" s="4">
        <v>43336</v>
      </c>
      <c r="B362" s="3" t="s">
        <v>1614</v>
      </c>
      <c r="C362" s="3" t="s">
        <v>1615</v>
      </c>
      <c r="D362" s="3" t="s">
        <v>1616</v>
      </c>
      <c r="E362" s="3" t="s">
        <v>1617</v>
      </c>
      <c r="F362" s="3" t="s">
        <v>538</v>
      </c>
      <c r="G362" s="3">
        <v>17</v>
      </c>
      <c r="H362" s="3">
        <v>0</v>
      </c>
      <c r="I362" s="3">
        <v>0</v>
      </c>
      <c r="J362" s="3">
        <v>0</v>
      </c>
      <c r="K362" s="3">
        <v>0</v>
      </c>
      <c r="L362" s="3">
        <v>17</v>
      </c>
      <c r="M362" s="3">
        <v>0</v>
      </c>
      <c r="N362" s="3" t="s">
        <v>539</v>
      </c>
      <c r="O362" s="3">
        <v>1</v>
      </c>
      <c r="P362" s="3">
        <v>0</v>
      </c>
      <c r="Q362" s="3">
        <v>16</v>
      </c>
      <c r="R362" s="3">
        <v>8</v>
      </c>
      <c r="S362" s="3">
        <v>0</v>
      </c>
      <c r="T362" s="3">
        <v>0</v>
      </c>
      <c r="U362" s="3">
        <v>0</v>
      </c>
      <c r="V362" s="3">
        <v>0</v>
      </c>
      <c r="W362" s="3" t="s">
        <v>553</v>
      </c>
      <c r="X362" s="3">
        <v>25.99</v>
      </c>
      <c r="Y362" s="3">
        <v>25.99</v>
      </c>
      <c r="Z362" s="3">
        <v>25.99</v>
      </c>
      <c r="AA362" s="3">
        <v>0</v>
      </c>
      <c r="AB362" s="3" t="s">
        <v>562</v>
      </c>
      <c r="AC362" s="3">
        <v>0</v>
      </c>
      <c r="AD362" s="3">
        <v>17.5</v>
      </c>
      <c r="AE362" s="3">
        <v>364</v>
      </c>
      <c r="AF362" s="3">
        <v>0</v>
      </c>
      <c r="AG362" s="3">
        <v>155.075848</v>
      </c>
      <c r="AH362" s="3">
        <v>0</v>
      </c>
      <c r="AI362" s="5">
        <v>0.000986</v>
      </c>
      <c r="AJ362" s="3" t="s">
        <v>548</v>
      </c>
    </row>
    <row r="363" spans="1:36">
      <c r="A363" s="4">
        <v>43336</v>
      </c>
      <c r="B363" s="3" t="s">
        <v>1618</v>
      </c>
      <c r="C363" s="3" t="s">
        <v>1619</v>
      </c>
      <c r="D363" s="3" t="s">
        <v>1620</v>
      </c>
      <c r="E363" s="3" t="s">
        <v>1621</v>
      </c>
      <c r="F363" s="3" t="s">
        <v>538</v>
      </c>
      <c r="G363" s="3">
        <v>8</v>
      </c>
      <c r="H363" s="3">
        <v>0</v>
      </c>
      <c r="I363" s="3">
        <v>8</v>
      </c>
      <c r="J363" s="3">
        <v>0</v>
      </c>
      <c r="K363" s="3">
        <v>0</v>
      </c>
      <c r="L363" s="3">
        <v>0</v>
      </c>
      <c r="M363" s="3">
        <v>0</v>
      </c>
      <c r="N363" s="3" t="s">
        <v>539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4</v>
      </c>
      <c r="U363" s="3">
        <v>7</v>
      </c>
      <c r="V363" s="3">
        <v>11</v>
      </c>
      <c r="W363" s="3"/>
      <c r="X363" s="3">
        <v>13.99</v>
      </c>
      <c r="Y363" s="3">
        <v>13.99</v>
      </c>
      <c r="Z363" s="3">
        <v>13.99</v>
      </c>
      <c r="AA363" s="3">
        <v>0</v>
      </c>
      <c r="AB363" s="3" t="s">
        <v>547</v>
      </c>
      <c r="AC363" s="3">
        <v>8</v>
      </c>
      <c r="AD363" s="3">
        <v>13.99</v>
      </c>
      <c r="AE363" s="3">
        <v>0</v>
      </c>
      <c r="AF363" s="3">
        <v>0</v>
      </c>
      <c r="AG363" s="3">
        <v>0</v>
      </c>
      <c r="AH363" s="3">
        <v>1.62962962962962</v>
      </c>
      <c r="AI363" s="3">
        <v>1.604224</v>
      </c>
      <c r="AJ363" s="3" t="s">
        <v>548</v>
      </c>
    </row>
    <row r="364" spans="1:36">
      <c r="A364" s="4">
        <v>43336</v>
      </c>
      <c r="B364" s="3" t="s">
        <v>1622</v>
      </c>
      <c r="C364" s="3" t="s">
        <v>1623</v>
      </c>
      <c r="D364" s="3" t="s">
        <v>1624</v>
      </c>
      <c r="E364" s="3" t="s">
        <v>612</v>
      </c>
      <c r="F364" s="3" t="s">
        <v>538</v>
      </c>
      <c r="G364" s="3">
        <v>6</v>
      </c>
      <c r="H364" s="3">
        <v>0</v>
      </c>
      <c r="I364" s="3">
        <v>6</v>
      </c>
      <c r="J364" s="3">
        <v>0</v>
      </c>
      <c r="K364" s="3">
        <v>0</v>
      </c>
      <c r="L364" s="3">
        <v>0</v>
      </c>
      <c r="M364" s="3">
        <v>0</v>
      </c>
      <c r="N364" s="3" t="s">
        <v>539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 t="s">
        <v>540</v>
      </c>
      <c r="X364" s="3">
        <v>19.99</v>
      </c>
      <c r="Y364" s="3">
        <v>19.99</v>
      </c>
      <c r="Z364" s="3">
        <v>19.99</v>
      </c>
      <c r="AA364" s="3">
        <v>0</v>
      </c>
      <c r="AB364" s="3" t="s">
        <v>541</v>
      </c>
      <c r="AC364" s="3">
        <v>0</v>
      </c>
      <c r="AD364" s="3">
        <v>0</v>
      </c>
      <c r="AE364" s="3">
        <v>0</v>
      </c>
      <c r="AF364" s="3">
        <v>0</v>
      </c>
      <c r="AG364" s="3">
        <v>0</v>
      </c>
      <c r="AH364" s="3">
        <v>0</v>
      </c>
      <c r="AI364" s="5">
        <v>6e-6</v>
      </c>
      <c r="AJ364" s="3" t="s">
        <v>542</v>
      </c>
    </row>
    <row r="365" spans="1:36">
      <c r="A365" s="4">
        <v>43336</v>
      </c>
      <c r="B365" s="3" t="s">
        <v>1625</v>
      </c>
      <c r="C365" s="3" t="s">
        <v>1626</v>
      </c>
      <c r="D365" s="3" t="s">
        <v>1627</v>
      </c>
      <c r="E365" s="3" t="s">
        <v>1628</v>
      </c>
      <c r="F365" s="3" t="s">
        <v>538</v>
      </c>
      <c r="G365" s="3">
        <v>8</v>
      </c>
      <c r="H365" s="3">
        <v>0</v>
      </c>
      <c r="I365" s="3">
        <v>8</v>
      </c>
      <c r="J365" s="3">
        <v>0</v>
      </c>
      <c r="K365" s="3">
        <v>0</v>
      </c>
      <c r="L365" s="3">
        <v>0</v>
      </c>
      <c r="M365" s="3">
        <v>0</v>
      </c>
      <c r="N365" s="3" t="s">
        <v>539</v>
      </c>
      <c r="O365" s="3">
        <v>0</v>
      </c>
      <c r="P365" s="3">
        <v>0</v>
      </c>
      <c r="Q365" s="3">
        <v>0</v>
      </c>
      <c r="R365" s="3">
        <v>0</v>
      </c>
      <c r="S365" s="3">
        <v>2</v>
      </c>
      <c r="T365" s="3">
        <v>5</v>
      </c>
      <c r="U365" s="3">
        <v>7</v>
      </c>
      <c r="V365" s="3">
        <v>11</v>
      </c>
      <c r="W365" s="3"/>
      <c r="X365" s="3">
        <v>17.99</v>
      </c>
      <c r="Y365" s="3">
        <v>17.99</v>
      </c>
      <c r="Z365" s="3">
        <v>17.99</v>
      </c>
      <c r="AA365" s="3">
        <v>0</v>
      </c>
      <c r="AB365" s="3" t="s">
        <v>547</v>
      </c>
      <c r="AC365" s="3">
        <v>6</v>
      </c>
      <c r="AD365" s="3">
        <v>17.99</v>
      </c>
      <c r="AE365" s="3">
        <v>0</v>
      </c>
      <c r="AF365" s="3">
        <v>0</v>
      </c>
      <c r="AG365" s="3">
        <v>0</v>
      </c>
      <c r="AH365" s="3">
        <v>1.41935483870967</v>
      </c>
      <c r="AI365" s="3">
        <v>0.891104</v>
      </c>
      <c r="AJ365" s="3" t="s">
        <v>548</v>
      </c>
    </row>
    <row r="366" spans="1:36">
      <c r="A366" s="4">
        <v>43336</v>
      </c>
      <c r="B366" s="3" t="s">
        <v>1629</v>
      </c>
      <c r="C366" s="3" t="s">
        <v>1630</v>
      </c>
      <c r="D366" s="3" t="s">
        <v>1631</v>
      </c>
      <c r="E366" s="3" t="s">
        <v>1632</v>
      </c>
      <c r="F366" s="3" t="s">
        <v>538</v>
      </c>
      <c r="G366" s="3">
        <v>5</v>
      </c>
      <c r="H366" s="3">
        <v>0</v>
      </c>
      <c r="I366" s="3">
        <v>0</v>
      </c>
      <c r="J366" s="3">
        <v>0</v>
      </c>
      <c r="K366" s="3">
        <v>5</v>
      </c>
      <c r="L366" s="3">
        <v>0</v>
      </c>
      <c r="M366" s="3">
        <v>0</v>
      </c>
      <c r="N366" s="3" t="s">
        <v>539</v>
      </c>
      <c r="O366" s="3">
        <v>5</v>
      </c>
      <c r="P366" s="3">
        <v>0.4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 t="s">
        <v>553</v>
      </c>
      <c r="X366" s="3">
        <v>9.9</v>
      </c>
      <c r="Y366" s="3">
        <v>9.9</v>
      </c>
      <c r="Z366" s="3">
        <v>9.9</v>
      </c>
      <c r="AA366" s="3">
        <v>0</v>
      </c>
      <c r="AB366" s="3" t="s">
        <v>562</v>
      </c>
      <c r="AC366" s="3">
        <v>0</v>
      </c>
      <c r="AD366" s="3">
        <v>7.48</v>
      </c>
      <c r="AE366" s="3">
        <v>364</v>
      </c>
      <c r="AF366" s="3">
        <v>0</v>
      </c>
      <c r="AG366" s="3">
        <v>23.651575</v>
      </c>
      <c r="AH366" s="3">
        <v>0</v>
      </c>
      <c r="AI366" s="3">
        <v>0.11574</v>
      </c>
      <c r="AJ366" s="3" t="s">
        <v>548</v>
      </c>
    </row>
    <row r="367" spans="1:36">
      <c r="A367" s="4">
        <v>43336</v>
      </c>
      <c r="B367" s="3" t="s">
        <v>38</v>
      </c>
      <c r="C367" s="3" t="s">
        <v>39</v>
      </c>
      <c r="D367" s="3" t="s">
        <v>40</v>
      </c>
      <c r="E367" s="3" t="s">
        <v>19</v>
      </c>
      <c r="F367" s="3" t="s">
        <v>538</v>
      </c>
      <c r="G367" s="3">
        <v>21</v>
      </c>
      <c r="H367" s="3">
        <v>0</v>
      </c>
      <c r="I367" s="3">
        <v>21</v>
      </c>
      <c r="J367" s="3">
        <v>0</v>
      </c>
      <c r="K367" s="3">
        <v>0</v>
      </c>
      <c r="L367" s="3">
        <v>0</v>
      </c>
      <c r="M367" s="3">
        <v>0</v>
      </c>
      <c r="N367" s="3" t="s">
        <v>539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14</v>
      </c>
      <c r="U367" s="3">
        <v>20</v>
      </c>
      <c r="V367" s="3">
        <v>20</v>
      </c>
      <c r="W367" s="3"/>
      <c r="X367" s="3">
        <v>15.99</v>
      </c>
      <c r="Y367" s="3">
        <v>15.99</v>
      </c>
      <c r="Z367" s="3">
        <v>15.99</v>
      </c>
      <c r="AA367" s="3">
        <v>0</v>
      </c>
      <c r="AB367" s="3" t="s">
        <v>547</v>
      </c>
      <c r="AC367" s="3">
        <v>20</v>
      </c>
      <c r="AD367" s="3">
        <v>15.99</v>
      </c>
      <c r="AE367" s="3">
        <v>0</v>
      </c>
      <c r="AF367" s="3">
        <v>0</v>
      </c>
      <c r="AG367" s="3">
        <v>0</v>
      </c>
      <c r="AH367" s="3">
        <v>1.14285714285714</v>
      </c>
      <c r="AI367" s="3">
        <v>1.393812</v>
      </c>
      <c r="AJ367" s="3" t="s">
        <v>596</v>
      </c>
    </row>
    <row r="368" spans="1:36">
      <c r="A368" s="4">
        <v>43336</v>
      </c>
      <c r="B368" s="3" t="s">
        <v>1633</v>
      </c>
      <c r="C368" s="3" t="s">
        <v>1634</v>
      </c>
      <c r="D368" s="3" t="s">
        <v>1635</v>
      </c>
      <c r="E368" s="3" t="s">
        <v>1636</v>
      </c>
      <c r="F368" s="3" t="s">
        <v>538</v>
      </c>
      <c r="G368" s="3">
        <v>2</v>
      </c>
      <c r="H368" s="3">
        <v>0</v>
      </c>
      <c r="I368" s="3">
        <v>0</v>
      </c>
      <c r="J368" s="3">
        <v>2</v>
      </c>
      <c r="K368" s="3">
        <v>0</v>
      </c>
      <c r="L368" s="3">
        <v>0</v>
      </c>
      <c r="M368" s="3">
        <v>0</v>
      </c>
      <c r="N368" s="3" t="s">
        <v>539</v>
      </c>
      <c r="O368" s="3">
        <v>0</v>
      </c>
      <c r="P368" s="3">
        <v>0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 t="s">
        <v>540</v>
      </c>
      <c r="X368" s="3">
        <v>24.99</v>
      </c>
      <c r="Y368" s="3">
        <v>24.99</v>
      </c>
      <c r="Z368" s="3">
        <v>24.99</v>
      </c>
      <c r="AA368" s="3">
        <v>0</v>
      </c>
      <c r="AB368" s="3" t="s">
        <v>541</v>
      </c>
      <c r="AC368" s="3">
        <v>0</v>
      </c>
      <c r="AD368" s="3">
        <v>19.99</v>
      </c>
      <c r="AE368" s="3">
        <v>63</v>
      </c>
      <c r="AF368" s="3">
        <v>0</v>
      </c>
      <c r="AG368" s="3">
        <v>2.89305</v>
      </c>
      <c r="AH368" s="3">
        <v>0</v>
      </c>
      <c r="AI368" s="5">
        <v>2e-6</v>
      </c>
      <c r="AJ368" s="3" t="s">
        <v>548</v>
      </c>
    </row>
    <row r="369" spans="1:36">
      <c r="A369" s="4">
        <v>43336</v>
      </c>
      <c r="B369" s="3" t="s">
        <v>1637</v>
      </c>
      <c r="C369" s="3" t="s">
        <v>1638</v>
      </c>
      <c r="D369" s="3" t="s">
        <v>1639</v>
      </c>
      <c r="E369" s="3" t="s">
        <v>757</v>
      </c>
      <c r="F369" s="3" t="s">
        <v>538</v>
      </c>
      <c r="G369" s="3">
        <v>6</v>
      </c>
      <c r="H369" s="3">
        <v>0</v>
      </c>
      <c r="I369" s="3">
        <v>6</v>
      </c>
      <c r="J369" s="3">
        <v>0</v>
      </c>
      <c r="K369" s="3">
        <v>0</v>
      </c>
      <c r="L369" s="3">
        <v>0</v>
      </c>
      <c r="M369" s="3">
        <v>0</v>
      </c>
      <c r="N369" s="3" t="s">
        <v>539</v>
      </c>
      <c r="O369" s="3">
        <v>0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 t="s">
        <v>540</v>
      </c>
      <c r="X369" s="3">
        <v>19.99</v>
      </c>
      <c r="Y369" s="3">
        <v>19.99</v>
      </c>
      <c r="Z369" s="3">
        <v>19.99</v>
      </c>
      <c r="AA369" s="3">
        <v>0</v>
      </c>
      <c r="AB369" s="3" t="s">
        <v>541</v>
      </c>
      <c r="AC369" s="3">
        <v>0</v>
      </c>
      <c r="AD369" s="3">
        <v>0</v>
      </c>
      <c r="AE369" s="3">
        <v>0</v>
      </c>
      <c r="AF369" s="3">
        <v>0</v>
      </c>
      <c r="AG369" s="3">
        <v>0</v>
      </c>
      <c r="AH369" s="3">
        <v>0</v>
      </c>
      <c r="AI369" s="3">
        <v>0.920388</v>
      </c>
      <c r="AJ369" s="3" t="s">
        <v>542</v>
      </c>
    </row>
    <row r="370" spans="1:36">
      <c r="A370" s="4">
        <v>43336</v>
      </c>
      <c r="B370" s="3" t="s">
        <v>1640</v>
      </c>
      <c r="C370" s="3" t="s">
        <v>1641</v>
      </c>
      <c r="D370" s="3" t="s">
        <v>1642</v>
      </c>
      <c r="E370" s="3" t="s">
        <v>1643</v>
      </c>
      <c r="F370" s="3" t="s">
        <v>538</v>
      </c>
      <c r="G370" s="3">
        <v>3</v>
      </c>
      <c r="H370" s="3">
        <v>0</v>
      </c>
      <c r="I370" s="3">
        <v>3</v>
      </c>
      <c r="J370" s="3">
        <v>0</v>
      </c>
      <c r="K370" s="3">
        <v>0</v>
      </c>
      <c r="L370" s="3">
        <v>0</v>
      </c>
      <c r="M370" s="3">
        <v>0</v>
      </c>
      <c r="N370" s="3" t="s">
        <v>539</v>
      </c>
      <c r="O370" s="3">
        <v>0</v>
      </c>
      <c r="P370" s="3">
        <v>0</v>
      </c>
      <c r="Q370" s="3">
        <v>0</v>
      </c>
      <c r="R370" s="3">
        <v>0</v>
      </c>
      <c r="S370" s="3">
        <v>1</v>
      </c>
      <c r="T370" s="3">
        <v>5</v>
      </c>
      <c r="U370" s="3">
        <v>6</v>
      </c>
      <c r="V370" s="3">
        <v>6</v>
      </c>
      <c r="W370" s="3"/>
      <c r="X370" s="3">
        <v>26.99</v>
      </c>
      <c r="Y370" s="3">
        <v>26.99</v>
      </c>
      <c r="Z370" s="3">
        <v>26.99</v>
      </c>
      <c r="AA370" s="3">
        <v>0</v>
      </c>
      <c r="AB370" s="3" t="s">
        <v>547</v>
      </c>
      <c r="AC370" s="3">
        <v>3</v>
      </c>
      <c r="AD370" s="3">
        <v>26.99</v>
      </c>
      <c r="AE370" s="3">
        <v>0</v>
      </c>
      <c r="AF370" s="3">
        <v>0</v>
      </c>
      <c r="AG370" s="3">
        <v>0</v>
      </c>
      <c r="AH370" s="3">
        <v>1</v>
      </c>
      <c r="AI370" s="3">
        <v>0.369174</v>
      </c>
      <c r="AJ370" s="3" t="s">
        <v>548</v>
      </c>
    </row>
    <row r="371" spans="1:36">
      <c r="A371" s="4">
        <v>43336</v>
      </c>
      <c r="B371" s="3" t="s">
        <v>1644</v>
      </c>
      <c r="C371" s="3" t="s">
        <v>1645</v>
      </c>
      <c r="D371" s="3" t="s">
        <v>1646</v>
      </c>
      <c r="E371" s="3" t="s">
        <v>1647</v>
      </c>
      <c r="F371" s="3" t="s">
        <v>538</v>
      </c>
      <c r="G371" s="3">
        <v>3</v>
      </c>
      <c r="H371" s="3">
        <v>0</v>
      </c>
      <c r="I371" s="3">
        <v>3</v>
      </c>
      <c r="J371" s="3">
        <v>0</v>
      </c>
      <c r="K371" s="3">
        <v>0</v>
      </c>
      <c r="L371" s="3">
        <v>0</v>
      </c>
      <c r="M371" s="3">
        <v>0</v>
      </c>
      <c r="N371" s="3" t="s">
        <v>539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4</v>
      </c>
      <c r="U371" s="3">
        <v>4</v>
      </c>
      <c r="V371" s="3">
        <v>5</v>
      </c>
      <c r="W371" s="3"/>
      <c r="X371" s="3">
        <v>10</v>
      </c>
      <c r="Y371" s="3">
        <v>10</v>
      </c>
      <c r="Z371" s="3">
        <v>10</v>
      </c>
      <c r="AA371" s="3">
        <v>0</v>
      </c>
      <c r="AB371" s="3" t="s">
        <v>547</v>
      </c>
      <c r="AC371" s="3">
        <v>3</v>
      </c>
      <c r="AD371" s="3">
        <v>10</v>
      </c>
      <c r="AE371" s="3">
        <v>0</v>
      </c>
      <c r="AF371" s="3">
        <v>0</v>
      </c>
      <c r="AG371" s="3">
        <v>0</v>
      </c>
      <c r="AH371" s="3">
        <v>1</v>
      </c>
      <c r="AI371" s="3">
        <v>0.174453</v>
      </c>
      <c r="AJ371" s="3" t="s">
        <v>596</v>
      </c>
    </row>
    <row r="372" spans="1:36">
      <c r="A372" s="4">
        <v>43336</v>
      </c>
      <c r="B372" s="3" t="s">
        <v>1648</v>
      </c>
      <c r="C372" s="3" t="s">
        <v>1649</v>
      </c>
      <c r="D372" s="3" t="s">
        <v>1650</v>
      </c>
      <c r="E372" s="3" t="s">
        <v>1651</v>
      </c>
      <c r="F372" s="3" t="s">
        <v>538</v>
      </c>
      <c r="G372" s="3">
        <v>7</v>
      </c>
      <c r="H372" s="3">
        <v>0</v>
      </c>
      <c r="I372" s="3">
        <v>6</v>
      </c>
      <c r="J372" s="3">
        <v>1</v>
      </c>
      <c r="K372" s="3">
        <v>0</v>
      </c>
      <c r="L372" s="3">
        <v>0</v>
      </c>
      <c r="M372" s="3">
        <v>0</v>
      </c>
      <c r="N372" s="3" t="s">
        <v>539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1</v>
      </c>
      <c r="U372" s="3">
        <v>2</v>
      </c>
      <c r="V372" s="3">
        <v>2</v>
      </c>
      <c r="W372" s="3"/>
      <c r="X372" s="3">
        <v>36.99</v>
      </c>
      <c r="Y372" s="3">
        <v>36.99</v>
      </c>
      <c r="Z372" s="3">
        <v>36.99</v>
      </c>
      <c r="AA372" s="3">
        <v>0</v>
      </c>
      <c r="AB372" s="3" t="s">
        <v>562</v>
      </c>
      <c r="AC372" s="3">
        <v>0</v>
      </c>
      <c r="AD372" s="3">
        <v>31.35</v>
      </c>
      <c r="AE372" s="3">
        <v>336</v>
      </c>
      <c r="AF372" s="3">
        <v>0</v>
      </c>
      <c r="AG372" s="3">
        <v>264.214246</v>
      </c>
      <c r="AH372" s="3">
        <v>0.296296296296296</v>
      </c>
      <c r="AI372" s="3">
        <v>1.287748</v>
      </c>
      <c r="AJ372" s="3" t="s">
        <v>548</v>
      </c>
    </row>
    <row r="373" spans="1:36">
      <c r="A373" s="4">
        <v>43336</v>
      </c>
      <c r="B373" s="3" t="s">
        <v>1652</v>
      </c>
      <c r="C373" s="3" t="s">
        <v>1653</v>
      </c>
      <c r="D373" s="3" t="s">
        <v>1654</v>
      </c>
      <c r="E373" s="3" t="s">
        <v>19</v>
      </c>
      <c r="F373" s="3" t="s">
        <v>538</v>
      </c>
      <c r="G373" s="3">
        <v>25</v>
      </c>
      <c r="H373" s="3">
        <v>0</v>
      </c>
      <c r="I373" s="3">
        <v>25</v>
      </c>
      <c r="J373" s="3">
        <v>0</v>
      </c>
      <c r="K373" s="3">
        <v>0</v>
      </c>
      <c r="L373" s="3">
        <v>0</v>
      </c>
      <c r="M373" s="3">
        <v>0</v>
      </c>
      <c r="N373" s="3" t="s">
        <v>539</v>
      </c>
      <c r="O373" s="3">
        <v>0</v>
      </c>
      <c r="P373" s="3">
        <v>0</v>
      </c>
      <c r="Q373" s="3">
        <v>0</v>
      </c>
      <c r="R373" s="3">
        <v>0</v>
      </c>
      <c r="S373" s="3">
        <v>5</v>
      </c>
      <c r="T373" s="3">
        <v>17</v>
      </c>
      <c r="U373" s="3">
        <v>25</v>
      </c>
      <c r="V373" s="3">
        <v>30</v>
      </c>
      <c r="W373" s="3"/>
      <c r="X373" s="3">
        <v>20.99</v>
      </c>
      <c r="Y373" s="3">
        <v>15.99</v>
      </c>
      <c r="Z373" s="3">
        <v>15.99</v>
      </c>
      <c r="AA373" s="3">
        <v>0</v>
      </c>
      <c r="AB373" s="3" t="s">
        <v>547</v>
      </c>
      <c r="AC373" s="3">
        <v>28</v>
      </c>
      <c r="AD373" s="3">
        <v>15.99</v>
      </c>
      <c r="AE373" s="3">
        <v>0</v>
      </c>
      <c r="AF373" s="3">
        <v>0</v>
      </c>
      <c r="AG373" s="3">
        <v>0</v>
      </c>
      <c r="AH373" s="3">
        <v>2.26415094339622</v>
      </c>
      <c r="AI373" s="3">
        <v>1.6593</v>
      </c>
      <c r="AJ373" s="3" t="s">
        <v>596</v>
      </c>
    </row>
    <row r="374" spans="1:36">
      <c r="A374" s="4">
        <v>43336</v>
      </c>
      <c r="B374" s="3" t="s">
        <v>1655</v>
      </c>
      <c r="C374" s="3" t="s">
        <v>1656</v>
      </c>
      <c r="D374" s="3" t="s">
        <v>1657</v>
      </c>
      <c r="E374" s="3" t="s">
        <v>552</v>
      </c>
      <c r="F374" s="3" t="s">
        <v>538</v>
      </c>
      <c r="G374" s="3">
        <v>3</v>
      </c>
      <c r="H374" s="3">
        <v>0</v>
      </c>
      <c r="I374" s="3">
        <v>3</v>
      </c>
      <c r="J374" s="3">
        <v>0</v>
      </c>
      <c r="K374" s="3">
        <v>0</v>
      </c>
      <c r="L374" s="3">
        <v>0</v>
      </c>
      <c r="M374" s="3">
        <v>0</v>
      </c>
      <c r="N374" s="3" t="s">
        <v>539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 t="s">
        <v>553</v>
      </c>
      <c r="X374" s="3">
        <v>31.9</v>
      </c>
      <c r="Y374" s="3">
        <v>31.9</v>
      </c>
      <c r="Z374" s="3">
        <v>31.9</v>
      </c>
      <c r="AA374" s="3">
        <v>0</v>
      </c>
      <c r="AB374" s="3" t="s">
        <v>547</v>
      </c>
      <c r="AC374" s="3">
        <v>3</v>
      </c>
      <c r="AD374" s="3">
        <v>31.9</v>
      </c>
      <c r="AE374" s="3">
        <v>0</v>
      </c>
      <c r="AF374" s="3">
        <v>0</v>
      </c>
      <c r="AG374" s="3">
        <v>0</v>
      </c>
      <c r="AH374" s="3">
        <v>0</v>
      </c>
      <c r="AI374" s="3">
        <v>0.558621</v>
      </c>
      <c r="AJ374" s="3" t="s">
        <v>548</v>
      </c>
    </row>
    <row r="375" spans="1:36">
      <c r="A375" s="4">
        <v>43336</v>
      </c>
      <c r="B375" s="3" t="s">
        <v>139</v>
      </c>
      <c r="C375" s="3" t="s">
        <v>140</v>
      </c>
      <c r="D375" s="3" t="s">
        <v>141</v>
      </c>
      <c r="E375" s="3" t="s">
        <v>142</v>
      </c>
      <c r="F375" s="3" t="s">
        <v>538</v>
      </c>
      <c r="G375" s="3">
        <v>113</v>
      </c>
      <c r="H375" s="3">
        <v>0</v>
      </c>
      <c r="I375" s="3">
        <v>113</v>
      </c>
      <c r="J375" s="3">
        <v>0</v>
      </c>
      <c r="K375" s="3">
        <v>0</v>
      </c>
      <c r="L375" s="3">
        <v>0</v>
      </c>
      <c r="M375" s="3">
        <v>0</v>
      </c>
      <c r="N375" s="3" t="s">
        <v>539</v>
      </c>
      <c r="O375" s="3">
        <v>0</v>
      </c>
      <c r="P375" s="3">
        <v>0</v>
      </c>
      <c r="Q375" s="3">
        <v>0</v>
      </c>
      <c r="R375" s="3">
        <v>0</v>
      </c>
      <c r="S375" s="3">
        <v>9</v>
      </c>
      <c r="T375" s="3">
        <v>94</v>
      </c>
      <c r="U375" s="3">
        <v>140</v>
      </c>
      <c r="V375" s="3">
        <v>188</v>
      </c>
      <c r="W375" s="3"/>
      <c r="X375" s="3">
        <v>22.99</v>
      </c>
      <c r="Y375" s="3">
        <v>22.99</v>
      </c>
      <c r="Z375" s="3">
        <v>22.99</v>
      </c>
      <c r="AA375" s="3">
        <v>0</v>
      </c>
      <c r="AB375" s="3" t="s">
        <v>547</v>
      </c>
      <c r="AC375" s="3">
        <v>0</v>
      </c>
      <c r="AD375" s="3">
        <v>0</v>
      </c>
      <c r="AE375" s="3">
        <v>0</v>
      </c>
      <c r="AF375" s="3">
        <v>0</v>
      </c>
      <c r="AG375" s="3">
        <v>0</v>
      </c>
      <c r="AH375" s="3">
        <v>6.59649122807017</v>
      </c>
      <c r="AI375" s="3">
        <v>3.547635</v>
      </c>
      <c r="AJ375" s="3" t="s">
        <v>596</v>
      </c>
    </row>
    <row r="376" spans="1:36">
      <c r="A376" s="4">
        <v>43336</v>
      </c>
      <c r="B376" s="3" t="s">
        <v>1658</v>
      </c>
      <c r="C376" s="3" t="s">
        <v>1659</v>
      </c>
      <c r="D376" s="3" t="s">
        <v>1660</v>
      </c>
      <c r="E376" s="3" t="s">
        <v>1661</v>
      </c>
      <c r="F376" s="3" t="s">
        <v>538</v>
      </c>
      <c r="G376" s="3">
        <v>18</v>
      </c>
      <c r="H376" s="3">
        <v>0</v>
      </c>
      <c r="I376" s="3">
        <v>0</v>
      </c>
      <c r="J376" s="3">
        <v>0</v>
      </c>
      <c r="K376" s="3">
        <v>18</v>
      </c>
      <c r="L376" s="3">
        <v>0</v>
      </c>
      <c r="M376" s="3">
        <v>0</v>
      </c>
      <c r="N376" s="3" t="s">
        <v>539</v>
      </c>
      <c r="O376" s="3">
        <v>18</v>
      </c>
      <c r="P376" s="3">
        <v>2.38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 t="s">
        <v>553</v>
      </c>
      <c r="X376" s="3">
        <v>9.9</v>
      </c>
      <c r="Y376" s="3">
        <v>9.9</v>
      </c>
      <c r="Z376" s="3">
        <v>9.9</v>
      </c>
      <c r="AA376" s="3">
        <v>0</v>
      </c>
      <c r="AB376" s="3" t="s">
        <v>562</v>
      </c>
      <c r="AC376" s="3">
        <v>0</v>
      </c>
      <c r="AD376" s="3">
        <v>8.38</v>
      </c>
      <c r="AE376" s="3">
        <v>343</v>
      </c>
      <c r="AF376" s="3">
        <v>16</v>
      </c>
      <c r="AG376" s="3">
        <v>106.903909</v>
      </c>
      <c r="AH376" s="3">
        <v>0</v>
      </c>
      <c r="AI376" s="3">
        <v>0.696636</v>
      </c>
      <c r="AJ376" s="3" t="s">
        <v>548</v>
      </c>
    </row>
    <row r="377" spans="1:36">
      <c r="A377" s="4">
        <v>43336</v>
      </c>
      <c r="B377" s="3" t="s">
        <v>1662</v>
      </c>
      <c r="C377" s="3" t="s">
        <v>1663</v>
      </c>
      <c r="D377" s="3" t="s">
        <v>1664</v>
      </c>
      <c r="E377" s="3" t="s">
        <v>537</v>
      </c>
      <c r="F377" s="3" t="s">
        <v>538</v>
      </c>
      <c r="G377" s="3">
        <v>6</v>
      </c>
      <c r="H377" s="3">
        <v>0</v>
      </c>
      <c r="I377" s="3">
        <v>6</v>
      </c>
      <c r="J377" s="3">
        <v>0</v>
      </c>
      <c r="K377" s="3">
        <v>0</v>
      </c>
      <c r="L377" s="3">
        <v>0</v>
      </c>
      <c r="M377" s="3">
        <v>0</v>
      </c>
      <c r="N377" s="3" t="s">
        <v>539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 t="s">
        <v>540</v>
      </c>
      <c r="X377" s="3">
        <v>22.99</v>
      </c>
      <c r="Y377" s="3">
        <v>22.99</v>
      </c>
      <c r="Z377" s="3">
        <v>22.99</v>
      </c>
      <c r="AA377" s="3">
        <v>0</v>
      </c>
      <c r="AB377" s="3" t="s">
        <v>541</v>
      </c>
      <c r="AC377" s="3">
        <v>0</v>
      </c>
      <c r="AD377" s="3">
        <v>17.59</v>
      </c>
      <c r="AE377" s="3">
        <v>63</v>
      </c>
      <c r="AF377" s="3">
        <v>0</v>
      </c>
      <c r="AG377" s="3">
        <v>7.637253</v>
      </c>
      <c r="AH377" s="3">
        <v>0</v>
      </c>
      <c r="AI377" s="3">
        <v>1.297632</v>
      </c>
      <c r="AJ377" s="3" t="s">
        <v>542</v>
      </c>
    </row>
    <row r="378" spans="1:36">
      <c r="A378" s="4">
        <v>43336</v>
      </c>
      <c r="B378" s="3" t="s">
        <v>459</v>
      </c>
      <c r="C378" s="3" t="s">
        <v>460</v>
      </c>
      <c r="D378" s="3" t="s">
        <v>461</v>
      </c>
      <c r="E378" s="3" t="s">
        <v>462</v>
      </c>
      <c r="F378" s="3" t="s">
        <v>538</v>
      </c>
      <c r="G378" s="3">
        <v>8</v>
      </c>
      <c r="H378" s="3">
        <v>0</v>
      </c>
      <c r="I378" s="3">
        <v>8</v>
      </c>
      <c r="J378" s="3">
        <v>0</v>
      </c>
      <c r="K378" s="3">
        <v>0</v>
      </c>
      <c r="L378" s="3">
        <v>0</v>
      </c>
      <c r="M378" s="3">
        <v>0</v>
      </c>
      <c r="N378" s="3" t="s">
        <v>539</v>
      </c>
      <c r="O378" s="3">
        <v>0</v>
      </c>
      <c r="P378" s="3">
        <v>0</v>
      </c>
      <c r="Q378" s="3">
        <v>0</v>
      </c>
      <c r="R378" s="3">
        <v>0</v>
      </c>
      <c r="S378" s="3">
        <v>4</v>
      </c>
      <c r="T378" s="3">
        <v>14</v>
      </c>
      <c r="U378" s="3">
        <v>26</v>
      </c>
      <c r="V378" s="3">
        <v>32</v>
      </c>
      <c r="W378" s="3"/>
      <c r="X378" s="3">
        <v>9.99</v>
      </c>
      <c r="Y378" s="3">
        <v>9.99</v>
      </c>
      <c r="Z378" s="3">
        <v>9.99</v>
      </c>
      <c r="AA378" s="3">
        <v>0</v>
      </c>
      <c r="AB378" s="3" t="s">
        <v>547</v>
      </c>
      <c r="AC378" s="3">
        <v>0</v>
      </c>
      <c r="AD378" s="3">
        <v>0</v>
      </c>
      <c r="AE378" s="3">
        <v>0</v>
      </c>
      <c r="AF378" s="3">
        <v>0</v>
      </c>
      <c r="AG378" s="3">
        <v>0</v>
      </c>
      <c r="AH378" s="3">
        <v>10.6666666666666</v>
      </c>
      <c r="AI378" s="3">
        <v>0.406096</v>
      </c>
      <c r="AJ378" s="3" t="s">
        <v>548</v>
      </c>
    </row>
    <row r="379" spans="1:36">
      <c r="A379" s="4">
        <v>43336</v>
      </c>
      <c r="B379" s="3" t="s">
        <v>1665</v>
      </c>
      <c r="C379" s="3" t="s">
        <v>1666</v>
      </c>
      <c r="D379" s="3" t="s">
        <v>1667</v>
      </c>
      <c r="E379" s="3" t="s">
        <v>570</v>
      </c>
      <c r="F379" s="3" t="s">
        <v>538</v>
      </c>
      <c r="G379" s="3">
        <v>11</v>
      </c>
      <c r="H379" s="3">
        <v>0</v>
      </c>
      <c r="I379" s="3">
        <v>11</v>
      </c>
      <c r="J379" s="3">
        <v>0</v>
      </c>
      <c r="K379" s="3">
        <v>0</v>
      </c>
      <c r="L379" s="3">
        <v>0</v>
      </c>
      <c r="M379" s="3">
        <v>0</v>
      </c>
      <c r="N379" s="3" t="s">
        <v>539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3</v>
      </c>
      <c r="U379" s="3">
        <v>5</v>
      </c>
      <c r="V379" s="3">
        <v>5</v>
      </c>
      <c r="W379" s="3"/>
      <c r="X379" s="3">
        <v>9</v>
      </c>
      <c r="Y379" s="3">
        <v>9</v>
      </c>
      <c r="Z379" s="3">
        <v>9</v>
      </c>
      <c r="AA379" s="3">
        <v>0</v>
      </c>
      <c r="AB379" s="3" t="s">
        <v>547</v>
      </c>
      <c r="AC379" s="3">
        <v>11</v>
      </c>
      <c r="AD379" s="3">
        <v>9</v>
      </c>
      <c r="AE379" s="3">
        <v>0</v>
      </c>
      <c r="AF379" s="3">
        <v>0</v>
      </c>
      <c r="AG379" s="3">
        <v>0</v>
      </c>
      <c r="AH379" s="3">
        <v>0.833333333333333</v>
      </c>
      <c r="AI379" s="3">
        <v>0.304216</v>
      </c>
      <c r="AJ379" s="3" t="s">
        <v>542</v>
      </c>
    </row>
    <row r="380" spans="1:36">
      <c r="A380" s="4">
        <v>43336</v>
      </c>
      <c r="B380" s="3" t="s">
        <v>1668</v>
      </c>
      <c r="C380" s="3" t="s">
        <v>1669</v>
      </c>
      <c r="D380" s="3" t="s">
        <v>1670</v>
      </c>
      <c r="E380" s="3" t="s">
        <v>552</v>
      </c>
      <c r="F380" s="3" t="s">
        <v>538</v>
      </c>
      <c r="G380" s="3">
        <v>2</v>
      </c>
      <c r="H380" s="3">
        <v>0</v>
      </c>
      <c r="I380" s="3">
        <v>2</v>
      </c>
      <c r="J380" s="3">
        <v>0</v>
      </c>
      <c r="K380" s="3">
        <v>0</v>
      </c>
      <c r="L380" s="3">
        <v>0</v>
      </c>
      <c r="M380" s="3">
        <v>0</v>
      </c>
      <c r="N380" s="3" t="s">
        <v>539</v>
      </c>
      <c r="O380" s="3">
        <v>0</v>
      </c>
      <c r="P380" s="3">
        <v>0</v>
      </c>
      <c r="Q380" s="3">
        <v>0</v>
      </c>
      <c r="R380" s="3">
        <v>0</v>
      </c>
      <c r="S380" s="3">
        <v>1</v>
      </c>
      <c r="T380" s="3">
        <v>1</v>
      </c>
      <c r="U380" s="3">
        <v>1</v>
      </c>
      <c r="V380" s="3">
        <v>1</v>
      </c>
      <c r="W380" s="3"/>
      <c r="X380" s="3">
        <v>48.9</v>
      </c>
      <c r="Y380" s="3">
        <v>48.9</v>
      </c>
      <c r="Z380" s="3">
        <v>48.9</v>
      </c>
      <c r="AA380" s="3">
        <v>0</v>
      </c>
      <c r="AB380" s="3" t="s">
        <v>562</v>
      </c>
      <c r="AC380" s="3">
        <v>0</v>
      </c>
      <c r="AD380" s="3">
        <v>39.12</v>
      </c>
      <c r="AE380" s="3">
        <v>63</v>
      </c>
      <c r="AF380" s="3">
        <v>0</v>
      </c>
      <c r="AG380" s="3">
        <v>62.558155</v>
      </c>
      <c r="AH380" s="3">
        <v>0.8</v>
      </c>
      <c r="AI380" s="3">
        <v>0.454924</v>
      </c>
      <c r="AJ380" s="3" t="s">
        <v>548</v>
      </c>
    </row>
    <row r="381" spans="1:36">
      <c r="A381" s="4">
        <v>43336</v>
      </c>
      <c r="B381" s="3" t="s">
        <v>111</v>
      </c>
      <c r="C381" s="3" t="s">
        <v>112</v>
      </c>
      <c r="D381" s="3" t="s">
        <v>113</v>
      </c>
      <c r="E381" s="3" t="s">
        <v>114</v>
      </c>
      <c r="F381" s="3" t="s">
        <v>538</v>
      </c>
      <c r="G381" s="3">
        <v>29</v>
      </c>
      <c r="H381" s="3">
        <v>0</v>
      </c>
      <c r="I381" s="3">
        <v>29</v>
      </c>
      <c r="J381" s="3">
        <v>0</v>
      </c>
      <c r="K381" s="3">
        <v>0</v>
      </c>
      <c r="L381" s="3">
        <v>0</v>
      </c>
      <c r="M381" s="3">
        <v>0</v>
      </c>
      <c r="N381" s="3" t="s">
        <v>539</v>
      </c>
      <c r="O381" s="3">
        <v>0</v>
      </c>
      <c r="P381" s="3">
        <v>0</v>
      </c>
      <c r="Q381" s="3">
        <v>0</v>
      </c>
      <c r="R381" s="3">
        <v>0</v>
      </c>
      <c r="S381" s="3">
        <v>1</v>
      </c>
      <c r="T381" s="3">
        <v>29</v>
      </c>
      <c r="U381" s="3">
        <v>53</v>
      </c>
      <c r="V381" s="3">
        <v>79</v>
      </c>
      <c r="W381" s="3"/>
      <c r="X381" s="3">
        <v>19.99</v>
      </c>
      <c r="Y381" s="3">
        <v>19.99</v>
      </c>
      <c r="Z381" s="3">
        <v>19.99</v>
      </c>
      <c r="AA381" s="3">
        <v>0</v>
      </c>
      <c r="AB381" s="3" t="s">
        <v>547</v>
      </c>
      <c r="AC381" s="3">
        <v>29</v>
      </c>
      <c r="AD381" s="3">
        <v>19.99</v>
      </c>
      <c r="AE381" s="3">
        <v>0</v>
      </c>
      <c r="AF381" s="3">
        <v>0</v>
      </c>
      <c r="AG381" s="3">
        <v>0</v>
      </c>
      <c r="AH381" s="3">
        <v>2.17931034482758</v>
      </c>
      <c r="AI381" s="3">
        <v>0.708209</v>
      </c>
      <c r="AJ381" s="3" t="s">
        <v>548</v>
      </c>
    </row>
    <row r="382" spans="1:36">
      <c r="A382" s="4">
        <v>43336</v>
      </c>
      <c r="B382" s="3" t="s">
        <v>1671</v>
      </c>
      <c r="C382" s="3" t="s">
        <v>1672</v>
      </c>
      <c r="D382" s="3" t="s">
        <v>1673</v>
      </c>
      <c r="E382" s="3" t="s">
        <v>482</v>
      </c>
      <c r="F382" s="3" t="s">
        <v>538</v>
      </c>
      <c r="G382" s="3">
        <v>9</v>
      </c>
      <c r="H382" s="3">
        <v>0</v>
      </c>
      <c r="I382" s="3">
        <v>9</v>
      </c>
      <c r="J382" s="3">
        <v>0</v>
      </c>
      <c r="K382" s="3">
        <v>0</v>
      </c>
      <c r="L382" s="3">
        <v>0</v>
      </c>
      <c r="M382" s="3">
        <v>0</v>
      </c>
      <c r="N382" s="3" t="s">
        <v>539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1</v>
      </c>
      <c r="V382" s="3">
        <v>1</v>
      </c>
      <c r="W382" s="3" t="s">
        <v>553</v>
      </c>
      <c r="X382" s="3">
        <v>13.99</v>
      </c>
      <c r="Y382" s="3">
        <v>13.99</v>
      </c>
      <c r="Z382" s="3">
        <v>13.99</v>
      </c>
      <c r="AA382" s="3">
        <v>0</v>
      </c>
      <c r="AB382" s="3" t="s">
        <v>562</v>
      </c>
      <c r="AC382" s="3">
        <v>0</v>
      </c>
      <c r="AD382" s="3">
        <v>11.99</v>
      </c>
      <c r="AE382" s="3">
        <v>364</v>
      </c>
      <c r="AF382" s="3">
        <v>0</v>
      </c>
      <c r="AG382" s="3">
        <v>92.717917</v>
      </c>
      <c r="AH382" s="3">
        <v>0.142857142857142</v>
      </c>
      <c r="AI382" s="3">
        <v>0.663939</v>
      </c>
      <c r="AJ382" s="3" t="s">
        <v>596</v>
      </c>
    </row>
    <row r="383" spans="1:36">
      <c r="A383" s="4">
        <v>43336</v>
      </c>
      <c r="B383" s="3" t="s">
        <v>1674</v>
      </c>
      <c r="C383" s="3" t="s">
        <v>1675</v>
      </c>
      <c r="D383" s="3" t="s">
        <v>1676</v>
      </c>
      <c r="E383" s="3" t="s">
        <v>1677</v>
      </c>
      <c r="F383" s="3" t="s">
        <v>538</v>
      </c>
      <c r="G383" s="3">
        <v>3</v>
      </c>
      <c r="H383" s="3">
        <v>0</v>
      </c>
      <c r="I383" s="3">
        <v>0</v>
      </c>
      <c r="J383" s="3">
        <v>1</v>
      </c>
      <c r="K383" s="3">
        <v>2</v>
      </c>
      <c r="L383" s="3">
        <v>0</v>
      </c>
      <c r="M383" s="3">
        <v>0</v>
      </c>
      <c r="N383" s="3" t="s">
        <v>539</v>
      </c>
      <c r="O383" s="3">
        <v>2</v>
      </c>
      <c r="P383" s="3">
        <v>0.72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 t="s">
        <v>540</v>
      </c>
      <c r="X383" s="3">
        <v>23.99</v>
      </c>
      <c r="Y383" s="3">
        <v>23.99</v>
      </c>
      <c r="Z383" s="3">
        <v>23.99</v>
      </c>
      <c r="AA383" s="3">
        <v>0</v>
      </c>
      <c r="AB383" s="3" t="s">
        <v>541</v>
      </c>
      <c r="AC383" s="3">
        <v>0</v>
      </c>
      <c r="AD383" s="3">
        <v>22.27</v>
      </c>
      <c r="AE383" s="3">
        <v>98</v>
      </c>
      <c r="AF383" s="3">
        <v>0</v>
      </c>
      <c r="AG383" s="3">
        <v>75.592508</v>
      </c>
      <c r="AH383" s="3">
        <v>0</v>
      </c>
      <c r="AI383" s="3">
        <v>0.312195</v>
      </c>
      <c r="AJ383" s="3" t="s">
        <v>548</v>
      </c>
    </row>
    <row r="384" spans="1:36">
      <c r="A384" s="4">
        <v>43336</v>
      </c>
      <c r="B384" s="3" t="s">
        <v>26</v>
      </c>
      <c r="C384" s="3" t="s">
        <v>27</v>
      </c>
      <c r="D384" s="3" t="s">
        <v>28</v>
      </c>
      <c r="E384" s="3" t="s">
        <v>19</v>
      </c>
      <c r="F384" s="3" t="s">
        <v>538</v>
      </c>
      <c r="G384" s="3">
        <v>29</v>
      </c>
      <c r="H384" s="3">
        <v>0</v>
      </c>
      <c r="I384" s="3">
        <v>29</v>
      </c>
      <c r="J384" s="3">
        <v>0</v>
      </c>
      <c r="K384" s="3">
        <v>0</v>
      </c>
      <c r="L384" s="3">
        <v>0</v>
      </c>
      <c r="M384" s="3">
        <v>0</v>
      </c>
      <c r="N384" s="3" t="s">
        <v>539</v>
      </c>
      <c r="O384" s="3">
        <v>0</v>
      </c>
      <c r="P384" s="3">
        <v>0</v>
      </c>
      <c r="Q384" s="3">
        <v>0</v>
      </c>
      <c r="R384" s="3">
        <v>0</v>
      </c>
      <c r="S384" s="3">
        <v>2</v>
      </c>
      <c r="T384" s="3">
        <v>11</v>
      </c>
      <c r="U384" s="3">
        <v>15</v>
      </c>
      <c r="V384" s="3">
        <v>18</v>
      </c>
      <c r="W384" s="3"/>
      <c r="X384" s="3">
        <v>20.99</v>
      </c>
      <c r="Y384" s="3">
        <v>15.99</v>
      </c>
      <c r="Z384" s="3">
        <v>15.99</v>
      </c>
      <c r="AA384" s="3">
        <v>0</v>
      </c>
      <c r="AB384" s="3" t="s">
        <v>547</v>
      </c>
      <c r="AC384" s="3">
        <v>23</v>
      </c>
      <c r="AD384" s="3">
        <v>15.99</v>
      </c>
      <c r="AE384" s="3">
        <v>0</v>
      </c>
      <c r="AF384" s="3">
        <v>0</v>
      </c>
      <c r="AG384" s="3">
        <v>0</v>
      </c>
      <c r="AH384" s="3">
        <v>1.89473684210526</v>
      </c>
      <c r="AI384" s="3">
        <v>1.924788</v>
      </c>
      <c r="AJ384" s="3" t="s">
        <v>596</v>
      </c>
    </row>
    <row r="385" spans="1:36">
      <c r="A385" s="4">
        <v>43336</v>
      </c>
      <c r="B385" s="3" t="s">
        <v>1678</v>
      </c>
      <c r="C385" s="3" t="s">
        <v>1679</v>
      </c>
      <c r="D385" s="3" t="s">
        <v>1680</v>
      </c>
      <c r="E385" s="3" t="s">
        <v>1681</v>
      </c>
      <c r="F385" s="3" t="s">
        <v>538</v>
      </c>
      <c r="G385" s="3">
        <v>12</v>
      </c>
      <c r="H385" s="3">
        <v>0</v>
      </c>
      <c r="I385" s="3">
        <v>5</v>
      </c>
      <c r="J385" s="3">
        <v>7</v>
      </c>
      <c r="K385" s="3">
        <v>0</v>
      </c>
      <c r="L385" s="3">
        <v>0</v>
      </c>
      <c r="M385" s="3">
        <v>0</v>
      </c>
      <c r="N385" s="3" t="s">
        <v>539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1</v>
      </c>
      <c r="U385" s="3">
        <v>2</v>
      </c>
      <c r="V385" s="3">
        <v>3</v>
      </c>
      <c r="W385" s="3"/>
      <c r="X385" s="3">
        <v>39.99</v>
      </c>
      <c r="Y385" s="3">
        <v>39.99</v>
      </c>
      <c r="Z385" s="3">
        <v>39.99</v>
      </c>
      <c r="AA385" s="3">
        <v>0</v>
      </c>
      <c r="AB385" s="3" t="s">
        <v>562</v>
      </c>
      <c r="AC385" s="3">
        <v>7</v>
      </c>
      <c r="AD385" s="3">
        <v>36.41</v>
      </c>
      <c r="AE385" s="3">
        <v>168</v>
      </c>
      <c r="AF385" s="3">
        <v>0</v>
      </c>
      <c r="AG385" s="3">
        <v>2.610856</v>
      </c>
      <c r="AH385" s="3">
        <v>0.244897959183673</v>
      </c>
      <c r="AI385" s="3">
        <v>2.592876</v>
      </c>
      <c r="AJ385" s="3" t="s">
        <v>548</v>
      </c>
    </row>
    <row r="386" spans="1:36">
      <c r="A386" s="4">
        <v>43336</v>
      </c>
      <c r="B386" s="3" t="s">
        <v>1682</v>
      </c>
      <c r="C386" s="3" t="s">
        <v>1683</v>
      </c>
      <c r="D386" s="3" t="s">
        <v>1684</v>
      </c>
      <c r="E386" s="3" t="s">
        <v>1685</v>
      </c>
      <c r="F386" s="3" t="s">
        <v>538</v>
      </c>
      <c r="G386" s="3">
        <v>4</v>
      </c>
      <c r="H386" s="3">
        <v>0</v>
      </c>
      <c r="I386" s="3">
        <v>4</v>
      </c>
      <c r="J386" s="3">
        <v>0</v>
      </c>
      <c r="K386" s="3">
        <v>0</v>
      </c>
      <c r="L386" s="3">
        <v>0</v>
      </c>
      <c r="M386" s="3">
        <v>0</v>
      </c>
      <c r="N386" s="3" t="s">
        <v>539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1</v>
      </c>
      <c r="U386" s="3">
        <v>1</v>
      </c>
      <c r="V386" s="3">
        <v>1</v>
      </c>
      <c r="W386" s="3" t="s">
        <v>540</v>
      </c>
      <c r="X386" s="3">
        <v>18.99</v>
      </c>
      <c r="Y386" s="3">
        <v>18.99</v>
      </c>
      <c r="Z386" s="3">
        <v>18.99</v>
      </c>
      <c r="AA386" s="3">
        <v>0</v>
      </c>
      <c r="AB386" s="3" t="s">
        <v>541</v>
      </c>
      <c r="AC386" s="3">
        <v>4</v>
      </c>
      <c r="AD386" s="3">
        <v>18.99</v>
      </c>
      <c r="AE386" s="3">
        <v>0</v>
      </c>
      <c r="AF386" s="3">
        <v>0</v>
      </c>
      <c r="AG386" s="3">
        <v>0</v>
      </c>
      <c r="AH386" s="3">
        <v>0.285714285714285</v>
      </c>
      <c r="AI386" s="3">
        <v>0.324404</v>
      </c>
      <c r="AJ386" s="3" t="s">
        <v>548</v>
      </c>
    </row>
    <row r="387" spans="1:36">
      <c r="A387" s="4">
        <v>43336</v>
      </c>
      <c r="B387" s="3" t="s">
        <v>1686</v>
      </c>
      <c r="C387" s="3" t="s">
        <v>1687</v>
      </c>
      <c r="D387" s="3" t="s">
        <v>1688</v>
      </c>
      <c r="E387" s="3" t="s">
        <v>1689</v>
      </c>
      <c r="F387" s="3" t="s">
        <v>538</v>
      </c>
      <c r="G387" s="3">
        <v>1</v>
      </c>
      <c r="H387" s="3">
        <v>0</v>
      </c>
      <c r="I387" s="3">
        <v>0</v>
      </c>
      <c r="J387" s="3">
        <v>0</v>
      </c>
      <c r="K387" s="3">
        <v>1</v>
      </c>
      <c r="L387" s="3">
        <v>0</v>
      </c>
      <c r="M387" s="3">
        <v>0</v>
      </c>
      <c r="N387" s="3" t="s">
        <v>539</v>
      </c>
      <c r="O387" s="3">
        <v>1</v>
      </c>
      <c r="P387" s="3">
        <v>0.19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0</v>
      </c>
      <c r="W387" s="3" t="s">
        <v>540</v>
      </c>
      <c r="X387" s="3">
        <v>18.8</v>
      </c>
      <c r="Y387" s="3">
        <v>18.8</v>
      </c>
      <c r="Z387" s="3">
        <v>18.8</v>
      </c>
      <c r="AA387" s="3">
        <v>0</v>
      </c>
      <c r="AB387" s="3" t="s">
        <v>562</v>
      </c>
      <c r="AC387" s="3">
        <v>0</v>
      </c>
      <c r="AD387" s="3">
        <v>15.04</v>
      </c>
      <c r="AE387" s="3">
        <v>63</v>
      </c>
      <c r="AF387" s="3">
        <v>0</v>
      </c>
      <c r="AG387" s="3">
        <v>9.037387</v>
      </c>
      <c r="AH387" s="3">
        <v>0</v>
      </c>
      <c r="AI387" s="3">
        <v>0.055556</v>
      </c>
      <c r="AJ387" s="3" t="s">
        <v>548</v>
      </c>
    </row>
    <row r="388" spans="1:36">
      <c r="A388" s="4">
        <v>43336</v>
      </c>
      <c r="B388" s="3" t="s">
        <v>1690</v>
      </c>
      <c r="C388" s="3" t="s">
        <v>1691</v>
      </c>
      <c r="D388" s="3" t="s">
        <v>1692</v>
      </c>
      <c r="E388" s="3" t="s">
        <v>1693</v>
      </c>
      <c r="F388" s="3" t="s">
        <v>538</v>
      </c>
      <c r="G388" s="3">
        <v>3</v>
      </c>
      <c r="H388" s="3">
        <v>0</v>
      </c>
      <c r="I388" s="3">
        <v>3</v>
      </c>
      <c r="J388" s="3">
        <v>0</v>
      </c>
      <c r="K388" s="3">
        <v>0</v>
      </c>
      <c r="L388" s="3">
        <v>0</v>
      </c>
      <c r="M388" s="3">
        <v>0</v>
      </c>
      <c r="N388" s="3" t="s">
        <v>539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 t="s">
        <v>553</v>
      </c>
      <c r="X388" s="3">
        <v>29.9</v>
      </c>
      <c r="Y388" s="3">
        <v>29.9</v>
      </c>
      <c r="Z388" s="3">
        <v>29.9</v>
      </c>
      <c r="AA388" s="3">
        <v>0</v>
      </c>
      <c r="AB388" s="3" t="s">
        <v>547</v>
      </c>
      <c r="AC388" s="3">
        <v>3</v>
      </c>
      <c r="AD388" s="3">
        <v>29.9</v>
      </c>
      <c r="AE388" s="3">
        <v>0</v>
      </c>
      <c r="AF388" s="3">
        <v>0</v>
      </c>
      <c r="AG388" s="3">
        <v>0</v>
      </c>
      <c r="AH388" s="3">
        <v>0</v>
      </c>
      <c r="AI388" s="3">
        <v>0.606441</v>
      </c>
      <c r="AJ388" s="3" t="s">
        <v>548</v>
      </c>
    </row>
    <row r="389" spans="1:36">
      <c r="A389" s="4">
        <v>43336</v>
      </c>
      <c r="B389" s="3" t="s">
        <v>1694</v>
      </c>
      <c r="C389" s="3" t="s">
        <v>1695</v>
      </c>
      <c r="D389" s="3" t="s">
        <v>1696</v>
      </c>
      <c r="E389" s="3" t="s">
        <v>582</v>
      </c>
      <c r="F389" s="3" t="s">
        <v>538</v>
      </c>
      <c r="G389" s="3">
        <v>4</v>
      </c>
      <c r="H389" s="3">
        <v>0</v>
      </c>
      <c r="I389" s="3">
        <v>0</v>
      </c>
      <c r="J389" s="3">
        <v>4</v>
      </c>
      <c r="K389" s="3">
        <v>0</v>
      </c>
      <c r="L389" s="3">
        <v>0</v>
      </c>
      <c r="M389" s="3">
        <v>0</v>
      </c>
      <c r="N389" s="3" t="s">
        <v>539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 t="s">
        <v>540</v>
      </c>
      <c r="X389" s="3">
        <v>9.98</v>
      </c>
      <c r="Y389" s="3">
        <v>9.98</v>
      </c>
      <c r="Z389" s="3">
        <v>9.98</v>
      </c>
      <c r="AA389" s="3">
        <v>0</v>
      </c>
      <c r="AB389" s="3" t="s">
        <v>541</v>
      </c>
      <c r="AC389" s="3">
        <v>0</v>
      </c>
      <c r="AD389" s="3">
        <v>7.98</v>
      </c>
      <c r="AE389" s="3">
        <v>63</v>
      </c>
      <c r="AF389" s="3">
        <v>0</v>
      </c>
      <c r="AG389" s="3">
        <v>2.339591</v>
      </c>
      <c r="AH389" s="3">
        <v>0</v>
      </c>
      <c r="AI389" s="5">
        <v>0.000232</v>
      </c>
      <c r="AJ389" s="3" t="s">
        <v>548</v>
      </c>
    </row>
    <row r="390" spans="1:36">
      <c r="A390" s="4">
        <v>43336</v>
      </c>
      <c r="B390" s="3" t="s">
        <v>186</v>
      </c>
      <c r="C390" s="3" t="s">
        <v>187</v>
      </c>
      <c r="D390" s="3" t="s">
        <v>188</v>
      </c>
      <c r="E390" s="3" t="s">
        <v>189</v>
      </c>
      <c r="F390" s="3" t="s">
        <v>538</v>
      </c>
      <c r="G390" s="3">
        <v>379</v>
      </c>
      <c r="H390" s="3">
        <v>0</v>
      </c>
      <c r="I390" s="3">
        <v>379</v>
      </c>
      <c r="J390" s="3">
        <v>0</v>
      </c>
      <c r="K390" s="3">
        <v>0</v>
      </c>
      <c r="L390" s="3">
        <v>0</v>
      </c>
      <c r="M390" s="3">
        <v>0</v>
      </c>
      <c r="N390" s="3" t="s">
        <v>539</v>
      </c>
      <c r="O390" s="3">
        <v>0</v>
      </c>
      <c r="P390" s="3">
        <v>0</v>
      </c>
      <c r="Q390" s="3">
        <v>0</v>
      </c>
      <c r="R390" s="3">
        <v>0</v>
      </c>
      <c r="S390" s="3">
        <v>51</v>
      </c>
      <c r="T390" s="3">
        <v>322</v>
      </c>
      <c r="U390" s="3">
        <v>647</v>
      </c>
      <c r="V390" s="3">
        <v>862</v>
      </c>
      <c r="W390" s="3"/>
      <c r="X390" s="3">
        <v>60.99</v>
      </c>
      <c r="Y390" s="3">
        <v>23.99</v>
      </c>
      <c r="Z390" s="3">
        <v>23.99</v>
      </c>
      <c r="AA390" s="3">
        <v>0</v>
      </c>
      <c r="AB390" s="3" t="s">
        <v>547</v>
      </c>
      <c r="AC390" s="3">
        <v>282</v>
      </c>
      <c r="AD390" s="3">
        <v>23.99</v>
      </c>
      <c r="AE390" s="3">
        <v>0</v>
      </c>
      <c r="AF390" s="3">
        <v>0</v>
      </c>
      <c r="AG390" s="3">
        <v>0</v>
      </c>
      <c r="AH390" s="3">
        <v>5.82432432432432</v>
      </c>
      <c r="AI390" s="3">
        <v>11.898705</v>
      </c>
      <c r="AJ390" s="3" t="s">
        <v>596</v>
      </c>
    </row>
    <row r="391" spans="1:36">
      <c r="A391" s="4">
        <v>43336</v>
      </c>
      <c r="B391" s="3" t="s">
        <v>1697</v>
      </c>
      <c r="C391" s="3" t="s">
        <v>1698</v>
      </c>
      <c r="D391" s="3" t="s">
        <v>1699</v>
      </c>
      <c r="E391" s="3" t="s">
        <v>19</v>
      </c>
      <c r="F391" s="3" t="s">
        <v>538</v>
      </c>
      <c r="G391" s="3">
        <v>18</v>
      </c>
      <c r="H391" s="3">
        <v>0</v>
      </c>
      <c r="I391" s="3">
        <v>18</v>
      </c>
      <c r="J391" s="3">
        <v>0</v>
      </c>
      <c r="K391" s="3">
        <v>0</v>
      </c>
      <c r="L391" s="3">
        <v>0</v>
      </c>
      <c r="M391" s="3">
        <v>0</v>
      </c>
      <c r="N391" s="3" t="s">
        <v>539</v>
      </c>
      <c r="O391" s="3">
        <v>0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5</v>
      </c>
      <c r="W391" s="3"/>
      <c r="X391" s="3"/>
      <c r="Y391" s="3"/>
      <c r="Z391" s="3">
        <v>-1</v>
      </c>
      <c r="AA391" s="3">
        <v>-1</v>
      </c>
      <c r="AB391" s="3" t="s">
        <v>595</v>
      </c>
      <c r="AC391" s="3">
        <v>0</v>
      </c>
      <c r="AD391" s="3">
        <v>0</v>
      </c>
      <c r="AE391" s="3">
        <v>0</v>
      </c>
      <c r="AF391" s="3">
        <v>0</v>
      </c>
      <c r="AG391" s="3">
        <v>0</v>
      </c>
      <c r="AH391" s="3">
        <v>0.350877192982456</v>
      </c>
      <c r="AI391" s="3">
        <v>1.194696</v>
      </c>
      <c r="AJ391" s="3" t="s">
        <v>548</v>
      </c>
    </row>
    <row r="392" spans="1:36">
      <c r="A392" s="4">
        <v>43336</v>
      </c>
      <c r="B392" s="3" t="s">
        <v>1700</v>
      </c>
      <c r="C392" s="3" t="s">
        <v>1701</v>
      </c>
      <c r="D392" s="3" t="s">
        <v>1702</v>
      </c>
      <c r="E392" s="3" t="s">
        <v>403</v>
      </c>
      <c r="F392" s="3" t="s">
        <v>538</v>
      </c>
      <c r="G392" s="3">
        <v>35</v>
      </c>
      <c r="H392" s="3">
        <v>0</v>
      </c>
      <c r="I392" s="3">
        <v>0</v>
      </c>
      <c r="J392" s="3">
        <v>0</v>
      </c>
      <c r="K392" s="3">
        <v>4</v>
      </c>
      <c r="L392" s="3">
        <v>31</v>
      </c>
      <c r="M392" s="3">
        <v>0</v>
      </c>
      <c r="N392" s="3" t="s">
        <v>539</v>
      </c>
      <c r="O392" s="3">
        <v>35</v>
      </c>
      <c r="P392" s="3">
        <v>7.16</v>
      </c>
      <c r="Q392" s="3">
        <v>0</v>
      </c>
      <c r="R392" s="3">
        <v>0</v>
      </c>
      <c r="S392" s="3">
        <v>0</v>
      </c>
      <c r="T392" s="3">
        <v>2</v>
      </c>
      <c r="U392" s="3">
        <v>3</v>
      </c>
      <c r="V392" s="3">
        <v>4</v>
      </c>
      <c r="W392" s="3" t="s">
        <v>553</v>
      </c>
      <c r="X392" s="3">
        <v>13.99</v>
      </c>
      <c r="Y392" s="3">
        <v>13.99</v>
      </c>
      <c r="Z392" s="3">
        <v>13.99</v>
      </c>
      <c r="AA392" s="3">
        <v>0</v>
      </c>
      <c r="AB392" s="3" t="s">
        <v>547</v>
      </c>
      <c r="AC392" s="3">
        <v>35</v>
      </c>
      <c r="AD392" s="3">
        <v>13.99</v>
      </c>
      <c r="AE392" s="3">
        <v>0</v>
      </c>
      <c r="AF392" s="3">
        <v>0</v>
      </c>
      <c r="AG392" s="3">
        <v>0</v>
      </c>
      <c r="AH392" s="3">
        <v>0.10738255033557</v>
      </c>
      <c r="AI392" s="3">
        <v>2.078125</v>
      </c>
      <c r="AJ392" s="3" t="s">
        <v>596</v>
      </c>
    </row>
    <row r="393" spans="1:36">
      <c r="A393" s="4">
        <v>43336</v>
      </c>
      <c r="B393" s="3" t="s">
        <v>23</v>
      </c>
      <c r="C393" s="3" t="s">
        <v>24</v>
      </c>
      <c r="D393" s="3" t="s">
        <v>25</v>
      </c>
      <c r="E393" s="3" t="s">
        <v>19</v>
      </c>
      <c r="F393" s="3" t="s">
        <v>538</v>
      </c>
      <c r="G393" s="3">
        <v>53</v>
      </c>
      <c r="H393" s="3">
        <v>0</v>
      </c>
      <c r="I393" s="3">
        <v>53</v>
      </c>
      <c r="J393" s="3">
        <v>0</v>
      </c>
      <c r="K393" s="3">
        <v>0</v>
      </c>
      <c r="L393" s="3">
        <v>0</v>
      </c>
      <c r="M393" s="3">
        <v>0</v>
      </c>
      <c r="N393" s="3" t="s">
        <v>539</v>
      </c>
      <c r="O393" s="3">
        <v>0</v>
      </c>
      <c r="P393" s="3">
        <v>0</v>
      </c>
      <c r="Q393" s="3">
        <v>0</v>
      </c>
      <c r="R393" s="3">
        <v>0</v>
      </c>
      <c r="S393" s="3">
        <v>4</v>
      </c>
      <c r="T393" s="3">
        <v>18</v>
      </c>
      <c r="U393" s="3">
        <v>28</v>
      </c>
      <c r="V393" s="3">
        <v>36</v>
      </c>
      <c r="W393" s="3"/>
      <c r="X393" s="3">
        <v>15.99</v>
      </c>
      <c r="Y393" s="3">
        <v>15.99</v>
      </c>
      <c r="Z393" s="3">
        <v>15.99</v>
      </c>
      <c r="AA393" s="3">
        <v>0</v>
      </c>
      <c r="AB393" s="3" t="s">
        <v>547</v>
      </c>
      <c r="AC393" s="3">
        <v>53</v>
      </c>
      <c r="AD393" s="3">
        <v>15.99</v>
      </c>
      <c r="AE393" s="3">
        <v>0</v>
      </c>
      <c r="AF393" s="3">
        <v>0</v>
      </c>
      <c r="AG393" s="3">
        <v>0</v>
      </c>
      <c r="AH393" s="3">
        <v>1.84615384615384</v>
      </c>
      <c r="AI393" s="3">
        <v>3.517716</v>
      </c>
      <c r="AJ393" s="3" t="s">
        <v>596</v>
      </c>
    </row>
    <row r="394" spans="1:36">
      <c r="A394" s="4">
        <v>43336</v>
      </c>
      <c r="B394" s="3" t="s">
        <v>1703</v>
      </c>
      <c r="C394" s="3" t="s">
        <v>1704</v>
      </c>
      <c r="D394" s="3" t="s">
        <v>1705</v>
      </c>
      <c r="E394" s="3" t="s">
        <v>1706</v>
      </c>
      <c r="F394" s="3" t="s">
        <v>538</v>
      </c>
      <c r="G394" s="3">
        <v>13</v>
      </c>
      <c r="H394" s="3">
        <v>0</v>
      </c>
      <c r="I394" s="3">
        <v>13</v>
      </c>
      <c r="J394" s="3">
        <v>0</v>
      </c>
      <c r="K394" s="3">
        <v>0</v>
      </c>
      <c r="L394" s="3">
        <v>0</v>
      </c>
      <c r="M394" s="3">
        <v>0</v>
      </c>
      <c r="N394" s="3" t="s">
        <v>539</v>
      </c>
      <c r="O394" s="3">
        <v>0</v>
      </c>
      <c r="P394" s="3">
        <v>0</v>
      </c>
      <c r="Q394" s="3">
        <v>0</v>
      </c>
      <c r="R394" s="3">
        <v>0</v>
      </c>
      <c r="S394" s="3">
        <v>4</v>
      </c>
      <c r="T394" s="3">
        <v>10</v>
      </c>
      <c r="U394" s="3">
        <v>14</v>
      </c>
      <c r="V394" s="3">
        <v>26</v>
      </c>
      <c r="W394" s="3"/>
      <c r="X394" s="3">
        <v>27.99</v>
      </c>
      <c r="Y394" s="3">
        <v>27.99</v>
      </c>
      <c r="Z394" s="3">
        <v>27.99</v>
      </c>
      <c r="AA394" s="3">
        <v>0</v>
      </c>
      <c r="AB394" s="3" t="s">
        <v>547</v>
      </c>
      <c r="AC394" s="3">
        <v>14</v>
      </c>
      <c r="AD394" s="3">
        <v>27.99</v>
      </c>
      <c r="AE394" s="3">
        <v>0</v>
      </c>
      <c r="AF394" s="3">
        <v>0</v>
      </c>
      <c r="AG394" s="3">
        <v>0</v>
      </c>
      <c r="AH394" s="3">
        <v>1.35064935064935</v>
      </c>
      <c r="AI394" s="3">
        <v>2.911454</v>
      </c>
      <c r="AJ394" s="3" t="s">
        <v>548</v>
      </c>
    </row>
    <row r="395" spans="1:36">
      <c r="A395" s="4">
        <v>43336</v>
      </c>
      <c r="B395" s="3" t="s">
        <v>1707</v>
      </c>
      <c r="C395" s="3" t="s">
        <v>1708</v>
      </c>
      <c r="D395" s="3" t="s">
        <v>1709</v>
      </c>
      <c r="E395" s="3" t="s">
        <v>1710</v>
      </c>
      <c r="F395" s="3" t="s">
        <v>538</v>
      </c>
      <c r="G395" s="3">
        <v>7</v>
      </c>
      <c r="H395" s="3">
        <v>0</v>
      </c>
      <c r="I395" s="3">
        <v>5</v>
      </c>
      <c r="J395" s="3">
        <v>0</v>
      </c>
      <c r="K395" s="3">
        <v>2</v>
      </c>
      <c r="L395" s="3">
        <v>0</v>
      </c>
      <c r="M395" s="3">
        <v>0</v>
      </c>
      <c r="N395" s="3" t="s">
        <v>539</v>
      </c>
      <c r="O395" s="3">
        <v>2</v>
      </c>
      <c r="P395" s="3">
        <v>0.49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1</v>
      </c>
      <c r="W395" s="3" t="s">
        <v>553</v>
      </c>
      <c r="X395" s="3">
        <v>9.99</v>
      </c>
      <c r="Y395" s="3">
        <v>9.99</v>
      </c>
      <c r="Z395" s="3">
        <v>9.99</v>
      </c>
      <c r="AA395" s="3">
        <v>0</v>
      </c>
      <c r="AB395" s="3" t="s">
        <v>562</v>
      </c>
      <c r="AC395" s="3">
        <v>0</v>
      </c>
      <c r="AD395" s="3">
        <v>8.57</v>
      </c>
      <c r="AE395" s="3">
        <v>280</v>
      </c>
      <c r="AF395" s="3">
        <v>0</v>
      </c>
      <c r="AG395" s="3">
        <v>80.811261</v>
      </c>
      <c r="AH395" s="3">
        <v>0.166666666666666</v>
      </c>
      <c r="AI395" s="3">
        <v>0.493395</v>
      </c>
      <c r="AJ395" s="3" t="s">
        <v>548</v>
      </c>
    </row>
    <row r="396" spans="1:36">
      <c r="A396" s="4">
        <v>43336</v>
      </c>
      <c r="B396" s="3" t="s">
        <v>1711</v>
      </c>
      <c r="C396" s="3" t="s">
        <v>1712</v>
      </c>
      <c r="D396" s="3" t="s">
        <v>1713</v>
      </c>
      <c r="E396" s="3" t="s">
        <v>1714</v>
      </c>
      <c r="F396" s="3" t="s">
        <v>538</v>
      </c>
      <c r="G396" s="3">
        <v>1</v>
      </c>
      <c r="H396" s="3">
        <v>0</v>
      </c>
      <c r="I396" s="3">
        <v>0</v>
      </c>
      <c r="J396" s="3">
        <v>1</v>
      </c>
      <c r="K396" s="3">
        <v>0</v>
      </c>
      <c r="L396" s="3">
        <v>0</v>
      </c>
      <c r="M396" s="3">
        <v>0</v>
      </c>
      <c r="N396" s="3" t="s">
        <v>539</v>
      </c>
      <c r="O396" s="3">
        <v>0</v>
      </c>
      <c r="P396" s="3">
        <v>0</v>
      </c>
      <c r="Q396" s="3">
        <v>0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 t="s">
        <v>540</v>
      </c>
      <c r="X396" s="3">
        <v>9.99</v>
      </c>
      <c r="Y396" s="3">
        <v>9.99</v>
      </c>
      <c r="Z396" s="3">
        <v>9.99</v>
      </c>
      <c r="AA396" s="3">
        <v>0</v>
      </c>
      <c r="AB396" s="3" t="s">
        <v>541</v>
      </c>
      <c r="AC396" s="3">
        <v>1</v>
      </c>
      <c r="AD396" s="3">
        <v>9.99</v>
      </c>
      <c r="AE396" s="3">
        <v>0</v>
      </c>
      <c r="AF396" s="3">
        <v>0</v>
      </c>
      <c r="AG396" s="3">
        <v>0</v>
      </c>
      <c r="AH396" s="3">
        <v>0</v>
      </c>
      <c r="AI396" s="3">
        <v>0.020833</v>
      </c>
      <c r="AJ396" s="3" t="s">
        <v>548</v>
      </c>
    </row>
    <row r="397" spans="1:36">
      <c r="A397" s="4">
        <v>43336</v>
      </c>
      <c r="B397" s="3" t="s">
        <v>1715</v>
      </c>
      <c r="C397" s="3" t="s">
        <v>1716</v>
      </c>
      <c r="D397" s="3" t="s">
        <v>1717</v>
      </c>
      <c r="E397" s="3" t="s">
        <v>1718</v>
      </c>
      <c r="F397" s="3" t="s">
        <v>538</v>
      </c>
      <c r="G397" s="3">
        <v>13</v>
      </c>
      <c r="H397" s="3">
        <v>0</v>
      </c>
      <c r="I397" s="3">
        <v>13</v>
      </c>
      <c r="J397" s="3">
        <v>0</v>
      </c>
      <c r="K397" s="3">
        <v>0</v>
      </c>
      <c r="L397" s="3">
        <v>0</v>
      </c>
      <c r="M397" s="3">
        <v>0</v>
      </c>
      <c r="N397" s="3" t="s">
        <v>539</v>
      </c>
      <c r="O397" s="3">
        <v>0</v>
      </c>
      <c r="P397" s="3">
        <v>0</v>
      </c>
      <c r="Q397" s="3">
        <v>0</v>
      </c>
      <c r="R397" s="3">
        <v>0</v>
      </c>
      <c r="S397" s="3">
        <v>1</v>
      </c>
      <c r="T397" s="3">
        <v>2</v>
      </c>
      <c r="U397" s="3">
        <v>2</v>
      </c>
      <c r="V397" s="3">
        <v>2</v>
      </c>
      <c r="W397" s="3"/>
      <c r="X397" s="3">
        <v>10</v>
      </c>
      <c r="Y397" s="3">
        <v>10</v>
      </c>
      <c r="Z397" s="3">
        <v>10</v>
      </c>
      <c r="AA397" s="3">
        <v>0</v>
      </c>
      <c r="AB397" s="3" t="s">
        <v>547</v>
      </c>
      <c r="AC397" s="3">
        <v>13</v>
      </c>
      <c r="AD397" s="3">
        <v>10</v>
      </c>
      <c r="AE397" s="3">
        <v>0</v>
      </c>
      <c r="AF397" s="3">
        <v>0</v>
      </c>
      <c r="AG397" s="3">
        <v>0</v>
      </c>
      <c r="AH397" s="3">
        <v>0.17391304347826</v>
      </c>
      <c r="AI397" s="3">
        <v>0.399204</v>
      </c>
      <c r="AJ397" s="3" t="s">
        <v>548</v>
      </c>
    </row>
    <row r="398" spans="1:36">
      <c r="A398" s="4">
        <v>43336</v>
      </c>
      <c r="B398" s="3" t="s">
        <v>1719</v>
      </c>
      <c r="C398" s="3" t="s">
        <v>1720</v>
      </c>
      <c r="D398" s="3" t="s">
        <v>1721</v>
      </c>
      <c r="E398" s="3" t="s">
        <v>1722</v>
      </c>
      <c r="F398" s="3" t="s">
        <v>538</v>
      </c>
      <c r="G398" s="3">
        <v>10</v>
      </c>
      <c r="H398" s="3">
        <v>0</v>
      </c>
      <c r="I398" s="3">
        <v>10</v>
      </c>
      <c r="J398" s="3">
        <v>0</v>
      </c>
      <c r="K398" s="3">
        <v>0</v>
      </c>
      <c r="L398" s="3">
        <v>0</v>
      </c>
      <c r="M398" s="3">
        <v>0</v>
      </c>
      <c r="N398" s="3" t="s">
        <v>539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1</v>
      </c>
      <c r="U398" s="3">
        <v>7</v>
      </c>
      <c r="V398" s="3">
        <v>7</v>
      </c>
      <c r="W398" s="3" t="s">
        <v>540</v>
      </c>
      <c r="X398" s="3">
        <v>8.99</v>
      </c>
      <c r="Y398" s="3">
        <v>8.99</v>
      </c>
      <c r="Z398" s="3">
        <v>8.99</v>
      </c>
      <c r="AA398" s="3">
        <v>0</v>
      </c>
      <c r="AB398" s="3" t="s">
        <v>541</v>
      </c>
      <c r="AC398" s="3">
        <v>10</v>
      </c>
      <c r="AD398" s="3">
        <v>8.99</v>
      </c>
      <c r="AE398" s="3">
        <v>0</v>
      </c>
      <c r="AF398" s="3">
        <v>0</v>
      </c>
      <c r="AG398" s="3">
        <v>0</v>
      </c>
      <c r="AH398" s="3">
        <v>2.15384615384615</v>
      </c>
      <c r="AI398" s="3">
        <v>0.93461</v>
      </c>
      <c r="AJ398" s="3" t="s">
        <v>548</v>
      </c>
    </row>
    <row r="399" spans="1:36">
      <c r="A399" s="4">
        <v>43336</v>
      </c>
      <c r="B399" s="3" t="s">
        <v>432</v>
      </c>
      <c r="C399" s="3" t="s">
        <v>433</v>
      </c>
      <c r="D399" s="3" t="s">
        <v>434</v>
      </c>
      <c r="E399" s="3" t="s">
        <v>403</v>
      </c>
      <c r="F399" s="3" t="s">
        <v>538</v>
      </c>
      <c r="G399" s="3">
        <v>2</v>
      </c>
      <c r="H399" s="3">
        <v>0</v>
      </c>
      <c r="I399" s="3">
        <v>1</v>
      </c>
      <c r="J399" s="3">
        <v>0</v>
      </c>
      <c r="K399" s="3">
        <v>0</v>
      </c>
      <c r="L399" s="3">
        <v>1</v>
      </c>
      <c r="M399" s="3">
        <v>0</v>
      </c>
      <c r="N399" s="3" t="s">
        <v>539</v>
      </c>
      <c r="O399" s="3">
        <v>1</v>
      </c>
      <c r="P399" s="3">
        <v>0.17</v>
      </c>
      <c r="Q399" s="3">
        <v>0</v>
      </c>
      <c r="R399" s="3">
        <v>0</v>
      </c>
      <c r="S399" s="3">
        <v>0</v>
      </c>
      <c r="T399" s="3">
        <v>0</v>
      </c>
      <c r="U399" s="3">
        <v>1</v>
      </c>
      <c r="V399" s="3">
        <v>2</v>
      </c>
      <c r="W399" s="3" t="s">
        <v>553</v>
      </c>
      <c r="X399" s="3">
        <v>13.99</v>
      </c>
      <c r="Y399" s="3">
        <v>13.99</v>
      </c>
      <c r="Z399" s="3">
        <v>13.99</v>
      </c>
      <c r="AA399" s="3">
        <v>0</v>
      </c>
      <c r="AB399" s="3" t="s">
        <v>547</v>
      </c>
      <c r="AC399" s="3">
        <v>2</v>
      </c>
      <c r="AD399" s="3">
        <v>13.99</v>
      </c>
      <c r="AE399" s="3">
        <v>0</v>
      </c>
      <c r="AF399" s="3">
        <v>0</v>
      </c>
      <c r="AG399" s="3">
        <v>0</v>
      </c>
      <c r="AH399" s="3">
        <v>0.615384615384615</v>
      </c>
      <c r="AI399" s="3">
        <v>0.099166</v>
      </c>
      <c r="AJ399" s="3" t="s">
        <v>596</v>
      </c>
    </row>
    <row r="400" spans="1:36">
      <c r="A400" s="4">
        <v>43336</v>
      </c>
      <c r="B400" s="3" t="s">
        <v>1723</v>
      </c>
      <c r="C400" s="3" t="s">
        <v>1724</v>
      </c>
      <c r="D400" s="3" t="s">
        <v>1725</v>
      </c>
      <c r="E400" s="3" t="s">
        <v>482</v>
      </c>
      <c r="F400" s="3" t="s">
        <v>538</v>
      </c>
      <c r="G400" s="3">
        <v>3</v>
      </c>
      <c r="H400" s="3">
        <v>0</v>
      </c>
      <c r="I400" s="3">
        <v>3</v>
      </c>
      <c r="J400" s="3">
        <v>0</v>
      </c>
      <c r="K400" s="3">
        <v>0</v>
      </c>
      <c r="L400" s="3">
        <v>0</v>
      </c>
      <c r="M400" s="3">
        <v>0</v>
      </c>
      <c r="N400" s="3" t="s">
        <v>539</v>
      </c>
      <c r="O400" s="3">
        <v>0</v>
      </c>
      <c r="P400" s="3">
        <v>0</v>
      </c>
      <c r="Q400" s="3">
        <v>0</v>
      </c>
      <c r="R400" s="3">
        <v>0</v>
      </c>
      <c r="S400" s="3">
        <v>1</v>
      </c>
      <c r="T400" s="3">
        <v>3</v>
      </c>
      <c r="U400" s="3">
        <v>3</v>
      </c>
      <c r="V400" s="3">
        <v>4</v>
      </c>
      <c r="W400" s="3" t="s">
        <v>553</v>
      </c>
      <c r="X400" s="3">
        <v>13.99</v>
      </c>
      <c r="Y400" s="3">
        <v>13.99</v>
      </c>
      <c r="Z400" s="3">
        <v>13.99</v>
      </c>
      <c r="AA400" s="3">
        <v>0</v>
      </c>
      <c r="AB400" s="3" t="s">
        <v>547</v>
      </c>
      <c r="AC400" s="3">
        <v>3</v>
      </c>
      <c r="AD400" s="3">
        <v>13.99</v>
      </c>
      <c r="AE400" s="3">
        <v>0</v>
      </c>
      <c r="AF400" s="3">
        <v>0</v>
      </c>
      <c r="AG400" s="3">
        <v>0</v>
      </c>
      <c r="AH400" s="3">
        <v>1.33333333333333</v>
      </c>
      <c r="AI400" s="3">
        <v>0.221313</v>
      </c>
      <c r="AJ400" s="3" t="s">
        <v>596</v>
      </c>
    </row>
    <row r="401" spans="1:36">
      <c r="A401" s="4">
        <v>43336</v>
      </c>
      <c r="B401" s="3" t="s">
        <v>1726</v>
      </c>
      <c r="C401" s="3" t="s">
        <v>1727</v>
      </c>
      <c r="D401" s="3" t="s">
        <v>1728</v>
      </c>
      <c r="E401" s="3" t="s">
        <v>1073</v>
      </c>
      <c r="F401" s="3" t="s">
        <v>538</v>
      </c>
      <c r="G401" s="3">
        <v>4</v>
      </c>
      <c r="H401" s="3">
        <v>0</v>
      </c>
      <c r="I401" s="3">
        <v>4</v>
      </c>
      <c r="J401" s="3">
        <v>0</v>
      </c>
      <c r="K401" s="3">
        <v>0</v>
      </c>
      <c r="L401" s="3">
        <v>0</v>
      </c>
      <c r="M401" s="3">
        <v>0</v>
      </c>
      <c r="N401" s="3" t="s">
        <v>539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0</v>
      </c>
      <c r="V401" s="3">
        <v>0</v>
      </c>
      <c r="W401" s="3" t="s">
        <v>540</v>
      </c>
      <c r="X401" s="3">
        <v>19.99</v>
      </c>
      <c r="Y401" s="3">
        <v>19.99</v>
      </c>
      <c r="Z401" s="3">
        <v>19.99</v>
      </c>
      <c r="AA401" s="3">
        <v>0</v>
      </c>
      <c r="AB401" s="3" t="s">
        <v>651</v>
      </c>
      <c r="AC401" s="3">
        <v>4</v>
      </c>
      <c r="AD401" s="3">
        <v>19.99</v>
      </c>
      <c r="AE401" s="3">
        <v>0</v>
      </c>
      <c r="AF401" s="3">
        <v>0</v>
      </c>
      <c r="AG401" s="3">
        <v>0</v>
      </c>
      <c r="AH401" s="3">
        <v>0</v>
      </c>
      <c r="AI401" s="3">
        <v>0.546812</v>
      </c>
      <c r="AJ401" s="3" t="s">
        <v>542</v>
      </c>
    </row>
    <row r="402" spans="1:36">
      <c r="A402" s="4">
        <v>43336</v>
      </c>
      <c r="B402" s="3" t="s">
        <v>1729</v>
      </c>
      <c r="C402" s="3" t="s">
        <v>1730</v>
      </c>
      <c r="D402" s="3" t="s">
        <v>1731</v>
      </c>
      <c r="E402" s="3" t="s">
        <v>1732</v>
      </c>
      <c r="F402" s="3" t="s">
        <v>538</v>
      </c>
      <c r="G402" s="3">
        <v>6</v>
      </c>
      <c r="H402" s="3">
        <v>0</v>
      </c>
      <c r="I402" s="3">
        <v>0</v>
      </c>
      <c r="J402" s="3">
        <v>6</v>
      </c>
      <c r="K402" s="3">
        <v>0</v>
      </c>
      <c r="L402" s="3">
        <v>0</v>
      </c>
      <c r="M402" s="3">
        <v>0</v>
      </c>
      <c r="N402" s="3" t="s">
        <v>539</v>
      </c>
      <c r="O402" s="3">
        <v>0</v>
      </c>
      <c r="P402" s="3">
        <v>0</v>
      </c>
      <c r="Q402" s="3">
        <v>0</v>
      </c>
      <c r="R402" s="3">
        <v>0</v>
      </c>
      <c r="S402" s="3">
        <v>0</v>
      </c>
      <c r="T402" s="3">
        <v>0</v>
      </c>
      <c r="U402" s="3">
        <v>0</v>
      </c>
      <c r="V402" s="3">
        <v>0</v>
      </c>
      <c r="W402" s="3" t="s">
        <v>540</v>
      </c>
      <c r="X402" s="3">
        <v>9.99</v>
      </c>
      <c r="Y402" s="3">
        <v>9.99</v>
      </c>
      <c r="Z402" s="3">
        <v>9.99</v>
      </c>
      <c r="AA402" s="3">
        <v>0</v>
      </c>
      <c r="AB402" s="3" t="s">
        <v>541</v>
      </c>
      <c r="AC402" s="3">
        <v>0</v>
      </c>
      <c r="AD402" s="3">
        <v>7.99</v>
      </c>
      <c r="AE402" s="3">
        <v>63</v>
      </c>
      <c r="AF402" s="3">
        <v>0</v>
      </c>
      <c r="AG402" s="3">
        <v>27.388473</v>
      </c>
      <c r="AH402" s="3">
        <v>0</v>
      </c>
      <c r="AI402" s="3">
        <v>0.191112</v>
      </c>
      <c r="AJ402" s="3" t="s">
        <v>548</v>
      </c>
    </row>
    <row r="403" spans="1:36">
      <c r="A403" s="4">
        <v>43336</v>
      </c>
      <c r="B403" s="3" t="s">
        <v>1733</v>
      </c>
      <c r="C403" s="3" t="s">
        <v>1734</v>
      </c>
      <c r="D403" s="3" t="s">
        <v>1735</v>
      </c>
      <c r="E403" s="3" t="s">
        <v>537</v>
      </c>
      <c r="F403" s="3" t="s">
        <v>538</v>
      </c>
      <c r="G403" s="3">
        <v>6</v>
      </c>
      <c r="H403" s="3">
        <v>0</v>
      </c>
      <c r="I403" s="3">
        <v>6</v>
      </c>
      <c r="J403" s="3">
        <v>0</v>
      </c>
      <c r="K403" s="3">
        <v>0</v>
      </c>
      <c r="L403" s="3">
        <v>0</v>
      </c>
      <c r="M403" s="3">
        <v>0</v>
      </c>
      <c r="N403" s="3" t="s">
        <v>539</v>
      </c>
      <c r="O403" s="3">
        <v>0</v>
      </c>
      <c r="P403" s="3">
        <v>0</v>
      </c>
      <c r="Q403" s="3">
        <v>0</v>
      </c>
      <c r="R403" s="3">
        <v>0</v>
      </c>
      <c r="S403" s="3">
        <v>0</v>
      </c>
      <c r="T403" s="3">
        <v>0</v>
      </c>
      <c r="U403" s="3">
        <v>0</v>
      </c>
      <c r="V403" s="3">
        <v>0</v>
      </c>
      <c r="W403" s="3" t="s">
        <v>540</v>
      </c>
      <c r="X403" s="3">
        <v>19.99</v>
      </c>
      <c r="Y403" s="3">
        <v>19.99</v>
      </c>
      <c r="Z403" s="3">
        <v>19.99</v>
      </c>
      <c r="AA403" s="3">
        <v>0</v>
      </c>
      <c r="AB403" s="3" t="s">
        <v>541</v>
      </c>
      <c r="AC403" s="3">
        <v>0</v>
      </c>
      <c r="AD403" s="3">
        <v>15.99</v>
      </c>
      <c r="AE403" s="3">
        <v>63</v>
      </c>
      <c r="AF403" s="3">
        <v>0</v>
      </c>
      <c r="AG403" s="3">
        <v>6.942678</v>
      </c>
      <c r="AH403" s="3">
        <v>0</v>
      </c>
      <c r="AI403" s="3">
        <v>0.892272</v>
      </c>
      <c r="AJ403" s="3" t="s">
        <v>542</v>
      </c>
    </row>
    <row r="404" spans="1:36">
      <c r="A404" s="4">
        <v>43336</v>
      </c>
      <c r="B404" s="3" t="s">
        <v>1736</v>
      </c>
      <c r="C404" s="3" t="s">
        <v>1737</v>
      </c>
      <c r="D404" s="3" t="s">
        <v>1738</v>
      </c>
      <c r="E404" s="3" t="s">
        <v>1739</v>
      </c>
      <c r="F404" s="3" t="s">
        <v>538</v>
      </c>
      <c r="G404" s="3">
        <v>8</v>
      </c>
      <c r="H404" s="3">
        <v>0</v>
      </c>
      <c r="I404" s="3">
        <v>0</v>
      </c>
      <c r="J404" s="3">
        <v>0</v>
      </c>
      <c r="K404" s="3">
        <v>8</v>
      </c>
      <c r="L404" s="3">
        <v>0</v>
      </c>
      <c r="M404" s="3">
        <v>0</v>
      </c>
      <c r="N404" s="3" t="s">
        <v>539</v>
      </c>
      <c r="O404" s="3">
        <v>8</v>
      </c>
      <c r="P404" s="3">
        <v>1.62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 t="s">
        <v>553</v>
      </c>
      <c r="X404" s="3">
        <v>14.2</v>
      </c>
      <c r="Y404" s="3">
        <v>14.2</v>
      </c>
      <c r="Z404" s="3">
        <v>14.2</v>
      </c>
      <c r="AA404" s="3">
        <v>0</v>
      </c>
      <c r="AB404" s="3" t="s">
        <v>562</v>
      </c>
      <c r="AC404" s="3">
        <v>0</v>
      </c>
      <c r="AD404" s="3">
        <v>12.5</v>
      </c>
      <c r="AE404" s="3">
        <v>168</v>
      </c>
      <c r="AF404" s="3">
        <v>0</v>
      </c>
      <c r="AG404" s="3">
        <v>110.976346</v>
      </c>
      <c r="AH404" s="3">
        <v>0</v>
      </c>
      <c r="AI404" s="3">
        <v>0.46852</v>
      </c>
      <c r="AJ404" s="3" t="s">
        <v>548</v>
      </c>
    </row>
    <row r="405" spans="1:36">
      <c r="A405" s="4">
        <v>43336</v>
      </c>
      <c r="B405" s="3" t="s">
        <v>1740</v>
      </c>
      <c r="C405" s="3" t="s">
        <v>1741</v>
      </c>
      <c r="D405" s="3" t="s">
        <v>1742</v>
      </c>
      <c r="E405" s="3" t="s">
        <v>1743</v>
      </c>
      <c r="F405" s="3" t="s">
        <v>538</v>
      </c>
      <c r="G405" s="3">
        <v>5</v>
      </c>
      <c r="H405" s="3">
        <v>0</v>
      </c>
      <c r="I405" s="3">
        <v>0</v>
      </c>
      <c r="J405" s="3">
        <v>0</v>
      </c>
      <c r="K405" s="3">
        <v>3</v>
      </c>
      <c r="L405" s="3">
        <v>2</v>
      </c>
      <c r="M405" s="3">
        <v>0</v>
      </c>
      <c r="N405" s="3" t="s">
        <v>539</v>
      </c>
      <c r="O405" s="3">
        <v>5</v>
      </c>
      <c r="P405" s="3">
        <v>1.35</v>
      </c>
      <c r="Q405" s="3">
        <v>0</v>
      </c>
      <c r="R405" s="3">
        <v>0</v>
      </c>
      <c r="S405" s="3">
        <v>1</v>
      </c>
      <c r="T405" s="3">
        <v>1</v>
      </c>
      <c r="U405" s="3">
        <v>1</v>
      </c>
      <c r="V405" s="3">
        <v>2</v>
      </c>
      <c r="W405" s="3" t="s">
        <v>553</v>
      </c>
      <c r="X405" s="3">
        <v>26.9</v>
      </c>
      <c r="Y405" s="3">
        <v>26.9</v>
      </c>
      <c r="Z405" s="3">
        <v>26.9</v>
      </c>
      <c r="AA405" s="3">
        <v>0</v>
      </c>
      <c r="AB405" s="3" t="s">
        <v>562</v>
      </c>
      <c r="AC405" s="3">
        <v>1</v>
      </c>
      <c r="AD405" s="3">
        <v>24.99</v>
      </c>
      <c r="AE405" s="3">
        <v>112</v>
      </c>
      <c r="AF405" s="3">
        <v>0</v>
      </c>
      <c r="AG405" s="3">
        <v>106.146789</v>
      </c>
      <c r="AH405" s="3">
        <v>0.333333333333333</v>
      </c>
      <c r="AI405" s="3">
        <v>0.389325</v>
      </c>
      <c r="AJ405" s="3" t="s">
        <v>548</v>
      </c>
    </row>
    <row r="406" spans="1:36">
      <c r="A406" s="4">
        <v>43336</v>
      </c>
      <c r="B406" s="3" t="s">
        <v>1744</v>
      </c>
      <c r="C406" s="3" t="s">
        <v>1745</v>
      </c>
      <c r="D406" s="3" t="s">
        <v>1746</v>
      </c>
      <c r="E406" s="3" t="s">
        <v>1747</v>
      </c>
      <c r="F406" s="3" t="s">
        <v>538</v>
      </c>
      <c r="G406" s="3">
        <v>8</v>
      </c>
      <c r="H406" s="3">
        <v>0</v>
      </c>
      <c r="I406" s="3">
        <v>8</v>
      </c>
      <c r="J406" s="3">
        <v>0</v>
      </c>
      <c r="K406" s="3">
        <v>0</v>
      </c>
      <c r="L406" s="3">
        <v>0</v>
      </c>
      <c r="M406" s="3">
        <v>0</v>
      </c>
      <c r="N406" s="3" t="s">
        <v>539</v>
      </c>
      <c r="O406" s="3">
        <v>0</v>
      </c>
      <c r="P406" s="3">
        <v>0</v>
      </c>
      <c r="Q406" s="3">
        <v>0</v>
      </c>
      <c r="R406" s="3">
        <v>0</v>
      </c>
      <c r="S406" s="3">
        <v>1</v>
      </c>
      <c r="T406" s="3">
        <v>3</v>
      </c>
      <c r="U406" s="3">
        <v>3</v>
      </c>
      <c r="V406" s="3">
        <v>5</v>
      </c>
      <c r="W406" s="3" t="s">
        <v>553</v>
      </c>
      <c r="X406" s="3">
        <v>13.99</v>
      </c>
      <c r="Y406" s="3">
        <v>14.99</v>
      </c>
      <c r="Z406" s="3">
        <v>14.99</v>
      </c>
      <c r="AA406" s="3">
        <v>0</v>
      </c>
      <c r="AB406" s="3" t="s">
        <v>547</v>
      </c>
      <c r="AC406" s="3">
        <v>9</v>
      </c>
      <c r="AD406" s="3">
        <v>14.99</v>
      </c>
      <c r="AE406" s="3">
        <v>0</v>
      </c>
      <c r="AF406" s="3">
        <v>0</v>
      </c>
      <c r="AG406" s="3">
        <v>0</v>
      </c>
      <c r="AH406" s="3">
        <v>0.606060606060606</v>
      </c>
      <c r="AI406" s="3">
        <v>0.465208</v>
      </c>
      <c r="AJ406" s="3" t="s">
        <v>596</v>
      </c>
    </row>
    <row r="407" spans="1:36">
      <c r="A407" s="4">
        <v>43336</v>
      </c>
      <c r="B407" s="3" t="s">
        <v>1748</v>
      </c>
      <c r="C407" s="3" t="s">
        <v>1749</v>
      </c>
      <c r="D407" s="3" t="s">
        <v>1750</v>
      </c>
      <c r="E407" s="3" t="s">
        <v>753</v>
      </c>
      <c r="F407" s="3" t="s">
        <v>538</v>
      </c>
      <c r="G407" s="3">
        <v>13</v>
      </c>
      <c r="H407" s="3">
        <v>0</v>
      </c>
      <c r="I407" s="3">
        <v>0</v>
      </c>
      <c r="J407" s="3">
        <v>0</v>
      </c>
      <c r="K407" s="3">
        <v>13</v>
      </c>
      <c r="L407" s="3">
        <v>0</v>
      </c>
      <c r="M407" s="3">
        <v>0</v>
      </c>
      <c r="N407" s="3" t="s">
        <v>539</v>
      </c>
      <c r="O407" s="3">
        <v>13</v>
      </c>
      <c r="P407" s="3">
        <v>4.06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/>
      <c r="X407" s="3"/>
      <c r="Y407" s="3"/>
      <c r="Z407" s="3">
        <v>-1</v>
      </c>
      <c r="AA407" s="3">
        <v>-1</v>
      </c>
      <c r="AB407" s="3" t="s">
        <v>595</v>
      </c>
      <c r="AC407" s="3">
        <v>0</v>
      </c>
      <c r="AD407" s="3">
        <v>0</v>
      </c>
      <c r="AE407" s="3">
        <v>0</v>
      </c>
      <c r="AF407" s="3">
        <v>0</v>
      </c>
      <c r="AG407" s="3">
        <v>0</v>
      </c>
      <c r="AH407" s="3">
        <v>0</v>
      </c>
      <c r="AI407" s="3">
        <v>1.176734</v>
      </c>
      <c r="AJ407" s="3" t="s">
        <v>548</v>
      </c>
    </row>
    <row r="408" spans="1:36">
      <c r="A408" s="4">
        <v>43336</v>
      </c>
      <c r="B408" s="3" t="s">
        <v>1751</v>
      </c>
      <c r="C408" s="3" t="s">
        <v>1752</v>
      </c>
      <c r="D408" s="3" t="s">
        <v>1753</v>
      </c>
      <c r="E408" s="3" t="s">
        <v>582</v>
      </c>
      <c r="F408" s="3" t="s">
        <v>538</v>
      </c>
      <c r="G408" s="3">
        <v>4</v>
      </c>
      <c r="H408" s="3">
        <v>0</v>
      </c>
      <c r="I408" s="3">
        <v>0</v>
      </c>
      <c r="J408" s="3">
        <v>4</v>
      </c>
      <c r="K408" s="3">
        <v>0</v>
      </c>
      <c r="L408" s="3">
        <v>0</v>
      </c>
      <c r="M408" s="3">
        <v>0</v>
      </c>
      <c r="N408" s="3" t="s">
        <v>539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 t="s">
        <v>540</v>
      </c>
      <c r="X408" s="3">
        <v>11.98</v>
      </c>
      <c r="Y408" s="3">
        <v>11.98</v>
      </c>
      <c r="Z408" s="3">
        <v>11.98</v>
      </c>
      <c r="AA408" s="3">
        <v>0</v>
      </c>
      <c r="AB408" s="3" t="s">
        <v>541</v>
      </c>
      <c r="AC408" s="3">
        <v>0</v>
      </c>
      <c r="AD408" s="3">
        <v>9.58</v>
      </c>
      <c r="AE408" s="3">
        <v>63</v>
      </c>
      <c r="AF408" s="3">
        <v>0</v>
      </c>
      <c r="AG408" s="3">
        <v>2.802641</v>
      </c>
      <c r="AH408" s="3">
        <v>0</v>
      </c>
      <c r="AI408" s="5">
        <v>0.000232</v>
      </c>
      <c r="AJ408" s="3" t="s">
        <v>548</v>
      </c>
    </row>
    <row r="409" spans="1:36">
      <c r="A409" s="4">
        <v>43336</v>
      </c>
      <c r="B409" s="3" t="s">
        <v>372</v>
      </c>
      <c r="C409" s="3" t="s">
        <v>373</v>
      </c>
      <c r="D409" s="3" t="s">
        <v>374</v>
      </c>
      <c r="E409" s="3" t="s">
        <v>375</v>
      </c>
      <c r="F409" s="3" t="s">
        <v>538</v>
      </c>
      <c r="G409" s="3">
        <v>26</v>
      </c>
      <c r="H409" s="3">
        <v>0</v>
      </c>
      <c r="I409" s="3">
        <v>26</v>
      </c>
      <c r="J409" s="3">
        <v>0</v>
      </c>
      <c r="K409" s="3">
        <v>0</v>
      </c>
      <c r="L409" s="3">
        <v>0</v>
      </c>
      <c r="M409" s="3">
        <v>0</v>
      </c>
      <c r="N409" s="3" t="s">
        <v>539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2</v>
      </c>
      <c r="U409" s="3">
        <v>2</v>
      </c>
      <c r="V409" s="3">
        <v>8</v>
      </c>
      <c r="W409" s="3" t="s">
        <v>553</v>
      </c>
      <c r="X409" s="3">
        <v>13.99</v>
      </c>
      <c r="Y409" s="3">
        <v>13.99</v>
      </c>
      <c r="Z409" s="3">
        <v>13.99</v>
      </c>
      <c r="AA409" s="3">
        <v>0</v>
      </c>
      <c r="AB409" s="3" t="s">
        <v>562</v>
      </c>
      <c r="AC409" s="3">
        <v>1</v>
      </c>
      <c r="AD409" s="3">
        <v>10.93</v>
      </c>
      <c r="AE409" s="3">
        <v>364</v>
      </c>
      <c r="AF409" s="3">
        <v>0</v>
      </c>
      <c r="AG409" s="3">
        <v>241.492518</v>
      </c>
      <c r="AH409" s="3">
        <v>0.415584415584415</v>
      </c>
      <c r="AI409" s="3">
        <v>2.000518</v>
      </c>
      <c r="AJ409" s="3" t="s">
        <v>596</v>
      </c>
    </row>
    <row r="410" spans="1:36">
      <c r="A410" s="4">
        <v>43336</v>
      </c>
      <c r="B410" s="3" t="s">
        <v>1754</v>
      </c>
      <c r="C410" s="3" t="s">
        <v>1755</v>
      </c>
      <c r="D410" s="3" t="s">
        <v>1756</v>
      </c>
      <c r="E410" s="3" t="s">
        <v>1757</v>
      </c>
      <c r="F410" s="3" t="s">
        <v>538</v>
      </c>
      <c r="G410" s="3">
        <v>26</v>
      </c>
      <c r="H410" s="3">
        <v>0</v>
      </c>
      <c r="I410" s="3">
        <v>26</v>
      </c>
      <c r="J410" s="3">
        <v>0</v>
      </c>
      <c r="K410" s="3">
        <v>0</v>
      </c>
      <c r="L410" s="3">
        <v>0</v>
      </c>
      <c r="M410" s="3">
        <v>0</v>
      </c>
      <c r="N410" s="3" t="s">
        <v>539</v>
      </c>
      <c r="O410" s="3">
        <v>0</v>
      </c>
      <c r="P410" s="3">
        <v>0</v>
      </c>
      <c r="Q410" s="3">
        <v>0</v>
      </c>
      <c r="R410" s="3">
        <v>0</v>
      </c>
      <c r="S410" s="3">
        <v>1</v>
      </c>
      <c r="T410" s="3">
        <v>4</v>
      </c>
      <c r="U410" s="3">
        <v>10</v>
      </c>
      <c r="V410" s="3">
        <v>14</v>
      </c>
      <c r="W410" s="3" t="s">
        <v>553</v>
      </c>
      <c r="X410" s="3">
        <v>13.99</v>
      </c>
      <c r="Y410" s="3">
        <v>13.99</v>
      </c>
      <c r="Z410" s="3">
        <v>13.99</v>
      </c>
      <c r="AA410" s="3">
        <v>0</v>
      </c>
      <c r="AB410" s="3" t="s">
        <v>562</v>
      </c>
      <c r="AC410" s="3">
        <v>4</v>
      </c>
      <c r="AD410" s="3">
        <v>11.19</v>
      </c>
      <c r="AE410" s="3">
        <v>126</v>
      </c>
      <c r="AF410" s="3">
        <v>0</v>
      </c>
      <c r="AG410" s="3">
        <v>141.134989</v>
      </c>
      <c r="AH410" s="3">
        <v>0.736842105263157</v>
      </c>
      <c r="AI410" s="3">
        <v>2.000518</v>
      </c>
      <c r="AJ410" s="3" t="s">
        <v>596</v>
      </c>
    </row>
    <row r="411" spans="1:36">
      <c r="A411" s="4">
        <v>43336</v>
      </c>
      <c r="B411" s="3" t="s">
        <v>1758</v>
      </c>
      <c r="C411" s="3" t="s">
        <v>1759</v>
      </c>
      <c r="D411" s="3" t="s">
        <v>1760</v>
      </c>
      <c r="E411" s="3" t="s">
        <v>582</v>
      </c>
      <c r="F411" s="3" t="s">
        <v>538</v>
      </c>
      <c r="G411" s="3">
        <v>4</v>
      </c>
      <c r="H411" s="3">
        <v>0</v>
      </c>
      <c r="I411" s="3">
        <v>0</v>
      </c>
      <c r="J411" s="3">
        <v>4</v>
      </c>
      <c r="K411" s="3">
        <v>0</v>
      </c>
      <c r="L411" s="3">
        <v>0</v>
      </c>
      <c r="M411" s="3">
        <v>0</v>
      </c>
      <c r="N411" s="3" t="s">
        <v>539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 t="s">
        <v>540</v>
      </c>
      <c r="X411" s="3">
        <v>11.98</v>
      </c>
      <c r="Y411" s="3">
        <v>11.98</v>
      </c>
      <c r="Z411" s="3">
        <v>11.98</v>
      </c>
      <c r="AA411" s="3">
        <v>0</v>
      </c>
      <c r="AB411" s="3" t="s">
        <v>541</v>
      </c>
      <c r="AC411" s="3">
        <v>0</v>
      </c>
      <c r="AD411" s="3">
        <v>9.58</v>
      </c>
      <c r="AE411" s="3">
        <v>63</v>
      </c>
      <c r="AF411" s="3">
        <v>0</v>
      </c>
      <c r="AG411" s="3">
        <v>2.802641</v>
      </c>
      <c r="AH411" s="3">
        <v>0</v>
      </c>
      <c r="AI411" s="5">
        <v>0.000232</v>
      </c>
      <c r="AJ411" s="3" t="s">
        <v>548</v>
      </c>
    </row>
    <row r="412" spans="1:36">
      <c r="A412" s="4">
        <v>43336</v>
      </c>
      <c r="B412" s="3" t="s">
        <v>1761</v>
      </c>
      <c r="C412" s="3" t="s">
        <v>1762</v>
      </c>
      <c r="D412" s="3" t="s">
        <v>1763</v>
      </c>
      <c r="E412" s="3" t="s">
        <v>1764</v>
      </c>
      <c r="F412" s="3" t="s">
        <v>538</v>
      </c>
      <c r="G412" s="3">
        <v>19</v>
      </c>
      <c r="H412" s="3">
        <v>0</v>
      </c>
      <c r="I412" s="3">
        <v>1</v>
      </c>
      <c r="J412" s="3">
        <v>12</v>
      </c>
      <c r="K412" s="3">
        <v>6</v>
      </c>
      <c r="L412" s="3">
        <v>0</v>
      </c>
      <c r="M412" s="3">
        <v>0</v>
      </c>
      <c r="N412" s="3" t="s">
        <v>539</v>
      </c>
      <c r="O412" s="3">
        <v>6</v>
      </c>
      <c r="P412" s="3">
        <v>0.83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 t="s">
        <v>540</v>
      </c>
      <c r="X412" s="3">
        <v>22.9</v>
      </c>
      <c r="Y412" s="3">
        <v>22.9</v>
      </c>
      <c r="Z412" s="3">
        <v>22.9</v>
      </c>
      <c r="AA412" s="3">
        <v>0</v>
      </c>
      <c r="AB412" s="3" t="s">
        <v>541</v>
      </c>
      <c r="AC412" s="3">
        <v>0</v>
      </c>
      <c r="AD412" s="3">
        <v>20.24</v>
      </c>
      <c r="AE412" s="3">
        <v>343</v>
      </c>
      <c r="AF412" s="3">
        <v>0</v>
      </c>
      <c r="AG412" s="3">
        <v>273.338393</v>
      </c>
      <c r="AH412" s="3">
        <v>0</v>
      </c>
      <c r="AI412" s="3">
        <v>0.752476</v>
      </c>
      <c r="AJ412" s="3" t="s">
        <v>596</v>
      </c>
    </row>
    <row r="413" spans="1:36">
      <c r="A413" s="4">
        <v>43336</v>
      </c>
      <c r="B413" s="3" t="s">
        <v>1765</v>
      </c>
      <c r="C413" s="3" t="s">
        <v>1766</v>
      </c>
      <c r="D413" s="3" t="s">
        <v>1767</v>
      </c>
      <c r="E413" s="3" t="s">
        <v>612</v>
      </c>
      <c r="F413" s="3" t="s">
        <v>538</v>
      </c>
      <c r="G413" s="3">
        <v>6</v>
      </c>
      <c r="H413" s="3">
        <v>0</v>
      </c>
      <c r="I413" s="3">
        <v>6</v>
      </c>
      <c r="J413" s="3">
        <v>0</v>
      </c>
      <c r="K413" s="3">
        <v>0</v>
      </c>
      <c r="L413" s="3">
        <v>0</v>
      </c>
      <c r="M413" s="3">
        <v>0</v>
      </c>
      <c r="N413" s="3" t="s">
        <v>539</v>
      </c>
      <c r="O413" s="3">
        <v>0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 t="s">
        <v>540</v>
      </c>
      <c r="X413" s="3">
        <v>22.99</v>
      </c>
      <c r="Y413" s="3">
        <v>22.99</v>
      </c>
      <c r="Z413" s="3">
        <v>22.99</v>
      </c>
      <c r="AA413" s="3">
        <v>0</v>
      </c>
      <c r="AB413" s="3" t="s">
        <v>541</v>
      </c>
      <c r="AC413" s="3">
        <v>0</v>
      </c>
      <c r="AD413" s="3">
        <v>0</v>
      </c>
      <c r="AE413" s="3">
        <v>0</v>
      </c>
      <c r="AF413" s="3">
        <v>0</v>
      </c>
      <c r="AG413" s="3">
        <v>0</v>
      </c>
      <c r="AH413" s="3">
        <v>0</v>
      </c>
      <c r="AI413" s="5">
        <v>6e-6</v>
      </c>
      <c r="AJ413" s="3" t="s">
        <v>542</v>
      </c>
    </row>
    <row r="414" spans="1:36">
      <c r="A414" s="4">
        <v>43336</v>
      </c>
      <c r="B414" s="3" t="s">
        <v>228</v>
      </c>
      <c r="C414" s="3" t="s">
        <v>229</v>
      </c>
      <c r="D414" s="3" t="s">
        <v>230</v>
      </c>
      <c r="E414" s="3" t="s">
        <v>231</v>
      </c>
      <c r="F414" s="3" t="s">
        <v>538</v>
      </c>
      <c r="G414" s="3">
        <v>6</v>
      </c>
      <c r="H414" s="3">
        <v>0</v>
      </c>
      <c r="I414" s="3">
        <v>6</v>
      </c>
      <c r="J414" s="3">
        <v>0</v>
      </c>
      <c r="K414" s="3">
        <v>0</v>
      </c>
      <c r="L414" s="3">
        <v>0</v>
      </c>
      <c r="M414" s="3">
        <v>0</v>
      </c>
      <c r="N414" s="3" t="s">
        <v>539</v>
      </c>
      <c r="O414" s="3">
        <v>0</v>
      </c>
      <c r="P414" s="3">
        <v>0</v>
      </c>
      <c r="Q414" s="3">
        <v>0</v>
      </c>
      <c r="R414" s="3">
        <v>0</v>
      </c>
      <c r="S414" s="3">
        <v>8</v>
      </c>
      <c r="T414" s="3">
        <v>18</v>
      </c>
      <c r="U414" s="3">
        <v>20</v>
      </c>
      <c r="V414" s="3">
        <v>31</v>
      </c>
      <c r="W414" s="3"/>
      <c r="X414" s="3">
        <v>16.99</v>
      </c>
      <c r="Y414" s="3">
        <v>16.99</v>
      </c>
      <c r="Z414" s="3">
        <v>16.99</v>
      </c>
      <c r="AA414" s="3">
        <v>0</v>
      </c>
      <c r="AB414" s="3" t="s">
        <v>547</v>
      </c>
      <c r="AC414" s="3">
        <v>8</v>
      </c>
      <c r="AD414" s="3">
        <v>16.99</v>
      </c>
      <c r="AE414" s="3">
        <v>0</v>
      </c>
      <c r="AF414" s="3">
        <v>0</v>
      </c>
      <c r="AG414" s="3">
        <v>0</v>
      </c>
      <c r="AH414" s="3">
        <v>3.35135135135135</v>
      </c>
      <c r="AI414" s="3">
        <v>0.977148</v>
      </c>
      <c r="AJ414" s="3" t="s">
        <v>548</v>
      </c>
    </row>
    <row r="415" spans="1:36">
      <c r="A415" s="4">
        <v>43336</v>
      </c>
      <c r="B415" s="3" t="s">
        <v>491</v>
      </c>
      <c r="C415" s="3" t="s">
        <v>492</v>
      </c>
      <c r="D415" s="3" t="s">
        <v>493</v>
      </c>
      <c r="E415" s="3" t="s">
        <v>494</v>
      </c>
      <c r="F415" s="3" t="s">
        <v>538</v>
      </c>
      <c r="G415" s="3">
        <v>20</v>
      </c>
      <c r="H415" s="3">
        <v>0</v>
      </c>
      <c r="I415" s="3">
        <v>20</v>
      </c>
      <c r="J415" s="3">
        <v>0</v>
      </c>
      <c r="K415" s="3">
        <v>0</v>
      </c>
      <c r="L415" s="3">
        <v>0</v>
      </c>
      <c r="M415" s="3">
        <v>0</v>
      </c>
      <c r="N415" s="3" t="s">
        <v>539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4</v>
      </c>
      <c r="U415" s="3">
        <v>4</v>
      </c>
      <c r="V415" s="3">
        <v>4</v>
      </c>
      <c r="W415" s="3"/>
      <c r="X415" s="3">
        <v>16.99</v>
      </c>
      <c r="Y415" s="3">
        <v>16.99</v>
      </c>
      <c r="Z415" s="3">
        <v>16.99</v>
      </c>
      <c r="AA415" s="3">
        <v>0</v>
      </c>
      <c r="AB415" s="3" t="s">
        <v>547</v>
      </c>
      <c r="AC415" s="3">
        <v>0</v>
      </c>
      <c r="AD415" s="3">
        <v>0</v>
      </c>
      <c r="AE415" s="3">
        <v>0</v>
      </c>
      <c r="AF415" s="3">
        <v>0</v>
      </c>
      <c r="AG415" s="3">
        <v>0</v>
      </c>
      <c r="AH415" s="3">
        <v>0.347826086956521</v>
      </c>
      <c r="AI415" s="3">
        <v>1.46665999999999</v>
      </c>
      <c r="AJ415" s="3" t="s">
        <v>548</v>
      </c>
    </row>
    <row r="416" spans="1:36">
      <c r="A416" s="4">
        <v>43336</v>
      </c>
      <c r="B416" s="3" t="s">
        <v>1768</v>
      </c>
      <c r="C416" s="3" t="s">
        <v>1769</v>
      </c>
      <c r="D416" s="3" t="s">
        <v>1770</v>
      </c>
      <c r="E416" s="3" t="s">
        <v>1771</v>
      </c>
      <c r="F416" s="3" t="s">
        <v>538</v>
      </c>
      <c r="G416" s="3">
        <v>10</v>
      </c>
      <c r="H416" s="3">
        <v>0</v>
      </c>
      <c r="I416" s="3">
        <v>10</v>
      </c>
      <c r="J416" s="3">
        <v>0</v>
      </c>
      <c r="K416" s="3">
        <v>0</v>
      </c>
      <c r="L416" s="3">
        <v>0</v>
      </c>
      <c r="M416" s="3">
        <v>0</v>
      </c>
      <c r="N416" s="3" t="s">
        <v>539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2</v>
      </c>
      <c r="U416" s="3">
        <v>5</v>
      </c>
      <c r="V416" s="3">
        <v>8</v>
      </c>
      <c r="W416" s="3" t="s">
        <v>553</v>
      </c>
      <c r="X416" s="3">
        <v>13.99</v>
      </c>
      <c r="Y416" s="3">
        <v>13.99</v>
      </c>
      <c r="Z416" s="3">
        <v>13.99</v>
      </c>
      <c r="AA416" s="3">
        <v>0</v>
      </c>
      <c r="AB416" s="3" t="s">
        <v>547</v>
      </c>
      <c r="AC416" s="3">
        <v>10</v>
      </c>
      <c r="AD416" s="3">
        <v>13.99</v>
      </c>
      <c r="AE416" s="3">
        <v>0</v>
      </c>
      <c r="AF416" s="3">
        <v>0</v>
      </c>
      <c r="AG416" s="3">
        <v>0</v>
      </c>
      <c r="AH416" s="3">
        <v>0.8</v>
      </c>
      <c r="AI416" s="3">
        <v>0.76943</v>
      </c>
      <c r="AJ416" s="3" t="s">
        <v>596</v>
      </c>
    </row>
    <row r="417" spans="1:36">
      <c r="A417" s="4">
        <v>43336</v>
      </c>
      <c r="B417" s="3" t="s">
        <v>1772</v>
      </c>
      <c r="C417" s="3" t="s">
        <v>1773</v>
      </c>
      <c r="D417" s="3" t="s">
        <v>1774</v>
      </c>
      <c r="E417" s="3" t="s">
        <v>1775</v>
      </c>
      <c r="F417" s="3" t="s">
        <v>538</v>
      </c>
      <c r="G417" s="3">
        <v>10</v>
      </c>
      <c r="H417" s="3">
        <v>0</v>
      </c>
      <c r="I417" s="3">
        <v>10</v>
      </c>
      <c r="J417" s="3">
        <v>0</v>
      </c>
      <c r="K417" s="3">
        <v>0</v>
      </c>
      <c r="L417" s="3">
        <v>0</v>
      </c>
      <c r="M417" s="3">
        <v>0</v>
      </c>
      <c r="N417" s="3" t="s">
        <v>539</v>
      </c>
      <c r="O417" s="3">
        <v>0</v>
      </c>
      <c r="P417" s="3">
        <v>0</v>
      </c>
      <c r="Q417" s="3">
        <v>0</v>
      </c>
      <c r="R417" s="3">
        <v>0</v>
      </c>
      <c r="S417" s="3">
        <v>0</v>
      </c>
      <c r="T417" s="3">
        <v>0</v>
      </c>
      <c r="U417" s="3">
        <v>2</v>
      </c>
      <c r="V417" s="3">
        <v>3</v>
      </c>
      <c r="W417" s="3" t="s">
        <v>553</v>
      </c>
      <c r="X417" s="3">
        <v>16.99</v>
      </c>
      <c r="Y417" s="3">
        <v>16.99</v>
      </c>
      <c r="Z417" s="3">
        <v>16.99</v>
      </c>
      <c r="AA417" s="3">
        <v>0</v>
      </c>
      <c r="AB417" s="3" t="s">
        <v>562</v>
      </c>
      <c r="AC417" s="3">
        <v>0</v>
      </c>
      <c r="AD417" s="3">
        <v>13.59</v>
      </c>
      <c r="AE417" s="3">
        <v>364</v>
      </c>
      <c r="AF417" s="3">
        <v>0</v>
      </c>
      <c r="AG417" s="3">
        <v>103.491961</v>
      </c>
      <c r="AH417" s="3">
        <v>0.4</v>
      </c>
      <c r="AI417" s="3">
        <v>0.94051</v>
      </c>
      <c r="AJ417" s="3" t="s">
        <v>548</v>
      </c>
    </row>
    <row r="418" spans="1:36">
      <c r="A418" s="4">
        <v>43336</v>
      </c>
      <c r="B418" s="3" t="s">
        <v>416</v>
      </c>
      <c r="C418" s="3" t="s">
        <v>417</v>
      </c>
      <c r="D418" s="3" t="s">
        <v>418</v>
      </c>
      <c r="E418" s="3" t="s">
        <v>419</v>
      </c>
      <c r="F418" s="3" t="s">
        <v>538</v>
      </c>
      <c r="G418" s="3">
        <v>62</v>
      </c>
      <c r="H418" s="3">
        <v>0</v>
      </c>
      <c r="I418" s="3">
        <v>62</v>
      </c>
      <c r="J418" s="3">
        <v>0</v>
      </c>
      <c r="K418" s="3">
        <v>0</v>
      </c>
      <c r="L418" s="3">
        <v>0</v>
      </c>
      <c r="M418" s="3">
        <v>0</v>
      </c>
      <c r="N418" s="3" t="s">
        <v>539</v>
      </c>
      <c r="O418" s="3">
        <v>0</v>
      </c>
      <c r="P418" s="3">
        <v>0</v>
      </c>
      <c r="Q418" s="3">
        <v>0</v>
      </c>
      <c r="R418" s="3">
        <v>0</v>
      </c>
      <c r="S418" s="3">
        <v>14</v>
      </c>
      <c r="T418" s="3">
        <v>51</v>
      </c>
      <c r="U418" s="3">
        <v>98</v>
      </c>
      <c r="V418" s="3">
        <v>141</v>
      </c>
      <c r="W418" s="3"/>
      <c r="X418" s="3">
        <v>49.99</v>
      </c>
      <c r="Y418" s="3">
        <v>22.9</v>
      </c>
      <c r="Z418" s="3">
        <v>22.9</v>
      </c>
      <c r="AA418" s="3">
        <v>0</v>
      </c>
      <c r="AB418" s="3" t="s">
        <v>547</v>
      </c>
      <c r="AC418" s="3">
        <v>44</v>
      </c>
      <c r="AD418" s="3">
        <v>22.9</v>
      </c>
      <c r="AE418" s="3">
        <v>0</v>
      </c>
      <c r="AF418" s="3">
        <v>0</v>
      </c>
      <c r="AG418" s="3">
        <v>0</v>
      </c>
      <c r="AH418" s="3">
        <v>2.49557522123893</v>
      </c>
      <c r="AI418" s="3">
        <v>5.511118</v>
      </c>
      <c r="AJ418" s="3" t="s">
        <v>548</v>
      </c>
    </row>
    <row r="419" spans="1:36">
      <c r="A419" s="4">
        <v>43336</v>
      </c>
      <c r="B419" s="3" t="s">
        <v>1776</v>
      </c>
      <c r="C419" s="3" t="s">
        <v>1777</v>
      </c>
      <c r="D419" s="3" t="s">
        <v>1778</v>
      </c>
      <c r="E419" s="3" t="s">
        <v>1779</v>
      </c>
      <c r="F419" s="3" t="s">
        <v>538</v>
      </c>
      <c r="G419" s="3">
        <v>9</v>
      </c>
      <c r="H419" s="3">
        <v>0</v>
      </c>
      <c r="I419" s="3">
        <v>5</v>
      </c>
      <c r="J419" s="3">
        <v>4</v>
      </c>
      <c r="K419" s="3">
        <v>0</v>
      </c>
      <c r="L419" s="3">
        <v>0</v>
      </c>
      <c r="M419" s="3">
        <v>0</v>
      </c>
      <c r="N419" s="3" t="s">
        <v>539</v>
      </c>
      <c r="O419" s="3">
        <v>0</v>
      </c>
      <c r="P419" s="3">
        <v>0</v>
      </c>
      <c r="Q419" s="3">
        <v>0</v>
      </c>
      <c r="R419" s="3">
        <v>0</v>
      </c>
      <c r="S419" s="3">
        <v>0</v>
      </c>
      <c r="T419" s="3">
        <v>0</v>
      </c>
      <c r="U419" s="3">
        <v>0</v>
      </c>
      <c r="V419" s="3">
        <v>1</v>
      </c>
      <c r="W419" s="3" t="s">
        <v>540</v>
      </c>
      <c r="X419" s="3">
        <v>24.99</v>
      </c>
      <c r="Y419" s="3">
        <v>24.99</v>
      </c>
      <c r="Z419" s="3">
        <v>24.99</v>
      </c>
      <c r="AA419" s="3">
        <v>0</v>
      </c>
      <c r="AB419" s="3" t="s">
        <v>541</v>
      </c>
      <c r="AC419" s="3">
        <v>5</v>
      </c>
      <c r="AD419" s="3">
        <v>23.54</v>
      </c>
      <c r="AE419" s="3">
        <v>21</v>
      </c>
      <c r="AF419" s="3">
        <v>0</v>
      </c>
      <c r="AG419" s="3">
        <v>362.305953</v>
      </c>
      <c r="AH419" s="3">
        <v>0.181818181818181</v>
      </c>
      <c r="AI419" s="3">
        <v>1.839798</v>
      </c>
      <c r="AJ419" s="3" t="s">
        <v>548</v>
      </c>
    </row>
    <row r="420" spans="1:36">
      <c r="A420" s="4">
        <v>43336</v>
      </c>
      <c r="B420" s="3" t="s">
        <v>1780</v>
      </c>
      <c r="C420" s="3" t="s">
        <v>1781</v>
      </c>
      <c r="D420" s="3" t="s">
        <v>1782</v>
      </c>
      <c r="E420" s="3" t="s">
        <v>1783</v>
      </c>
      <c r="F420" s="3" t="s">
        <v>538</v>
      </c>
      <c r="G420" s="3">
        <v>4</v>
      </c>
      <c r="H420" s="3">
        <v>0</v>
      </c>
      <c r="I420" s="3">
        <v>1</v>
      </c>
      <c r="J420" s="3">
        <v>0</v>
      </c>
      <c r="K420" s="3">
        <v>0</v>
      </c>
      <c r="L420" s="3">
        <v>3</v>
      </c>
      <c r="M420" s="3">
        <v>0</v>
      </c>
      <c r="N420" s="3" t="s">
        <v>539</v>
      </c>
      <c r="O420" s="3">
        <v>0</v>
      </c>
      <c r="P420" s="3">
        <v>0</v>
      </c>
      <c r="Q420" s="3">
        <v>3</v>
      </c>
      <c r="R420" s="3">
        <v>1.5</v>
      </c>
      <c r="S420" s="3">
        <v>3</v>
      </c>
      <c r="T420" s="3">
        <v>9</v>
      </c>
      <c r="U420" s="3">
        <v>10</v>
      </c>
      <c r="V420" s="3">
        <v>10</v>
      </c>
      <c r="W420" s="3" t="s">
        <v>553</v>
      </c>
      <c r="X420" s="3">
        <v>11.99</v>
      </c>
      <c r="Y420" s="3">
        <v>11.99</v>
      </c>
      <c r="Z420" s="3">
        <v>11.99</v>
      </c>
      <c r="AA420" s="3">
        <v>0</v>
      </c>
      <c r="AB420" s="3" t="s">
        <v>547</v>
      </c>
      <c r="AC420" s="3">
        <v>3</v>
      </c>
      <c r="AD420" s="3">
        <v>11.99</v>
      </c>
      <c r="AE420" s="3">
        <v>0</v>
      </c>
      <c r="AF420" s="3">
        <v>0</v>
      </c>
      <c r="AG420" s="3">
        <v>0</v>
      </c>
      <c r="AH420" s="3">
        <v>0.952380952380952</v>
      </c>
      <c r="AI420" s="3">
        <v>0.28324</v>
      </c>
      <c r="AJ420" s="3" t="s">
        <v>596</v>
      </c>
    </row>
    <row r="421" spans="1:36">
      <c r="A421" s="4">
        <v>43336</v>
      </c>
      <c r="B421" s="3" t="s">
        <v>1784</v>
      </c>
      <c r="C421" s="3" t="s">
        <v>1785</v>
      </c>
      <c r="D421" s="3" t="s">
        <v>1786</v>
      </c>
      <c r="E421" s="3" t="s">
        <v>582</v>
      </c>
      <c r="F421" s="3" t="s">
        <v>538</v>
      </c>
      <c r="G421" s="3">
        <v>4</v>
      </c>
      <c r="H421" s="3">
        <v>0</v>
      </c>
      <c r="I421" s="3">
        <v>0</v>
      </c>
      <c r="J421" s="3">
        <v>4</v>
      </c>
      <c r="K421" s="3">
        <v>0</v>
      </c>
      <c r="L421" s="3">
        <v>0</v>
      </c>
      <c r="M421" s="3">
        <v>0</v>
      </c>
      <c r="N421" s="3" t="s">
        <v>539</v>
      </c>
      <c r="O421" s="3">
        <v>0</v>
      </c>
      <c r="P421" s="3">
        <v>0</v>
      </c>
      <c r="Q421" s="3">
        <v>0</v>
      </c>
      <c r="R421" s="3">
        <v>0</v>
      </c>
      <c r="S421" s="3">
        <v>0</v>
      </c>
      <c r="T421" s="3">
        <v>0</v>
      </c>
      <c r="U421" s="3">
        <v>0</v>
      </c>
      <c r="V421" s="3">
        <v>0</v>
      </c>
      <c r="W421" s="3" t="s">
        <v>540</v>
      </c>
      <c r="X421" s="3">
        <v>9.98</v>
      </c>
      <c r="Y421" s="3">
        <v>9.98</v>
      </c>
      <c r="Z421" s="3">
        <v>9.98</v>
      </c>
      <c r="AA421" s="3">
        <v>0</v>
      </c>
      <c r="AB421" s="3" t="s">
        <v>541</v>
      </c>
      <c r="AC421" s="3">
        <v>0</v>
      </c>
      <c r="AD421" s="3">
        <v>7.98</v>
      </c>
      <c r="AE421" s="3">
        <v>63</v>
      </c>
      <c r="AF421" s="3">
        <v>0</v>
      </c>
      <c r="AG421" s="3">
        <v>2.339591</v>
      </c>
      <c r="AH421" s="3">
        <v>0</v>
      </c>
      <c r="AI421" s="5">
        <v>0.000232</v>
      </c>
      <c r="AJ421" s="3" t="s">
        <v>548</v>
      </c>
    </row>
    <row r="422" spans="1:36">
      <c r="A422" s="4">
        <v>43336</v>
      </c>
      <c r="B422" s="3" t="s">
        <v>1787</v>
      </c>
      <c r="C422" s="3" t="s">
        <v>1788</v>
      </c>
      <c r="D422" s="3" t="s">
        <v>1789</v>
      </c>
      <c r="E422" s="3" t="s">
        <v>1790</v>
      </c>
      <c r="F422" s="3" t="s">
        <v>538</v>
      </c>
      <c r="G422" s="3">
        <v>5</v>
      </c>
      <c r="H422" s="3">
        <v>0</v>
      </c>
      <c r="I422" s="3">
        <v>4</v>
      </c>
      <c r="J422" s="3">
        <v>1</v>
      </c>
      <c r="K422" s="3">
        <v>0</v>
      </c>
      <c r="L422" s="3">
        <v>0</v>
      </c>
      <c r="M422" s="3">
        <v>0</v>
      </c>
      <c r="N422" s="3" t="s">
        <v>539</v>
      </c>
      <c r="O422" s="3">
        <v>0</v>
      </c>
      <c r="P422" s="3">
        <v>0</v>
      </c>
      <c r="Q422" s="3">
        <v>0</v>
      </c>
      <c r="R422" s="3">
        <v>0</v>
      </c>
      <c r="S422" s="3">
        <v>0</v>
      </c>
      <c r="T422" s="3">
        <v>0</v>
      </c>
      <c r="U422" s="3">
        <v>2</v>
      </c>
      <c r="V422" s="3">
        <v>4</v>
      </c>
      <c r="W422" s="3" t="s">
        <v>553</v>
      </c>
      <c r="X422" s="3">
        <v>29.99</v>
      </c>
      <c r="Y422" s="3">
        <v>29.99</v>
      </c>
      <c r="Z422" s="3">
        <v>29.99</v>
      </c>
      <c r="AA422" s="3">
        <v>0</v>
      </c>
      <c r="AB422" s="3" t="s">
        <v>547</v>
      </c>
      <c r="AC422" s="3">
        <v>5</v>
      </c>
      <c r="AD422" s="3">
        <v>29.99</v>
      </c>
      <c r="AE422" s="3">
        <v>0</v>
      </c>
      <c r="AF422" s="3">
        <v>0</v>
      </c>
      <c r="AG422" s="3">
        <v>0</v>
      </c>
      <c r="AH422" s="3">
        <v>0.727272727272727</v>
      </c>
      <c r="AI422" s="3">
        <v>0.56672</v>
      </c>
      <c r="AJ422" s="3" t="s">
        <v>548</v>
      </c>
    </row>
    <row r="423" spans="1:36">
      <c r="A423" s="4">
        <v>43336</v>
      </c>
      <c r="B423" s="3" t="s">
        <v>1791</v>
      </c>
      <c r="C423" s="3" t="s">
        <v>1792</v>
      </c>
      <c r="D423" s="3" t="s">
        <v>1793</v>
      </c>
      <c r="E423" s="3" t="s">
        <v>612</v>
      </c>
      <c r="F423" s="3" t="s">
        <v>538</v>
      </c>
      <c r="G423" s="3">
        <v>6</v>
      </c>
      <c r="H423" s="3">
        <v>0</v>
      </c>
      <c r="I423" s="3">
        <v>6</v>
      </c>
      <c r="J423" s="3">
        <v>0</v>
      </c>
      <c r="K423" s="3">
        <v>0</v>
      </c>
      <c r="L423" s="3">
        <v>0</v>
      </c>
      <c r="M423" s="3">
        <v>0</v>
      </c>
      <c r="N423" s="3" t="s">
        <v>539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 t="s">
        <v>540</v>
      </c>
      <c r="X423" s="3">
        <v>19.99</v>
      </c>
      <c r="Y423" s="3">
        <v>19.99</v>
      </c>
      <c r="Z423" s="3">
        <v>19.99</v>
      </c>
      <c r="AA423" s="3">
        <v>0</v>
      </c>
      <c r="AB423" s="3" t="s">
        <v>541</v>
      </c>
      <c r="AC423" s="3">
        <v>0</v>
      </c>
      <c r="AD423" s="3">
        <v>0</v>
      </c>
      <c r="AE423" s="3">
        <v>0</v>
      </c>
      <c r="AF423" s="3">
        <v>0</v>
      </c>
      <c r="AG423" s="3">
        <v>0</v>
      </c>
      <c r="AH423" s="3">
        <v>0</v>
      </c>
      <c r="AI423" s="5">
        <v>6e-6</v>
      </c>
      <c r="AJ423" s="3" t="s">
        <v>542</v>
      </c>
    </row>
    <row r="424" spans="1:36">
      <c r="A424" s="4">
        <v>43336</v>
      </c>
      <c r="B424" s="3" t="s">
        <v>1794</v>
      </c>
      <c r="C424" s="3" t="s">
        <v>1795</v>
      </c>
      <c r="D424" s="3" t="s">
        <v>1796</v>
      </c>
      <c r="E424" s="3" t="s">
        <v>655</v>
      </c>
      <c r="F424" s="3" t="s">
        <v>538</v>
      </c>
      <c r="G424" s="3">
        <v>5</v>
      </c>
      <c r="H424" s="3">
        <v>0</v>
      </c>
      <c r="I424" s="3">
        <v>5</v>
      </c>
      <c r="J424" s="3">
        <v>0</v>
      </c>
      <c r="K424" s="3">
        <v>0</v>
      </c>
      <c r="L424" s="3">
        <v>0</v>
      </c>
      <c r="M424" s="3">
        <v>0</v>
      </c>
      <c r="N424" s="3" t="s">
        <v>539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0</v>
      </c>
      <c r="W424" s="3" t="s">
        <v>540</v>
      </c>
      <c r="X424" s="3">
        <v>16.99</v>
      </c>
      <c r="Y424" s="3">
        <v>16.99</v>
      </c>
      <c r="Z424" s="3">
        <v>16.99</v>
      </c>
      <c r="AA424" s="3">
        <v>0</v>
      </c>
      <c r="AB424" s="3" t="s">
        <v>541</v>
      </c>
      <c r="AC424" s="3">
        <v>5</v>
      </c>
      <c r="AD424" s="3">
        <v>16.99</v>
      </c>
      <c r="AE424" s="3">
        <v>0</v>
      </c>
      <c r="AF424" s="3">
        <v>0</v>
      </c>
      <c r="AG424" s="3">
        <v>0</v>
      </c>
      <c r="AH424" s="3">
        <v>0</v>
      </c>
      <c r="AI424" s="3">
        <v>0.677109999999999</v>
      </c>
      <c r="AJ424" s="3" t="s">
        <v>542</v>
      </c>
    </row>
    <row r="425" spans="1:36">
      <c r="A425" s="4">
        <v>43336</v>
      </c>
      <c r="B425" s="3" t="s">
        <v>1797</v>
      </c>
      <c r="C425" s="3" t="s">
        <v>1798</v>
      </c>
      <c r="D425" s="3" t="s">
        <v>1799</v>
      </c>
      <c r="E425" s="3" t="s">
        <v>1800</v>
      </c>
      <c r="F425" s="3" t="s">
        <v>538</v>
      </c>
      <c r="G425" s="3">
        <v>5</v>
      </c>
      <c r="H425" s="3">
        <v>0</v>
      </c>
      <c r="I425" s="3">
        <v>5</v>
      </c>
      <c r="J425" s="3">
        <v>0</v>
      </c>
      <c r="K425" s="3">
        <v>0</v>
      </c>
      <c r="L425" s="3">
        <v>0</v>
      </c>
      <c r="M425" s="3">
        <v>0</v>
      </c>
      <c r="N425" s="3" t="s">
        <v>539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2</v>
      </c>
      <c r="V425" s="3">
        <v>3</v>
      </c>
      <c r="W425" s="3" t="s">
        <v>540</v>
      </c>
      <c r="X425" s="3">
        <v>15.99</v>
      </c>
      <c r="Y425" s="3">
        <v>15.99</v>
      </c>
      <c r="Z425" s="3">
        <v>15.99</v>
      </c>
      <c r="AA425" s="3">
        <v>0</v>
      </c>
      <c r="AB425" s="3" t="s">
        <v>541</v>
      </c>
      <c r="AC425" s="3">
        <v>0</v>
      </c>
      <c r="AD425" s="3">
        <v>9.43</v>
      </c>
      <c r="AE425" s="3">
        <v>35</v>
      </c>
      <c r="AF425" s="3">
        <v>0</v>
      </c>
      <c r="AG425" s="3">
        <v>60.201586</v>
      </c>
      <c r="AH425" s="3">
        <v>0.8</v>
      </c>
      <c r="AI425" s="3">
        <v>0.77639</v>
      </c>
      <c r="AJ425" s="3" t="s">
        <v>548</v>
      </c>
    </row>
    <row r="426" spans="1:36">
      <c r="A426" s="4">
        <v>43336</v>
      </c>
      <c r="B426" s="3" t="s">
        <v>1801</v>
      </c>
      <c r="C426" s="3" t="s">
        <v>1802</v>
      </c>
      <c r="D426" s="3" t="s">
        <v>1803</v>
      </c>
      <c r="E426" s="3" t="s">
        <v>1073</v>
      </c>
      <c r="F426" s="3" t="s">
        <v>538</v>
      </c>
      <c r="G426" s="3">
        <v>5</v>
      </c>
      <c r="H426" s="3">
        <v>0</v>
      </c>
      <c r="I426" s="3">
        <v>5</v>
      </c>
      <c r="J426" s="3">
        <v>0</v>
      </c>
      <c r="K426" s="3">
        <v>0</v>
      </c>
      <c r="L426" s="3">
        <v>0</v>
      </c>
      <c r="M426" s="3">
        <v>0</v>
      </c>
      <c r="N426" s="3" t="s">
        <v>539</v>
      </c>
      <c r="O426" s="3">
        <v>0</v>
      </c>
      <c r="P426" s="3">
        <v>0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 t="s">
        <v>540</v>
      </c>
      <c r="X426" s="3">
        <v>19.99</v>
      </c>
      <c r="Y426" s="3">
        <v>19.99</v>
      </c>
      <c r="Z426" s="3">
        <v>19.99</v>
      </c>
      <c r="AA426" s="3">
        <v>0</v>
      </c>
      <c r="AB426" s="3" t="s">
        <v>651</v>
      </c>
      <c r="AC426" s="3">
        <v>5</v>
      </c>
      <c r="AD426" s="3">
        <v>19.99</v>
      </c>
      <c r="AE426" s="3">
        <v>0</v>
      </c>
      <c r="AF426" s="3">
        <v>0</v>
      </c>
      <c r="AG426" s="3">
        <v>0</v>
      </c>
      <c r="AH426" s="3">
        <v>0</v>
      </c>
      <c r="AI426" s="3">
        <v>0.660125</v>
      </c>
      <c r="AJ426" s="3" t="s">
        <v>542</v>
      </c>
    </row>
    <row r="427" spans="1:36">
      <c r="A427" s="4">
        <v>43336</v>
      </c>
      <c r="B427" s="3" t="s">
        <v>1804</v>
      </c>
      <c r="C427" s="3" t="s">
        <v>1805</v>
      </c>
      <c r="D427" s="3" t="s">
        <v>1806</v>
      </c>
      <c r="E427" s="3" t="s">
        <v>1807</v>
      </c>
      <c r="F427" s="3" t="s">
        <v>538</v>
      </c>
      <c r="G427" s="3">
        <v>9</v>
      </c>
      <c r="H427" s="3">
        <v>0</v>
      </c>
      <c r="I427" s="3">
        <v>9</v>
      </c>
      <c r="J427" s="3">
        <v>0</v>
      </c>
      <c r="K427" s="3">
        <v>0</v>
      </c>
      <c r="L427" s="3">
        <v>0</v>
      </c>
      <c r="M427" s="3">
        <v>0</v>
      </c>
      <c r="N427" s="3" t="s">
        <v>539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0</v>
      </c>
      <c r="U427" s="3">
        <v>0</v>
      </c>
      <c r="V427" s="3">
        <v>0</v>
      </c>
      <c r="W427" s="3" t="s">
        <v>553</v>
      </c>
      <c r="X427" s="3">
        <v>14.99</v>
      </c>
      <c r="Y427" s="3">
        <v>14.99</v>
      </c>
      <c r="Z427" s="3">
        <v>14.99</v>
      </c>
      <c r="AA427" s="3">
        <v>0</v>
      </c>
      <c r="AB427" s="3" t="s">
        <v>562</v>
      </c>
      <c r="AC427" s="3">
        <v>0</v>
      </c>
      <c r="AD427" s="3">
        <v>11.99</v>
      </c>
      <c r="AE427" s="3">
        <v>63</v>
      </c>
      <c r="AF427" s="3">
        <v>0</v>
      </c>
      <c r="AG427" s="3">
        <v>368.656854</v>
      </c>
      <c r="AH427" s="3">
        <v>0</v>
      </c>
      <c r="AI427" s="3">
        <v>3.229164</v>
      </c>
      <c r="AJ427" s="3" t="s">
        <v>719</v>
      </c>
    </row>
    <row r="428" spans="1:36">
      <c r="A428" s="4">
        <v>43336</v>
      </c>
      <c r="B428" s="3" t="s">
        <v>1808</v>
      </c>
      <c r="C428" s="3" t="s">
        <v>1809</v>
      </c>
      <c r="D428" s="3" t="s">
        <v>1810</v>
      </c>
      <c r="E428" s="3" t="s">
        <v>1811</v>
      </c>
      <c r="F428" s="3" t="s">
        <v>538</v>
      </c>
      <c r="G428" s="3">
        <v>12</v>
      </c>
      <c r="H428" s="3">
        <v>0</v>
      </c>
      <c r="I428" s="3">
        <v>2</v>
      </c>
      <c r="J428" s="3">
        <v>3</v>
      </c>
      <c r="K428" s="3">
        <v>7</v>
      </c>
      <c r="L428" s="3">
        <v>0</v>
      </c>
      <c r="M428" s="3">
        <v>0</v>
      </c>
      <c r="N428" s="3" t="s">
        <v>539</v>
      </c>
      <c r="O428" s="3">
        <v>10</v>
      </c>
      <c r="P428" s="3">
        <v>4.2</v>
      </c>
      <c r="Q428" s="3">
        <v>0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 t="s">
        <v>540</v>
      </c>
      <c r="X428" s="3">
        <v>35.9</v>
      </c>
      <c r="Y428" s="3">
        <v>35.9</v>
      </c>
      <c r="Z428" s="3">
        <v>35.9</v>
      </c>
      <c r="AA428" s="3">
        <v>0</v>
      </c>
      <c r="AB428" s="3" t="s">
        <v>541</v>
      </c>
      <c r="AC428" s="3">
        <v>12</v>
      </c>
      <c r="AD428" s="3">
        <v>35.9</v>
      </c>
      <c r="AE428" s="3">
        <v>0</v>
      </c>
      <c r="AF428" s="3">
        <v>0</v>
      </c>
      <c r="AG428" s="3">
        <v>0</v>
      </c>
      <c r="AH428" s="3">
        <v>0</v>
      </c>
      <c r="AI428" s="3">
        <v>1.45842</v>
      </c>
      <c r="AJ428" s="3" t="s">
        <v>548</v>
      </c>
    </row>
    <row r="429" spans="1:36">
      <c r="A429" s="4">
        <v>43336</v>
      </c>
      <c r="B429" s="3" t="s">
        <v>264</v>
      </c>
      <c r="C429" s="3" t="s">
        <v>265</v>
      </c>
      <c r="D429" s="3" t="s">
        <v>266</v>
      </c>
      <c r="E429" s="3" t="s">
        <v>267</v>
      </c>
      <c r="F429" s="3" t="s">
        <v>538</v>
      </c>
      <c r="G429" s="3">
        <v>12</v>
      </c>
      <c r="H429" s="3">
        <v>0</v>
      </c>
      <c r="I429" s="3">
        <v>12</v>
      </c>
      <c r="J429" s="3">
        <v>0</v>
      </c>
      <c r="K429" s="3">
        <v>0</v>
      </c>
      <c r="L429" s="3">
        <v>0</v>
      </c>
      <c r="M429" s="3">
        <v>0</v>
      </c>
      <c r="N429" s="3" t="s">
        <v>539</v>
      </c>
      <c r="O429" s="3">
        <v>0</v>
      </c>
      <c r="P429" s="3">
        <v>0</v>
      </c>
      <c r="Q429" s="3">
        <v>0</v>
      </c>
      <c r="R429" s="3">
        <v>0</v>
      </c>
      <c r="S429" s="3">
        <v>3</v>
      </c>
      <c r="T429" s="3">
        <v>9</v>
      </c>
      <c r="U429" s="3">
        <v>12</v>
      </c>
      <c r="V429" s="3">
        <v>18</v>
      </c>
      <c r="W429" s="3"/>
      <c r="X429" s="3">
        <v>21.4</v>
      </c>
      <c r="Y429" s="3">
        <v>7.9</v>
      </c>
      <c r="Z429" s="3">
        <v>7.9</v>
      </c>
      <c r="AA429" s="3">
        <v>0</v>
      </c>
      <c r="AB429" s="3" t="s">
        <v>547</v>
      </c>
      <c r="AC429" s="3">
        <v>2</v>
      </c>
      <c r="AD429" s="3">
        <v>7.9</v>
      </c>
      <c r="AE429" s="3">
        <v>0</v>
      </c>
      <c r="AF429" s="3">
        <v>0</v>
      </c>
      <c r="AG429" s="3">
        <v>0</v>
      </c>
      <c r="AH429" s="3">
        <v>3.42857142857142</v>
      </c>
      <c r="AI429" s="3">
        <v>0.456756</v>
      </c>
      <c r="AJ429" s="3" t="s">
        <v>548</v>
      </c>
    </row>
    <row r="430" spans="1:36">
      <c r="A430" s="4">
        <v>43336</v>
      </c>
      <c r="B430" s="3" t="s">
        <v>1812</v>
      </c>
      <c r="C430" s="3" t="s">
        <v>1813</v>
      </c>
      <c r="D430" s="3" t="s">
        <v>1814</v>
      </c>
      <c r="E430" s="3" t="s">
        <v>582</v>
      </c>
      <c r="F430" s="3" t="s">
        <v>538</v>
      </c>
      <c r="G430" s="3">
        <v>4</v>
      </c>
      <c r="H430" s="3">
        <v>0</v>
      </c>
      <c r="I430" s="3">
        <v>0</v>
      </c>
      <c r="J430" s="3">
        <v>4</v>
      </c>
      <c r="K430" s="3">
        <v>0</v>
      </c>
      <c r="L430" s="3">
        <v>0</v>
      </c>
      <c r="M430" s="3">
        <v>0</v>
      </c>
      <c r="N430" s="3" t="s">
        <v>539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 t="s">
        <v>540</v>
      </c>
      <c r="X430" s="3">
        <v>9.98</v>
      </c>
      <c r="Y430" s="3">
        <v>9.98</v>
      </c>
      <c r="Z430" s="3">
        <v>9.98</v>
      </c>
      <c r="AA430" s="3">
        <v>0</v>
      </c>
      <c r="AB430" s="3" t="s">
        <v>541</v>
      </c>
      <c r="AC430" s="3">
        <v>0</v>
      </c>
      <c r="AD430" s="3">
        <v>7.98</v>
      </c>
      <c r="AE430" s="3">
        <v>63</v>
      </c>
      <c r="AF430" s="3">
        <v>0</v>
      </c>
      <c r="AG430" s="3">
        <v>2.339591</v>
      </c>
      <c r="AH430" s="3">
        <v>0</v>
      </c>
      <c r="AI430" s="5">
        <v>0.000232</v>
      </c>
      <c r="AJ430" s="3" t="s">
        <v>548</v>
      </c>
    </row>
    <row r="431" spans="1:36">
      <c r="A431" s="4">
        <v>43336</v>
      </c>
      <c r="B431" s="3" t="s">
        <v>1815</v>
      </c>
      <c r="C431" s="3" t="s">
        <v>1816</v>
      </c>
      <c r="D431" s="3" t="s">
        <v>1817</v>
      </c>
      <c r="E431" s="3" t="s">
        <v>19</v>
      </c>
      <c r="F431" s="3" t="s">
        <v>538</v>
      </c>
      <c r="G431" s="3">
        <v>44</v>
      </c>
      <c r="H431" s="3">
        <v>0</v>
      </c>
      <c r="I431" s="3">
        <v>44</v>
      </c>
      <c r="J431" s="3">
        <v>0</v>
      </c>
      <c r="K431" s="3">
        <v>0</v>
      </c>
      <c r="L431" s="3">
        <v>0</v>
      </c>
      <c r="M431" s="3">
        <v>0</v>
      </c>
      <c r="N431" s="3" t="s">
        <v>539</v>
      </c>
      <c r="O431" s="3">
        <v>0</v>
      </c>
      <c r="P431" s="3">
        <v>0</v>
      </c>
      <c r="Q431" s="3">
        <v>0</v>
      </c>
      <c r="R431" s="3">
        <v>0</v>
      </c>
      <c r="S431" s="3">
        <v>0</v>
      </c>
      <c r="T431" s="3">
        <v>3</v>
      </c>
      <c r="U431" s="3">
        <v>5</v>
      </c>
      <c r="V431" s="3">
        <v>5</v>
      </c>
      <c r="W431" s="3" t="s">
        <v>553</v>
      </c>
      <c r="X431" s="3">
        <v>15.99</v>
      </c>
      <c r="Y431" s="3">
        <v>15.99</v>
      </c>
      <c r="Z431" s="3">
        <v>15.99</v>
      </c>
      <c r="AA431" s="3">
        <v>0</v>
      </c>
      <c r="AB431" s="3" t="s">
        <v>547</v>
      </c>
      <c r="AC431" s="3">
        <v>44</v>
      </c>
      <c r="AD431" s="3">
        <v>15.99</v>
      </c>
      <c r="AE431" s="3">
        <v>0</v>
      </c>
      <c r="AF431" s="3">
        <v>0</v>
      </c>
      <c r="AG431" s="3">
        <v>0</v>
      </c>
      <c r="AH431" s="3">
        <v>0.140845070422535</v>
      </c>
      <c r="AI431" s="3">
        <v>2.920368</v>
      </c>
      <c r="AJ431" s="3" t="s">
        <v>596</v>
      </c>
    </row>
    <row r="432" spans="1:36">
      <c r="A432" s="4">
        <v>43336</v>
      </c>
      <c r="B432" s="3" t="s">
        <v>1818</v>
      </c>
      <c r="C432" s="3" t="s">
        <v>1819</v>
      </c>
      <c r="D432" s="3" t="s">
        <v>1820</v>
      </c>
      <c r="E432" s="3" t="s">
        <v>66</v>
      </c>
      <c r="F432" s="3" t="s">
        <v>538</v>
      </c>
      <c r="G432" s="3">
        <v>6</v>
      </c>
      <c r="H432" s="3">
        <v>0</v>
      </c>
      <c r="I432" s="3">
        <v>6</v>
      </c>
      <c r="J432" s="3">
        <v>0</v>
      </c>
      <c r="K432" s="3">
        <v>0</v>
      </c>
      <c r="L432" s="3">
        <v>0</v>
      </c>
      <c r="M432" s="3">
        <v>0</v>
      </c>
      <c r="N432" s="3" t="s">
        <v>539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4</v>
      </c>
      <c r="U432" s="3">
        <v>4</v>
      </c>
      <c r="V432" s="3">
        <v>4</v>
      </c>
      <c r="W432" s="3" t="s">
        <v>540</v>
      </c>
      <c r="X432" s="3">
        <v>15.99</v>
      </c>
      <c r="Y432" s="3">
        <v>15.99</v>
      </c>
      <c r="Z432" s="3">
        <v>15.99</v>
      </c>
      <c r="AA432" s="3">
        <v>0</v>
      </c>
      <c r="AB432" s="3" t="s">
        <v>541</v>
      </c>
      <c r="AC432" s="3">
        <v>6</v>
      </c>
      <c r="AD432" s="3">
        <v>15.99</v>
      </c>
      <c r="AE432" s="3">
        <v>0</v>
      </c>
      <c r="AF432" s="3">
        <v>0</v>
      </c>
      <c r="AG432" s="3">
        <v>0</v>
      </c>
      <c r="AH432" s="3">
        <v>1.33333333333333</v>
      </c>
      <c r="AI432" s="3">
        <v>0.576918</v>
      </c>
      <c r="AJ432" s="3" t="s">
        <v>542</v>
      </c>
    </row>
    <row r="433" spans="1:36">
      <c r="A433" s="4">
        <v>43336</v>
      </c>
      <c r="B433" s="3" t="s">
        <v>135</v>
      </c>
      <c r="C433" s="3" t="s">
        <v>136</v>
      </c>
      <c r="D433" s="3" t="s">
        <v>137</v>
      </c>
      <c r="E433" s="3" t="s">
        <v>138</v>
      </c>
      <c r="F433" s="3" t="s">
        <v>538</v>
      </c>
      <c r="G433" s="3">
        <v>9</v>
      </c>
      <c r="H433" s="3">
        <v>0</v>
      </c>
      <c r="I433" s="3">
        <v>9</v>
      </c>
      <c r="J433" s="3">
        <v>0</v>
      </c>
      <c r="K433" s="3">
        <v>0</v>
      </c>
      <c r="L433" s="3">
        <v>0</v>
      </c>
      <c r="M433" s="3">
        <v>0</v>
      </c>
      <c r="N433" s="3" t="s">
        <v>539</v>
      </c>
      <c r="O433" s="3">
        <v>0</v>
      </c>
      <c r="P433" s="3">
        <v>0</v>
      </c>
      <c r="Q433" s="3">
        <v>0</v>
      </c>
      <c r="R433" s="3">
        <v>0</v>
      </c>
      <c r="S433" s="3">
        <v>0</v>
      </c>
      <c r="T433" s="3">
        <v>1</v>
      </c>
      <c r="U433" s="3">
        <v>1</v>
      </c>
      <c r="V433" s="3">
        <v>1</v>
      </c>
      <c r="W433" s="3"/>
      <c r="X433" s="3">
        <v>15.99</v>
      </c>
      <c r="Y433" s="3">
        <v>15.99</v>
      </c>
      <c r="Z433" s="3">
        <v>15.99</v>
      </c>
      <c r="AA433" s="3">
        <v>0</v>
      </c>
      <c r="AB433" s="3" t="s">
        <v>547</v>
      </c>
      <c r="AC433" s="3">
        <v>9</v>
      </c>
      <c r="AD433" s="3">
        <v>15.99</v>
      </c>
      <c r="AE433" s="3">
        <v>0</v>
      </c>
      <c r="AF433" s="3">
        <v>0</v>
      </c>
      <c r="AG433" s="3">
        <v>0</v>
      </c>
      <c r="AH433" s="3">
        <v>0.222222222222222</v>
      </c>
      <c r="AI433" s="3">
        <v>1.37067299999999</v>
      </c>
      <c r="AJ433" s="3" t="s">
        <v>548</v>
      </c>
    </row>
    <row r="434" spans="1:36">
      <c r="A434" s="4">
        <v>43336</v>
      </c>
      <c r="B434" s="3" t="s">
        <v>1821</v>
      </c>
      <c r="C434" s="3" t="s">
        <v>1822</v>
      </c>
      <c r="D434" s="3" t="s">
        <v>1823</v>
      </c>
      <c r="E434" s="3" t="s">
        <v>537</v>
      </c>
      <c r="F434" s="3" t="s">
        <v>538</v>
      </c>
      <c r="G434" s="3">
        <v>5</v>
      </c>
      <c r="H434" s="3">
        <v>0</v>
      </c>
      <c r="I434" s="3">
        <v>5</v>
      </c>
      <c r="J434" s="3">
        <v>0</v>
      </c>
      <c r="K434" s="3">
        <v>0</v>
      </c>
      <c r="L434" s="3">
        <v>0</v>
      </c>
      <c r="M434" s="3">
        <v>0</v>
      </c>
      <c r="N434" s="3" t="s">
        <v>539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 t="s">
        <v>540</v>
      </c>
      <c r="X434" s="3">
        <v>22.99</v>
      </c>
      <c r="Y434" s="3">
        <v>22.99</v>
      </c>
      <c r="Z434" s="3">
        <v>22.99</v>
      </c>
      <c r="AA434" s="3">
        <v>0</v>
      </c>
      <c r="AB434" s="3" t="s">
        <v>541</v>
      </c>
      <c r="AC434" s="3">
        <v>0</v>
      </c>
      <c r="AD434" s="3">
        <v>17.59</v>
      </c>
      <c r="AE434" s="3">
        <v>63</v>
      </c>
      <c r="AF434" s="3">
        <v>0</v>
      </c>
      <c r="AG434" s="3">
        <v>6.364378</v>
      </c>
      <c r="AH434" s="3">
        <v>0</v>
      </c>
      <c r="AI434" s="3">
        <v>0.61292</v>
      </c>
      <c r="AJ434" s="3" t="s">
        <v>542</v>
      </c>
    </row>
    <row r="435" spans="1:36">
      <c r="A435" s="4">
        <v>43336</v>
      </c>
      <c r="B435" s="3" t="s">
        <v>143</v>
      </c>
      <c r="C435" s="3" t="s">
        <v>144</v>
      </c>
      <c r="D435" s="3" t="s">
        <v>145</v>
      </c>
      <c r="E435" s="3" t="s">
        <v>146</v>
      </c>
      <c r="F435" s="3" t="s">
        <v>538</v>
      </c>
      <c r="G435" s="3">
        <v>531</v>
      </c>
      <c r="H435" s="3">
        <v>0</v>
      </c>
      <c r="I435" s="3">
        <v>531</v>
      </c>
      <c r="J435" s="3">
        <v>0</v>
      </c>
      <c r="K435" s="3">
        <v>0</v>
      </c>
      <c r="L435" s="3">
        <v>0</v>
      </c>
      <c r="M435" s="3">
        <v>0</v>
      </c>
      <c r="N435" s="3" t="s">
        <v>539</v>
      </c>
      <c r="O435" s="3">
        <v>0</v>
      </c>
      <c r="P435" s="3">
        <v>0</v>
      </c>
      <c r="Q435" s="3">
        <v>0</v>
      </c>
      <c r="R435" s="3">
        <v>0</v>
      </c>
      <c r="S435" s="3">
        <v>233</v>
      </c>
      <c r="T435" s="3">
        <v>1169</v>
      </c>
      <c r="U435" s="3">
        <v>1922</v>
      </c>
      <c r="V435" s="3">
        <v>2541</v>
      </c>
      <c r="W435" s="3"/>
      <c r="X435" s="3">
        <v>60.99</v>
      </c>
      <c r="Y435" s="3">
        <v>22.99</v>
      </c>
      <c r="Z435" s="3">
        <v>22.99</v>
      </c>
      <c r="AA435" s="3">
        <v>0</v>
      </c>
      <c r="AB435" s="3" t="s">
        <v>547</v>
      </c>
      <c r="AC435" s="3">
        <v>621</v>
      </c>
      <c r="AD435" s="3">
        <v>22.99</v>
      </c>
      <c r="AE435" s="3">
        <v>0</v>
      </c>
      <c r="AF435" s="3">
        <v>0</v>
      </c>
      <c r="AG435" s="3">
        <v>0</v>
      </c>
      <c r="AH435" s="3">
        <v>10.698947368421</v>
      </c>
      <c r="AI435" s="3">
        <v>16.670745</v>
      </c>
      <c r="AJ435" s="3" t="s">
        <v>596</v>
      </c>
    </row>
    <row r="436" spans="1:36">
      <c r="A436" s="4">
        <v>43336</v>
      </c>
      <c r="B436" s="3" t="s">
        <v>1824</v>
      </c>
      <c r="C436" s="3" t="s">
        <v>1825</v>
      </c>
      <c r="D436" s="3" t="s">
        <v>1826</v>
      </c>
      <c r="E436" s="3" t="s">
        <v>1073</v>
      </c>
      <c r="F436" s="3" t="s">
        <v>538</v>
      </c>
      <c r="G436" s="3">
        <v>5</v>
      </c>
      <c r="H436" s="3">
        <v>0</v>
      </c>
      <c r="I436" s="3">
        <v>5</v>
      </c>
      <c r="J436" s="3">
        <v>0</v>
      </c>
      <c r="K436" s="3">
        <v>0</v>
      </c>
      <c r="L436" s="3">
        <v>0</v>
      </c>
      <c r="M436" s="3">
        <v>0</v>
      </c>
      <c r="N436" s="3" t="s">
        <v>539</v>
      </c>
      <c r="O436" s="3">
        <v>0</v>
      </c>
      <c r="P436" s="3">
        <v>0</v>
      </c>
      <c r="Q436" s="3">
        <v>0</v>
      </c>
      <c r="R436" s="3">
        <v>0</v>
      </c>
      <c r="S436" s="3">
        <v>0</v>
      </c>
      <c r="T436" s="3">
        <v>0</v>
      </c>
      <c r="U436" s="3">
        <v>0</v>
      </c>
      <c r="V436" s="3">
        <v>0</v>
      </c>
      <c r="W436" s="3" t="s">
        <v>540</v>
      </c>
      <c r="X436" s="3">
        <v>19.99</v>
      </c>
      <c r="Y436" s="3">
        <v>19.99</v>
      </c>
      <c r="Z436" s="3">
        <v>19.99</v>
      </c>
      <c r="AA436" s="3">
        <v>0</v>
      </c>
      <c r="AB436" s="3" t="s">
        <v>651</v>
      </c>
      <c r="AC436" s="3">
        <v>5</v>
      </c>
      <c r="AD436" s="3">
        <v>19.99</v>
      </c>
      <c r="AE436" s="3">
        <v>0</v>
      </c>
      <c r="AF436" s="3">
        <v>0</v>
      </c>
      <c r="AG436" s="3">
        <v>0</v>
      </c>
      <c r="AH436" s="3">
        <v>0</v>
      </c>
      <c r="AI436" s="3">
        <v>0.731745</v>
      </c>
      <c r="AJ436" s="3" t="s">
        <v>542</v>
      </c>
    </row>
    <row r="437" spans="1:36">
      <c r="A437" s="4">
        <v>43336</v>
      </c>
      <c r="B437" s="3" t="s">
        <v>1827</v>
      </c>
      <c r="C437" s="3" t="s">
        <v>1828</v>
      </c>
      <c r="D437" s="3" t="s">
        <v>1829</v>
      </c>
      <c r="E437" s="3" t="s">
        <v>1830</v>
      </c>
      <c r="F437" s="3" t="s">
        <v>538</v>
      </c>
      <c r="G437" s="3">
        <v>5</v>
      </c>
      <c r="H437" s="3">
        <v>0</v>
      </c>
      <c r="I437" s="3">
        <v>1</v>
      </c>
      <c r="J437" s="3">
        <v>0</v>
      </c>
      <c r="K437" s="3">
        <v>4</v>
      </c>
      <c r="L437" s="3">
        <v>0</v>
      </c>
      <c r="M437" s="3">
        <v>0</v>
      </c>
      <c r="N437" s="3" t="s">
        <v>539</v>
      </c>
      <c r="O437" s="3">
        <v>4</v>
      </c>
      <c r="P437" s="3">
        <v>0.53</v>
      </c>
      <c r="Q437" s="3">
        <v>0</v>
      </c>
      <c r="R437" s="3">
        <v>0</v>
      </c>
      <c r="S437" s="3">
        <v>0</v>
      </c>
      <c r="T437" s="3">
        <v>1</v>
      </c>
      <c r="U437" s="3">
        <v>2</v>
      </c>
      <c r="V437" s="3">
        <v>4</v>
      </c>
      <c r="W437" s="3" t="s">
        <v>540</v>
      </c>
      <c r="X437" s="3">
        <v>22.7</v>
      </c>
      <c r="Y437" s="3">
        <v>22.7</v>
      </c>
      <c r="Z437" s="3">
        <v>22.7</v>
      </c>
      <c r="AA437" s="3">
        <v>0</v>
      </c>
      <c r="AB437" s="3" t="s">
        <v>541</v>
      </c>
      <c r="AC437" s="3">
        <v>5</v>
      </c>
      <c r="AD437" s="3">
        <v>22.7</v>
      </c>
      <c r="AE437" s="3">
        <v>0</v>
      </c>
      <c r="AF437" s="3">
        <v>0</v>
      </c>
      <c r="AG437" s="3">
        <v>0</v>
      </c>
      <c r="AH437" s="3">
        <v>0.64</v>
      </c>
      <c r="AI437" s="3">
        <v>0.193435</v>
      </c>
      <c r="AJ437" s="3" t="s">
        <v>596</v>
      </c>
    </row>
    <row r="438" spans="1:36">
      <c r="A438" s="4">
        <v>43336</v>
      </c>
      <c r="B438" s="3" t="s">
        <v>1831</v>
      </c>
      <c r="C438" s="3" t="s">
        <v>1832</v>
      </c>
      <c r="D438" s="3" t="s">
        <v>1833</v>
      </c>
      <c r="E438" s="3" t="s">
        <v>1834</v>
      </c>
      <c r="F438" s="3" t="s">
        <v>538</v>
      </c>
      <c r="G438" s="3">
        <v>9</v>
      </c>
      <c r="H438" s="3">
        <v>0</v>
      </c>
      <c r="I438" s="3">
        <v>0</v>
      </c>
      <c r="J438" s="3">
        <v>0</v>
      </c>
      <c r="K438" s="3">
        <v>9</v>
      </c>
      <c r="L438" s="3">
        <v>0</v>
      </c>
      <c r="M438" s="3">
        <v>0</v>
      </c>
      <c r="N438" s="3" t="s">
        <v>539</v>
      </c>
      <c r="O438" s="3">
        <v>9</v>
      </c>
      <c r="P438" s="3">
        <v>3.79</v>
      </c>
      <c r="Q438" s="3">
        <v>0</v>
      </c>
      <c r="R438" s="3">
        <v>0</v>
      </c>
      <c r="S438" s="3">
        <v>0</v>
      </c>
      <c r="T438" s="3">
        <v>1</v>
      </c>
      <c r="U438" s="3">
        <v>1</v>
      </c>
      <c r="V438" s="3">
        <v>1</v>
      </c>
      <c r="W438" s="3" t="s">
        <v>540</v>
      </c>
      <c r="X438" s="3">
        <v>9.99</v>
      </c>
      <c r="Y438" s="3">
        <v>9.99</v>
      </c>
      <c r="Z438" s="3">
        <v>9.99</v>
      </c>
      <c r="AA438" s="3">
        <v>0</v>
      </c>
      <c r="AB438" s="3" t="s">
        <v>562</v>
      </c>
      <c r="AC438" s="3">
        <v>4</v>
      </c>
      <c r="AD438" s="3">
        <v>9.45</v>
      </c>
      <c r="AE438" s="3">
        <v>28</v>
      </c>
      <c r="AF438" s="3">
        <v>0</v>
      </c>
      <c r="AG438" s="3">
        <v>182.256278</v>
      </c>
      <c r="AH438" s="3">
        <v>0.102564102564102</v>
      </c>
      <c r="AI438" s="3">
        <v>1.100025</v>
      </c>
      <c r="AJ438" s="3" t="s">
        <v>596</v>
      </c>
    </row>
    <row r="439" spans="1:36">
      <c r="A439" s="4">
        <v>43336</v>
      </c>
      <c r="B439" s="3" t="s">
        <v>1835</v>
      </c>
      <c r="C439" s="3" t="s">
        <v>1836</v>
      </c>
      <c r="D439" s="3" t="s">
        <v>1837</v>
      </c>
      <c r="E439" s="3" t="s">
        <v>1838</v>
      </c>
      <c r="F439" s="3" t="s">
        <v>538</v>
      </c>
      <c r="G439" s="3">
        <v>3</v>
      </c>
      <c r="H439" s="3">
        <v>0</v>
      </c>
      <c r="I439" s="3">
        <v>3</v>
      </c>
      <c r="J439" s="3">
        <v>0</v>
      </c>
      <c r="K439" s="3">
        <v>0</v>
      </c>
      <c r="L439" s="3">
        <v>0</v>
      </c>
      <c r="M439" s="3">
        <v>0</v>
      </c>
      <c r="N439" s="3" t="s">
        <v>539</v>
      </c>
      <c r="O439" s="3">
        <v>0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 t="s">
        <v>553</v>
      </c>
      <c r="X439" s="3">
        <v>34.9</v>
      </c>
      <c r="Y439" s="3">
        <v>34.9</v>
      </c>
      <c r="Z439" s="3">
        <v>34.9</v>
      </c>
      <c r="AA439" s="3">
        <v>0</v>
      </c>
      <c r="AB439" s="3" t="s">
        <v>547</v>
      </c>
      <c r="AC439" s="3">
        <v>3</v>
      </c>
      <c r="AD439" s="3">
        <v>34.9</v>
      </c>
      <c r="AE439" s="3">
        <v>0</v>
      </c>
      <c r="AF439" s="3">
        <v>0</v>
      </c>
      <c r="AG439" s="3">
        <v>0</v>
      </c>
      <c r="AH439" s="3">
        <v>0</v>
      </c>
      <c r="AI439" s="3">
        <v>0.583116</v>
      </c>
      <c r="AJ439" s="3" t="s">
        <v>548</v>
      </c>
    </row>
    <row r="440" spans="1:36">
      <c r="A440" s="4">
        <v>43336</v>
      </c>
      <c r="B440" s="3" t="s">
        <v>1839</v>
      </c>
      <c r="C440" s="3" t="s">
        <v>1840</v>
      </c>
      <c r="D440" s="3" t="s">
        <v>1841</v>
      </c>
      <c r="E440" s="3" t="s">
        <v>1842</v>
      </c>
      <c r="F440" s="3" t="s">
        <v>538</v>
      </c>
      <c r="G440" s="3">
        <v>42</v>
      </c>
      <c r="H440" s="3">
        <v>0</v>
      </c>
      <c r="I440" s="3">
        <v>2</v>
      </c>
      <c r="J440" s="3">
        <v>0</v>
      </c>
      <c r="K440" s="3">
        <v>2</v>
      </c>
      <c r="L440" s="3">
        <v>38</v>
      </c>
      <c r="M440" s="3">
        <v>0</v>
      </c>
      <c r="N440" s="3" t="s">
        <v>539</v>
      </c>
      <c r="O440" s="3">
        <v>40</v>
      </c>
      <c r="P440" s="3">
        <v>4.4</v>
      </c>
      <c r="Q440" s="3">
        <v>0</v>
      </c>
      <c r="R440" s="3">
        <v>0</v>
      </c>
      <c r="S440" s="3">
        <v>3</v>
      </c>
      <c r="T440" s="3">
        <v>4</v>
      </c>
      <c r="U440" s="3">
        <v>7</v>
      </c>
      <c r="V440" s="3">
        <v>18</v>
      </c>
      <c r="W440" s="3"/>
      <c r="X440" s="3">
        <v>9.99</v>
      </c>
      <c r="Y440" s="3">
        <v>9.99</v>
      </c>
      <c r="Z440" s="3">
        <v>9.99</v>
      </c>
      <c r="AA440" s="3">
        <v>0</v>
      </c>
      <c r="AB440" s="3" t="s">
        <v>562</v>
      </c>
      <c r="AC440" s="3">
        <v>26</v>
      </c>
      <c r="AD440" s="3">
        <v>9.29</v>
      </c>
      <c r="AE440" s="3">
        <v>105</v>
      </c>
      <c r="AF440" s="3">
        <v>0</v>
      </c>
      <c r="AG440" s="3">
        <v>3.634736</v>
      </c>
      <c r="AH440" s="3">
        <v>0.371134020618556</v>
      </c>
      <c r="AI440" s="3">
        <v>1.343454</v>
      </c>
      <c r="AJ440" s="3" t="s">
        <v>548</v>
      </c>
    </row>
    <row r="441" spans="1:36">
      <c r="A441" s="4">
        <v>43336</v>
      </c>
      <c r="B441" s="3" t="s">
        <v>1843</v>
      </c>
      <c r="C441" s="3" t="s">
        <v>1844</v>
      </c>
      <c r="D441" s="3" t="s">
        <v>1845</v>
      </c>
      <c r="E441" s="3" t="s">
        <v>1846</v>
      </c>
      <c r="F441" s="3" t="s">
        <v>538</v>
      </c>
      <c r="G441" s="3">
        <v>26</v>
      </c>
      <c r="H441" s="3">
        <v>0</v>
      </c>
      <c r="I441" s="3">
        <v>0</v>
      </c>
      <c r="J441" s="3">
        <v>0</v>
      </c>
      <c r="K441" s="3">
        <v>26</v>
      </c>
      <c r="L441" s="3">
        <v>0</v>
      </c>
      <c r="M441" s="3">
        <v>0</v>
      </c>
      <c r="N441" s="3" t="s">
        <v>539</v>
      </c>
      <c r="O441" s="3">
        <v>26</v>
      </c>
      <c r="P441" s="3">
        <v>3.54</v>
      </c>
      <c r="Q441" s="3">
        <v>0</v>
      </c>
      <c r="R441" s="3">
        <v>0</v>
      </c>
      <c r="S441" s="3">
        <v>0</v>
      </c>
      <c r="T441" s="3">
        <v>0</v>
      </c>
      <c r="U441" s="3">
        <v>1</v>
      </c>
      <c r="V441" s="3">
        <v>2</v>
      </c>
      <c r="W441" s="3" t="s">
        <v>540</v>
      </c>
      <c r="X441" s="3">
        <v>22.9</v>
      </c>
      <c r="Y441" s="3">
        <v>22.9</v>
      </c>
      <c r="Z441" s="3">
        <v>22.9</v>
      </c>
      <c r="AA441" s="3">
        <v>0</v>
      </c>
      <c r="AB441" s="3" t="s">
        <v>541</v>
      </c>
      <c r="AC441" s="3">
        <v>12</v>
      </c>
      <c r="AD441" s="3">
        <v>18.32</v>
      </c>
      <c r="AE441" s="3">
        <v>364</v>
      </c>
      <c r="AF441" s="3">
        <v>0</v>
      </c>
      <c r="AG441" s="3">
        <v>26.52995</v>
      </c>
      <c r="AH441" s="3">
        <v>0.0747663551401869</v>
      </c>
      <c r="AI441" s="3">
        <v>1.018706</v>
      </c>
      <c r="AJ441" s="3" t="s">
        <v>596</v>
      </c>
    </row>
    <row r="442" spans="1:36">
      <c r="A442" s="4">
        <v>43336</v>
      </c>
      <c r="B442" s="3" t="s">
        <v>1847</v>
      </c>
      <c r="C442" s="3" t="s">
        <v>1848</v>
      </c>
      <c r="D442" s="3" t="s">
        <v>1849</v>
      </c>
      <c r="E442" s="3" t="s">
        <v>1850</v>
      </c>
      <c r="F442" s="3" t="s">
        <v>538</v>
      </c>
      <c r="G442" s="3">
        <v>7</v>
      </c>
      <c r="H442" s="3">
        <v>0</v>
      </c>
      <c r="I442" s="3">
        <v>0</v>
      </c>
      <c r="J442" s="3">
        <v>0</v>
      </c>
      <c r="K442" s="3">
        <v>0</v>
      </c>
      <c r="L442" s="3">
        <v>1</v>
      </c>
      <c r="M442" s="3">
        <v>6</v>
      </c>
      <c r="N442" s="3" t="s">
        <v>539</v>
      </c>
      <c r="O442" s="3">
        <v>1</v>
      </c>
      <c r="P442" s="3">
        <v>0.07</v>
      </c>
      <c r="Q442" s="3">
        <v>6</v>
      </c>
      <c r="R442" s="3">
        <v>3</v>
      </c>
      <c r="S442" s="3">
        <v>0</v>
      </c>
      <c r="T442" s="3">
        <v>0</v>
      </c>
      <c r="U442" s="3">
        <v>0</v>
      </c>
      <c r="V442" s="3">
        <v>1</v>
      </c>
      <c r="W442" s="3" t="s">
        <v>540</v>
      </c>
      <c r="X442" s="3">
        <v>10.99</v>
      </c>
      <c r="Y442" s="3">
        <v>10.99</v>
      </c>
      <c r="Z442" s="3">
        <v>10.99</v>
      </c>
      <c r="AA442" s="3">
        <v>0</v>
      </c>
      <c r="AB442" s="3" t="s">
        <v>547</v>
      </c>
      <c r="AC442" s="3">
        <v>7</v>
      </c>
      <c r="AD442" s="3">
        <v>10.99</v>
      </c>
      <c r="AE442" s="3">
        <v>0</v>
      </c>
      <c r="AF442" s="3">
        <v>0</v>
      </c>
      <c r="AG442" s="3">
        <v>0</v>
      </c>
      <c r="AH442" s="3">
        <v>0.137931034482758</v>
      </c>
      <c r="AI442" s="3">
        <v>0.150171</v>
      </c>
      <c r="AJ442" s="3" t="s">
        <v>596</v>
      </c>
    </row>
    <row r="443" spans="1:36">
      <c r="A443" s="4">
        <v>43336</v>
      </c>
      <c r="B443" s="3" t="s">
        <v>1851</v>
      </c>
      <c r="C443" s="3" t="s">
        <v>1852</v>
      </c>
      <c r="D443" s="3" t="s">
        <v>1853</v>
      </c>
      <c r="E443" s="3" t="s">
        <v>1854</v>
      </c>
      <c r="F443" s="3" t="s">
        <v>538</v>
      </c>
      <c r="G443" s="3">
        <v>5</v>
      </c>
      <c r="H443" s="3">
        <v>0</v>
      </c>
      <c r="I443" s="3">
        <v>0</v>
      </c>
      <c r="J443" s="3">
        <v>5</v>
      </c>
      <c r="K443" s="3">
        <v>0</v>
      </c>
      <c r="L443" s="3">
        <v>0</v>
      </c>
      <c r="M443" s="3">
        <v>0</v>
      </c>
      <c r="N443" s="3" t="s">
        <v>539</v>
      </c>
      <c r="O443" s="3">
        <v>0</v>
      </c>
      <c r="P443" s="3">
        <v>0</v>
      </c>
      <c r="Q443" s="3">
        <v>0</v>
      </c>
      <c r="R443" s="3">
        <v>0</v>
      </c>
      <c r="S443" s="3">
        <v>1</v>
      </c>
      <c r="T443" s="3">
        <v>1</v>
      </c>
      <c r="U443" s="3">
        <v>1</v>
      </c>
      <c r="V443" s="3">
        <v>2</v>
      </c>
      <c r="W443" s="3" t="s">
        <v>540</v>
      </c>
      <c r="X443" s="3">
        <v>8.99</v>
      </c>
      <c r="Y443" s="3">
        <v>8.99</v>
      </c>
      <c r="Z443" s="3">
        <v>8.99</v>
      </c>
      <c r="AA443" s="3">
        <v>0</v>
      </c>
      <c r="AB443" s="3" t="s">
        <v>541</v>
      </c>
      <c r="AC443" s="3">
        <v>0</v>
      </c>
      <c r="AD443" s="3">
        <v>8.09</v>
      </c>
      <c r="AE443" s="3">
        <v>315</v>
      </c>
      <c r="AF443" s="3">
        <v>0</v>
      </c>
      <c r="AG443" s="3">
        <v>18.103807</v>
      </c>
      <c r="AH443" s="3">
        <v>0.333333333333333</v>
      </c>
      <c r="AI443" s="5">
        <v>0.00029</v>
      </c>
      <c r="AJ443" s="3" t="s">
        <v>548</v>
      </c>
    </row>
    <row r="444" spans="1:36">
      <c r="A444" s="4">
        <v>43336</v>
      </c>
      <c r="B444" s="3" t="s">
        <v>1855</v>
      </c>
      <c r="C444" s="3" t="s">
        <v>1856</v>
      </c>
      <c r="D444" s="3" t="s">
        <v>1857</v>
      </c>
      <c r="E444" s="3" t="s">
        <v>1858</v>
      </c>
      <c r="F444" s="3" t="s">
        <v>538</v>
      </c>
      <c r="G444" s="3">
        <v>1</v>
      </c>
      <c r="H444" s="3">
        <v>0</v>
      </c>
      <c r="I444" s="3">
        <v>0</v>
      </c>
      <c r="J444" s="3">
        <v>1</v>
      </c>
      <c r="K444" s="3">
        <v>0</v>
      </c>
      <c r="L444" s="3">
        <v>0</v>
      </c>
      <c r="M444" s="3">
        <v>0</v>
      </c>
      <c r="N444" s="3" t="s">
        <v>539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 t="s">
        <v>540</v>
      </c>
      <c r="X444" s="3">
        <v>12.99</v>
      </c>
      <c r="Y444" s="3">
        <v>12.99</v>
      </c>
      <c r="Z444" s="3">
        <v>12.99</v>
      </c>
      <c r="AA444" s="3">
        <v>0</v>
      </c>
      <c r="AB444" s="3" t="s">
        <v>541</v>
      </c>
      <c r="AC444" s="3">
        <v>1</v>
      </c>
      <c r="AD444" s="3">
        <v>12.99</v>
      </c>
      <c r="AE444" s="3">
        <v>0</v>
      </c>
      <c r="AF444" s="3">
        <v>0</v>
      </c>
      <c r="AG444" s="3">
        <v>0</v>
      </c>
      <c r="AH444" s="3">
        <v>0</v>
      </c>
      <c r="AI444" s="3">
        <v>0.020833</v>
      </c>
      <c r="AJ444" s="3" t="s">
        <v>548</v>
      </c>
    </row>
    <row r="445" spans="1:36">
      <c r="A445" s="4">
        <v>43336</v>
      </c>
      <c r="B445" s="3" t="s">
        <v>1859</v>
      </c>
      <c r="C445" s="3" t="s">
        <v>1860</v>
      </c>
      <c r="D445" s="3" t="s">
        <v>1861</v>
      </c>
      <c r="E445" s="3" t="s">
        <v>1862</v>
      </c>
      <c r="F445" s="3" t="s">
        <v>538</v>
      </c>
      <c r="G445" s="3">
        <v>6</v>
      </c>
      <c r="H445" s="3">
        <v>0</v>
      </c>
      <c r="I445" s="3">
        <v>0</v>
      </c>
      <c r="J445" s="3">
        <v>6</v>
      </c>
      <c r="K445" s="3">
        <v>0</v>
      </c>
      <c r="L445" s="3">
        <v>0</v>
      </c>
      <c r="M445" s="3">
        <v>0</v>
      </c>
      <c r="N445" s="3" t="s">
        <v>539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 t="s">
        <v>540</v>
      </c>
      <c r="X445" s="3">
        <v>9.99</v>
      </c>
      <c r="Y445" s="3">
        <v>9.99</v>
      </c>
      <c r="Z445" s="3">
        <v>9.99</v>
      </c>
      <c r="AA445" s="3">
        <v>0</v>
      </c>
      <c r="AB445" s="3" t="s">
        <v>541</v>
      </c>
      <c r="AC445" s="3">
        <v>0</v>
      </c>
      <c r="AD445" s="3">
        <v>7.99</v>
      </c>
      <c r="AE445" s="3">
        <v>63</v>
      </c>
      <c r="AF445" s="3">
        <v>0</v>
      </c>
      <c r="AG445" s="3">
        <v>20.55346</v>
      </c>
      <c r="AH445" s="3">
        <v>0</v>
      </c>
      <c r="AI445" s="3">
        <v>0.1365</v>
      </c>
      <c r="AJ445" s="3" t="s">
        <v>548</v>
      </c>
    </row>
    <row r="446" spans="1:36">
      <c r="A446" s="4">
        <v>43336</v>
      </c>
      <c r="B446" s="3" t="s">
        <v>1863</v>
      </c>
      <c r="C446" s="3" t="s">
        <v>1864</v>
      </c>
      <c r="D446" s="3" t="s">
        <v>1865</v>
      </c>
      <c r="E446" s="3" t="s">
        <v>1866</v>
      </c>
      <c r="F446" s="3" t="s">
        <v>538</v>
      </c>
      <c r="G446" s="3">
        <v>8</v>
      </c>
      <c r="H446" s="3">
        <v>0</v>
      </c>
      <c r="I446" s="3">
        <v>5</v>
      </c>
      <c r="J446" s="3">
        <v>0</v>
      </c>
      <c r="K446" s="3">
        <v>3</v>
      </c>
      <c r="L446" s="3">
        <v>0</v>
      </c>
      <c r="M446" s="3">
        <v>0</v>
      </c>
      <c r="N446" s="3" t="s">
        <v>539</v>
      </c>
      <c r="O446" s="3">
        <v>3</v>
      </c>
      <c r="P446" s="3">
        <v>0.48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 t="s">
        <v>553</v>
      </c>
      <c r="X446" s="3">
        <v>9.99</v>
      </c>
      <c r="Y446" s="3">
        <v>9.99</v>
      </c>
      <c r="Z446" s="3">
        <v>9.99</v>
      </c>
      <c r="AA446" s="3">
        <v>0</v>
      </c>
      <c r="AB446" s="3" t="s">
        <v>562</v>
      </c>
      <c r="AC446" s="3">
        <v>0</v>
      </c>
      <c r="AD446" s="3">
        <v>7.94</v>
      </c>
      <c r="AE446" s="3">
        <v>364</v>
      </c>
      <c r="AF446" s="3">
        <v>0</v>
      </c>
      <c r="AG446" s="3">
        <v>61.428375</v>
      </c>
      <c r="AH446" s="3">
        <v>0</v>
      </c>
      <c r="AI446" s="3">
        <v>0.370944</v>
      </c>
      <c r="AJ446" s="3" t="s">
        <v>548</v>
      </c>
    </row>
    <row r="447" spans="1:36">
      <c r="A447" s="4">
        <v>43336</v>
      </c>
      <c r="B447" s="3" t="s">
        <v>1867</v>
      </c>
      <c r="C447" s="3" t="s">
        <v>1868</v>
      </c>
      <c r="D447" s="3" t="s">
        <v>1869</v>
      </c>
      <c r="E447" s="3" t="s">
        <v>19</v>
      </c>
      <c r="F447" s="3" t="s">
        <v>538</v>
      </c>
      <c r="G447" s="3">
        <v>5</v>
      </c>
      <c r="H447" s="3">
        <v>0</v>
      </c>
      <c r="I447" s="3">
        <v>5</v>
      </c>
      <c r="J447" s="3">
        <v>0</v>
      </c>
      <c r="K447" s="3">
        <v>0</v>
      </c>
      <c r="L447" s="3">
        <v>0</v>
      </c>
      <c r="M447" s="3">
        <v>0</v>
      </c>
      <c r="N447" s="3" t="s">
        <v>539</v>
      </c>
      <c r="O447" s="3">
        <v>0</v>
      </c>
      <c r="P447" s="3">
        <v>0</v>
      </c>
      <c r="Q447" s="3">
        <v>0</v>
      </c>
      <c r="R447" s="3">
        <v>0</v>
      </c>
      <c r="S447" s="3">
        <v>0</v>
      </c>
      <c r="T447" s="3">
        <v>6</v>
      </c>
      <c r="U447" s="3">
        <v>16</v>
      </c>
      <c r="V447" s="3">
        <v>16</v>
      </c>
      <c r="W447" s="3"/>
      <c r="X447" s="3"/>
      <c r="Y447" s="3"/>
      <c r="Z447" s="3">
        <v>-1</v>
      </c>
      <c r="AA447" s="3">
        <v>-1</v>
      </c>
      <c r="AB447" s="3" t="s">
        <v>595</v>
      </c>
      <c r="AC447" s="3">
        <v>0</v>
      </c>
      <c r="AD447" s="3">
        <v>0</v>
      </c>
      <c r="AE447" s="3">
        <v>0</v>
      </c>
      <c r="AF447" s="3">
        <v>0</v>
      </c>
      <c r="AG447" s="3">
        <v>0</v>
      </c>
      <c r="AH447" s="3">
        <v>2</v>
      </c>
      <c r="AI447" s="3">
        <v>0.33186</v>
      </c>
      <c r="AJ447" s="3" t="s">
        <v>548</v>
      </c>
    </row>
    <row r="448" spans="1:36">
      <c r="A448" s="4">
        <v>43336</v>
      </c>
      <c r="B448" s="3" t="s">
        <v>1870</v>
      </c>
      <c r="C448" s="3" t="s">
        <v>1871</v>
      </c>
      <c r="D448" s="3" t="s">
        <v>1872</v>
      </c>
      <c r="E448" s="3" t="s">
        <v>1873</v>
      </c>
      <c r="F448" s="3" t="s">
        <v>538</v>
      </c>
      <c r="G448" s="3">
        <v>4</v>
      </c>
      <c r="H448" s="3">
        <v>0</v>
      </c>
      <c r="I448" s="3">
        <v>1</v>
      </c>
      <c r="J448" s="3">
        <v>1</v>
      </c>
      <c r="K448" s="3">
        <v>2</v>
      </c>
      <c r="L448" s="3">
        <v>0</v>
      </c>
      <c r="M448" s="3">
        <v>0</v>
      </c>
      <c r="N448" s="3" t="s">
        <v>539</v>
      </c>
      <c r="O448" s="3">
        <v>3</v>
      </c>
      <c r="P448" s="3">
        <v>2.49</v>
      </c>
      <c r="Q448" s="3">
        <v>0</v>
      </c>
      <c r="R448" s="3">
        <v>0</v>
      </c>
      <c r="S448" s="3">
        <v>1</v>
      </c>
      <c r="T448" s="3">
        <v>6</v>
      </c>
      <c r="U448" s="3">
        <v>10</v>
      </c>
      <c r="V448" s="3">
        <v>10</v>
      </c>
      <c r="W448" s="3"/>
      <c r="X448" s="3">
        <v>29.5</v>
      </c>
      <c r="Y448" s="3">
        <v>29.5</v>
      </c>
      <c r="Z448" s="3">
        <v>29.5</v>
      </c>
      <c r="AA448" s="3">
        <v>0</v>
      </c>
      <c r="AB448" s="3" t="s">
        <v>547</v>
      </c>
      <c r="AC448" s="3">
        <v>5</v>
      </c>
      <c r="AD448" s="3">
        <v>29.5</v>
      </c>
      <c r="AE448" s="3">
        <v>0</v>
      </c>
      <c r="AF448" s="3">
        <v>0</v>
      </c>
      <c r="AG448" s="3">
        <v>0</v>
      </c>
      <c r="AH448" s="3">
        <v>0.350877192982456</v>
      </c>
      <c r="AI448" s="3">
        <v>0.966044</v>
      </c>
      <c r="AJ448" s="3" t="s">
        <v>548</v>
      </c>
    </row>
    <row r="449" spans="1:36">
      <c r="A449" s="4">
        <v>43336</v>
      </c>
      <c r="B449" s="3" t="s">
        <v>1874</v>
      </c>
      <c r="C449" s="3" t="s">
        <v>1875</v>
      </c>
      <c r="D449" s="3" t="s">
        <v>1876</v>
      </c>
      <c r="E449" s="3" t="s">
        <v>849</v>
      </c>
      <c r="F449" s="3" t="s">
        <v>538</v>
      </c>
      <c r="G449" s="3">
        <v>6</v>
      </c>
      <c r="H449" s="3">
        <v>0</v>
      </c>
      <c r="I449" s="3">
        <v>6</v>
      </c>
      <c r="J449" s="3">
        <v>0</v>
      </c>
      <c r="K449" s="3">
        <v>0</v>
      </c>
      <c r="L449" s="3">
        <v>0</v>
      </c>
      <c r="M449" s="3">
        <v>0</v>
      </c>
      <c r="N449" s="3" t="s">
        <v>539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 t="s">
        <v>540</v>
      </c>
      <c r="X449" s="3">
        <v>17.99</v>
      </c>
      <c r="Y449" s="3">
        <v>17.99</v>
      </c>
      <c r="Z449" s="3">
        <v>17.99</v>
      </c>
      <c r="AA449" s="3">
        <v>0</v>
      </c>
      <c r="AB449" s="3" t="s">
        <v>541</v>
      </c>
      <c r="AC449" s="3">
        <v>0</v>
      </c>
      <c r="AD449" s="3">
        <v>14.39</v>
      </c>
      <c r="AE449" s="3">
        <v>63</v>
      </c>
      <c r="AF449" s="3">
        <v>0</v>
      </c>
      <c r="AG449" s="3">
        <v>6.248067</v>
      </c>
      <c r="AH449" s="3">
        <v>0</v>
      </c>
      <c r="AI449" s="3">
        <v>0.765012</v>
      </c>
      <c r="AJ449" s="3" t="s">
        <v>542</v>
      </c>
    </row>
    <row r="450" spans="1:36">
      <c r="A450" s="4">
        <v>43336</v>
      </c>
      <c r="B450" s="3" t="s">
        <v>1877</v>
      </c>
      <c r="C450" s="3" t="s">
        <v>1878</v>
      </c>
      <c r="D450" s="3" t="s">
        <v>1879</v>
      </c>
      <c r="E450" s="3" t="s">
        <v>1880</v>
      </c>
      <c r="F450" s="3" t="s">
        <v>538</v>
      </c>
      <c r="G450" s="3">
        <v>7</v>
      </c>
      <c r="H450" s="3">
        <v>0</v>
      </c>
      <c r="I450" s="3">
        <v>7</v>
      </c>
      <c r="J450" s="3">
        <v>0</v>
      </c>
      <c r="K450" s="3">
        <v>0</v>
      </c>
      <c r="L450" s="3">
        <v>0</v>
      </c>
      <c r="M450" s="3">
        <v>0</v>
      </c>
      <c r="N450" s="3" t="s">
        <v>539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0</v>
      </c>
      <c r="U450" s="3">
        <v>1</v>
      </c>
      <c r="V450" s="3">
        <v>1</v>
      </c>
      <c r="W450" s="3" t="s">
        <v>553</v>
      </c>
      <c r="X450" s="3">
        <v>34.9</v>
      </c>
      <c r="Y450" s="3">
        <v>34.9</v>
      </c>
      <c r="Z450" s="3">
        <v>34.9</v>
      </c>
      <c r="AA450" s="3">
        <v>0</v>
      </c>
      <c r="AB450" s="3" t="s">
        <v>562</v>
      </c>
      <c r="AC450" s="3">
        <v>1</v>
      </c>
      <c r="AD450" s="3">
        <v>31.78</v>
      </c>
      <c r="AE450" s="3">
        <v>168</v>
      </c>
      <c r="AF450" s="3">
        <v>0</v>
      </c>
      <c r="AG450" s="3">
        <v>211.907037</v>
      </c>
      <c r="AH450" s="3">
        <v>0.222222222222222</v>
      </c>
      <c r="AI450" s="3">
        <v>0.697669</v>
      </c>
      <c r="AJ450" s="3" t="s">
        <v>548</v>
      </c>
    </row>
    <row r="451" spans="1:36">
      <c r="A451" s="4">
        <v>43336</v>
      </c>
      <c r="B451" s="3" t="s">
        <v>1881</v>
      </c>
      <c r="C451" s="3" t="s">
        <v>1882</v>
      </c>
      <c r="D451" s="3" t="s">
        <v>1883</v>
      </c>
      <c r="E451" s="3" t="s">
        <v>1884</v>
      </c>
      <c r="F451" s="3" t="s">
        <v>538</v>
      </c>
      <c r="G451" s="3">
        <v>18</v>
      </c>
      <c r="H451" s="3">
        <v>0</v>
      </c>
      <c r="I451" s="3">
        <v>0</v>
      </c>
      <c r="J451" s="3">
        <v>0</v>
      </c>
      <c r="K451" s="3">
        <v>0</v>
      </c>
      <c r="L451" s="3">
        <v>10</v>
      </c>
      <c r="M451" s="3">
        <v>8</v>
      </c>
      <c r="N451" s="3" t="s">
        <v>539</v>
      </c>
      <c r="O451" s="3">
        <v>0</v>
      </c>
      <c r="P451" s="3">
        <v>0</v>
      </c>
      <c r="Q451" s="3">
        <v>18</v>
      </c>
      <c r="R451" s="3">
        <v>9</v>
      </c>
      <c r="S451" s="3">
        <v>0</v>
      </c>
      <c r="T451" s="3">
        <v>0</v>
      </c>
      <c r="U451" s="3">
        <v>1</v>
      </c>
      <c r="V451" s="3">
        <v>1</v>
      </c>
      <c r="W451" s="3" t="s">
        <v>553</v>
      </c>
      <c r="X451" s="3">
        <v>25.9</v>
      </c>
      <c r="Y451" s="3">
        <v>25.9</v>
      </c>
      <c r="Z451" s="3">
        <v>25.9</v>
      </c>
      <c r="AA451" s="3">
        <v>0</v>
      </c>
      <c r="AB451" s="3" t="s">
        <v>562</v>
      </c>
      <c r="AC451" s="3">
        <v>1</v>
      </c>
      <c r="AD451" s="3">
        <v>10.49</v>
      </c>
      <c r="AE451" s="3">
        <v>7</v>
      </c>
      <c r="AF451" s="3">
        <v>16</v>
      </c>
      <c r="AG451" s="3">
        <v>123.754999</v>
      </c>
      <c r="AH451" s="3">
        <v>0.054054054054054</v>
      </c>
      <c r="AI451" s="3">
        <v>0.738557999999999</v>
      </c>
      <c r="AJ451" s="3" t="s">
        <v>548</v>
      </c>
    </row>
    <row r="452" spans="1:36">
      <c r="A452" s="4">
        <v>43336</v>
      </c>
      <c r="B452" s="3" t="s">
        <v>1885</v>
      </c>
      <c r="C452" s="3" t="s">
        <v>1886</v>
      </c>
      <c r="D452" s="3" t="s">
        <v>1887</v>
      </c>
      <c r="E452" s="3" t="s">
        <v>582</v>
      </c>
      <c r="F452" s="3" t="s">
        <v>538</v>
      </c>
      <c r="G452" s="3">
        <v>3</v>
      </c>
      <c r="H452" s="3">
        <v>0</v>
      </c>
      <c r="I452" s="3">
        <v>0</v>
      </c>
      <c r="J452" s="3">
        <v>3</v>
      </c>
      <c r="K452" s="3">
        <v>0</v>
      </c>
      <c r="L452" s="3">
        <v>0</v>
      </c>
      <c r="M452" s="3">
        <v>0</v>
      </c>
      <c r="N452" s="3" t="s">
        <v>539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 t="s">
        <v>540</v>
      </c>
      <c r="X452" s="3">
        <v>11.98</v>
      </c>
      <c r="Y452" s="3">
        <v>11.98</v>
      </c>
      <c r="Z452" s="3">
        <v>11.98</v>
      </c>
      <c r="AA452" s="3">
        <v>0</v>
      </c>
      <c r="AB452" s="3" t="s">
        <v>541</v>
      </c>
      <c r="AC452" s="3">
        <v>0</v>
      </c>
      <c r="AD452" s="3">
        <v>9.58</v>
      </c>
      <c r="AE452" s="3">
        <v>63</v>
      </c>
      <c r="AF452" s="3">
        <v>0</v>
      </c>
      <c r="AG452" s="3">
        <v>2.101981</v>
      </c>
      <c r="AH452" s="3">
        <v>0</v>
      </c>
      <c r="AI452" s="5">
        <v>0.000174</v>
      </c>
      <c r="AJ452" s="3" t="s">
        <v>548</v>
      </c>
    </row>
    <row r="453" spans="1:36">
      <c r="A453" s="4">
        <v>43336</v>
      </c>
      <c r="B453" s="3" t="s">
        <v>1888</v>
      </c>
      <c r="C453" s="3" t="s">
        <v>1889</v>
      </c>
      <c r="D453" s="3" t="s">
        <v>1890</v>
      </c>
      <c r="E453" s="3" t="s">
        <v>1891</v>
      </c>
      <c r="F453" s="3" t="s">
        <v>538</v>
      </c>
      <c r="G453" s="3">
        <v>12</v>
      </c>
      <c r="H453" s="3">
        <v>0</v>
      </c>
      <c r="I453" s="3">
        <v>0</v>
      </c>
      <c r="J453" s="3">
        <v>0</v>
      </c>
      <c r="K453" s="3">
        <v>10</v>
      </c>
      <c r="L453" s="3">
        <v>0</v>
      </c>
      <c r="M453" s="3">
        <v>2</v>
      </c>
      <c r="N453" s="3" t="s">
        <v>539</v>
      </c>
      <c r="O453" s="3">
        <v>10</v>
      </c>
      <c r="P453" s="3">
        <v>0</v>
      </c>
      <c r="Q453" s="3">
        <v>2</v>
      </c>
      <c r="R453" s="3">
        <v>1</v>
      </c>
      <c r="S453" s="3">
        <v>0</v>
      </c>
      <c r="T453" s="3">
        <v>0</v>
      </c>
      <c r="U453" s="3">
        <v>0</v>
      </c>
      <c r="V453" s="3">
        <v>0</v>
      </c>
      <c r="W453" s="3" t="s">
        <v>553</v>
      </c>
      <c r="X453" s="3">
        <v>9.9</v>
      </c>
      <c r="Y453" s="3">
        <v>9.9</v>
      </c>
      <c r="Z453" s="3">
        <v>9.9</v>
      </c>
      <c r="AA453" s="3">
        <v>0</v>
      </c>
      <c r="AB453" s="3" t="s">
        <v>562</v>
      </c>
      <c r="AC453" s="3">
        <v>1</v>
      </c>
      <c r="AD453" s="3">
        <v>9.13</v>
      </c>
      <c r="AE453" s="3">
        <v>287</v>
      </c>
      <c r="AF453" s="3">
        <v>0</v>
      </c>
      <c r="AG453" s="3">
        <v>54.548534</v>
      </c>
      <c r="AH453" s="3">
        <v>0</v>
      </c>
      <c r="AI453" s="5">
        <v>0.000696</v>
      </c>
      <c r="AJ453" s="3" t="s">
        <v>548</v>
      </c>
    </row>
    <row r="454" spans="1:36">
      <c r="A454" s="4">
        <v>43336</v>
      </c>
      <c r="B454" s="3" t="s">
        <v>1892</v>
      </c>
      <c r="C454" s="3" t="s">
        <v>1893</v>
      </c>
      <c r="D454" s="3" t="s">
        <v>1894</v>
      </c>
      <c r="E454" s="3" t="s">
        <v>1038</v>
      </c>
      <c r="F454" s="3" t="s">
        <v>538</v>
      </c>
      <c r="G454" s="3">
        <v>4</v>
      </c>
      <c r="H454" s="3">
        <v>0</v>
      </c>
      <c r="I454" s="3">
        <v>0</v>
      </c>
      <c r="J454" s="3">
        <v>4</v>
      </c>
      <c r="K454" s="3">
        <v>0</v>
      </c>
      <c r="L454" s="3">
        <v>0</v>
      </c>
      <c r="M454" s="3">
        <v>0</v>
      </c>
      <c r="N454" s="3" t="s">
        <v>539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 t="s">
        <v>540</v>
      </c>
      <c r="X454" s="3">
        <v>9.98</v>
      </c>
      <c r="Y454" s="3">
        <v>9.98</v>
      </c>
      <c r="Z454" s="3">
        <v>9.98</v>
      </c>
      <c r="AA454" s="3">
        <v>0</v>
      </c>
      <c r="AB454" s="3" t="s">
        <v>541</v>
      </c>
      <c r="AC454" s="3">
        <v>0</v>
      </c>
      <c r="AD454" s="3">
        <v>7.98</v>
      </c>
      <c r="AE454" s="3">
        <v>63</v>
      </c>
      <c r="AF454" s="3">
        <v>0</v>
      </c>
      <c r="AG454" s="3">
        <v>2.339591</v>
      </c>
      <c r="AH454" s="3">
        <v>0</v>
      </c>
      <c r="AI454" s="5">
        <v>0.000232</v>
      </c>
      <c r="AJ454" s="3" t="s">
        <v>548</v>
      </c>
    </row>
    <row r="455" spans="1:36">
      <c r="A455" s="4">
        <v>43336</v>
      </c>
      <c r="B455" s="3" t="s">
        <v>1895</v>
      </c>
      <c r="C455" s="3" t="s">
        <v>1896</v>
      </c>
      <c r="D455" s="3" t="s">
        <v>1897</v>
      </c>
      <c r="E455" s="3" t="s">
        <v>1898</v>
      </c>
      <c r="F455" s="3" t="s">
        <v>538</v>
      </c>
      <c r="G455" s="3">
        <v>5</v>
      </c>
      <c r="H455" s="3">
        <v>0</v>
      </c>
      <c r="I455" s="3">
        <v>5</v>
      </c>
      <c r="J455" s="3">
        <v>0</v>
      </c>
      <c r="K455" s="3">
        <v>0</v>
      </c>
      <c r="L455" s="3">
        <v>0</v>
      </c>
      <c r="M455" s="3">
        <v>0</v>
      </c>
      <c r="N455" s="3" t="s">
        <v>539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 t="s">
        <v>553</v>
      </c>
      <c r="X455" s="3">
        <v>15.99</v>
      </c>
      <c r="Y455" s="3">
        <v>15.99</v>
      </c>
      <c r="Z455" s="3">
        <v>15.99</v>
      </c>
      <c r="AA455" s="3">
        <v>0</v>
      </c>
      <c r="AB455" s="3" t="s">
        <v>547</v>
      </c>
      <c r="AC455" s="3">
        <v>5</v>
      </c>
      <c r="AD455" s="3">
        <v>15.99</v>
      </c>
      <c r="AE455" s="3">
        <v>0</v>
      </c>
      <c r="AF455" s="3">
        <v>0</v>
      </c>
      <c r="AG455" s="3">
        <v>0</v>
      </c>
      <c r="AH455" s="3">
        <v>0</v>
      </c>
      <c r="AI455" s="3">
        <v>1.574075</v>
      </c>
      <c r="AJ455" s="3" t="s">
        <v>719</v>
      </c>
    </row>
    <row r="456" spans="1:36">
      <c r="A456" s="4">
        <v>43336</v>
      </c>
      <c r="B456" s="3" t="s">
        <v>364</v>
      </c>
      <c r="C456" s="3" t="s">
        <v>365</v>
      </c>
      <c r="D456" s="3" t="s">
        <v>366</v>
      </c>
      <c r="E456" s="3" t="s">
        <v>367</v>
      </c>
      <c r="F456" s="3" t="s">
        <v>538</v>
      </c>
      <c r="G456" s="3">
        <v>25</v>
      </c>
      <c r="H456" s="3">
        <v>0</v>
      </c>
      <c r="I456" s="3">
        <v>25</v>
      </c>
      <c r="J456" s="3">
        <v>0</v>
      </c>
      <c r="K456" s="3">
        <v>0</v>
      </c>
      <c r="L456" s="3">
        <v>0</v>
      </c>
      <c r="M456" s="3">
        <v>0</v>
      </c>
      <c r="N456" s="3" t="s">
        <v>539</v>
      </c>
      <c r="O456" s="3">
        <v>0</v>
      </c>
      <c r="P456" s="3">
        <v>0</v>
      </c>
      <c r="Q456" s="3">
        <v>0</v>
      </c>
      <c r="R456" s="3">
        <v>0</v>
      </c>
      <c r="S456" s="3">
        <v>20</v>
      </c>
      <c r="T456" s="3">
        <v>30</v>
      </c>
      <c r="U456" s="3">
        <v>65</v>
      </c>
      <c r="V456" s="3">
        <v>74</v>
      </c>
      <c r="W456" s="3" t="s">
        <v>553</v>
      </c>
      <c r="X456" s="3">
        <v>20</v>
      </c>
      <c r="Y456" s="3">
        <v>13.99</v>
      </c>
      <c r="Z456" s="3">
        <v>13.99</v>
      </c>
      <c r="AA456" s="3">
        <v>0</v>
      </c>
      <c r="AB456" s="3" t="s">
        <v>547</v>
      </c>
      <c r="AC456" s="3">
        <v>32</v>
      </c>
      <c r="AD456" s="3">
        <v>13.99</v>
      </c>
      <c r="AE456" s="3">
        <v>0</v>
      </c>
      <c r="AF456" s="3">
        <v>0</v>
      </c>
      <c r="AG456" s="3">
        <v>0</v>
      </c>
      <c r="AH456" s="3">
        <v>6.72727272727272</v>
      </c>
      <c r="AI456" s="3">
        <v>1.73785</v>
      </c>
      <c r="AJ456" s="3" t="s">
        <v>596</v>
      </c>
    </row>
    <row r="457" spans="1:36">
      <c r="A457" s="4">
        <v>43336</v>
      </c>
      <c r="B457" s="3" t="s">
        <v>1899</v>
      </c>
      <c r="C457" s="3" t="s">
        <v>1900</v>
      </c>
      <c r="D457" s="3" t="s">
        <v>1901</v>
      </c>
      <c r="E457" s="3" t="s">
        <v>1902</v>
      </c>
      <c r="F457" s="3" t="s">
        <v>538</v>
      </c>
      <c r="G457" s="3">
        <v>4</v>
      </c>
      <c r="H457" s="3">
        <v>0</v>
      </c>
      <c r="I457" s="3">
        <v>0</v>
      </c>
      <c r="J457" s="3">
        <v>0</v>
      </c>
      <c r="K457" s="3">
        <v>4</v>
      </c>
      <c r="L457" s="3">
        <v>0</v>
      </c>
      <c r="M457" s="3">
        <v>0</v>
      </c>
      <c r="N457" s="3" t="s">
        <v>539</v>
      </c>
      <c r="O457" s="3">
        <v>4</v>
      </c>
      <c r="P457" s="3">
        <v>0.28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 t="s">
        <v>553</v>
      </c>
      <c r="X457" s="3">
        <v>9.9</v>
      </c>
      <c r="Y457" s="3">
        <v>9.9</v>
      </c>
      <c r="Z457" s="3">
        <v>9.9</v>
      </c>
      <c r="AA457" s="3">
        <v>0</v>
      </c>
      <c r="AB457" s="3" t="s">
        <v>562</v>
      </c>
      <c r="AC457" s="3">
        <v>0</v>
      </c>
      <c r="AD457" s="3">
        <v>7.78</v>
      </c>
      <c r="AE457" s="3">
        <v>364</v>
      </c>
      <c r="AF457" s="3">
        <v>0</v>
      </c>
      <c r="AG457" s="3">
        <v>17.609465</v>
      </c>
      <c r="AH457" s="3">
        <v>0</v>
      </c>
      <c r="AI457" s="3">
        <v>0.07844</v>
      </c>
      <c r="AJ457" s="3" t="s">
        <v>548</v>
      </c>
    </row>
    <row r="458" spans="1:36">
      <c r="A458" s="4">
        <v>43336</v>
      </c>
      <c r="B458" s="3" t="s">
        <v>1903</v>
      </c>
      <c r="C458" s="3" t="s">
        <v>1904</v>
      </c>
      <c r="D458" s="3" t="s">
        <v>1905</v>
      </c>
      <c r="E458" s="3" t="s">
        <v>1906</v>
      </c>
      <c r="F458" s="3" t="s">
        <v>538</v>
      </c>
      <c r="G458" s="3">
        <v>17</v>
      </c>
      <c r="H458" s="3">
        <v>0</v>
      </c>
      <c r="I458" s="3">
        <v>17</v>
      </c>
      <c r="J458" s="3">
        <v>0</v>
      </c>
      <c r="K458" s="3">
        <v>0</v>
      </c>
      <c r="L458" s="3">
        <v>0</v>
      </c>
      <c r="M458" s="3">
        <v>0</v>
      </c>
      <c r="N458" s="3" t="s">
        <v>539</v>
      </c>
      <c r="O458" s="3">
        <v>0</v>
      </c>
      <c r="P458" s="3">
        <v>0</v>
      </c>
      <c r="Q458" s="3">
        <v>0</v>
      </c>
      <c r="R458" s="3">
        <v>0</v>
      </c>
      <c r="S458" s="3">
        <v>6</v>
      </c>
      <c r="T458" s="3">
        <v>13</v>
      </c>
      <c r="U458" s="3">
        <v>24</v>
      </c>
      <c r="V458" s="3">
        <v>25</v>
      </c>
      <c r="W458" s="3"/>
      <c r="X458" s="3">
        <v>13.99</v>
      </c>
      <c r="Y458" s="3">
        <v>13.99</v>
      </c>
      <c r="Z458" s="3">
        <v>13.99</v>
      </c>
      <c r="AA458" s="3">
        <v>0</v>
      </c>
      <c r="AB458" s="3" t="s">
        <v>547</v>
      </c>
      <c r="AC458" s="3">
        <v>17</v>
      </c>
      <c r="AD458" s="3">
        <v>13.99</v>
      </c>
      <c r="AE458" s="3">
        <v>0</v>
      </c>
      <c r="AF458" s="3">
        <v>0</v>
      </c>
      <c r="AG458" s="3">
        <v>0</v>
      </c>
      <c r="AH458" s="3">
        <v>1.25</v>
      </c>
      <c r="AI458" s="3">
        <v>1.88309</v>
      </c>
      <c r="AJ458" s="3" t="s">
        <v>548</v>
      </c>
    </row>
    <row r="459" spans="1:36">
      <c r="A459" s="4">
        <v>43336</v>
      </c>
      <c r="B459" s="3" t="s">
        <v>248</v>
      </c>
      <c r="C459" s="3" t="s">
        <v>249</v>
      </c>
      <c r="D459" s="3" t="s">
        <v>250</v>
      </c>
      <c r="E459" s="3" t="s">
        <v>251</v>
      </c>
      <c r="F459" s="3" t="s">
        <v>538</v>
      </c>
      <c r="G459" s="3">
        <v>3</v>
      </c>
      <c r="H459" s="3">
        <v>0</v>
      </c>
      <c r="I459" s="3">
        <v>0</v>
      </c>
      <c r="J459" s="3">
        <v>0</v>
      </c>
      <c r="K459" s="3">
        <v>3</v>
      </c>
      <c r="L459" s="3">
        <v>0</v>
      </c>
      <c r="M459" s="3">
        <v>0</v>
      </c>
      <c r="N459" s="3" t="s">
        <v>539</v>
      </c>
      <c r="O459" s="3">
        <v>3</v>
      </c>
      <c r="P459" s="3">
        <v>0.68</v>
      </c>
      <c r="Q459" s="3">
        <v>0</v>
      </c>
      <c r="R459" s="3">
        <v>0</v>
      </c>
      <c r="S459" s="3">
        <v>0</v>
      </c>
      <c r="T459" s="3">
        <v>0</v>
      </c>
      <c r="U459" s="3">
        <v>1</v>
      </c>
      <c r="V459" s="3">
        <v>1</v>
      </c>
      <c r="W459" s="3" t="s">
        <v>540</v>
      </c>
      <c r="X459" s="3">
        <v>19.9</v>
      </c>
      <c r="Y459" s="3">
        <v>19.9</v>
      </c>
      <c r="Z459" s="3">
        <v>19.9</v>
      </c>
      <c r="AA459" s="3">
        <v>0</v>
      </c>
      <c r="AB459" s="3" t="s">
        <v>651</v>
      </c>
      <c r="AC459" s="3">
        <v>3</v>
      </c>
      <c r="AD459" s="3">
        <v>19.9</v>
      </c>
      <c r="AE459" s="3">
        <v>0</v>
      </c>
      <c r="AF459" s="3">
        <v>0</v>
      </c>
      <c r="AG459" s="3">
        <v>0</v>
      </c>
      <c r="AH459" s="3">
        <v>0.266666666666666</v>
      </c>
      <c r="AI459" s="3">
        <v>0.195806999999999</v>
      </c>
      <c r="AJ459" s="3" t="s">
        <v>548</v>
      </c>
    </row>
    <row r="460" spans="1:36">
      <c r="A460" s="4">
        <v>43336</v>
      </c>
      <c r="B460" s="3" t="s">
        <v>1907</v>
      </c>
      <c r="C460" s="3" t="s">
        <v>1908</v>
      </c>
      <c r="D460" s="3" t="s">
        <v>1909</v>
      </c>
      <c r="E460" s="3" t="s">
        <v>1910</v>
      </c>
      <c r="F460" s="3" t="s">
        <v>538</v>
      </c>
      <c r="G460" s="3">
        <v>9</v>
      </c>
      <c r="H460" s="3">
        <v>0</v>
      </c>
      <c r="I460" s="3">
        <v>9</v>
      </c>
      <c r="J460" s="3">
        <v>0</v>
      </c>
      <c r="K460" s="3">
        <v>0</v>
      </c>
      <c r="L460" s="3">
        <v>0</v>
      </c>
      <c r="M460" s="3">
        <v>0</v>
      </c>
      <c r="N460" s="3" t="s">
        <v>539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 t="s">
        <v>553</v>
      </c>
      <c r="X460" s="3">
        <v>39.99</v>
      </c>
      <c r="Y460" s="3">
        <v>39.99</v>
      </c>
      <c r="Z460" s="3">
        <v>39.99</v>
      </c>
      <c r="AA460" s="3">
        <v>0</v>
      </c>
      <c r="AB460" s="3" t="s">
        <v>562</v>
      </c>
      <c r="AC460" s="3">
        <v>0</v>
      </c>
      <c r="AD460" s="3">
        <v>32.44</v>
      </c>
      <c r="AE460" s="3">
        <v>364</v>
      </c>
      <c r="AF460" s="3">
        <v>0</v>
      </c>
      <c r="AG460" s="3">
        <v>170.798541</v>
      </c>
      <c r="AH460" s="3">
        <v>0</v>
      </c>
      <c r="AI460" s="5">
        <v>0.000522</v>
      </c>
      <c r="AJ460" s="3" t="s">
        <v>548</v>
      </c>
    </row>
    <row r="461" spans="1:36">
      <c r="A461" s="4">
        <v>43336</v>
      </c>
      <c r="B461" s="3" t="s">
        <v>1911</v>
      </c>
      <c r="C461" s="3" t="s">
        <v>1912</v>
      </c>
      <c r="D461" s="3" t="s">
        <v>1913</v>
      </c>
      <c r="E461" s="3" t="s">
        <v>403</v>
      </c>
      <c r="F461" s="3" t="s">
        <v>538</v>
      </c>
      <c r="G461" s="3">
        <v>8</v>
      </c>
      <c r="H461" s="3">
        <v>0</v>
      </c>
      <c r="I461" s="3">
        <v>0</v>
      </c>
      <c r="J461" s="3">
        <v>0</v>
      </c>
      <c r="K461" s="3">
        <v>0</v>
      </c>
      <c r="L461" s="3">
        <v>8</v>
      </c>
      <c r="M461" s="3">
        <v>0</v>
      </c>
      <c r="N461" s="3" t="s">
        <v>539</v>
      </c>
      <c r="O461" s="3">
        <v>8</v>
      </c>
      <c r="P461" s="3">
        <v>1.37</v>
      </c>
      <c r="Q461" s="3">
        <v>0</v>
      </c>
      <c r="R461" s="3">
        <v>0</v>
      </c>
      <c r="S461" s="3">
        <v>0</v>
      </c>
      <c r="T461" s="3">
        <v>1</v>
      </c>
      <c r="U461" s="3">
        <v>1</v>
      </c>
      <c r="V461" s="3">
        <v>1</v>
      </c>
      <c r="W461" s="3" t="s">
        <v>553</v>
      </c>
      <c r="X461" s="3">
        <v>13.99</v>
      </c>
      <c r="Y461" s="3">
        <v>13.99</v>
      </c>
      <c r="Z461" s="3">
        <v>13.99</v>
      </c>
      <c r="AA461" s="3">
        <v>0</v>
      </c>
      <c r="AB461" s="3" t="s">
        <v>562</v>
      </c>
      <c r="AC461" s="3">
        <v>0</v>
      </c>
      <c r="AD461" s="3">
        <v>11.19</v>
      </c>
      <c r="AE461" s="3">
        <v>63</v>
      </c>
      <c r="AF461" s="3">
        <v>0</v>
      </c>
      <c r="AG461" s="3">
        <v>52.731059</v>
      </c>
      <c r="AH461" s="3">
        <v>0.114285714285714</v>
      </c>
      <c r="AI461" s="3">
        <v>0.396664</v>
      </c>
      <c r="AJ461" s="3" t="s">
        <v>596</v>
      </c>
    </row>
    <row r="462" spans="1:36">
      <c r="A462" s="4">
        <v>43336</v>
      </c>
      <c r="B462" s="3" t="s">
        <v>1914</v>
      </c>
      <c r="C462" s="3" t="s">
        <v>1915</v>
      </c>
      <c r="D462" s="3" t="s">
        <v>1916</v>
      </c>
      <c r="E462" s="3" t="s">
        <v>1917</v>
      </c>
      <c r="F462" s="3" t="s">
        <v>538</v>
      </c>
      <c r="G462" s="3">
        <v>4</v>
      </c>
      <c r="H462" s="3">
        <v>0</v>
      </c>
      <c r="I462" s="3">
        <v>4</v>
      </c>
      <c r="J462" s="3">
        <v>0</v>
      </c>
      <c r="K462" s="3">
        <v>0</v>
      </c>
      <c r="L462" s="3">
        <v>0</v>
      </c>
      <c r="M462" s="3">
        <v>0</v>
      </c>
      <c r="N462" s="3" t="s">
        <v>539</v>
      </c>
      <c r="O462" s="3">
        <v>0</v>
      </c>
      <c r="P462" s="3">
        <v>0</v>
      </c>
      <c r="Q462" s="3">
        <v>0</v>
      </c>
      <c r="R462" s="3">
        <v>0</v>
      </c>
      <c r="S462" s="3">
        <v>0</v>
      </c>
      <c r="T462" s="3">
        <v>1</v>
      </c>
      <c r="U462" s="3">
        <v>2</v>
      </c>
      <c r="V462" s="3">
        <v>2</v>
      </c>
      <c r="W462" s="3" t="s">
        <v>553</v>
      </c>
      <c r="X462" s="3">
        <v>13.99</v>
      </c>
      <c r="Y462" s="3">
        <v>10</v>
      </c>
      <c r="Z462" s="3">
        <v>10</v>
      </c>
      <c r="AA462" s="3">
        <v>0</v>
      </c>
      <c r="AB462" s="3" t="s">
        <v>547</v>
      </c>
      <c r="AC462" s="3">
        <v>5</v>
      </c>
      <c r="AD462" s="3">
        <v>10</v>
      </c>
      <c r="AE462" s="3">
        <v>0</v>
      </c>
      <c r="AF462" s="3">
        <v>0</v>
      </c>
      <c r="AG462" s="3">
        <v>0</v>
      </c>
      <c r="AH462" s="3">
        <v>0.4</v>
      </c>
      <c r="AI462" s="3">
        <v>0.232604</v>
      </c>
      <c r="AJ462" s="3" t="s">
        <v>596</v>
      </c>
    </row>
    <row r="463" spans="1:36">
      <c r="A463" s="4">
        <v>43336</v>
      </c>
      <c r="B463" s="3" t="s">
        <v>344</v>
      </c>
      <c r="C463" s="3" t="s">
        <v>345</v>
      </c>
      <c r="D463" s="3" t="s">
        <v>346</v>
      </c>
      <c r="E463" s="3" t="s">
        <v>347</v>
      </c>
      <c r="F463" s="3" t="s">
        <v>538</v>
      </c>
      <c r="G463" s="3">
        <v>13</v>
      </c>
      <c r="H463" s="3">
        <v>0</v>
      </c>
      <c r="I463" s="3">
        <v>13</v>
      </c>
      <c r="J463" s="3">
        <v>0</v>
      </c>
      <c r="K463" s="3">
        <v>0</v>
      </c>
      <c r="L463" s="3">
        <v>0</v>
      </c>
      <c r="M463" s="3">
        <v>0</v>
      </c>
      <c r="N463" s="3" t="s">
        <v>539</v>
      </c>
      <c r="O463" s="3">
        <v>0</v>
      </c>
      <c r="P463" s="3">
        <v>0</v>
      </c>
      <c r="Q463" s="3">
        <v>0</v>
      </c>
      <c r="R463" s="3">
        <v>0</v>
      </c>
      <c r="S463" s="3">
        <v>5</v>
      </c>
      <c r="T463" s="3">
        <v>7</v>
      </c>
      <c r="U463" s="3">
        <v>15</v>
      </c>
      <c r="V463" s="3">
        <v>22</v>
      </c>
      <c r="W463" s="3"/>
      <c r="X463" s="3">
        <v>13.99</v>
      </c>
      <c r="Y463" s="3">
        <v>13.99</v>
      </c>
      <c r="Z463" s="3">
        <v>13.99</v>
      </c>
      <c r="AA463" s="3">
        <v>0</v>
      </c>
      <c r="AB463" s="3" t="s">
        <v>547</v>
      </c>
      <c r="AC463" s="3">
        <v>14</v>
      </c>
      <c r="AD463" s="3">
        <v>13.99</v>
      </c>
      <c r="AE463" s="3">
        <v>0</v>
      </c>
      <c r="AF463" s="3">
        <v>0</v>
      </c>
      <c r="AG463" s="3">
        <v>0</v>
      </c>
      <c r="AH463" s="3">
        <v>1.39682539682539</v>
      </c>
      <c r="AI463" s="3">
        <v>1.000259</v>
      </c>
      <c r="AJ463" s="3" t="s">
        <v>596</v>
      </c>
    </row>
    <row r="464" spans="1:36">
      <c r="A464" s="4">
        <v>43336</v>
      </c>
      <c r="B464" s="3" t="s">
        <v>320</v>
      </c>
      <c r="C464" s="3" t="s">
        <v>321</v>
      </c>
      <c r="D464" s="3" t="s">
        <v>322</v>
      </c>
      <c r="E464" s="3" t="s">
        <v>323</v>
      </c>
      <c r="F464" s="3" t="s">
        <v>538</v>
      </c>
      <c r="G464" s="3">
        <v>7</v>
      </c>
      <c r="H464" s="3">
        <v>0</v>
      </c>
      <c r="I464" s="3">
        <v>7</v>
      </c>
      <c r="J464" s="3">
        <v>0</v>
      </c>
      <c r="K464" s="3">
        <v>0</v>
      </c>
      <c r="L464" s="3">
        <v>0</v>
      </c>
      <c r="M464" s="3">
        <v>0</v>
      </c>
      <c r="N464" s="3" t="s">
        <v>539</v>
      </c>
      <c r="O464" s="3">
        <v>0</v>
      </c>
      <c r="P464" s="3">
        <v>0</v>
      </c>
      <c r="Q464" s="3">
        <v>0</v>
      </c>
      <c r="R464" s="3">
        <v>0</v>
      </c>
      <c r="S464" s="3">
        <v>2</v>
      </c>
      <c r="T464" s="3">
        <v>6</v>
      </c>
      <c r="U464" s="3">
        <v>11</v>
      </c>
      <c r="V464" s="3">
        <v>12</v>
      </c>
      <c r="W464" s="3" t="s">
        <v>553</v>
      </c>
      <c r="X464" s="3">
        <v>20</v>
      </c>
      <c r="Y464" s="3">
        <v>13.99</v>
      </c>
      <c r="Z464" s="3">
        <v>13.99</v>
      </c>
      <c r="AA464" s="3">
        <v>0</v>
      </c>
      <c r="AB464" s="3" t="s">
        <v>547</v>
      </c>
      <c r="AC464" s="3">
        <v>8</v>
      </c>
      <c r="AD464" s="3">
        <v>13.99</v>
      </c>
      <c r="AE464" s="3">
        <v>0</v>
      </c>
      <c r="AF464" s="3">
        <v>0</v>
      </c>
      <c r="AG464" s="3">
        <v>0</v>
      </c>
      <c r="AH464" s="3">
        <v>1.37142857142857</v>
      </c>
      <c r="AI464" s="3">
        <v>0.486598</v>
      </c>
      <c r="AJ464" s="3" t="s">
        <v>596</v>
      </c>
    </row>
    <row r="465" spans="1:36">
      <c r="A465" s="4">
        <v>43336</v>
      </c>
      <c r="B465" s="3" t="s">
        <v>1918</v>
      </c>
      <c r="C465" s="3" t="s">
        <v>1919</v>
      </c>
      <c r="D465" s="3" t="s">
        <v>1920</v>
      </c>
      <c r="E465" s="3" t="s">
        <v>1921</v>
      </c>
      <c r="F465" s="3" t="s">
        <v>538</v>
      </c>
      <c r="G465" s="3">
        <v>5</v>
      </c>
      <c r="H465" s="3">
        <v>0</v>
      </c>
      <c r="I465" s="3">
        <v>5</v>
      </c>
      <c r="J465" s="3">
        <v>0</v>
      </c>
      <c r="K465" s="3">
        <v>0</v>
      </c>
      <c r="L465" s="3">
        <v>0</v>
      </c>
      <c r="M465" s="3">
        <v>0</v>
      </c>
      <c r="N465" s="3" t="s">
        <v>539</v>
      </c>
      <c r="O465" s="3">
        <v>0</v>
      </c>
      <c r="P465" s="3">
        <v>0</v>
      </c>
      <c r="Q465" s="3">
        <v>0</v>
      </c>
      <c r="R465" s="3">
        <v>0</v>
      </c>
      <c r="S465" s="3">
        <v>3</v>
      </c>
      <c r="T465" s="3">
        <v>6</v>
      </c>
      <c r="U465" s="3">
        <v>9</v>
      </c>
      <c r="V465" s="3">
        <v>11</v>
      </c>
      <c r="W465" s="3"/>
      <c r="X465" s="3">
        <v>23.9</v>
      </c>
      <c r="Y465" s="3">
        <v>23.9</v>
      </c>
      <c r="Z465" s="3">
        <v>23.9</v>
      </c>
      <c r="AA465" s="3">
        <v>0</v>
      </c>
      <c r="AB465" s="3" t="s">
        <v>547</v>
      </c>
      <c r="AC465" s="3">
        <v>6</v>
      </c>
      <c r="AD465" s="3">
        <v>23.9</v>
      </c>
      <c r="AE465" s="3">
        <v>0</v>
      </c>
      <c r="AF465" s="3">
        <v>0</v>
      </c>
      <c r="AG465" s="3">
        <v>0</v>
      </c>
      <c r="AH465" s="3">
        <v>1.76</v>
      </c>
      <c r="AI465" s="3">
        <v>0.328125</v>
      </c>
      <c r="AJ465" s="3" t="s">
        <v>548</v>
      </c>
    </row>
    <row r="466" spans="1:36">
      <c r="A466" s="4">
        <v>43336</v>
      </c>
      <c r="B466" s="3" t="s">
        <v>1922</v>
      </c>
      <c r="C466" s="3" t="s">
        <v>1923</v>
      </c>
      <c r="D466" s="3" t="s">
        <v>1924</v>
      </c>
      <c r="E466" s="3" t="s">
        <v>1925</v>
      </c>
      <c r="F466" s="3" t="s">
        <v>538</v>
      </c>
      <c r="G466" s="3">
        <v>15</v>
      </c>
      <c r="H466" s="3">
        <v>0</v>
      </c>
      <c r="I466" s="3">
        <v>0</v>
      </c>
      <c r="J466" s="3">
        <v>0</v>
      </c>
      <c r="K466" s="3">
        <v>0</v>
      </c>
      <c r="L466" s="3">
        <v>15</v>
      </c>
      <c r="M466" s="3">
        <v>0</v>
      </c>
      <c r="N466" s="3" t="s">
        <v>539</v>
      </c>
      <c r="O466" s="3">
        <v>15</v>
      </c>
      <c r="P466" s="3">
        <v>4.25</v>
      </c>
      <c r="Q466" s="3">
        <v>0</v>
      </c>
      <c r="R466" s="3">
        <v>0</v>
      </c>
      <c r="S466" s="3">
        <v>1</v>
      </c>
      <c r="T466" s="3">
        <v>1</v>
      </c>
      <c r="U466" s="3">
        <v>2</v>
      </c>
      <c r="V466" s="3">
        <v>4</v>
      </c>
      <c r="W466" s="3"/>
      <c r="X466" s="3">
        <v>34.9</v>
      </c>
      <c r="Y466" s="3">
        <v>34.9</v>
      </c>
      <c r="Z466" s="3">
        <v>34.9</v>
      </c>
      <c r="AA466" s="3">
        <v>0</v>
      </c>
      <c r="AB466" s="3" t="s">
        <v>562</v>
      </c>
      <c r="AC466" s="3">
        <v>12</v>
      </c>
      <c r="AD466" s="3">
        <v>32.37</v>
      </c>
      <c r="AE466" s="3">
        <v>119</v>
      </c>
      <c r="AF466" s="3">
        <v>0</v>
      </c>
      <c r="AG466" s="3">
        <v>1.163699</v>
      </c>
      <c r="AH466" s="3">
        <v>0.238805970149253</v>
      </c>
      <c r="AI466" s="3">
        <v>1.231935</v>
      </c>
      <c r="AJ466" s="3" t="s">
        <v>548</v>
      </c>
    </row>
    <row r="467" spans="1:36">
      <c r="A467" s="4">
        <v>43336</v>
      </c>
      <c r="B467" s="3" t="s">
        <v>1926</v>
      </c>
      <c r="C467" s="3" t="s">
        <v>1927</v>
      </c>
      <c r="D467" s="3" t="s">
        <v>1928</v>
      </c>
      <c r="E467" s="3" t="s">
        <v>1929</v>
      </c>
      <c r="F467" s="3" t="s">
        <v>538</v>
      </c>
      <c r="G467" s="3">
        <v>1</v>
      </c>
      <c r="H467" s="3">
        <v>0</v>
      </c>
      <c r="I467" s="3">
        <v>1</v>
      </c>
      <c r="J467" s="3">
        <v>0</v>
      </c>
      <c r="K467" s="3">
        <v>0</v>
      </c>
      <c r="L467" s="3">
        <v>0</v>
      </c>
      <c r="M467" s="3">
        <v>0</v>
      </c>
      <c r="N467" s="3" t="s">
        <v>539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0</v>
      </c>
      <c r="U467" s="3">
        <v>2</v>
      </c>
      <c r="V467" s="3">
        <v>2</v>
      </c>
      <c r="W467" s="3" t="s">
        <v>540</v>
      </c>
      <c r="X467" s="3">
        <v>84.8</v>
      </c>
      <c r="Y467" s="3">
        <v>26.8</v>
      </c>
      <c r="Z467" s="3">
        <v>26.8</v>
      </c>
      <c r="AA467" s="3">
        <v>0</v>
      </c>
      <c r="AB467" s="3" t="s">
        <v>651</v>
      </c>
      <c r="AC467" s="3">
        <v>0</v>
      </c>
      <c r="AD467" s="3">
        <v>0</v>
      </c>
      <c r="AE467" s="3">
        <v>0</v>
      </c>
      <c r="AF467" s="3">
        <v>0</v>
      </c>
      <c r="AG467" s="3">
        <v>0</v>
      </c>
      <c r="AH467" s="3">
        <v>1.6</v>
      </c>
      <c r="AI467" s="3">
        <v>0.130284</v>
      </c>
      <c r="AJ467" s="3" t="s">
        <v>548</v>
      </c>
    </row>
    <row r="468" spans="1:36">
      <c r="A468" s="4">
        <v>43336</v>
      </c>
      <c r="B468" s="3" t="s">
        <v>1930</v>
      </c>
      <c r="C468" s="3" t="s">
        <v>1931</v>
      </c>
      <c r="D468" s="3" t="s">
        <v>1932</v>
      </c>
      <c r="E468" s="3" t="s">
        <v>482</v>
      </c>
      <c r="F468" s="3" t="s">
        <v>538</v>
      </c>
      <c r="G468" s="3">
        <v>9</v>
      </c>
      <c r="H468" s="3">
        <v>0</v>
      </c>
      <c r="I468" s="3">
        <v>9</v>
      </c>
      <c r="J468" s="3">
        <v>0</v>
      </c>
      <c r="K468" s="3">
        <v>0</v>
      </c>
      <c r="L468" s="3">
        <v>0</v>
      </c>
      <c r="M468" s="3">
        <v>0</v>
      </c>
      <c r="N468" s="3" t="s">
        <v>539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1</v>
      </c>
      <c r="U468" s="3">
        <v>1</v>
      </c>
      <c r="V468" s="3">
        <v>1</v>
      </c>
      <c r="W468" s="3" t="s">
        <v>553</v>
      </c>
      <c r="X468" s="3">
        <v>13.99</v>
      </c>
      <c r="Y468" s="3">
        <v>13.99</v>
      </c>
      <c r="Z468" s="3">
        <v>13.99</v>
      </c>
      <c r="AA468" s="3">
        <v>0</v>
      </c>
      <c r="AB468" s="3" t="s">
        <v>547</v>
      </c>
      <c r="AC468" s="3">
        <v>9</v>
      </c>
      <c r="AD468" s="3">
        <v>13.99</v>
      </c>
      <c r="AE468" s="3">
        <v>0</v>
      </c>
      <c r="AF468" s="3">
        <v>0</v>
      </c>
      <c r="AG468" s="3">
        <v>0</v>
      </c>
      <c r="AH468" s="3">
        <v>0.137931034482758</v>
      </c>
      <c r="AI468" s="3">
        <v>0.663939</v>
      </c>
      <c r="AJ468" s="3" t="s">
        <v>596</v>
      </c>
    </row>
    <row r="469" spans="1:36">
      <c r="A469" s="4">
        <v>43336</v>
      </c>
      <c r="B469" s="3" t="s">
        <v>1933</v>
      </c>
      <c r="C469" s="3" t="s">
        <v>1934</v>
      </c>
      <c r="D469" s="3" t="s">
        <v>1935</v>
      </c>
      <c r="E469" s="3" t="s">
        <v>1936</v>
      </c>
      <c r="F469" s="3" t="s">
        <v>538</v>
      </c>
      <c r="G469" s="3">
        <v>1</v>
      </c>
      <c r="H469" s="3">
        <v>0</v>
      </c>
      <c r="I469" s="3">
        <v>0</v>
      </c>
      <c r="J469" s="3">
        <v>0</v>
      </c>
      <c r="K469" s="3">
        <v>1</v>
      </c>
      <c r="L469" s="3">
        <v>0</v>
      </c>
      <c r="M469" s="3">
        <v>0</v>
      </c>
      <c r="N469" s="3" t="s">
        <v>539</v>
      </c>
      <c r="O469" s="3">
        <v>1</v>
      </c>
      <c r="P469" s="3">
        <v>0.87</v>
      </c>
      <c r="Q469" s="3">
        <v>0</v>
      </c>
      <c r="R469" s="3">
        <v>0</v>
      </c>
      <c r="S469" s="3">
        <v>2</v>
      </c>
      <c r="T469" s="3">
        <v>4</v>
      </c>
      <c r="U469" s="3">
        <v>5</v>
      </c>
      <c r="V469" s="3">
        <v>10</v>
      </c>
      <c r="W469" s="3"/>
      <c r="X469" s="3">
        <v>29.3</v>
      </c>
      <c r="Y469" s="3">
        <v>29.3</v>
      </c>
      <c r="Z469" s="3">
        <v>29.3</v>
      </c>
      <c r="AA469" s="3">
        <v>0</v>
      </c>
      <c r="AB469" s="3" t="s">
        <v>547</v>
      </c>
      <c r="AC469" s="3">
        <v>0</v>
      </c>
      <c r="AD469" s="3">
        <v>0</v>
      </c>
      <c r="AE469" s="3">
        <v>0</v>
      </c>
      <c r="AF469" s="3">
        <v>0</v>
      </c>
      <c r="AG469" s="3">
        <v>0</v>
      </c>
      <c r="AH469" s="3">
        <v>0.588235294117647</v>
      </c>
      <c r="AI469" s="3">
        <v>0.252079</v>
      </c>
      <c r="AJ469" s="3" t="s">
        <v>548</v>
      </c>
    </row>
    <row r="470" spans="1:36">
      <c r="A470" s="4">
        <v>43336</v>
      </c>
      <c r="B470" s="3" t="s">
        <v>1937</v>
      </c>
      <c r="C470" s="3" t="s">
        <v>1938</v>
      </c>
      <c r="D470" s="3" t="s">
        <v>1939</v>
      </c>
      <c r="E470" s="3" t="s">
        <v>863</v>
      </c>
      <c r="F470" s="3" t="s">
        <v>538</v>
      </c>
      <c r="G470" s="3">
        <v>3</v>
      </c>
      <c r="H470" s="3">
        <v>0</v>
      </c>
      <c r="I470" s="3">
        <v>0</v>
      </c>
      <c r="J470" s="3">
        <v>0</v>
      </c>
      <c r="K470" s="3">
        <v>0</v>
      </c>
      <c r="L470" s="3">
        <v>0</v>
      </c>
      <c r="M470" s="3">
        <v>3</v>
      </c>
      <c r="N470" s="3" t="s">
        <v>539</v>
      </c>
      <c r="O470" s="3">
        <v>0</v>
      </c>
      <c r="P470" s="3">
        <v>0</v>
      </c>
      <c r="Q470" s="3">
        <v>3</v>
      </c>
      <c r="R470" s="3">
        <v>1.5</v>
      </c>
      <c r="S470" s="3">
        <v>0</v>
      </c>
      <c r="T470" s="3">
        <v>0</v>
      </c>
      <c r="U470" s="3">
        <v>0</v>
      </c>
      <c r="V470" s="3">
        <v>0</v>
      </c>
      <c r="W470" s="3" t="s">
        <v>540</v>
      </c>
      <c r="X470" s="3">
        <v>14.6</v>
      </c>
      <c r="Y470" s="3">
        <v>14.6</v>
      </c>
      <c r="Z470" s="3">
        <v>14.6</v>
      </c>
      <c r="AA470" s="3">
        <v>0</v>
      </c>
      <c r="AB470" s="3" t="s">
        <v>541</v>
      </c>
      <c r="AC470" s="3">
        <v>0</v>
      </c>
      <c r="AD470" s="3">
        <v>12.85</v>
      </c>
      <c r="AE470" s="3">
        <v>168</v>
      </c>
      <c r="AF470" s="3">
        <v>0</v>
      </c>
      <c r="AG470" s="3">
        <v>32.417863</v>
      </c>
      <c r="AH470" s="3">
        <v>0</v>
      </c>
      <c r="AI470" s="3">
        <v>0.143793</v>
      </c>
      <c r="AJ470" s="3" t="s">
        <v>548</v>
      </c>
    </row>
    <row r="471" spans="1:36">
      <c r="A471" s="4">
        <v>43336</v>
      </c>
      <c r="B471" s="3" t="s">
        <v>1940</v>
      </c>
      <c r="C471" s="3" t="s">
        <v>1941</v>
      </c>
      <c r="D471" s="3" t="s">
        <v>1942</v>
      </c>
      <c r="E471" s="3" t="s">
        <v>1943</v>
      </c>
      <c r="F471" s="3" t="s">
        <v>538</v>
      </c>
      <c r="G471" s="3">
        <v>6</v>
      </c>
      <c r="H471" s="3">
        <v>0</v>
      </c>
      <c r="I471" s="3">
        <v>0</v>
      </c>
      <c r="J471" s="3">
        <v>6</v>
      </c>
      <c r="K471" s="3">
        <v>0</v>
      </c>
      <c r="L471" s="3">
        <v>0</v>
      </c>
      <c r="M471" s="3">
        <v>0</v>
      </c>
      <c r="N471" s="3" t="s">
        <v>539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 t="s">
        <v>540</v>
      </c>
      <c r="X471" s="3">
        <v>9.99</v>
      </c>
      <c r="Y471" s="3">
        <v>9.99</v>
      </c>
      <c r="Z471" s="3">
        <v>9.99</v>
      </c>
      <c r="AA471" s="3">
        <v>0</v>
      </c>
      <c r="AB471" s="3" t="s">
        <v>541</v>
      </c>
      <c r="AC471" s="3">
        <v>0</v>
      </c>
      <c r="AD471" s="3">
        <v>7.99</v>
      </c>
      <c r="AE471" s="3">
        <v>63</v>
      </c>
      <c r="AF471" s="3">
        <v>0</v>
      </c>
      <c r="AG471" s="3">
        <v>19.968737</v>
      </c>
      <c r="AH471" s="3">
        <v>0</v>
      </c>
      <c r="AI471" s="3">
        <v>0.131826</v>
      </c>
      <c r="AJ471" s="3" t="s">
        <v>548</v>
      </c>
    </row>
    <row r="472" spans="1:36">
      <c r="A472" s="4">
        <v>43336</v>
      </c>
      <c r="B472" s="3" t="s">
        <v>1944</v>
      </c>
      <c r="C472" s="3" t="s">
        <v>1945</v>
      </c>
      <c r="D472" s="3" t="s">
        <v>1946</v>
      </c>
      <c r="E472" s="3" t="s">
        <v>1947</v>
      </c>
      <c r="F472" s="3" t="s">
        <v>538</v>
      </c>
      <c r="G472" s="3">
        <v>4</v>
      </c>
      <c r="H472" s="3">
        <v>0</v>
      </c>
      <c r="I472" s="3">
        <v>4</v>
      </c>
      <c r="J472" s="3">
        <v>0</v>
      </c>
      <c r="K472" s="3">
        <v>0</v>
      </c>
      <c r="L472" s="3">
        <v>0</v>
      </c>
      <c r="M472" s="3">
        <v>0</v>
      </c>
      <c r="N472" s="3" t="s">
        <v>539</v>
      </c>
      <c r="O472" s="3">
        <v>0</v>
      </c>
      <c r="P472" s="3">
        <v>0</v>
      </c>
      <c r="Q472" s="3">
        <v>0</v>
      </c>
      <c r="R472" s="3">
        <v>0</v>
      </c>
      <c r="S472" s="3">
        <v>1</v>
      </c>
      <c r="T472" s="3">
        <v>1</v>
      </c>
      <c r="U472" s="3">
        <v>1</v>
      </c>
      <c r="V472" s="3">
        <v>1</v>
      </c>
      <c r="W472" s="3"/>
      <c r="X472" s="3">
        <v>14.99</v>
      </c>
      <c r="Y472" s="3">
        <v>14.99</v>
      </c>
      <c r="Z472" s="3">
        <v>14.99</v>
      </c>
      <c r="AA472" s="3">
        <v>0</v>
      </c>
      <c r="AB472" s="3" t="s">
        <v>547</v>
      </c>
      <c r="AC472" s="3">
        <v>4</v>
      </c>
      <c r="AD472" s="3">
        <v>14.99</v>
      </c>
      <c r="AE472" s="3">
        <v>0</v>
      </c>
      <c r="AF472" s="3">
        <v>0</v>
      </c>
      <c r="AG472" s="3">
        <v>0</v>
      </c>
      <c r="AH472" s="3">
        <v>0.25</v>
      </c>
      <c r="AI472" s="3">
        <v>0.9625</v>
      </c>
      <c r="AJ472" s="3" t="s">
        <v>548</v>
      </c>
    </row>
    <row r="473" spans="1:36">
      <c r="A473" s="4">
        <v>43336</v>
      </c>
      <c r="B473" s="3" t="s">
        <v>1948</v>
      </c>
      <c r="C473" s="3" t="s">
        <v>1949</v>
      </c>
      <c r="D473" s="3" t="s">
        <v>1950</v>
      </c>
      <c r="E473" s="3" t="s">
        <v>1951</v>
      </c>
      <c r="F473" s="3" t="s">
        <v>538</v>
      </c>
      <c r="G473" s="3">
        <v>1</v>
      </c>
      <c r="H473" s="3">
        <v>0</v>
      </c>
      <c r="I473" s="3">
        <v>0</v>
      </c>
      <c r="J473" s="3">
        <v>1</v>
      </c>
      <c r="K473" s="3">
        <v>0</v>
      </c>
      <c r="L473" s="3">
        <v>0</v>
      </c>
      <c r="M473" s="3">
        <v>0</v>
      </c>
      <c r="N473" s="3" t="s">
        <v>539</v>
      </c>
      <c r="O473" s="3">
        <v>1</v>
      </c>
      <c r="P473" s="3">
        <v>0.39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 t="s">
        <v>540</v>
      </c>
      <c r="X473" s="3">
        <v>31.6</v>
      </c>
      <c r="Y473" s="3">
        <v>31.6</v>
      </c>
      <c r="Z473" s="3">
        <v>31.6</v>
      </c>
      <c r="AA473" s="3">
        <v>0</v>
      </c>
      <c r="AB473" s="3" t="s">
        <v>541</v>
      </c>
      <c r="AC473" s="3">
        <v>0</v>
      </c>
      <c r="AD473" s="3">
        <v>28.99</v>
      </c>
      <c r="AE473" s="3">
        <v>168</v>
      </c>
      <c r="AF473" s="3">
        <v>0</v>
      </c>
      <c r="AG473" s="3">
        <v>27.72311</v>
      </c>
      <c r="AH473" s="3">
        <v>0</v>
      </c>
      <c r="AI473" s="3">
        <v>0.112862</v>
      </c>
      <c r="AJ473" s="3" t="s">
        <v>548</v>
      </c>
    </row>
    <row r="474" spans="1:36">
      <c r="A474" s="4">
        <v>43336</v>
      </c>
      <c r="B474" s="3" t="s">
        <v>1952</v>
      </c>
      <c r="C474" s="3" t="s">
        <v>1953</v>
      </c>
      <c r="D474" s="3" t="s">
        <v>1954</v>
      </c>
      <c r="E474" s="3" t="s">
        <v>1955</v>
      </c>
      <c r="F474" s="3" t="s">
        <v>538</v>
      </c>
      <c r="G474" s="3">
        <v>6</v>
      </c>
      <c r="H474" s="3">
        <v>0</v>
      </c>
      <c r="I474" s="3">
        <v>0</v>
      </c>
      <c r="J474" s="3">
        <v>6</v>
      </c>
      <c r="K474" s="3">
        <v>0</v>
      </c>
      <c r="L474" s="3">
        <v>0</v>
      </c>
      <c r="M474" s="3">
        <v>0</v>
      </c>
      <c r="N474" s="3" t="s">
        <v>539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 t="s">
        <v>540</v>
      </c>
      <c r="X474" s="3">
        <v>9.99</v>
      </c>
      <c r="Y474" s="3">
        <v>9.99</v>
      </c>
      <c r="Z474" s="3">
        <v>9.99</v>
      </c>
      <c r="AA474" s="3">
        <v>0</v>
      </c>
      <c r="AB474" s="3" t="s">
        <v>541</v>
      </c>
      <c r="AC474" s="3">
        <v>0</v>
      </c>
      <c r="AD474" s="3">
        <v>7.99</v>
      </c>
      <c r="AE474" s="3">
        <v>63</v>
      </c>
      <c r="AF474" s="3">
        <v>0</v>
      </c>
      <c r="AG474" s="3">
        <v>17.012533</v>
      </c>
      <c r="AH474" s="3">
        <v>0</v>
      </c>
      <c r="AI474" s="3">
        <v>0.10821</v>
      </c>
      <c r="AJ474" s="3" t="s">
        <v>548</v>
      </c>
    </row>
    <row r="475" spans="1:36">
      <c r="A475" s="4">
        <v>43336</v>
      </c>
      <c r="B475" s="3" t="s">
        <v>1956</v>
      </c>
      <c r="C475" s="3" t="s">
        <v>1957</v>
      </c>
      <c r="D475" s="3" t="s">
        <v>1958</v>
      </c>
      <c r="E475" s="3" t="s">
        <v>1959</v>
      </c>
      <c r="F475" s="3" t="s">
        <v>538</v>
      </c>
      <c r="G475" s="3">
        <v>8</v>
      </c>
      <c r="H475" s="3">
        <v>0</v>
      </c>
      <c r="I475" s="3">
        <v>0</v>
      </c>
      <c r="J475" s="3">
        <v>0</v>
      </c>
      <c r="K475" s="3">
        <v>0</v>
      </c>
      <c r="L475" s="3">
        <v>1</v>
      </c>
      <c r="M475" s="3">
        <v>7</v>
      </c>
      <c r="N475" s="3" t="s">
        <v>539</v>
      </c>
      <c r="O475" s="3">
        <v>0</v>
      </c>
      <c r="P475" s="3">
        <v>0</v>
      </c>
      <c r="Q475" s="3">
        <v>8</v>
      </c>
      <c r="R475" s="3">
        <v>4.72</v>
      </c>
      <c r="S475" s="3">
        <v>0</v>
      </c>
      <c r="T475" s="3">
        <v>1</v>
      </c>
      <c r="U475" s="3">
        <v>2</v>
      </c>
      <c r="V475" s="3">
        <v>2</v>
      </c>
      <c r="W475" s="3"/>
      <c r="X475" s="3">
        <v>14.99</v>
      </c>
      <c r="Y475" s="3">
        <v>14.99</v>
      </c>
      <c r="Z475" s="3">
        <v>14.99</v>
      </c>
      <c r="AA475" s="3">
        <v>0</v>
      </c>
      <c r="AB475" s="3" t="s">
        <v>547</v>
      </c>
      <c r="AC475" s="3">
        <v>8</v>
      </c>
      <c r="AD475" s="3">
        <v>14.99</v>
      </c>
      <c r="AE475" s="3">
        <v>0</v>
      </c>
      <c r="AF475" s="3">
        <v>0</v>
      </c>
      <c r="AG475" s="3">
        <v>0</v>
      </c>
      <c r="AH475" s="3">
        <v>0.216216216216216</v>
      </c>
      <c r="AI475" s="3">
        <v>0.683512</v>
      </c>
      <c r="AJ475" s="3" t="s">
        <v>548</v>
      </c>
    </row>
    <row r="476" spans="1:36">
      <c r="A476" s="4">
        <v>43336</v>
      </c>
      <c r="B476" s="3" t="s">
        <v>1960</v>
      </c>
      <c r="C476" s="3" t="s">
        <v>1961</v>
      </c>
      <c r="D476" s="3" t="s">
        <v>1962</v>
      </c>
      <c r="E476" s="3" t="s">
        <v>1963</v>
      </c>
      <c r="F476" s="3" t="s">
        <v>538</v>
      </c>
      <c r="G476" s="3">
        <v>9</v>
      </c>
      <c r="H476" s="3">
        <v>0</v>
      </c>
      <c r="I476" s="3">
        <v>0</v>
      </c>
      <c r="J476" s="3">
        <v>0</v>
      </c>
      <c r="K476" s="3">
        <v>9</v>
      </c>
      <c r="L476" s="3">
        <v>0</v>
      </c>
      <c r="M476" s="3">
        <v>0</v>
      </c>
      <c r="N476" s="3" t="s">
        <v>539</v>
      </c>
      <c r="O476" s="3">
        <v>9</v>
      </c>
      <c r="P476" s="3">
        <v>0.81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 t="s">
        <v>553</v>
      </c>
      <c r="X476" s="3">
        <v>9.9</v>
      </c>
      <c r="Y476" s="3">
        <v>9.9</v>
      </c>
      <c r="Z476" s="3">
        <v>9.9</v>
      </c>
      <c r="AA476" s="3">
        <v>0</v>
      </c>
      <c r="AB476" s="3" t="s">
        <v>562</v>
      </c>
      <c r="AC476" s="3">
        <v>0</v>
      </c>
      <c r="AD476" s="3">
        <v>8.33</v>
      </c>
      <c r="AE476" s="3">
        <v>364</v>
      </c>
      <c r="AF476" s="3">
        <v>8</v>
      </c>
      <c r="AG476" s="3">
        <v>37.695727</v>
      </c>
      <c r="AH476" s="3">
        <v>0</v>
      </c>
      <c r="AI476" s="3">
        <v>0.236844</v>
      </c>
      <c r="AJ476" s="3" t="s">
        <v>548</v>
      </c>
    </row>
    <row r="477" spans="1:36">
      <c r="A477" s="4">
        <v>43336</v>
      </c>
      <c r="B477" s="3" t="s">
        <v>1964</v>
      </c>
      <c r="C477" s="3" t="s">
        <v>1965</v>
      </c>
      <c r="D477" s="3" t="s">
        <v>1966</v>
      </c>
      <c r="E477" s="3" t="s">
        <v>1967</v>
      </c>
      <c r="F477" s="3" t="s">
        <v>538</v>
      </c>
      <c r="G477" s="3">
        <v>8</v>
      </c>
      <c r="H477" s="3">
        <v>0</v>
      </c>
      <c r="I477" s="3">
        <v>0</v>
      </c>
      <c r="J477" s="3">
        <v>0</v>
      </c>
      <c r="K477" s="3">
        <v>8</v>
      </c>
      <c r="L477" s="3">
        <v>0</v>
      </c>
      <c r="M477" s="3">
        <v>0</v>
      </c>
      <c r="N477" s="3" t="s">
        <v>539</v>
      </c>
      <c r="O477" s="3">
        <v>8</v>
      </c>
      <c r="P477" s="3">
        <v>2.42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 t="s">
        <v>553</v>
      </c>
      <c r="X477" s="3">
        <v>31.9</v>
      </c>
      <c r="Y477" s="3">
        <v>31.9</v>
      </c>
      <c r="Z477" s="3">
        <v>31.9</v>
      </c>
      <c r="AA477" s="3">
        <v>0</v>
      </c>
      <c r="AB477" s="3" t="s">
        <v>562</v>
      </c>
      <c r="AC477" s="3">
        <v>2</v>
      </c>
      <c r="AD477" s="3">
        <v>29.88</v>
      </c>
      <c r="AE477" s="3">
        <v>91</v>
      </c>
      <c r="AF477" s="3">
        <v>0</v>
      </c>
      <c r="AG477" s="3">
        <v>234.425454</v>
      </c>
      <c r="AH477" s="3">
        <v>0</v>
      </c>
      <c r="AI477" s="3">
        <v>0.707176</v>
      </c>
      <c r="AJ477" s="3" t="s">
        <v>548</v>
      </c>
    </row>
    <row r="478" spans="1:36">
      <c r="A478" s="4">
        <v>43336</v>
      </c>
      <c r="B478" s="3" t="s">
        <v>1968</v>
      </c>
      <c r="C478" s="3" t="s">
        <v>1969</v>
      </c>
      <c r="D478" s="3" t="s">
        <v>1970</v>
      </c>
      <c r="E478" s="3" t="s">
        <v>1971</v>
      </c>
      <c r="F478" s="3" t="s">
        <v>538</v>
      </c>
      <c r="G478" s="3">
        <v>1</v>
      </c>
      <c r="H478" s="3">
        <v>0</v>
      </c>
      <c r="I478" s="3">
        <v>1</v>
      </c>
      <c r="J478" s="3">
        <v>0</v>
      </c>
      <c r="K478" s="3">
        <v>0</v>
      </c>
      <c r="L478" s="3">
        <v>0</v>
      </c>
      <c r="M478" s="3">
        <v>0</v>
      </c>
      <c r="N478" s="3" t="s">
        <v>539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1</v>
      </c>
      <c r="U478" s="3">
        <v>1</v>
      </c>
      <c r="V478" s="3">
        <v>2</v>
      </c>
      <c r="W478" s="3" t="s">
        <v>553</v>
      </c>
      <c r="X478" s="3">
        <v>23.5</v>
      </c>
      <c r="Y478" s="3">
        <v>23.5</v>
      </c>
      <c r="Z478" s="3">
        <v>23.5</v>
      </c>
      <c r="AA478" s="3">
        <v>0</v>
      </c>
      <c r="AB478" s="3" t="s">
        <v>547</v>
      </c>
      <c r="AC478" s="3">
        <v>1</v>
      </c>
      <c r="AD478" s="3">
        <v>23.5</v>
      </c>
      <c r="AE478" s="3">
        <v>0</v>
      </c>
      <c r="AF478" s="3">
        <v>0</v>
      </c>
      <c r="AG478" s="3">
        <v>0</v>
      </c>
      <c r="AH478" s="3">
        <v>1.14285714285714</v>
      </c>
      <c r="AI478" s="3">
        <v>0.08497</v>
      </c>
      <c r="AJ478" s="3" t="s">
        <v>548</v>
      </c>
    </row>
    <row r="479" spans="1:36">
      <c r="A479" s="4">
        <v>43336</v>
      </c>
      <c r="B479" s="3" t="s">
        <v>1972</v>
      </c>
      <c r="C479" s="3" t="s">
        <v>1973</v>
      </c>
      <c r="D479" s="3" t="s">
        <v>1974</v>
      </c>
      <c r="E479" s="3" t="s">
        <v>815</v>
      </c>
      <c r="F479" s="3" t="s">
        <v>538</v>
      </c>
      <c r="G479" s="3">
        <v>6</v>
      </c>
      <c r="H479" s="3">
        <v>0</v>
      </c>
      <c r="I479" s="3">
        <v>6</v>
      </c>
      <c r="J479" s="3">
        <v>0</v>
      </c>
      <c r="K479" s="3">
        <v>0</v>
      </c>
      <c r="L479" s="3">
        <v>0</v>
      </c>
      <c r="M479" s="3">
        <v>0</v>
      </c>
      <c r="N479" s="3" t="s">
        <v>539</v>
      </c>
      <c r="O479" s="3">
        <v>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 t="s">
        <v>540</v>
      </c>
      <c r="X479" s="3">
        <v>22.99</v>
      </c>
      <c r="Y479" s="3">
        <v>22.99</v>
      </c>
      <c r="Z479" s="3">
        <v>22.99</v>
      </c>
      <c r="AA479" s="3">
        <v>0</v>
      </c>
      <c r="AB479" s="3" t="s">
        <v>541</v>
      </c>
      <c r="AC479" s="3">
        <v>0</v>
      </c>
      <c r="AD479" s="3">
        <v>0</v>
      </c>
      <c r="AE479" s="3">
        <v>0</v>
      </c>
      <c r="AF479" s="3">
        <v>0</v>
      </c>
      <c r="AG479" s="3">
        <v>0</v>
      </c>
      <c r="AH479" s="3">
        <v>0</v>
      </c>
      <c r="AI479" s="3">
        <v>0.906833999999999</v>
      </c>
      <c r="AJ479" s="3" t="s">
        <v>542</v>
      </c>
    </row>
    <row r="480" spans="1:36">
      <c r="A480" s="4">
        <v>43336</v>
      </c>
      <c r="B480" s="3" t="s">
        <v>1975</v>
      </c>
      <c r="C480" s="3" t="s">
        <v>1976</v>
      </c>
      <c r="D480" s="3" t="s">
        <v>1977</v>
      </c>
      <c r="E480" s="3" t="s">
        <v>552</v>
      </c>
      <c r="F480" s="3" t="s">
        <v>538</v>
      </c>
      <c r="G480" s="3">
        <v>3</v>
      </c>
      <c r="H480" s="3">
        <v>0</v>
      </c>
      <c r="I480" s="3">
        <v>3</v>
      </c>
      <c r="J480" s="3">
        <v>0</v>
      </c>
      <c r="K480" s="3">
        <v>0</v>
      </c>
      <c r="L480" s="3">
        <v>0</v>
      </c>
      <c r="M480" s="3">
        <v>0</v>
      </c>
      <c r="N480" s="3" t="s">
        <v>539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 t="s">
        <v>553</v>
      </c>
      <c r="X480" s="3">
        <v>24.9</v>
      </c>
      <c r="Y480" s="3">
        <v>24.9</v>
      </c>
      <c r="Z480" s="3">
        <v>24.9</v>
      </c>
      <c r="AA480" s="3">
        <v>0</v>
      </c>
      <c r="AB480" s="3" t="s">
        <v>562</v>
      </c>
      <c r="AC480" s="3">
        <v>0</v>
      </c>
      <c r="AD480" s="3">
        <v>19.92</v>
      </c>
      <c r="AE480" s="3">
        <v>63</v>
      </c>
      <c r="AF480" s="3">
        <v>0</v>
      </c>
      <c r="AG480" s="3">
        <v>69.653353</v>
      </c>
      <c r="AH480" s="3">
        <v>0</v>
      </c>
      <c r="AI480" s="3">
        <v>0.523155</v>
      </c>
      <c r="AJ480" s="3" t="s">
        <v>548</v>
      </c>
    </row>
    <row r="481" spans="1:36">
      <c r="A481" s="4">
        <v>43336</v>
      </c>
      <c r="B481" s="3" t="s">
        <v>1978</v>
      </c>
      <c r="C481" s="3" t="s">
        <v>1979</v>
      </c>
      <c r="D481" s="3" t="s">
        <v>1980</v>
      </c>
      <c r="E481" s="3" t="s">
        <v>1981</v>
      </c>
      <c r="F481" s="3" t="s">
        <v>538</v>
      </c>
      <c r="G481" s="3">
        <v>14</v>
      </c>
      <c r="H481" s="3">
        <v>0</v>
      </c>
      <c r="I481" s="3">
        <v>2</v>
      </c>
      <c r="J481" s="3">
        <v>0</v>
      </c>
      <c r="K481" s="3">
        <v>12</v>
      </c>
      <c r="L481" s="3">
        <v>0</v>
      </c>
      <c r="M481" s="3">
        <v>0</v>
      </c>
      <c r="N481" s="3" t="s">
        <v>539</v>
      </c>
      <c r="O481" s="3">
        <v>12</v>
      </c>
      <c r="P481" s="3">
        <v>1.59</v>
      </c>
      <c r="Q481" s="3">
        <v>0</v>
      </c>
      <c r="R481" s="3">
        <v>0</v>
      </c>
      <c r="S481" s="3">
        <v>1</v>
      </c>
      <c r="T481" s="3">
        <v>1</v>
      </c>
      <c r="U481" s="3">
        <v>1</v>
      </c>
      <c r="V481" s="3">
        <v>1</v>
      </c>
      <c r="W481" s="3" t="s">
        <v>540</v>
      </c>
      <c r="X481" s="3">
        <v>22.9</v>
      </c>
      <c r="Y481" s="3">
        <v>22.9</v>
      </c>
      <c r="Z481" s="3">
        <v>22.9</v>
      </c>
      <c r="AA481" s="3">
        <v>0</v>
      </c>
      <c r="AB481" s="3" t="s">
        <v>541</v>
      </c>
      <c r="AC481" s="3">
        <v>0</v>
      </c>
      <c r="AD481" s="3">
        <v>20.19</v>
      </c>
      <c r="AE481" s="3">
        <v>329</v>
      </c>
      <c r="AF481" s="3">
        <v>0</v>
      </c>
      <c r="AG481" s="3">
        <v>211.315163</v>
      </c>
      <c r="AH481" s="3">
        <v>0.0677966101694915</v>
      </c>
      <c r="AI481" s="3">
        <v>0.539056</v>
      </c>
      <c r="AJ481" s="3" t="s">
        <v>596</v>
      </c>
    </row>
    <row r="482" spans="1:36">
      <c r="A482" s="4">
        <v>43336</v>
      </c>
      <c r="B482" s="3" t="s">
        <v>1982</v>
      </c>
      <c r="C482" s="3" t="s">
        <v>1983</v>
      </c>
      <c r="D482" s="3" t="s">
        <v>1984</v>
      </c>
      <c r="E482" s="3" t="s">
        <v>552</v>
      </c>
      <c r="F482" s="3" t="s">
        <v>538</v>
      </c>
      <c r="G482" s="3">
        <v>3</v>
      </c>
      <c r="H482" s="3">
        <v>0</v>
      </c>
      <c r="I482" s="3">
        <v>3</v>
      </c>
      <c r="J482" s="3">
        <v>0</v>
      </c>
      <c r="K482" s="3">
        <v>0</v>
      </c>
      <c r="L482" s="3">
        <v>0</v>
      </c>
      <c r="M482" s="3">
        <v>0</v>
      </c>
      <c r="N482" s="3" t="s">
        <v>539</v>
      </c>
      <c r="O482" s="3">
        <v>0</v>
      </c>
      <c r="P482" s="3">
        <v>0</v>
      </c>
      <c r="Q482" s="3">
        <v>0</v>
      </c>
      <c r="R482" s="3">
        <v>0</v>
      </c>
      <c r="S482" s="3">
        <v>0</v>
      </c>
      <c r="T482" s="3">
        <v>0</v>
      </c>
      <c r="U482" s="3">
        <v>0</v>
      </c>
      <c r="V482" s="3">
        <v>0</v>
      </c>
      <c r="W482" s="3" t="s">
        <v>553</v>
      </c>
      <c r="X482" s="3">
        <v>17.9</v>
      </c>
      <c r="Y482" s="3">
        <v>17.9</v>
      </c>
      <c r="Z482" s="3">
        <v>17.9</v>
      </c>
      <c r="AA482" s="3">
        <v>0</v>
      </c>
      <c r="AB482" s="3" t="s">
        <v>562</v>
      </c>
      <c r="AC482" s="3">
        <v>0</v>
      </c>
      <c r="AD482" s="3">
        <v>15.62</v>
      </c>
      <c r="AE482" s="3">
        <v>280</v>
      </c>
      <c r="AF482" s="3">
        <v>0</v>
      </c>
      <c r="AG482" s="3">
        <v>46.942599</v>
      </c>
      <c r="AH482" s="3">
        <v>0</v>
      </c>
      <c r="AI482" s="3">
        <v>0.249392999999999</v>
      </c>
      <c r="AJ482" s="3" t="s">
        <v>548</v>
      </c>
    </row>
    <row r="483" spans="1:36">
      <c r="A483" s="4">
        <v>43336</v>
      </c>
      <c r="B483" s="3" t="s">
        <v>316</v>
      </c>
      <c r="C483" s="3" t="s">
        <v>317</v>
      </c>
      <c r="D483" s="3" t="s">
        <v>318</v>
      </c>
      <c r="E483" s="3" t="s">
        <v>319</v>
      </c>
      <c r="F483" s="3" t="s">
        <v>538</v>
      </c>
      <c r="G483" s="3">
        <v>31</v>
      </c>
      <c r="H483" s="3">
        <v>0</v>
      </c>
      <c r="I483" s="3">
        <v>31</v>
      </c>
      <c r="J483" s="3">
        <v>0</v>
      </c>
      <c r="K483" s="3">
        <v>0</v>
      </c>
      <c r="L483" s="3">
        <v>0</v>
      </c>
      <c r="M483" s="3">
        <v>0</v>
      </c>
      <c r="N483" s="3" t="s">
        <v>539</v>
      </c>
      <c r="O483" s="3">
        <v>0</v>
      </c>
      <c r="P483" s="3">
        <v>0</v>
      </c>
      <c r="Q483" s="3">
        <v>0</v>
      </c>
      <c r="R483" s="3">
        <v>0</v>
      </c>
      <c r="S483" s="3">
        <v>1</v>
      </c>
      <c r="T483" s="3">
        <v>13</v>
      </c>
      <c r="U483" s="3">
        <v>18</v>
      </c>
      <c r="V483" s="3">
        <v>22</v>
      </c>
      <c r="W483" s="3"/>
      <c r="X483" s="3">
        <v>13.99</v>
      </c>
      <c r="Y483" s="3">
        <v>13.99</v>
      </c>
      <c r="Z483" s="3">
        <v>13.99</v>
      </c>
      <c r="AA483" s="3">
        <v>0</v>
      </c>
      <c r="AB483" s="3" t="s">
        <v>547</v>
      </c>
      <c r="AC483" s="3">
        <v>11</v>
      </c>
      <c r="AD483" s="3">
        <v>13.99</v>
      </c>
      <c r="AE483" s="3">
        <v>0</v>
      </c>
      <c r="AF483" s="3">
        <v>0</v>
      </c>
      <c r="AG483" s="3">
        <v>0</v>
      </c>
      <c r="AH483" s="3">
        <v>1.33333333333333</v>
      </c>
      <c r="AI483" s="3">
        <v>2.154934</v>
      </c>
      <c r="AJ483" s="3" t="s">
        <v>596</v>
      </c>
    </row>
    <row r="484" spans="1:36">
      <c r="A484" s="4">
        <v>43336</v>
      </c>
      <c r="B484" s="3" t="s">
        <v>1985</v>
      </c>
      <c r="C484" s="3" t="s">
        <v>1986</v>
      </c>
      <c r="D484" s="3" t="s">
        <v>1987</v>
      </c>
      <c r="E484" s="3" t="s">
        <v>1988</v>
      </c>
      <c r="F484" s="3" t="s">
        <v>538</v>
      </c>
      <c r="G484" s="3">
        <v>19</v>
      </c>
      <c r="H484" s="3">
        <v>0</v>
      </c>
      <c r="I484" s="3">
        <v>19</v>
      </c>
      <c r="J484" s="3">
        <v>0</v>
      </c>
      <c r="K484" s="3">
        <v>0</v>
      </c>
      <c r="L484" s="3">
        <v>0</v>
      </c>
      <c r="M484" s="3">
        <v>0</v>
      </c>
      <c r="N484" s="3" t="s">
        <v>539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8</v>
      </c>
      <c r="U484" s="3">
        <v>27</v>
      </c>
      <c r="V484" s="3">
        <v>27</v>
      </c>
      <c r="W484" s="3" t="s">
        <v>553</v>
      </c>
      <c r="X484" s="3">
        <v>22.99</v>
      </c>
      <c r="Y484" s="3">
        <v>22.99</v>
      </c>
      <c r="Z484" s="3">
        <v>22.99</v>
      </c>
      <c r="AA484" s="3">
        <v>0</v>
      </c>
      <c r="AB484" s="3" t="s">
        <v>547</v>
      </c>
      <c r="AC484" s="3">
        <v>19</v>
      </c>
      <c r="AD484" s="3">
        <v>22.99</v>
      </c>
      <c r="AE484" s="3">
        <v>0</v>
      </c>
      <c r="AF484" s="3">
        <v>0</v>
      </c>
      <c r="AG484" s="3">
        <v>0</v>
      </c>
      <c r="AH484" s="3">
        <v>4.05</v>
      </c>
      <c r="AI484" s="3">
        <v>1.760635</v>
      </c>
      <c r="AJ484" s="3" t="s">
        <v>596</v>
      </c>
    </row>
    <row r="485" spans="1:36">
      <c r="A485" s="4">
        <v>43336</v>
      </c>
      <c r="B485" s="3" t="s">
        <v>1989</v>
      </c>
      <c r="C485" s="3" t="s">
        <v>1990</v>
      </c>
      <c r="D485" s="3" t="s">
        <v>1991</v>
      </c>
      <c r="E485" s="3" t="s">
        <v>1992</v>
      </c>
      <c r="F485" s="3" t="s">
        <v>538</v>
      </c>
      <c r="G485" s="3">
        <v>20</v>
      </c>
      <c r="H485" s="3">
        <v>0</v>
      </c>
      <c r="I485" s="3">
        <v>20</v>
      </c>
      <c r="J485" s="3">
        <v>0</v>
      </c>
      <c r="K485" s="3">
        <v>0</v>
      </c>
      <c r="L485" s="3">
        <v>0</v>
      </c>
      <c r="M485" s="3">
        <v>0</v>
      </c>
      <c r="N485" s="3" t="s">
        <v>539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1</v>
      </c>
      <c r="U485" s="3">
        <v>1</v>
      </c>
      <c r="V485" s="3">
        <v>3</v>
      </c>
      <c r="W485" s="3" t="s">
        <v>553</v>
      </c>
      <c r="X485" s="3">
        <v>10</v>
      </c>
      <c r="Y485" s="3">
        <v>10</v>
      </c>
      <c r="Z485" s="3">
        <v>10</v>
      </c>
      <c r="AA485" s="3">
        <v>0</v>
      </c>
      <c r="AB485" s="3" t="s">
        <v>562</v>
      </c>
      <c r="AC485" s="3">
        <v>14</v>
      </c>
      <c r="AD485" s="3">
        <v>9.25</v>
      </c>
      <c r="AE485" s="3">
        <v>70</v>
      </c>
      <c r="AF485" s="3">
        <v>0</v>
      </c>
      <c r="AG485" s="3">
        <v>1.265368</v>
      </c>
      <c r="AH485" s="3">
        <v>0.2</v>
      </c>
      <c r="AI485" s="3">
        <v>1.16302</v>
      </c>
      <c r="AJ485" s="3" t="s">
        <v>596</v>
      </c>
    </row>
    <row r="486" spans="1:36">
      <c r="A486" s="4">
        <v>43336</v>
      </c>
      <c r="B486" s="3" t="s">
        <v>1993</v>
      </c>
      <c r="C486" s="3" t="s">
        <v>1994</v>
      </c>
      <c r="D486" s="3" t="s">
        <v>1995</v>
      </c>
      <c r="E486" s="3" t="s">
        <v>1996</v>
      </c>
      <c r="F486" s="3" t="s">
        <v>538</v>
      </c>
      <c r="G486" s="3">
        <v>5</v>
      </c>
      <c r="H486" s="3">
        <v>0</v>
      </c>
      <c r="I486" s="3">
        <v>0</v>
      </c>
      <c r="J486" s="3">
        <v>0</v>
      </c>
      <c r="K486" s="3">
        <v>5</v>
      </c>
      <c r="L486" s="3">
        <v>0</v>
      </c>
      <c r="M486" s="3">
        <v>0</v>
      </c>
      <c r="N486" s="3" t="s">
        <v>539</v>
      </c>
      <c r="O486" s="3">
        <v>5</v>
      </c>
      <c r="P486" s="3">
        <v>0.85</v>
      </c>
      <c r="Q486" s="3">
        <v>0</v>
      </c>
      <c r="R486" s="3">
        <v>0</v>
      </c>
      <c r="S486" s="3">
        <v>0</v>
      </c>
      <c r="T486" s="3">
        <v>0</v>
      </c>
      <c r="U486" s="3">
        <v>0</v>
      </c>
      <c r="V486" s="3">
        <v>0</v>
      </c>
      <c r="W486" s="3" t="s">
        <v>553</v>
      </c>
      <c r="X486" s="3">
        <v>45.9</v>
      </c>
      <c r="Y486" s="3">
        <v>45.9</v>
      </c>
      <c r="Z486" s="3">
        <v>45.9</v>
      </c>
      <c r="AA486" s="3">
        <v>0</v>
      </c>
      <c r="AB486" s="3" t="s">
        <v>562</v>
      </c>
      <c r="AC486" s="3">
        <v>0</v>
      </c>
      <c r="AD486" s="3">
        <v>36.72</v>
      </c>
      <c r="AE486" s="3">
        <v>63</v>
      </c>
      <c r="AF486" s="3">
        <v>0</v>
      </c>
      <c r="AG486" s="3">
        <v>47.104659</v>
      </c>
      <c r="AH486" s="3">
        <v>0</v>
      </c>
      <c r="AI486" s="3">
        <v>0.248615</v>
      </c>
      <c r="AJ486" s="3" t="s">
        <v>548</v>
      </c>
    </row>
    <row r="487" spans="1:36">
      <c r="A487" s="4">
        <v>43336</v>
      </c>
      <c r="B487" s="3" t="s">
        <v>1997</v>
      </c>
      <c r="C487" s="3" t="s">
        <v>1998</v>
      </c>
      <c r="D487" s="3" t="s">
        <v>1999</v>
      </c>
      <c r="E487" s="3" t="s">
        <v>655</v>
      </c>
      <c r="F487" s="3" t="s">
        <v>538</v>
      </c>
      <c r="G487" s="3">
        <v>2</v>
      </c>
      <c r="H487" s="3">
        <v>0</v>
      </c>
      <c r="I487" s="3">
        <v>2</v>
      </c>
      <c r="J487" s="3">
        <v>0</v>
      </c>
      <c r="K487" s="3">
        <v>0</v>
      </c>
      <c r="L487" s="3">
        <v>0</v>
      </c>
      <c r="M487" s="3">
        <v>0</v>
      </c>
      <c r="N487" s="3" t="s">
        <v>539</v>
      </c>
      <c r="O487" s="3">
        <v>0</v>
      </c>
      <c r="P487" s="3">
        <v>0</v>
      </c>
      <c r="Q487" s="3">
        <v>0</v>
      </c>
      <c r="R487" s="3">
        <v>0</v>
      </c>
      <c r="S487" s="3">
        <v>0</v>
      </c>
      <c r="T487" s="3">
        <v>1</v>
      </c>
      <c r="U487" s="3">
        <v>1</v>
      </c>
      <c r="V487" s="3">
        <v>1</v>
      </c>
      <c r="W487" s="3" t="s">
        <v>540</v>
      </c>
      <c r="X487" s="3">
        <v>16.99</v>
      </c>
      <c r="Y487" s="3">
        <v>16.99</v>
      </c>
      <c r="Z487" s="3">
        <v>16.99</v>
      </c>
      <c r="AA487" s="3">
        <v>0</v>
      </c>
      <c r="AB487" s="3" t="s">
        <v>541</v>
      </c>
      <c r="AC487" s="3">
        <v>2</v>
      </c>
      <c r="AD487" s="3">
        <v>16.99</v>
      </c>
      <c r="AE487" s="3">
        <v>0</v>
      </c>
      <c r="AF487" s="3">
        <v>0</v>
      </c>
      <c r="AG487" s="3">
        <v>0</v>
      </c>
      <c r="AH487" s="3">
        <v>1</v>
      </c>
      <c r="AI487" s="3">
        <v>0.270396</v>
      </c>
      <c r="AJ487" s="3" t="s">
        <v>542</v>
      </c>
    </row>
    <row r="488" spans="1:36">
      <c r="A488" s="4">
        <v>43336</v>
      </c>
      <c r="B488" s="3" t="s">
        <v>2000</v>
      </c>
      <c r="C488" s="3" t="s">
        <v>2001</v>
      </c>
      <c r="D488" s="3" t="s">
        <v>2002</v>
      </c>
      <c r="E488" s="3" t="s">
        <v>2003</v>
      </c>
      <c r="F488" s="3" t="s">
        <v>538</v>
      </c>
      <c r="G488" s="3">
        <v>6</v>
      </c>
      <c r="H488" s="3">
        <v>0</v>
      </c>
      <c r="I488" s="3">
        <v>5</v>
      </c>
      <c r="J488" s="3">
        <v>1</v>
      </c>
      <c r="K488" s="3">
        <v>0</v>
      </c>
      <c r="L488" s="3">
        <v>0</v>
      </c>
      <c r="M488" s="3">
        <v>0</v>
      </c>
      <c r="N488" s="3" t="s">
        <v>539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1</v>
      </c>
      <c r="U488" s="3">
        <v>2</v>
      </c>
      <c r="V488" s="3">
        <v>2</v>
      </c>
      <c r="W488" s="3" t="s">
        <v>553</v>
      </c>
      <c r="X488" s="3">
        <v>10</v>
      </c>
      <c r="Y488" s="3">
        <v>10</v>
      </c>
      <c r="Z488" s="3">
        <v>10</v>
      </c>
      <c r="AA488" s="3">
        <v>0</v>
      </c>
      <c r="AB488" s="3" t="s">
        <v>562</v>
      </c>
      <c r="AC488" s="3">
        <v>0</v>
      </c>
      <c r="AD488" s="3">
        <v>8</v>
      </c>
      <c r="AE488" s="3">
        <v>273</v>
      </c>
      <c r="AF488" s="3">
        <v>0</v>
      </c>
      <c r="AG488" s="3">
        <v>32.932595</v>
      </c>
      <c r="AH488" s="3">
        <v>0.333333333333333</v>
      </c>
      <c r="AI488" s="3">
        <v>0.348906</v>
      </c>
      <c r="AJ488" s="3" t="s">
        <v>596</v>
      </c>
    </row>
    <row r="489" spans="1:36">
      <c r="A489" s="4">
        <v>43336</v>
      </c>
      <c r="B489" s="3" t="s">
        <v>324</v>
      </c>
      <c r="C489" s="3" t="s">
        <v>325</v>
      </c>
      <c r="D489" s="3" t="s">
        <v>326</v>
      </c>
      <c r="E489" s="3" t="s">
        <v>327</v>
      </c>
      <c r="F489" s="3" t="s">
        <v>538</v>
      </c>
      <c r="G489" s="3">
        <v>12</v>
      </c>
      <c r="H489" s="3">
        <v>0</v>
      </c>
      <c r="I489" s="3">
        <v>11</v>
      </c>
      <c r="J489" s="3">
        <v>1</v>
      </c>
      <c r="K489" s="3">
        <v>0</v>
      </c>
      <c r="L489" s="3">
        <v>0</v>
      </c>
      <c r="M489" s="3">
        <v>0</v>
      </c>
      <c r="N489" s="3" t="s">
        <v>539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1</v>
      </c>
      <c r="U489" s="3">
        <v>1</v>
      </c>
      <c r="V489" s="3">
        <v>2</v>
      </c>
      <c r="W489" s="3" t="s">
        <v>553</v>
      </c>
      <c r="X489" s="3">
        <v>10.99</v>
      </c>
      <c r="Y489" s="3">
        <v>10.99</v>
      </c>
      <c r="Z489" s="3">
        <v>10.99</v>
      </c>
      <c r="AA489" s="3">
        <v>0</v>
      </c>
      <c r="AB489" s="3" t="s">
        <v>562</v>
      </c>
      <c r="AC489" s="3">
        <v>2</v>
      </c>
      <c r="AD489" s="3">
        <v>9.89</v>
      </c>
      <c r="AE489" s="3">
        <v>168</v>
      </c>
      <c r="AF489" s="3">
        <v>0</v>
      </c>
      <c r="AG489" s="3">
        <v>100.76115</v>
      </c>
      <c r="AH489" s="3">
        <v>0.195121951219512</v>
      </c>
      <c r="AI489" s="3">
        <v>0.454667999999999</v>
      </c>
      <c r="AJ489" s="3" t="s">
        <v>596</v>
      </c>
    </row>
    <row r="490" spans="1:36">
      <c r="A490" s="4">
        <v>43336</v>
      </c>
      <c r="B490" s="3" t="s">
        <v>2004</v>
      </c>
      <c r="C490" s="3" t="s">
        <v>2005</v>
      </c>
      <c r="D490" s="3" t="s">
        <v>2006</v>
      </c>
      <c r="E490" s="3" t="s">
        <v>1319</v>
      </c>
      <c r="F490" s="3" t="s">
        <v>538</v>
      </c>
      <c r="G490" s="3">
        <v>5</v>
      </c>
      <c r="H490" s="3">
        <v>0</v>
      </c>
      <c r="I490" s="3">
        <v>0</v>
      </c>
      <c r="J490" s="3">
        <v>5</v>
      </c>
      <c r="K490" s="3">
        <v>0</v>
      </c>
      <c r="L490" s="3">
        <v>0</v>
      </c>
      <c r="M490" s="3">
        <v>0</v>
      </c>
      <c r="N490" s="3" t="s">
        <v>539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0</v>
      </c>
      <c r="U490" s="3">
        <v>0</v>
      </c>
      <c r="V490" s="3">
        <v>0</v>
      </c>
      <c r="W490" s="3" t="s">
        <v>540</v>
      </c>
      <c r="X490" s="3">
        <v>9.99</v>
      </c>
      <c r="Y490" s="3">
        <v>9.99</v>
      </c>
      <c r="Z490" s="3">
        <v>9.99</v>
      </c>
      <c r="AA490" s="3">
        <v>0</v>
      </c>
      <c r="AB490" s="3" t="s">
        <v>541</v>
      </c>
      <c r="AC490" s="3">
        <v>5</v>
      </c>
      <c r="AD490" s="3">
        <v>9.99</v>
      </c>
      <c r="AE490" s="3">
        <v>0</v>
      </c>
      <c r="AF490" s="3">
        <v>0</v>
      </c>
      <c r="AG490" s="3">
        <v>0</v>
      </c>
      <c r="AH490" s="3">
        <v>0</v>
      </c>
      <c r="AI490" s="3">
        <v>0.095265</v>
      </c>
      <c r="AJ490" s="3" t="s">
        <v>548</v>
      </c>
    </row>
    <row r="491" spans="1:36">
      <c r="A491" s="4">
        <v>43336</v>
      </c>
      <c r="B491" s="3" t="s">
        <v>451</v>
      </c>
      <c r="C491" s="3" t="s">
        <v>452</v>
      </c>
      <c r="D491" s="3" t="s">
        <v>453</v>
      </c>
      <c r="E491" s="3" t="s">
        <v>454</v>
      </c>
      <c r="F491" s="3" t="s">
        <v>538</v>
      </c>
      <c r="G491" s="3">
        <v>51</v>
      </c>
      <c r="H491" s="3">
        <v>0</v>
      </c>
      <c r="I491" s="3">
        <v>51</v>
      </c>
      <c r="J491" s="3">
        <v>0</v>
      </c>
      <c r="K491" s="3">
        <v>0</v>
      </c>
      <c r="L491" s="3">
        <v>0</v>
      </c>
      <c r="M491" s="3">
        <v>0</v>
      </c>
      <c r="N491" s="3" t="s">
        <v>539</v>
      </c>
      <c r="O491" s="3">
        <v>0</v>
      </c>
      <c r="P491" s="3">
        <v>0</v>
      </c>
      <c r="Q491" s="3">
        <v>0</v>
      </c>
      <c r="R491" s="3">
        <v>0</v>
      </c>
      <c r="S491" s="3">
        <v>7</v>
      </c>
      <c r="T491" s="3">
        <v>30</v>
      </c>
      <c r="U491" s="3">
        <v>50</v>
      </c>
      <c r="V491" s="3">
        <v>50</v>
      </c>
      <c r="W491" s="3" t="s">
        <v>553</v>
      </c>
      <c r="X491" s="3">
        <v>22.99</v>
      </c>
      <c r="Y491" s="3">
        <v>22.99</v>
      </c>
      <c r="Z491" s="3">
        <v>22.99</v>
      </c>
      <c r="AA491" s="3">
        <v>0</v>
      </c>
      <c r="AB491" s="3" t="s">
        <v>547</v>
      </c>
      <c r="AC491" s="3">
        <v>53</v>
      </c>
      <c r="AD491" s="3">
        <v>22.99</v>
      </c>
      <c r="AE491" s="3">
        <v>0</v>
      </c>
      <c r="AF491" s="3">
        <v>0</v>
      </c>
      <c r="AG491" s="3">
        <v>0</v>
      </c>
      <c r="AH491" s="3">
        <v>2.88461538461538</v>
      </c>
      <c r="AI491" s="3">
        <v>4.725915</v>
      </c>
      <c r="AJ491" s="3" t="s">
        <v>596</v>
      </c>
    </row>
    <row r="492" spans="1:36">
      <c r="A492" s="4">
        <v>43336</v>
      </c>
      <c r="B492" s="3" t="s">
        <v>2007</v>
      </c>
      <c r="C492" s="3" t="s">
        <v>2008</v>
      </c>
      <c r="D492" s="3" t="s">
        <v>2009</v>
      </c>
      <c r="E492" s="3" t="s">
        <v>2010</v>
      </c>
      <c r="F492" s="3" t="s">
        <v>538</v>
      </c>
      <c r="G492" s="3">
        <v>13</v>
      </c>
      <c r="H492" s="3">
        <v>0</v>
      </c>
      <c r="I492" s="3">
        <v>0</v>
      </c>
      <c r="J492" s="3">
        <v>0</v>
      </c>
      <c r="K492" s="3">
        <v>0</v>
      </c>
      <c r="L492" s="3">
        <v>11</v>
      </c>
      <c r="M492" s="3">
        <v>2</v>
      </c>
      <c r="N492" s="3" t="s">
        <v>539</v>
      </c>
      <c r="O492" s="3">
        <v>1</v>
      </c>
      <c r="P492" s="3">
        <v>0.28</v>
      </c>
      <c r="Q492" s="3">
        <v>12</v>
      </c>
      <c r="R492" s="3">
        <v>6.79</v>
      </c>
      <c r="S492" s="3">
        <v>0</v>
      </c>
      <c r="T492" s="3">
        <v>1</v>
      </c>
      <c r="U492" s="3">
        <v>3</v>
      </c>
      <c r="V492" s="3">
        <v>3</v>
      </c>
      <c r="W492" s="3"/>
      <c r="X492" s="3">
        <v>15.85</v>
      </c>
      <c r="Y492" s="3">
        <v>15.85</v>
      </c>
      <c r="Z492" s="3">
        <v>15.85</v>
      </c>
      <c r="AA492" s="3">
        <v>0</v>
      </c>
      <c r="AB492" s="3" t="s">
        <v>562</v>
      </c>
      <c r="AC492" s="3">
        <v>0</v>
      </c>
      <c r="AD492" s="3">
        <v>10.14</v>
      </c>
      <c r="AE492" s="3">
        <v>140</v>
      </c>
      <c r="AF492" s="3">
        <v>0</v>
      </c>
      <c r="AG492" s="3">
        <v>137.428004</v>
      </c>
      <c r="AH492" s="3">
        <v>0.203389830508474</v>
      </c>
      <c r="AI492" s="3">
        <v>1.065948</v>
      </c>
      <c r="AJ492" s="3" t="s">
        <v>548</v>
      </c>
    </row>
    <row r="493" spans="1:36">
      <c r="A493" s="4">
        <v>43336</v>
      </c>
      <c r="B493" s="3" t="s">
        <v>2011</v>
      </c>
      <c r="C493" s="3" t="s">
        <v>2012</v>
      </c>
      <c r="D493" s="3" t="s">
        <v>2013</v>
      </c>
      <c r="E493" s="3" t="s">
        <v>2014</v>
      </c>
      <c r="F493" s="3" t="s">
        <v>538</v>
      </c>
      <c r="G493" s="3">
        <v>23</v>
      </c>
      <c r="H493" s="3">
        <v>0</v>
      </c>
      <c r="I493" s="3">
        <v>1</v>
      </c>
      <c r="J493" s="3">
        <v>0</v>
      </c>
      <c r="K493" s="3">
        <v>1</v>
      </c>
      <c r="L493" s="3">
        <v>21</v>
      </c>
      <c r="M493" s="3">
        <v>0</v>
      </c>
      <c r="N493" s="3" t="s">
        <v>539</v>
      </c>
      <c r="O493" s="3">
        <v>22</v>
      </c>
      <c r="P493" s="3">
        <v>7.61</v>
      </c>
      <c r="Q493" s="3">
        <v>0</v>
      </c>
      <c r="R493" s="3">
        <v>0</v>
      </c>
      <c r="S493" s="3">
        <v>0</v>
      </c>
      <c r="T493" s="3">
        <v>3</v>
      </c>
      <c r="U493" s="3">
        <v>9</v>
      </c>
      <c r="V493" s="3">
        <v>15</v>
      </c>
      <c r="W493" s="3"/>
      <c r="X493" s="3">
        <v>25.8</v>
      </c>
      <c r="Y493" s="3">
        <v>25.8</v>
      </c>
      <c r="Z493" s="3">
        <v>25.8</v>
      </c>
      <c r="AA493" s="3">
        <v>0</v>
      </c>
      <c r="AB493" s="3" t="s">
        <v>547</v>
      </c>
      <c r="AC493" s="3">
        <v>23</v>
      </c>
      <c r="AD493" s="3">
        <v>25.8</v>
      </c>
      <c r="AE493" s="3">
        <v>0</v>
      </c>
      <c r="AF493" s="3">
        <v>0</v>
      </c>
      <c r="AG493" s="3">
        <v>0</v>
      </c>
      <c r="AH493" s="3">
        <v>0.512820512820512</v>
      </c>
      <c r="AI493" s="3">
        <v>2.304048</v>
      </c>
      <c r="AJ493" s="3" t="s">
        <v>548</v>
      </c>
    </row>
    <row r="494" spans="1:36">
      <c r="A494" s="4">
        <v>43336</v>
      </c>
      <c r="B494" s="3" t="s">
        <v>2015</v>
      </c>
      <c r="C494" s="3" t="s">
        <v>2016</v>
      </c>
      <c r="D494" s="3" t="s">
        <v>2017</v>
      </c>
      <c r="E494" s="3" t="s">
        <v>570</v>
      </c>
      <c r="F494" s="3" t="s">
        <v>538</v>
      </c>
      <c r="G494" s="3">
        <v>4</v>
      </c>
      <c r="H494" s="3">
        <v>0</v>
      </c>
      <c r="I494" s="3">
        <v>4</v>
      </c>
      <c r="J494" s="3">
        <v>0</v>
      </c>
      <c r="K494" s="3">
        <v>0</v>
      </c>
      <c r="L494" s="3">
        <v>0</v>
      </c>
      <c r="M494" s="3">
        <v>0</v>
      </c>
      <c r="N494" s="3" t="s">
        <v>539</v>
      </c>
      <c r="O494" s="3">
        <v>0</v>
      </c>
      <c r="P494" s="3">
        <v>0</v>
      </c>
      <c r="Q494" s="3">
        <v>0</v>
      </c>
      <c r="R494" s="3">
        <v>0</v>
      </c>
      <c r="S494" s="3">
        <v>1</v>
      </c>
      <c r="T494" s="3">
        <v>2</v>
      </c>
      <c r="U494" s="3">
        <v>2</v>
      </c>
      <c r="V494" s="3">
        <v>2</v>
      </c>
      <c r="W494" s="3"/>
      <c r="X494" s="3">
        <v>9</v>
      </c>
      <c r="Y494" s="3">
        <v>9</v>
      </c>
      <c r="Z494" s="3">
        <v>9</v>
      </c>
      <c r="AA494" s="3">
        <v>0</v>
      </c>
      <c r="AB494" s="3" t="s">
        <v>547</v>
      </c>
      <c r="AC494" s="3">
        <v>4</v>
      </c>
      <c r="AD494" s="3">
        <v>9</v>
      </c>
      <c r="AE494" s="3">
        <v>0</v>
      </c>
      <c r="AF494" s="3">
        <v>0</v>
      </c>
      <c r="AG494" s="3">
        <v>0</v>
      </c>
      <c r="AH494" s="3">
        <v>0.461538461538461</v>
      </c>
      <c r="AI494" s="3">
        <v>0.108164</v>
      </c>
      <c r="AJ494" s="3" t="s">
        <v>542</v>
      </c>
    </row>
    <row r="495" spans="1:36">
      <c r="A495" s="4">
        <v>43336</v>
      </c>
      <c r="B495" s="3" t="s">
        <v>2018</v>
      </c>
      <c r="C495" s="3" t="s">
        <v>2019</v>
      </c>
      <c r="D495" s="3" t="s">
        <v>2020</v>
      </c>
      <c r="E495" s="3" t="s">
        <v>1073</v>
      </c>
      <c r="F495" s="3" t="s">
        <v>538</v>
      </c>
      <c r="G495" s="3">
        <v>5</v>
      </c>
      <c r="H495" s="3">
        <v>0</v>
      </c>
      <c r="I495" s="3">
        <v>5</v>
      </c>
      <c r="J495" s="3">
        <v>0</v>
      </c>
      <c r="K495" s="3">
        <v>0</v>
      </c>
      <c r="L495" s="3">
        <v>0</v>
      </c>
      <c r="M495" s="3">
        <v>0</v>
      </c>
      <c r="N495" s="3" t="s">
        <v>539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 t="s">
        <v>540</v>
      </c>
      <c r="X495" s="3">
        <v>19.99</v>
      </c>
      <c r="Y495" s="3">
        <v>19.99</v>
      </c>
      <c r="Z495" s="3">
        <v>19.99</v>
      </c>
      <c r="AA495" s="3">
        <v>0</v>
      </c>
      <c r="AB495" s="3" t="s">
        <v>651</v>
      </c>
      <c r="AC495" s="3">
        <v>5</v>
      </c>
      <c r="AD495" s="3">
        <v>19.99</v>
      </c>
      <c r="AE495" s="3">
        <v>0</v>
      </c>
      <c r="AF495" s="3">
        <v>0</v>
      </c>
      <c r="AG495" s="3">
        <v>0</v>
      </c>
      <c r="AH495" s="3">
        <v>0</v>
      </c>
      <c r="AI495" s="3">
        <v>0.731745</v>
      </c>
      <c r="AJ495" s="3" t="s">
        <v>542</v>
      </c>
    </row>
    <row r="496" spans="1:36">
      <c r="A496" s="4">
        <v>43336</v>
      </c>
      <c r="B496" s="3" t="s">
        <v>2021</v>
      </c>
      <c r="C496" s="3" t="s">
        <v>2022</v>
      </c>
      <c r="D496" s="3" t="s">
        <v>2023</v>
      </c>
      <c r="E496" s="3" t="s">
        <v>2024</v>
      </c>
      <c r="F496" s="3" t="s">
        <v>538</v>
      </c>
      <c r="G496" s="3">
        <v>1</v>
      </c>
      <c r="H496" s="3">
        <v>0</v>
      </c>
      <c r="I496" s="3">
        <v>1</v>
      </c>
      <c r="J496" s="3">
        <v>0</v>
      </c>
      <c r="K496" s="3">
        <v>0</v>
      </c>
      <c r="L496" s="3">
        <v>0</v>
      </c>
      <c r="M496" s="3">
        <v>0</v>
      </c>
      <c r="N496" s="3" t="s">
        <v>539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1</v>
      </c>
      <c r="W496" s="3" t="s">
        <v>540</v>
      </c>
      <c r="X496" s="3">
        <v>18.9</v>
      </c>
      <c r="Y496" s="3">
        <v>18.9</v>
      </c>
      <c r="Z496" s="3">
        <v>18.9</v>
      </c>
      <c r="AA496" s="3">
        <v>0</v>
      </c>
      <c r="AB496" s="3" t="s">
        <v>541</v>
      </c>
      <c r="AC496" s="3">
        <v>0</v>
      </c>
      <c r="AD496" s="3">
        <v>17.61</v>
      </c>
      <c r="AE496" s="3">
        <v>119</v>
      </c>
      <c r="AF496" s="3">
        <v>0</v>
      </c>
      <c r="AG496" s="3">
        <v>9.781022</v>
      </c>
      <c r="AH496" s="3">
        <v>1</v>
      </c>
      <c r="AI496" s="5">
        <v>5.8e-5</v>
      </c>
      <c r="AJ496" s="3" t="s">
        <v>548</v>
      </c>
    </row>
    <row r="497" spans="1:36">
      <c r="A497" s="4">
        <v>43336</v>
      </c>
      <c r="B497" s="3" t="s">
        <v>2025</v>
      </c>
      <c r="C497" s="3" t="s">
        <v>2026</v>
      </c>
      <c r="D497" s="3" t="s">
        <v>2027</v>
      </c>
      <c r="E497" s="3" t="s">
        <v>2028</v>
      </c>
      <c r="F497" s="3" t="s">
        <v>538</v>
      </c>
      <c r="G497" s="3">
        <v>7</v>
      </c>
      <c r="H497" s="3">
        <v>0</v>
      </c>
      <c r="I497" s="3">
        <v>7</v>
      </c>
      <c r="J497" s="3">
        <v>0</v>
      </c>
      <c r="K497" s="3">
        <v>0</v>
      </c>
      <c r="L497" s="3">
        <v>0</v>
      </c>
      <c r="M497" s="3">
        <v>0</v>
      </c>
      <c r="N497" s="3" t="s">
        <v>539</v>
      </c>
      <c r="O497" s="3">
        <v>0</v>
      </c>
      <c r="P497" s="3">
        <v>0</v>
      </c>
      <c r="Q497" s="3">
        <v>0</v>
      </c>
      <c r="R497" s="3">
        <v>0</v>
      </c>
      <c r="S497" s="3">
        <v>1</v>
      </c>
      <c r="T497" s="3">
        <v>10</v>
      </c>
      <c r="U497" s="3">
        <v>19</v>
      </c>
      <c r="V497" s="3">
        <v>28</v>
      </c>
      <c r="W497" s="3"/>
      <c r="X497" s="3">
        <v>25.99</v>
      </c>
      <c r="Y497" s="3">
        <v>25.99</v>
      </c>
      <c r="Z497" s="3">
        <v>25.99</v>
      </c>
      <c r="AA497" s="3">
        <v>0</v>
      </c>
      <c r="AB497" s="3" t="s">
        <v>547</v>
      </c>
      <c r="AC497" s="3">
        <v>8</v>
      </c>
      <c r="AD497" s="3">
        <v>25.99</v>
      </c>
      <c r="AE497" s="3">
        <v>0</v>
      </c>
      <c r="AF497" s="3">
        <v>0</v>
      </c>
      <c r="AG497" s="3">
        <v>0</v>
      </c>
      <c r="AH497" s="3">
        <v>3.11111111111111</v>
      </c>
      <c r="AI497" s="3">
        <v>1.320935</v>
      </c>
      <c r="AJ497" s="3" t="s">
        <v>548</v>
      </c>
    </row>
    <row r="498" spans="1:36">
      <c r="A498" s="4">
        <v>43336</v>
      </c>
      <c r="B498" s="3" t="s">
        <v>2029</v>
      </c>
      <c r="C498" s="3" t="s">
        <v>2030</v>
      </c>
      <c r="D498" s="3" t="s">
        <v>2031</v>
      </c>
      <c r="E498" s="3" t="s">
        <v>1589</v>
      </c>
      <c r="F498" s="3" t="s">
        <v>538</v>
      </c>
      <c r="G498" s="3">
        <v>15</v>
      </c>
      <c r="H498" s="3">
        <v>0</v>
      </c>
      <c r="I498" s="3">
        <v>15</v>
      </c>
      <c r="J498" s="3">
        <v>0</v>
      </c>
      <c r="K498" s="3">
        <v>0</v>
      </c>
      <c r="L498" s="3">
        <v>0</v>
      </c>
      <c r="M498" s="3">
        <v>0</v>
      </c>
      <c r="N498" s="3" t="s">
        <v>539</v>
      </c>
      <c r="O498" s="3">
        <v>0</v>
      </c>
      <c r="P498" s="3">
        <v>0</v>
      </c>
      <c r="Q498" s="3">
        <v>0</v>
      </c>
      <c r="R498" s="3">
        <v>0</v>
      </c>
      <c r="S498" s="3">
        <v>0</v>
      </c>
      <c r="T498" s="3">
        <v>0</v>
      </c>
      <c r="U498" s="3">
        <v>0</v>
      </c>
      <c r="V498" s="3">
        <v>0</v>
      </c>
      <c r="W498" s="3" t="s">
        <v>553</v>
      </c>
      <c r="X498" s="3">
        <v>22.99</v>
      </c>
      <c r="Y498" s="3">
        <v>22.99</v>
      </c>
      <c r="Z498" s="3">
        <v>22.99</v>
      </c>
      <c r="AA498" s="3">
        <v>0</v>
      </c>
      <c r="AB498" s="3" t="s">
        <v>547</v>
      </c>
      <c r="AC498" s="3">
        <v>0</v>
      </c>
      <c r="AD498" s="3">
        <v>0</v>
      </c>
      <c r="AE498" s="3">
        <v>0</v>
      </c>
      <c r="AF498" s="3">
        <v>0</v>
      </c>
      <c r="AG498" s="3">
        <v>0</v>
      </c>
      <c r="AH498" s="3">
        <v>0</v>
      </c>
      <c r="AI498" s="3">
        <v>0.96192</v>
      </c>
      <c r="AJ498" s="3" t="s">
        <v>596</v>
      </c>
    </row>
    <row r="499" spans="1:36">
      <c r="A499" s="4">
        <v>43336</v>
      </c>
      <c r="B499" s="3" t="s">
        <v>2032</v>
      </c>
      <c r="C499" s="3" t="s">
        <v>2033</v>
      </c>
      <c r="D499" s="3" t="s">
        <v>2034</v>
      </c>
      <c r="E499" s="3" t="s">
        <v>2035</v>
      </c>
      <c r="F499" s="3" t="s">
        <v>538</v>
      </c>
      <c r="G499" s="3">
        <v>5</v>
      </c>
      <c r="H499" s="3">
        <v>0</v>
      </c>
      <c r="I499" s="3">
        <v>0</v>
      </c>
      <c r="J499" s="3">
        <v>5</v>
      </c>
      <c r="K499" s="3">
        <v>0</v>
      </c>
      <c r="L499" s="3">
        <v>0</v>
      </c>
      <c r="M499" s="3">
        <v>0</v>
      </c>
      <c r="N499" s="3" t="s">
        <v>539</v>
      </c>
      <c r="O499" s="3">
        <v>0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2</v>
      </c>
      <c r="W499" s="3" t="s">
        <v>553</v>
      </c>
      <c r="X499" s="3">
        <v>26.99</v>
      </c>
      <c r="Y499" s="3">
        <v>26.99</v>
      </c>
      <c r="Z499" s="3">
        <v>26.99</v>
      </c>
      <c r="AA499" s="3">
        <v>0</v>
      </c>
      <c r="AB499" s="3" t="s">
        <v>562</v>
      </c>
      <c r="AC499" s="3">
        <v>0</v>
      </c>
      <c r="AD499" s="3">
        <v>23.74</v>
      </c>
      <c r="AE499" s="3">
        <v>357</v>
      </c>
      <c r="AF499" s="3">
        <v>0</v>
      </c>
      <c r="AG499" s="3">
        <v>57.939516</v>
      </c>
      <c r="AH499" s="3">
        <v>0.347826086956521</v>
      </c>
      <c r="AI499" s="5">
        <v>0.00029</v>
      </c>
      <c r="AJ499" s="3" t="s">
        <v>548</v>
      </c>
    </row>
    <row r="500" spans="1:36">
      <c r="A500" s="4">
        <v>43336</v>
      </c>
      <c r="B500" s="3" t="s">
        <v>2036</v>
      </c>
      <c r="C500" s="3" t="s">
        <v>2037</v>
      </c>
      <c r="D500" s="3" t="s">
        <v>2038</v>
      </c>
      <c r="E500" s="3" t="s">
        <v>2039</v>
      </c>
      <c r="F500" s="3" t="s">
        <v>538</v>
      </c>
      <c r="G500" s="3">
        <v>10</v>
      </c>
      <c r="H500" s="3">
        <v>0</v>
      </c>
      <c r="I500" s="3">
        <v>10</v>
      </c>
      <c r="J500" s="3">
        <v>0</v>
      </c>
      <c r="K500" s="3">
        <v>0</v>
      </c>
      <c r="L500" s="3">
        <v>0</v>
      </c>
      <c r="M500" s="3">
        <v>0</v>
      </c>
      <c r="N500" s="3" t="s">
        <v>539</v>
      </c>
      <c r="O500" s="3">
        <v>0</v>
      </c>
      <c r="P500" s="3">
        <v>0</v>
      </c>
      <c r="Q500" s="3">
        <v>0</v>
      </c>
      <c r="R500" s="3">
        <v>0</v>
      </c>
      <c r="S500" s="3">
        <v>1</v>
      </c>
      <c r="T500" s="3">
        <v>7</v>
      </c>
      <c r="U500" s="3">
        <v>16</v>
      </c>
      <c r="V500" s="3">
        <v>33</v>
      </c>
      <c r="W500" s="3" t="s">
        <v>553</v>
      </c>
      <c r="X500" s="3">
        <v>9.99</v>
      </c>
      <c r="Y500" s="3">
        <v>9.99</v>
      </c>
      <c r="Z500" s="3">
        <v>9.99</v>
      </c>
      <c r="AA500" s="3">
        <v>0</v>
      </c>
      <c r="AB500" s="3" t="s">
        <v>547</v>
      </c>
      <c r="AC500" s="3">
        <v>11</v>
      </c>
      <c r="AD500" s="3">
        <v>9.99</v>
      </c>
      <c r="AE500" s="3">
        <v>0</v>
      </c>
      <c r="AF500" s="3">
        <v>0</v>
      </c>
      <c r="AG500" s="3">
        <v>0</v>
      </c>
      <c r="AH500" s="3">
        <v>1.73684210526315</v>
      </c>
      <c r="AI500" s="3">
        <v>1.24545</v>
      </c>
      <c r="AJ500" s="3" t="s">
        <v>548</v>
      </c>
    </row>
    <row r="501" spans="1:36">
      <c r="A501" s="4">
        <v>43336</v>
      </c>
      <c r="B501" s="3" t="s">
        <v>2040</v>
      </c>
      <c r="C501" s="3" t="s">
        <v>2041</v>
      </c>
      <c r="D501" s="3" t="s">
        <v>2042</v>
      </c>
      <c r="E501" s="3" t="s">
        <v>612</v>
      </c>
      <c r="F501" s="3" t="s">
        <v>538</v>
      </c>
      <c r="G501" s="3">
        <v>6</v>
      </c>
      <c r="H501" s="3">
        <v>0</v>
      </c>
      <c r="I501" s="3">
        <v>6</v>
      </c>
      <c r="J501" s="3">
        <v>0</v>
      </c>
      <c r="K501" s="3">
        <v>0</v>
      </c>
      <c r="L501" s="3">
        <v>0</v>
      </c>
      <c r="M501" s="3">
        <v>0</v>
      </c>
      <c r="N501" s="3" t="s">
        <v>539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0</v>
      </c>
      <c r="U501" s="3">
        <v>0</v>
      </c>
      <c r="V501" s="3">
        <v>0</v>
      </c>
      <c r="W501" s="3" t="s">
        <v>540</v>
      </c>
      <c r="X501" s="3">
        <v>22.99</v>
      </c>
      <c r="Y501" s="3">
        <v>22.99</v>
      </c>
      <c r="Z501" s="3">
        <v>22.99</v>
      </c>
      <c r="AA501" s="3">
        <v>0</v>
      </c>
      <c r="AB501" s="3" t="s">
        <v>541</v>
      </c>
      <c r="AC501" s="3">
        <v>0</v>
      </c>
      <c r="AD501" s="3">
        <v>0</v>
      </c>
      <c r="AE501" s="3">
        <v>0</v>
      </c>
      <c r="AF501" s="3">
        <v>0</v>
      </c>
      <c r="AG501" s="3">
        <v>0</v>
      </c>
      <c r="AH501" s="3">
        <v>0</v>
      </c>
      <c r="AI501" s="5">
        <v>6e-6</v>
      </c>
      <c r="AJ501" s="3" t="s">
        <v>542</v>
      </c>
    </row>
    <row r="502" spans="1:36">
      <c r="A502" s="4">
        <v>43336</v>
      </c>
      <c r="B502" s="3" t="s">
        <v>2043</v>
      </c>
      <c r="C502" s="3" t="s">
        <v>2044</v>
      </c>
      <c r="D502" s="3" t="s">
        <v>2045</v>
      </c>
      <c r="E502" s="3" t="s">
        <v>2046</v>
      </c>
      <c r="F502" s="3" t="s">
        <v>538</v>
      </c>
      <c r="G502" s="3">
        <v>8</v>
      </c>
      <c r="H502" s="3">
        <v>0</v>
      </c>
      <c r="I502" s="3">
        <v>6</v>
      </c>
      <c r="J502" s="3">
        <v>2</v>
      </c>
      <c r="K502" s="3">
        <v>0</v>
      </c>
      <c r="L502" s="3">
        <v>0</v>
      </c>
      <c r="M502" s="3">
        <v>0</v>
      </c>
      <c r="N502" s="3" t="s">
        <v>539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1</v>
      </c>
      <c r="V502" s="3">
        <v>1</v>
      </c>
      <c r="W502" s="3" t="s">
        <v>553</v>
      </c>
      <c r="X502" s="3">
        <v>10.99</v>
      </c>
      <c r="Y502" s="3">
        <v>10.99</v>
      </c>
      <c r="Z502" s="3">
        <v>10.99</v>
      </c>
      <c r="AA502" s="3">
        <v>0</v>
      </c>
      <c r="AB502" s="3" t="s">
        <v>547</v>
      </c>
      <c r="AC502" s="3">
        <v>8</v>
      </c>
      <c r="AD502" s="3">
        <v>10.99</v>
      </c>
      <c r="AE502" s="3">
        <v>0</v>
      </c>
      <c r="AF502" s="3">
        <v>0</v>
      </c>
      <c r="AG502" s="3">
        <v>0</v>
      </c>
      <c r="AH502" s="3">
        <v>0.142857142857142</v>
      </c>
      <c r="AI502" s="3">
        <v>0.303112</v>
      </c>
      <c r="AJ502" s="3" t="s">
        <v>596</v>
      </c>
    </row>
    <row r="503" spans="1:36">
      <c r="A503" s="4">
        <v>43336</v>
      </c>
      <c r="B503" s="3" t="s">
        <v>2047</v>
      </c>
      <c r="C503" s="3" t="s">
        <v>2048</v>
      </c>
      <c r="D503" s="3" t="s">
        <v>2049</v>
      </c>
      <c r="E503" s="3" t="s">
        <v>2050</v>
      </c>
      <c r="F503" s="3" t="s">
        <v>538</v>
      </c>
      <c r="G503" s="3">
        <v>59</v>
      </c>
      <c r="H503" s="3">
        <v>0</v>
      </c>
      <c r="I503" s="3">
        <v>59</v>
      </c>
      <c r="J503" s="3">
        <v>0</v>
      </c>
      <c r="K503" s="3">
        <v>0</v>
      </c>
      <c r="L503" s="3">
        <v>0</v>
      </c>
      <c r="M503" s="3">
        <v>0</v>
      </c>
      <c r="N503" s="3" t="s">
        <v>539</v>
      </c>
      <c r="O503" s="3">
        <v>0</v>
      </c>
      <c r="P503" s="3">
        <v>0</v>
      </c>
      <c r="Q503" s="3">
        <v>0</v>
      </c>
      <c r="R503" s="3">
        <v>0</v>
      </c>
      <c r="S503" s="3">
        <v>10</v>
      </c>
      <c r="T503" s="3">
        <v>21</v>
      </c>
      <c r="U503" s="3">
        <v>42</v>
      </c>
      <c r="V503" s="3">
        <v>42</v>
      </c>
      <c r="W503" s="3"/>
      <c r="X503" s="3">
        <v>22.99</v>
      </c>
      <c r="Y503" s="3">
        <v>22.99</v>
      </c>
      <c r="Z503" s="3">
        <v>22.99</v>
      </c>
      <c r="AA503" s="3">
        <v>0</v>
      </c>
      <c r="AB503" s="3" t="s">
        <v>547</v>
      </c>
      <c r="AC503" s="3">
        <v>60</v>
      </c>
      <c r="AD503" s="3">
        <v>22.99</v>
      </c>
      <c r="AE503" s="3">
        <v>0</v>
      </c>
      <c r="AF503" s="3">
        <v>0</v>
      </c>
      <c r="AG503" s="3">
        <v>0</v>
      </c>
      <c r="AH503" s="3">
        <v>2.13559322033898</v>
      </c>
      <c r="AI503" s="3">
        <v>5.457205</v>
      </c>
      <c r="AJ503" s="3" t="s">
        <v>596</v>
      </c>
    </row>
    <row r="504" spans="1:36">
      <c r="A504" s="4">
        <v>43336</v>
      </c>
      <c r="B504" s="3" t="s">
        <v>2051</v>
      </c>
      <c r="C504" s="3" t="s">
        <v>2052</v>
      </c>
      <c r="D504" s="3" t="s">
        <v>2053</v>
      </c>
      <c r="E504" s="3" t="s">
        <v>590</v>
      </c>
      <c r="F504" s="3" t="s">
        <v>538</v>
      </c>
      <c r="G504" s="3">
        <v>6</v>
      </c>
      <c r="H504" s="3">
        <v>0</v>
      </c>
      <c r="I504" s="3">
        <v>6</v>
      </c>
      <c r="J504" s="3">
        <v>0</v>
      </c>
      <c r="K504" s="3">
        <v>0</v>
      </c>
      <c r="L504" s="3">
        <v>0</v>
      </c>
      <c r="M504" s="3">
        <v>0</v>
      </c>
      <c r="N504" s="3" t="s">
        <v>539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0</v>
      </c>
      <c r="V504" s="3">
        <v>0</v>
      </c>
      <c r="W504" s="3" t="s">
        <v>540</v>
      </c>
      <c r="X504" s="3">
        <v>19.99</v>
      </c>
      <c r="Y504" s="3">
        <v>19.99</v>
      </c>
      <c r="Z504" s="3">
        <v>19.99</v>
      </c>
      <c r="AA504" s="3">
        <v>0</v>
      </c>
      <c r="AB504" s="3" t="s">
        <v>541</v>
      </c>
      <c r="AC504" s="3">
        <v>0</v>
      </c>
      <c r="AD504" s="3">
        <v>15.99</v>
      </c>
      <c r="AE504" s="3">
        <v>63</v>
      </c>
      <c r="AF504" s="3">
        <v>0</v>
      </c>
      <c r="AG504" s="3">
        <v>69.961933</v>
      </c>
      <c r="AH504" s="3">
        <v>0</v>
      </c>
      <c r="AI504" s="3">
        <v>0.598524</v>
      </c>
      <c r="AJ504" s="3" t="s">
        <v>542</v>
      </c>
    </row>
    <row r="505" spans="1:36">
      <c r="A505" s="4">
        <v>43336</v>
      </c>
      <c r="B505" s="3" t="s">
        <v>2054</v>
      </c>
      <c r="C505" s="3" t="s">
        <v>2055</v>
      </c>
      <c r="D505" s="3" t="s">
        <v>2056</v>
      </c>
      <c r="E505" s="3" t="s">
        <v>2057</v>
      </c>
      <c r="F505" s="3" t="s">
        <v>538</v>
      </c>
      <c r="G505" s="3">
        <v>1</v>
      </c>
      <c r="H505" s="3">
        <v>0</v>
      </c>
      <c r="I505" s="3">
        <v>0</v>
      </c>
      <c r="J505" s="3">
        <v>0</v>
      </c>
      <c r="K505" s="3">
        <v>0</v>
      </c>
      <c r="L505" s="3">
        <v>0</v>
      </c>
      <c r="M505" s="3">
        <v>1</v>
      </c>
      <c r="N505" s="3" t="s">
        <v>539</v>
      </c>
      <c r="O505" s="3">
        <v>0</v>
      </c>
      <c r="P505" s="3">
        <v>0</v>
      </c>
      <c r="Q505" s="3">
        <v>1</v>
      </c>
      <c r="R505" s="3">
        <v>0.61</v>
      </c>
      <c r="S505" s="3">
        <v>0</v>
      </c>
      <c r="T505" s="3">
        <v>0</v>
      </c>
      <c r="U505" s="3">
        <v>0</v>
      </c>
      <c r="V505" s="3">
        <v>0</v>
      </c>
      <c r="W505" s="3"/>
      <c r="X505" s="3"/>
      <c r="Y505" s="3"/>
      <c r="Z505" s="3">
        <v>-1</v>
      </c>
      <c r="AA505" s="3">
        <v>-1</v>
      </c>
      <c r="AB505" s="3" t="s">
        <v>595</v>
      </c>
      <c r="AC505" s="3">
        <v>0</v>
      </c>
      <c r="AD505" s="3">
        <v>0</v>
      </c>
      <c r="AE505" s="3">
        <v>0</v>
      </c>
      <c r="AF505" s="3">
        <v>0</v>
      </c>
      <c r="AG505" s="3">
        <v>0</v>
      </c>
      <c r="AH505" s="3">
        <v>0</v>
      </c>
      <c r="AI505" s="3">
        <v>0.088606</v>
      </c>
      <c r="AJ505" s="3" t="s">
        <v>548</v>
      </c>
    </row>
    <row r="506" spans="1:36">
      <c r="A506" s="4">
        <v>43336</v>
      </c>
      <c r="B506" s="3" t="s">
        <v>2058</v>
      </c>
      <c r="C506" s="3" t="s">
        <v>2059</v>
      </c>
      <c r="D506" s="3" t="s">
        <v>2060</v>
      </c>
      <c r="E506" s="3" t="s">
        <v>2061</v>
      </c>
      <c r="F506" s="3" t="s">
        <v>538</v>
      </c>
      <c r="G506" s="3">
        <v>3</v>
      </c>
      <c r="H506" s="3">
        <v>0</v>
      </c>
      <c r="I506" s="3">
        <v>0</v>
      </c>
      <c r="J506" s="3">
        <v>0</v>
      </c>
      <c r="K506" s="3">
        <v>3</v>
      </c>
      <c r="L506" s="3">
        <v>0</v>
      </c>
      <c r="M506" s="3">
        <v>0</v>
      </c>
      <c r="N506" s="3" t="s">
        <v>539</v>
      </c>
      <c r="O506" s="3">
        <v>3</v>
      </c>
      <c r="P506" s="3">
        <v>0.22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0</v>
      </c>
      <c r="W506" s="3" t="s">
        <v>540</v>
      </c>
      <c r="X506" s="3">
        <v>11.99</v>
      </c>
      <c r="Y506" s="3">
        <v>11.99</v>
      </c>
      <c r="Z506" s="3">
        <v>11.99</v>
      </c>
      <c r="AA506" s="3">
        <v>0</v>
      </c>
      <c r="AB506" s="3" t="s">
        <v>562</v>
      </c>
      <c r="AC506" s="3">
        <v>0</v>
      </c>
      <c r="AD506" s="3">
        <v>9.59</v>
      </c>
      <c r="AE506" s="3">
        <v>63</v>
      </c>
      <c r="AF506" s="3">
        <v>0</v>
      </c>
      <c r="AG506" s="3">
        <v>9.904359</v>
      </c>
      <c r="AH506" s="3">
        <v>0</v>
      </c>
      <c r="AI506" s="3">
        <v>0.062499</v>
      </c>
      <c r="AJ506" s="3" t="s">
        <v>548</v>
      </c>
    </row>
    <row r="507" spans="1:36">
      <c r="A507" s="4">
        <v>43336</v>
      </c>
      <c r="B507" s="3" t="s">
        <v>2062</v>
      </c>
      <c r="C507" s="3" t="s">
        <v>2063</v>
      </c>
      <c r="D507" s="3" t="s">
        <v>2064</v>
      </c>
      <c r="E507" s="3" t="s">
        <v>2065</v>
      </c>
      <c r="F507" s="3" t="s">
        <v>538</v>
      </c>
      <c r="G507" s="3">
        <v>13</v>
      </c>
      <c r="H507" s="3">
        <v>0</v>
      </c>
      <c r="I507" s="3">
        <v>0</v>
      </c>
      <c r="J507" s="3">
        <v>0</v>
      </c>
      <c r="K507" s="3">
        <v>13</v>
      </c>
      <c r="L507" s="3">
        <v>0</v>
      </c>
      <c r="M507" s="3">
        <v>0</v>
      </c>
      <c r="N507" s="3" t="s">
        <v>539</v>
      </c>
      <c r="O507" s="3">
        <v>13</v>
      </c>
      <c r="P507" s="3">
        <v>3.47</v>
      </c>
      <c r="Q507" s="3">
        <v>0</v>
      </c>
      <c r="R507" s="3">
        <v>0</v>
      </c>
      <c r="S507" s="3">
        <v>0</v>
      </c>
      <c r="T507" s="3">
        <v>0</v>
      </c>
      <c r="U507" s="3">
        <v>1</v>
      </c>
      <c r="V507" s="3">
        <v>2</v>
      </c>
      <c r="W507" s="3" t="s">
        <v>540</v>
      </c>
      <c r="X507" s="3">
        <v>13.2</v>
      </c>
      <c r="Y507" s="3">
        <v>13.2</v>
      </c>
      <c r="Z507" s="3">
        <v>13.2</v>
      </c>
      <c r="AA507" s="3">
        <v>0</v>
      </c>
      <c r="AB507" s="3" t="s">
        <v>562</v>
      </c>
      <c r="AC507" s="3">
        <v>0</v>
      </c>
      <c r="AD507" s="3">
        <v>10.56</v>
      </c>
      <c r="AE507" s="3">
        <v>364</v>
      </c>
      <c r="AF507" s="3">
        <v>0</v>
      </c>
      <c r="AG507" s="3">
        <v>142.980885</v>
      </c>
      <c r="AH507" s="3">
        <v>0.145454545454545</v>
      </c>
      <c r="AI507" s="3">
        <v>1.004198</v>
      </c>
      <c r="AJ507" s="3" t="s">
        <v>548</v>
      </c>
    </row>
    <row r="508" spans="1:36">
      <c r="A508" s="4">
        <v>43336</v>
      </c>
      <c r="B508" s="3" t="s">
        <v>2066</v>
      </c>
      <c r="C508" s="3" t="s">
        <v>2067</v>
      </c>
      <c r="D508" s="3" t="s">
        <v>2068</v>
      </c>
      <c r="E508" s="3" t="s">
        <v>2069</v>
      </c>
      <c r="F508" s="3" t="s">
        <v>538</v>
      </c>
      <c r="G508" s="3">
        <v>12</v>
      </c>
      <c r="H508" s="3">
        <v>0</v>
      </c>
      <c r="I508" s="3">
        <v>0</v>
      </c>
      <c r="J508" s="3">
        <v>0</v>
      </c>
      <c r="K508" s="3">
        <v>0</v>
      </c>
      <c r="L508" s="3">
        <v>7</v>
      </c>
      <c r="M508" s="3">
        <v>5</v>
      </c>
      <c r="N508" s="3" t="s">
        <v>539</v>
      </c>
      <c r="O508" s="3">
        <v>7</v>
      </c>
      <c r="P508" s="3">
        <v>0</v>
      </c>
      <c r="Q508" s="3">
        <v>5</v>
      </c>
      <c r="R508" s="3">
        <v>2.5</v>
      </c>
      <c r="S508" s="3">
        <v>0</v>
      </c>
      <c r="T508" s="3">
        <v>0</v>
      </c>
      <c r="U508" s="3">
        <v>0</v>
      </c>
      <c r="V508" s="3">
        <v>0</v>
      </c>
      <c r="W508" s="3" t="s">
        <v>553</v>
      </c>
      <c r="X508" s="3">
        <v>9.9</v>
      </c>
      <c r="Y508" s="3">
        <v>9.9</v>
      </c>
      <c r="Z508" s="3">
        <v>9.9</v>
      </c>
      <c r="AA508" s="3">
        <v>0</v>
      </c>
      <c r="AB508" s="3" t="s">
        <v>562</v>
      </c>
      <c r="AC508" s="3">
        <v>0</v>
      </c>
      <c r="AD508" s="3">
        <v>7.92</v>
      </c>
      <c r="AE508" s="3">
        <v>63</v>
      </c>
      <c r="AF508" s="3">
        <v>0</v>
      </c>
      <c r="AG508" s="3">
        <v>6.970456</v>
      </c>
      <c r="AH508" s="3">
        <v>0</v>
      </c>
      <c r="AI508" s="5">
        <v>0.000696</v>
      </c>
      <c r="AJ508" s="3" t="s">
        <v>548</v>
      </c>
    </row>
    <row r="509" spans="1:36">
      <c r="A509" s="4">
        <v>43336</v>
      </c>
      <c r="B509" s="3" t="s">
        <v>2070</v>
      </c>
      <c r="C509" s="3" t="s">
        <v>2071</v>
      </c>
      <c r="D509" s="3" t="s">
        <v>2072</v>
      </c>
      <c r="E509" s="3" t="s">
        <v>753</v>
      </c>
      <c r="F509" s="3" t="s">
        <v>538</v>
      </c>
      <c r="G509" s="3">
        <v>12</v>
      </c>
      <c r="H509" s="3">
        <v>0</v>
      </c>
      <c r="I509" s="3">
        <v>0</v>
      </c>
      <c r="J509" s="3">
        <v>0</v>
      </c>
      <c r="K509" s="3">
        <v>12</v>
      </c>
      <c r="L509" s="3">
        <v>0</v>
      </c>
      <c r="M509" s="3">
        <v>0</v>
      </c>
      <c r="N509" s="3" t="s">
        <v>539</v>
      </c>
      <c r="O509" s="3">
        <v>12</v>
      </c>
      <c r="P509" s="3">
        <v>3.74</v>
      </c>
      <c r="Q509" s="3">
        <v>0</v>
      </c>
      <c r="R509" s="3">
        <v>0</v>
      </c>
      <c r="S509" s="3">
        <v>0</v>
      </c>
      <c r="T509" s="3">
        <v>0</v>
      </c>
      <c r="U509" s="3">
        <v>0</v>
      </c>
      <c r="V509" s="3">
        <v>0</v>
      </c>
      <c r="W509" s="3"/>
      <c r="X509" s="3"/>
      <c r="Y509" s="3"/>
      <c r="Z509" s="3">
        <v>-1</v>
      </c>
      <c r="AA509" s="3">
        <v>-1</v>
      </c>
      <c r="AB509" s="3" t="s">
        <v>595</v>
      </c>
      <c r="AC509" s="3">
        <v>0</v>
      </c>
      <c r="AD509" s="3">
        <v>0</v>
      </c>
      <c r="AE509" s="3">
        <v>0</v>
      </c>
      <c r="AF509" s="3">
        <v>0</v>
      </c>
      <c r="AG509" s="3">
        <v>0</v>
      </c>
      <c r="AH509" s="3">
        <v>0</v>
      </c>
      <c r="AI509" s="3">
        <v>1.086216</v>
      </c>
      <c r="AJ509" s="3" t="s">
        <v>548</v>
      </c>
    </row>
    <row r="510" spans="1:36">
      <c r="A510" s="4">
        <v>43336</v>
      </c>
      <c r="B510" s="3" t="s">
        <v>479</v>
      </c>
      <c r="C510" s="3" t="s">
        <v>480</v>
      </c>
      <c r="D510" s="3" t="s">
        <v>481</v>
      </c>
      <c r="E510" s="3" t="s">
        <v>482</v>
      </c>
      <c r="F510" s="3" t="s">
        <v>538</v>
      </c>
      <c r="G510" s="3">
        <v>7</v>
      </c>
      <c r="H510" s="3">
        <v>0</v>
      </c>
      <c r="I510" s="3">
        <v>3</v>
      </c>
      <c r="J510" s="3">
        <v>0</v>
      </c>
      <c r="K510" s="3">
        <v>0</v>
      </c>
      <c r="L510" s="3">
        <v>4</v>
      </c>
      <c r="M510" s="3">
        <v>0</v>
      </c>
      <c r="N510" s="3" t="s">
        <v>539</v>
      </c>
      <c r="O510" s="3">
        <v>4</v>
      </c>
      <c r="P510" s="3">
        <v>1.01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 t="s">
        <v>553</v>
      </c>
      <c r="X510" s="3">
        <v>13.99</v>
      </c>
      <c r="Y510" s="3">
        <v>13.99</v>
      </c>
      <c r="Z510" s="3">
        <v>13.99</v>
      </c>
      <c r="AA510" s="3">
        <v>0</v>
      </c>
      <c r="AB510" s="3" t="s">
        <v>562</v>
      </c>
      <c r="AC510" s="3">
        <v>0</v>
      </c>
      <c r="AD510" s="3">
        <v>12.71</v>
      </c>
      <c r="AE510" s="3">
        <v>140</v>
      </c>
      <c r="AF510" s="3">
        <v>0</v>
      </c>
      <c r="AG510" s="3">
        <v>55.770033</v>
      </c>
      <c r="AH510" s="3">
        <v>0</v>
      </c>
      <c r="AI510" s="3">
        <v>0.516397</v>
      </c>
      <c r="AJ510" s="3" t="s">
        <v>596</v>
      </c>
    </row>
    <row r="511" spans="1:36">
      <c r="A511" s="4">
        <v>43336</v>
      </c>
      <c r="B511" s="3" t="s">
        <v>2073</v>
      </c>
      <c r="C511" s="3" t="s">
        <v>2074</v>
      </c>
      <c r="D511" s="3" t="s">
        <v>2075</v>
      </c>
      <c r="E511" s="3" t="s">
        <v>815</v>
      </c>
      <c r="F511" s="3" t="s">
        <v>538</v>
      </c>
      <c r="G511" s="3">
        <v>6</v>
      </c>
      <c r="H511" s="3">
        <v>0</v>
      </c>
      <c r="I511" s="3">
        <v>6</v>
      </c>
      <c r="J511" s="3">
        <v>0</v>
      </c>
      <c r="K511" s="3">
        <v>0</v>
      </c>
      <c r="L511" s="3">
        <v>0</v>
      </c>
      <c r="M511" s="3">
        <v>0</v>
      </c>
      <c r="N511" s="3" t="s">
        <v>539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 t="s">
        <v>540</v>
      </c>
      <c r="X511" s="3">
        <v>22.99</v>
      </c>
      <c r="Y511" s="3">
        <v>22.99</v>
      </c>
      <c r="Z511" s="3">
        <v>22.99</v>
      </c>
      <c r="AA511" s="3">
        <v>0</v>
      </c>
      <c r="AB511" s="3" t="s">
        <v>541</v>
      </c>
      <c r="AC511" s="3">
        <v>0</v>
      </c>
      <c r="AD511" s="3">
        <v>0</v>
      </c>
      <c r="AE511" s="3">
        <v>0</v>
      </c>
      <c r="AF511" s="3">
        <v>0</v>
      </c>
      <c r="AG511" s="3">
        <v>0</v>
      </c>
      <c r="AH511" s="3">
        <v>0</v>
      </c>
      <c r="AI511" s="3">
        <v>0.920388</v>
      </c>
      <c r="AJ511" s="3" t="s">
        <v>542</v>
      </c>
    </row>
    <row r="512" spans="1:36">
      <c r="A512" s="4">
        <v>43336</v>
      </c>
      <c r="B512" s="3" t="s">
        <v>2076</v>
      </c>
      <c r="C512" s="3" t="s">
        <v>2077</v>
      </c>
      <c r="D512" s="3" t="s">
        <v>2078</v>
      </c>
      <c r="E512" s="3" t="s">
        <v>2079</v>
      </c>
      <c r="F512" s="3" t="s">
        <v>538</v>
      </c>
      <c r="G512" s="3">
        <v>1</v>
      </c>
      <c r="H512" s="3">
        <v>0</v>
      </c>
      <c r="I512" s="3">
        <v>0</v>
      </c>
      <c r="J512" s="3">
        <v>0</v>
      </c>
      <c r="K512" s="3">
        <v>0</v>
      </c>
      <c r="L512" s="3">
        <v>1</v>
      </c>
      <c r="M512" s="3">
        <v>0</v>
      </c>
      <c r="N512" s="3" t="s">
        <v>539</v>
      </c>
      <c r="O512" s="3">
        <v>1</v>
      </c>
      <c r="P512" s="3">
        <v>0.12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 t="s">
        <v>540</v>
      </c>
      <c r="X512" s="3">
        <v>14.9</v>
      </c>
      <c r="Y512" s="3">
        <v>14.9</v>
      </c>
      <c r="Z512" s="3">
        <v>14.9</v>
      </c>
      <c r="AA512" s="3">
        <v>0</v>
      </c>
      <c r="AB512" s="3" t="s">
        <v>541</v>
      </c>
      <c r="AC512" s="3">
        <v>0</v>
      </c>
      <c r="AD512" s="3">
        <v>13.86</v>
      </c>
      <c r="AE512" s="3">
        <v>91</v>
      </c>
      <c r="AF512" s="3">
        <v>0</v>
      </c>
      <c r="AG512" s="3">
        <v>10.708337</v>
      </c>
      <c r="AH512" s="3">
        <v>0</v>
      </c>
      <c r="AI512" s="3">
        <v>0.036011</v>
      </c>
      <c r="AJ512" s="3" t="s">
        <v>596</v>
      </c>
    </row>
    <row r="513" spans="1:36">
      <c r="A513" s="4">
        <v>43336</v>
      </c>
      <c r="B513" s="3" t="s">
        <v>2080</v>
      </c>
      <c r="C513" s="3" t="s">
        <v>2081</v>
      </c>
      <c r="D513" s="3" t="s">
        <v>2082</v>
      </c>
      <c r="E513" s="3" t="s">
        <v>2083</v>
      </c>
      <c r="F513" s="3" t="s">
        <v>538</v>
      </c>
      <c r="G513" s="3">
        <v>25</v>
      </c>
      <c r="H513" s="3">
        <v>0</v>
      </c>
      <c r="I513" s="3">
        <v>25</v>
      </c>
      <c r="J513" s="3">
        <v>0</v>
      </c>
      <c r="K513" s="3">
        <v>0</v>
      </c>
      <c r="L513" s="3">
        <v>0</v>
      </c>
      <c r="M513" s="3">
        <v>0</v>
      </c>
      <c r="N513" s="3" t="s">
        <v>539</v>
      </c>
      <c r="O513" s="3">
        <v>0</v>
      </c>
      <c r="P513" s="3">
        <v>0</v>
      </c>
      <c r="Q513" s="3">
        <v>0</v>
      </c>
      <c r="R513" s="3">
        <v>0</v>
      </c>
      <c r="S513" s="3">
        <v>6</v>
      </c>
      <c r="T513" s="3">
        <v>13</v>
      </c>
      <c r="U513" s="3">
        <v>23</v>
      </c>
      <c r="V513" s="3">
        <v>28</v>
      </c>
      <c r="W513" s="3"/>
      <c r="X513" s="3">
        <v>20</v>
      </c>
      <c r="Y513" s="3">
        <v>13.99</v>
      </c>
      <c r="Z513" s="3">
        <v>13.99</v>
      </c>
      <c r="AA513" s="3">
        <v>0</v>
      </c>
      <c r="AB513" s="3" t="s">
        <v>547</v>
      </c>
      <c r="AC513" s="3">
        <v>28</v>
      </c>
      <c r="AD513" s="3">
        <v>13.99</v>
      </c>
      <c r="AE513" s="3">
        <v>0</v>
      </c>
      <c r="AF513" s="3">
        <v>0</v>
      </c>
      <c r="AG513" s="3">
        <v>0</v>
      </c>
      <c r="AH513" s="3">
        <v>2.07407407407407</v>
      </c>
      <c r="AI513" s="3">
        <v>1.73785</v>
      </c>
      <c r="AJ513" s="3" t="s">
        <v>596</v>
      </c>
    </row>
    <row r="514" spans="1:36">
      <c r="A514" s="4">
        <v>43336</v>
      </c>
      <c r="B514" s="3" t="s">
        <v>198</v>
      </c>
      <c r="C514" s="3" t="s">
        <v>199</v>
      </c>
      <c r="D514" s="3" t="s">
        <v>200</v>
      </c>
      <c r="E514" s="3" t="s">
        <v>19</v>
      </c>
      <c r="F514" s="3" t="s">
        <v>538</v>
      </c>
      <c r="G514" s="3">
        <v>16</v>
      </c>
      <c r="H514" s="3">
        <v>0</v>
      </c>
      <c r="I514" s="3">
        <v>16</v>
      </c>
      <c r="J514" s="3">
        <v>0</v>
      </c>
      <c r="K514" s="3">
        <v>0</v>
      </c>
      <c r="L514" s="3">
        <v>0</v>
      </c>
      <c r="M514" s="3">
        <v>0</v>
      </c>
      <c r="N514" s="3" t="s">
        <v>539</v>
      </c>
      <c r="O514" s="3">
        <v>0</v>
      </c>
      <c r="P514" s="3">
        <v>0</v>
      </c>
      <c r="Q514" s="3">
        <v>0</v>
      </c>
      <c r="R514" s="3">
        <v>0</v>
      </c>
      <c r="S514" s="3">
        <v>2</v>
      </c>
      <c r="T514" s="3">
        <v>10</v>
      </c>
      <c r="U514" s="3">
        <v>16</v>
      </c>
      <c r="V514" s="3">
        <v>22</v>
      </c>
      <c r="W514" s="3" t="s">
        <v>553</v>
      </c>
      <c r="X514" s="3">
        <v>20.99</v>
      </c>
      <c r="Y514" s="3">
        <v>15.99</v>
      </c>
      <c r="Z514" s="3">
        <v>15.99</v>
      </c>
      <c r="AA514" s="3">
        <v>0</v>
      </c>
      <c r="AB514" s="3" t="s">
        <v>547</v>
      </c>
      <c r="AC514" s="3">
        <v>16</v>
      </c>
      <c r="AD514" s="3">
        <v>15.99</v>
      </c>
      <c r="AE514" s="3">
        <v>0</v>
      </c>
      <c r="AF514" s="3">
        <v>0</v>
      </c>
      <c r="AG514" s="3">
        <v>0</v>
      </c>
      <c r="AH514" s="3">
        <v>2</v>
      </c>
      <c r="AI514" s="3">
        <v>1.061952</v>
      </c>
      <c r="AJ514" s="3" t="s">
        <v>596</v>
      </c>
    </row>
    <row r="515" spans="1:36">
      <c r="A515" s="4">
        <v>43336</v>
      </c>
      <c r="B515" s="3" t="s">
        <v>276</v>
      </c>
      <c r="C515" s="3" t="s">
        <v>277</v>
      </c>
      <c r="D515" s="3" t="s">
        <v>278</v>
      </c>
      <c r="E515" s="3" t="s">
        <v>279</v>
      </c>
      <c r="F515" s="3" t="s">
        <v>538</v>
      </c>
      <c r="G515" s="3">
        <v>20</v>
      </c>
      <c r="H515" s="3">
        <v>0</v>
      </c>
      <c r="I515" s="3">
        <v>20</v>
      </c>
      <c r="J515" s="3">
        <v>0</v>
      </c>
      <c r="K515" s="3">
        <v>0</v>
      </c>
      <c r="L515" s="3">
        <v>0</v>
      </c>
      <c r="M515" s="3">
        <v>0</v>
      </c>
      <c r="N515" s="3" t="s">
        <v>539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5</v>
      </c>
      <c r="U515" s="3">
        <v>7</v>
      </c>
      <c r="V515" s="3">
        <v>9</v>
      </c>
      <c r="W515" s="3"/>
      <c r="X515" s="3">
        <v>53.8</v>
      </c>
      <c r="Y515" s="3">
        <v>16.99</v>
      </c>
      <c r="Z515" s="3">
        <v>16.99</v>
      </c>
      <c r="AA515" s="3">
        <v>0</v>
      </c>
      <c r="AB515" s="3" t="s">
        <v>547</v>
      </c>
      <c r="AC515" s="3">
        <v>0</v>
      </c>
      <c r="AD515" s="3">
        <v>0</v>
      </c>
      <c r="AE515" s="3">
        <v>0</v>
      </c>
      <c r="AF515" s="3">
        <v>0</v>
      </c>
      <c r="AG515" s="3">
        <v>0</v>
      </c>
      <c r="AH515" s="3">
        <v>1.63636363636363</v>
      </c>
      <c r="AI515" s="3">
        <v>2.79669999999999</v>
      </c>
      <c r="AJ515" s="3" t="s">
        <v>548</v>
      </c>
    </row>
    <row r="516" spans="1:36">
      <c r="A516" s="4">
        <v>43336</v>
      </c>
      <c r="B516" s="3" t="s">
        <v>2084</v>
      </c>
      <c r="C516" s="3" t="s">
        <v>2085</v>
      </c>
      <c r="D516" s="3" t="s">
        <v>2086</v>
      </c>
      <c r="E516" s="3" t="s">
        <v>552</v>
      </c>
      <c r="F516" s="3" t="s">
        <v>538</v>
      </c>
      <c r="G516" s="3">
        <v>3</v>
      </c>
      <c r="H516" s="3">
        <v>0</v>
      </c>
      <c r="I516" s="3">
        <v>3</v>
      </c>
      <c r="J516" s="3">
        <v>0</v>
      </c>
      <c r="K516" s="3">
        <v>0</v>
      </c>
      <c r="L516" s="3">
        <v>0</v>
      </c>
      <c r="M516" s="3">
        <v>0</v>
      </c>
      <c r="N516" s="3" t="s">
        <v>539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 t="s">
        <v>553</v>
      </c>
      <c r="X516" s="3">
        <v>17.9</v>
      </c>
      <c r="Y516" s="3">
        <v>17.9</v>
      </c>
      <c r="Z516" s="3">
        <v>17.9</v>
      </c>
      <c r="AA516" s="3">
        <v>0</v>
      </c>
      <c r="AB516" s="3" t="s">
        <v>547</v>
      </c>
      <c r="AC516" s="3">
        <v>3</v>
      </c>
      <c r="AD516" s="3">
        <v>17.9</v>
      </c>
      <c r="AE516" s="3">
        <v>0</v>
      </c>
      <c r="AF516" s="3">
        <v>0</v>
      </c>
      <c r="AG516" s="3">
        <v>0</v>
      </c>
      <c r="AH516" s="3">
        <v>0</v>
      </c>
      <c r="AI516" s="3">
        <v>0.241307999999999</v>
      </c>
      <c r="AJ516" s="3" t="s">
        <v>548</v>
      </c>
    </row>
    <row r="517" spans="1:36">
      <c r="A517" s="4">
        <v>43336</v>
      </c>
      <c r="B517" s="3" t="s">
        <v>2087</v>
      </c>
      <c r="C517" s="3" t="s">
        <v>2088</v>
      </c>
      <c r="D517" s="3" t="s">
        <v>2089</v>
      </c>
      <c r="E517" s="3" t="s">
        <v>552</v>
      </c>
      <c r="F517" s="3" t="s">
        <v>538</v>
      </c>
      <c r="G517" s="3">
        <v>3</v>
      </c>
      <c r="H517" s="3">
        <v>0</v>
      </c>
      <c r="I517" s="3">
        <v>3</v>
      </c>
      <c r="J517" s="3">
        <v>0</v>
      </c>
      <c r="K517" s="3">
        <v>0</v>
      </c>
      <c r="L517" s="3">
        <v>0</v>
      </c>
      <c r="M517" s="3">
        <v>0</v>
      </c>
      <c r="N517" s="3" t="s">
        <v>539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 t="s">
        <v>553</v>
      </c>
      <c r="X517" s="3">
        <v>21.9</v>
      </c>
      <c r="Y517" s="3">
        <v>21.9</v>
      </c>
      <c r="Z517" s="3">
        <v>21.9</v>
      </c>
      <c r="AA517" s="3">
        <v>0</v>
      </c>
      <c r="AB517" s="3" t="s">
        <v>547</v>
      </c>
      <c r="AC517" s="3">
        <v>3</v>
      </c>
      <c r="AD517" s="3">
        <v>21.9</v>
      </c>
      <c r="AE517" s="3">
        <v>0</v>
      </c>
      <c r="AF517" s="3">
        <v>0</v>
      </c>
      <c r="AG517" s="3">
        <v>0</v>
      </c>
      <c r="AH517" s="3">
        <v>0</v>
      </c>
      <c r="AI517" s="3">
        <v>0.498461999999999</v>
      </c>
      <c r="AJ517" s="3" t="s">
        <v>548</v>
      </c>
    </row>
    <row r="518" spans="1:36">
      <c r="A518" s="4">
        <v>43336</v>
      </c>
      <c r="B518" s="3" t="s">
        <v>2090</v>
      </c>
      <c r="C518" s="3" t="s">
        <v>2091</v>
      </c>
      <c r="D518" s="3" t="s">
        <v>2092</v>
      </c>
      <c r="E518" s="3" t="s">
        <v>2093</v>
      </c>
      <c r="F518" s="3" t="s">
        <v>538</v>
      </c>
      <c r="G518" s="3">
        <v>4</v>
      </c>
      <c r="H518" s="3">
        <v>0</v>
      </c>
      <c r="I518" s="3">
        <v>0</v>
      </c>
      <c r="J518" s="3">
        <v>0</v>
      </c>
      <c r="K518" s="3">
        <v>4</v>
      </c>
      <c r="L518" s="3">
        <v>0</v>
      </c>
      <c r="M518" s="3">
        <v>0</v>
      </c>
      <c r="N518" s="3" t="s">
        <v>539</v>
      </c>
      <c r="O518" s="3">
        <v>4</v>
      </c>
      <c r="P518" s="3">
        <v>0.44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 t="s">
        <v>553</v>
      </c>
      <c r="X518" s="3">
        <v>45.9</v>
      </c>
      <c r="Y518" s="3">
        <v>45.9</v>
      </c>
      <c r="Z518" s="3">
        <v>45.9</v>
      </c>
      <c r="AA518" s="3">
        <v>0</v>
      </c>
      <c r="AB518" s="3" t="s">
        <v>547</v>
      </c>
      <c r="AC518" s="3">
        <v>4</v>
      </c>
      <c r="AD518" s="3">
        <v>45.9</v>
      </c>
      <c r="AE518" s="3">
        <v>0</v>
      </c>
      <c r="AF518" s="3">
        <v>0</v>
      </c>
      <c r="AG518" s="3">
        <v>0</v>
      </c>
      <c r="AH518" s="3">
        <v>0</v>
      </c>
      <c r="AI518" s="3">
        <v>0.129956</v>
      </c>
      <c r="AJ518" s="3" t="s">
        <v>548</v>
      </c>
    </row>
    <row r="519" spans="1:36">
      <c r="A519" s="4">
        <v>43336</v>
      </c>
      <c r="B519" s="3" t="s">
        <v>2094</v>
      </c>
      <c r="C519" s="3" t="s">
        <v>2095</v>
      </c>
      <c r="D519" s="3" t="s">
        <v>2096</v>
      </c>
      <c r="E519" s="3" t="s">
        <v>2097</v>
      </c>
      <c r="F519" s="3" t="s">
        <v>538</v>
      </c>
      <c r="G519" s="3">
        <v>6</v>
      </c>
      <c r="H519" s="3">
        <v>0</v>
      </c>
      <c r="I519" s="3">
        <v>0</v>
      </c>
      <c r="J519" s="3">
        <v>5</v>
      </c>
      <c r="K519" s="3">
        <v>1</v>
      </c>
      <c r="L519" s="3">
        <v>0</v>
      </c>
      <c r="M519" s="3">
        <v>0</v>
      </c>
      <c r="N519" s="3" t="s">
        <v>539</v>
      </c>
      <c r="O519" s="3">
        <v>1</v>
      </c>
      <c r="P519" s="3">
        <v>0</v>
      </c>
      <c r="Q519" s="3">
        <v>0</v>
      </c>
      <c r="R519" s="3">
        <v>0</v>
      </c>
      <c r="S519" s="3">
        <v>0</v>
      </c>
      <c r="T519" s="3">
        <v>0</v>
      </c>
      <c r="U519" s="3">
        <v>0</v>
      </c>
      <c r="V519" s="3">
        <v>0</v>
      </c>
      <c r="W519" s="3" t="s">
        <v>553</v>
      </c>
      <c r="X519" s="3">
        <v>36.99</v>
      </c>
      <c r="Y519" s="3">
        <v>36.99</v>
      </c>
      <c r="Z519" s="3">
        <v>36.99</v>
      </c>
      <c r="AA519" s="3">
        <v>0</v>
      </c>
      <c r="AB519" s="3" t="s">
        <v>547</v>
      </c>
      <c r="AC519" s="3">
        <v>6</v>
      </c>
      <c r="AD519" s="3">
        <v>36.99</v>
      </c>
      <c r="AE519" s="3">
        <v>0</v>
      </c>
      <c r="AF519" s="3">
        <v>0</v>
      </c>
      <c r="AG519" s="3">
        <v>0</v>
      </c>
      <c r="AH519" s="3">
        <v>0</v>
      </c>
      <c r="AI519" s="5">
        <v>0.000348</v>
      </c>
      <c r="AJ519" s="3" t="s">
        <v>548</v>
      </c>
    </row>
    <row r="520" spans="1:36">
      <c r="A520" s="4">
        <v>43336</v>
      </c>
      <c r="B520" s="3" t="s">
        <v>2098</v>
      </c>
      <c r="C520" s="3" t="s">
        <v>2099</v>
      </c>
      <c r="D520" s="3" t="s">
        <v>2100</v>
      </c>
      <c r="E520" s="3" t="s">
        <v>2101</v>
      </c>
      <c r="F520" s="3" t="s">
        <v>538</v>
      </c>
      <c r="G520" s="3">
        <v>12</v>
      </c>
      <c r="H520" s="3">
        <v>0</v>
      </c>
      <c r="I520" s="3">
        <v>0</v>
      </c>
      <c r="J520" s="3">
        <v>0</v>
      </c>
      <c r="K520" s="3">
        <v>12</v>
      </c>
      <c r="L520" s="3">
        <v>0</v>
      </c>
      <c r="M520" s="3">
        <v>0</v>
      </c>
      <c r="N520" s="3" t="s">
        <v>539</v>
      </c>
      <c r="O520" s="3">
        <v>12</v>
      </c>
      <c r="P520" s="3">
        <v>3.28</v>
      </c>
      <c r="Q520" s="3">
        <v>0</v>
      </c>
      <c r="R520" s="3">
        <v>0</v>
      </c>
      <c r="S520" s="3">
        <v>2</v>
      </c>
      <c r="T520" s="3">
        <v>6</v>
      </c>
      <c r="U520" s="3">
        <v>7</v>
      </c>
      <c r="V520" s="3">
        <v>7</v>
      </c>
      <c r="W520" s="3"/>
      <c r="X520" s="3">
        <v>25.7</v>
      </c>
      <c r="Y520" s="3">
        <v>25.7</v>
      </c>
      <c r="Z520" s="3">
        <v>25.7</v>
      </c>
      <c r="AA520" s="3">
        <v>0</v>
      </c>
      <c r="AB520" s="3" t="s">
        <v>547</v>
      </c>
      <c r="AC520" s="3">
        <v>12</v>
      </c>
      <c r="AD520" s="3">
        <v>25.7</v>
      </c>
      <c r="AE520" s="3">
        <v>0</v>
      </c>
      <c r="AF520" s="3">
        <v>0</v>
      </c>
      <c r="AG520" s="3">
        <v>0</v>
      </c>
      <c r="AH520" s="3">
        <v>0.411764705882352</v>
      </c>
      <c r="AI520" s="3">
        <v>0.950004</v>
      </c>
      <c r="AJ520" s="3" t="s">
        <v>548</v>
      </c>
    </row>
    <row r="521" spans="1:36">
      <c r="A521" s="4">
        <v>43336</v>
      </c>
      <c r="B521" s="3" t="s">
        <v>2102</v>
      </c>
      <c r="C521" s="3" t="s">
        <v>2103</v>
      </c>
      <c r="D521" s="3" t="s">
        <v>2104</v>
      </c>
      <c r="E521" s="3" t="s">
        <v>1073</v>
      </c>
      <c r="F521" s="3" t="s">
        <v>538</v>
      </c>
      <c r="G521" s="3">
        <v>5</v>
      </c>
      <c r="H521" s="3">
        <v>0</v>
      </c>
      <c r="I521" s="3">
        <v>5</v>
      </c>
      <c r="J521" s="3">
        <v>0</v>
      </c>
      <c r="K521" s="3">
        <v>0</v>
      </c>
      <c r="L521" s="3">
        <v>0</v>
      </c>
      <c r="M521" s="3">
        <v>0</v>
      </c>
      <c r="N521" s="3" t="s">
        <v>539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 t="s">
        <v>540</v>
      </c>
      <c r="X521" s="3">
        <v>19.99</v>
      </c>
      <c r="Y521" s="3">
        <v>19.99</v>
      </c>
      <c r="Z521" s="3">
        <v>19.99</v>
      </c>
      <c r="AA521" s="3">
        <v>0</v>
      </c>
      <c r="AB521" s="3" t="s">
        <v>651</v>
      </c>
      <c r="AC521" s="3">
        <v>5</v>
      </c>
      <c r="AD521" s="3">
        <v>19.99</v>
      </c>
      <c r="AE521" s="3">
        <v>0</v>
      </c>
      <c r="AF521" s="3">
        <v>0</v>
      </c>
      <c r="AG521" s="3">
        <v>0</v>
      </c>
      <c r="AH521" s="3">
        <v>0</v>
      </c>
      <c r="AI521" s="3">
        <v>0.65901</v>
      </c>
      <c r="AJ521" s="3" t="s">
        <v>542</v>
      </c>
    </row>
    <row r="522" spans="1:36">
      <c r="A522" s="4">
        <v>43336</v>
      </c>
      <c r="B522" s="3" t="s">
        <v>2105</v>
      </c>
      <c r="C522" s="3" t="s">
        <v>2106</v>
      </c>
      <c r="D522" s="3" t="s">
        <v>2107</v>
      </c>
      <c r="E522" s="3" t="s">
        <v>616</v>
      </c>
      <c r="F522" s="3" t="s">
        <v>538</v>
      </c>
      <c r="G522" s="3">
        <v>6</v>
      </c>
      <c r="H522" s="3">
        <v>0</v>
      </c>
      <c r="I522" s="3">
        <v>6</v>
      </c>
      <c r="J522" s="3">
        <v>0</v>
      </c>
      <c r="K522" s="3">
        <v>0</v>
      </c>
      <c r="L522" s="3">
        <v>0</v>
      </c>
      <c r="M522" s="3">
        <v>0</v>
      </c>
      <c r="N522" s="3" t="s">
        <v>539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 t="s">
        <v>540</v>
      </c>
      <c r="X522" s="3">
        <v>17.99</v>
      </c>
      <c r="Y522" s="3">
        <v>17.99</v>
      </c>
      <c r="Z522" s="3">
        <v>17.99</v>
      </c>
      <c r="AA522" s="3">
        <v>0</v>
      </c>
      <c r="AB522" s="3" t="s">
        <v>541</v>
      </c>
      <c r="AC522" s="3">
        <v>0</v>
      </c>
      <c r="AD522" s="3">
        <v>14.39</v>
      </c>
      <c r="AE522" s="3">
        <v>63</v>
      </c>
      <c r="AF522" s="3">
        <v>0</v>
      </c>
      <c r="AG522" s="3">
        <v>6.248103</v>
      </c>
      <c r="AH522" s="3">
        <v>0</v>
      </c>
      <c r="AI522" s="3">
        <v>0.50709</v>
      </c>
      <c r="AJ522" s="3" t="s">
        <v>542</v>
      </c>
    </row>
    <row r="523" spans="1:36">
      <c r="A523" s="4">
        <v>43336</v>
      </c>
      <c r="B523" s="3" t="s">
        <v>2108</v>
      </c>
      <c r="C523" s="3" t="s">
        <v>2109</v>
      </c>
      <c r="D523" s="3" t="s">
        <v>2110</v>
      </c>
      <c r="E523" s="3" t="s">
        <v>2111</v>
      </c>
      <c r="F523" s="3" t="s">
        <v>538</v>
      </c>
      <c r="G523" s="3">
        <v>2</v>
      </c>
      <c r="H523" s="3">
        <v>0</v>
      </c>
      <c r="I523" s="3">
        <v>0</v>
      </c>
      <c r="J523" s="3">
        <v>2</v>
      </c>
      <c r="K523" s="3">
        <v>0</v>
      </c>
      <c r="L523" s="3">
        <v>0</v>
      </c>
      <c r="M523" s="3">
        <v>0</v>
      </c>
      <c r="N523" s="3" t="s">
        <v>539</v>
      </c>
      <c r="O523" s="3">
        <v>1</v>
      </c>
      <c r="P523" s="3">
        <v>0.61</v>
      </c>
      <c r="Q523" s="3">
        <v>0</v>
      </c>
      <c r="R523" s="3">
        <v>0</v>
      </c>
      <c r="S523" s="3">
        <v>2</v>
      </c>
      <c r="T523" s="3">
        <v>6</v>
      </c>
      <c r="U523" s="3">
        <v>7</v>
      </c>
      <c r="V523" s="3">
        <v>13</v>
      </c>
      <c r="W523" s="3"/>
      <c r="X523" s="3">
        <v>21.99</v>
      </c>
      <c r="Y523" s="3">
        <v>21.99</v>
      </c>
      <c r="Z523" s="3">
        <v>21.99</v>
      </c>
      <c r="AA523" s="3">
        <v>0</v>
      </c>
      <c r="AB523" s="3" t="s">
        <v>547</v>
      </c>
      <c r="AC523" s="3">
        <v>0</v>
      </c>
      <c r="AD523" s="3">
        <v>0</v>
      </c>
      <c r="AE523" s="3">
        <v>0</v>
      </c>
      <c r="AF523" s="3">
        <v>0</v>
      </c>
      <c r="AG523" s="3">
        <v>0</v>
      </c>
      <c r="AH523" s="3">
        <v>0.371428571428571</v>
      </c>
      <c r="AI523" s="3">
        <v>0.35304</v>
      </c>
      <c r="AJ523" s="3" t="s">
        <v>548</v>
      </c>
    </row>
    <row r="524" spans="1:36">
      <c r="A524" s="4">
        <v>43336</v>
      </c>
      <c r="B524" s="3" t="s">
        <v>2112</v>
      </c>
      <c r="C524" s="3" t="s">
        <v>2113</v>
      </c>
      <c r="D524" s="3" t="s">
        <v>2114</v>
      </c>
      <c r="E524" s="3" t="s">
        <v>2115</v>
      </c>
      <c r="F524" s="3" t="s">
        <v>538</v>
      </c>
      <c r="G524" s="3">
        <v>2</v>
      </c>
      <c r="H524" s="3">
        <v>0</v>
      </c>
      <c r="I524" s="3">
        <v>0</v>
      </c>
      <c r="J524" s="3">
        <v>1</v>
      </c>
      <c r="K524" s="3">
        <v>1</v>
      </c>
      <c r="L524" s="3">
        <v>0</v>
      </c>
      <c r="M524" s="3">
        <v>0</v>
      </c>
      <c r="N524" s="3" t="s">
        <v>539</v>
      </c>
      <c r="O524" s="3">
        <v>2</v>
      </c>
      <c r="P524" s="3">
        <v>0.81</v>
      </c>
      <c r="Q524" s="3">
        <v>0</v>
      </c>
      <c r="R524" s="3">
        <v>0</v>
      </c>
      <c r="S524" s="3">
        <v>0</v>
      </c>
      <c r="T524" s="3">
        <v>3</v>
      </c>
      <c r="U524" s="3">
        <v>3</v>
      </c>
      <c r="V524" s="3">
        <v>3</v>
      </c>
      <c r="W524" s="3"/>
      <c r="X524" s="3">
        <v>32.99</v>
      </c>
      <c r="Y524" s="3">
        <v>32.99</v>
      </c>
      <c r="Z524" s="3">
        <v>32.99</v>
      </c>
      <c r="AA524" s="3">
        <v>0</v>
      </c>
      <c r="AB524" s="3" t="s">
        <v>547</v>
      </c>
      <c r="AC524" s="3">
        <v>2</v>
      </c>
      <c r="AD524" s="3">
        <v>32.99</v>
      </c>
      <c r="AE524" s="3">
        <v>0</v>
      </c>
      <c r="AF524" s="3">
        <v>0</v>
      </c>
      <c r="AG524" s="3">
        <v>0</v>
      </c>
      <c r="AH524" s="3">
        <v>0.705882352941176</v>
      </c>
      <c r="AI524" s="3">
        <v>0.23552</v>
      </c>
      <c r="AJ524" s="3" t="s">
        <v>548</v>
      </c>
    </row>
    <row r="525" spans="1:36">
      <c r="A525" s="4">
        <v>43336</v>
      </c>
      <c r="B525" s="3" t="s">
        <v>2116</v>
      </c>
      <c r="C525" s="3" t="s">
        <v>2117</v>
      </c>
      <c r="D525" s="3" t="s">
        <v>2118</v>
      </c>
      <c r="E525" s="3" t="s">
        <v>2119</v>
      </c>
      <c r="F525" s="3" t="s">
        <v>538</v>
      </c>
      <c r="G525" s="3">
        <v>44</v>
      </c>
      <c r="H525" s="3">
        <v>0</v>
      </c>
      <c r="I525" s="3">
        <v>44</v>
      </c>
      <c r="J525" s="3">
        <v>0</v>
      </c>
      <c r="K525" s="3">
        <v>0</v>
      </c>
      <c r="L525" s="3">
        <v>0</v>
      </c>
      <c r="M525" s="3">
        <v>0</v>
      </c>
      <c r="N525" s="3" t="s">
        <v>539</v>
      </c>
      <c r="O525" s="3">
        <v>0</v>
      </c>
      <c r="P525" s="3">
        <v>0</v>
      </c>
      <c r="Q525" s="3">
        <v>0</v>
      </c>
      <c r="R525" s="3">
        <v>0</v>
      </c>
      <c r="S525" s="3">
        <v>1</v>
      </c>
      <c r="T525" s="3">
        <v>16</v>
      </c>
      <c r="U525" s="3">
        <v>39</v>
      </c>
      <c r="V525" s="3">
        <v>47</v>
      </c>
      <c r="W525" s="3" t="s">
        <v>553</v>
      </c>
      <c r="X525" s="3">
        <v>12.99</v>
      </c>
      <c r="Y525" s="3">
        <v>12.99</v>
      </c>
      <c r="Z525" s="3">
        <v>12.99</v>
      </c>
      <c r="AA525" s="3">
        <v>0</v>
      </c>
      <c r="AB525" s="3" t="s">
        <v>547</v>
      </c>
      <c r="AC525" s="3">
        <v>28</v>
      </c>
      <c r="AD525" s="3">
        <v>12.99</v>
      </c>
      <c r="AE525" s="3">
        <v>0</v>
      </c>
      <c r="AF525" s="3">
        <v>0</v>
      </c>
      <c r="AG525" s="3">
        <v>0</v>
      </c>
      <c r="AH525" s="3">
        <v>2.13636363636363</v>
      </c>
      <c r="AI525" s="3">
        <v>2.001296</v>
      </c>
      <c r="AJ525" s="3" t="s">
        <v>548</v>
      </c>
    </row>
    <row r="526" spans="1:36">
      <c r="A526" s="4">
        <v>43336</v>
      </c>
      <c r="B526" s="3" t="s">
        <v>2120</v>
      </c>
      <c r="C526" s="3" t="s">
        <v>2121</v>
      </c>
      <c r="D526" s="3" t="s">
        <v>2122</v>
      </c>
      <c r="E526" s="3" t="s">
        <v>2123</v>
      </c>
      <c r="F526" s="3" t="s">
        <v>538</v>
      </c>
      <c r="G526" s="3">
        <v>11</v>
      </c>
      <c r="H526" s="3">
        <v>0</v>
      </c>
      <c r="I526" s="3">
        <v>0</v>
      </c>
      <c r="J526" s="3">
        <v>1</v>
      </c>
      <c r="K526" s="3">
        <v>0</v>
      </c>
      <c r="L526" s="3">
        <v>7</v>
      </c>
      <c r="M526" s="3">
        <v>3</v>
      </c>
      <c r="N526" s="3" t="s">
        <v>539</v>
      </c>
      <c r="O526" s="3">
        <v>1</v>
      </c>
      <c r="P526" s="3">
        <v>0.29</v>
      </c>
      <c r="Q526" s="3">
        <v>9</v>
      </c>
      <c r="R526" s="3">
        <v>5.31</v>
      </c>
      <c r="S526" s="3">
        <v>0</v>
      </c>
      <c r="T526" s="3">
        <v>0</v>
      </c>
      <c r="U526" s="3">
        <v>1</v>
      </c>
      <c r="V526" s="3">
        <v>3</v>
      </c>
      <c r="W526" s="3" t="s">
        <v>553</v>
      </c>
      <c r="X526" s="3">
        <v>22.39</v>
      </c>
      <c r="Y526" s="3">
        <v>22.39</v>
      </c>
      <c r="Z526" s="3">
        <v>22.39</v>
      </c>
      <c r="AA526" s="3">
        <v>0</v>
      </c>
      <c r="AB526" s="3" t="s">
        <v>562</v>
      </c>
      <c r="AC526" s="3">
        <v>0</v>
      </c>
      <c r="AD526" s="3">
        <v>17.36</v>
      </c>
      <c r="AE526" s="3">
        <v>364</v>
      </c>
      <c r="AF526" s="3">
        <v>0</v>
      </c>
      <c r="AG526" s="3">
        <v>184.490144</v>
      </c>
      <c r="AH526" s="3">
        <v>0.23076923076923</v>
      </c>
      <c r="AI526" s="3">
        <v>0.939829</v>
      </c>
      <c r="AJ526" s="3" t="s">
        <v>548</v>
      </c>
    </row>
    <row r="527" spans="1:36">
      <c r="A527" s="4">
        <v>43336</v>
      </c>
      <c r="B527" s="3" t="s">
        <v>2124</v>
      </c>
      <c r="C527" s="3" t="s">
        <v>2125</v>
      </c>
      <c r="D527" s="3" t="s">
        <v>2126</v>
      </c>
      <c r="E527" s="3" t="s">
        <v>1401</v>
      </c>
      <c r="F527" s="3" t="s">
        <v>538</v>
      </c>
      <c r="G527" s="3">
        <v>25</v>
      </c>
      <c r="H527" s="3">
        <v>0</v>
      </c>
      <c r="I527" s="3">
        <v>0</v>
      </c>
      <c r="J527" s="3">
        <v>0</v>
      </c>
      <c r="K527" s="3">
        <v>25</v>
      </c>
      <c r="L527" s="3">
        <v>0</v>
      </c>
      <c r="M527" s="3">
        <v>0</v>
      </c>
      <c r="N527" s="3" t="s">
        <v>539</v>
      </c>
      <c r="O527" s="3">
        <v>25</v>
      </c>
      <c r="P527" s="3">
        <v>13.94</v>
      </c>
      <c r="Q527" s="3">
        <v>0</v>
      </c>
      <c r="R527" s="3">
        <v>0</v>
      </c>
      <c r="S527" s="3">
        <v>0</v>
      </c>
      <c r="T527" s="3">
        <v>1</v>
      </c>
      <c r="U527" s="3">
        <v>1</v>
      </c>
      <c r="V527" s="3">
        <v>2</v>
      </c>
      <c r="W527" s="3"/>
      <c r="X527" s="3">
        <v>14.99</v>
      </c>
      <c r="Y527" s="3">
        <v>14.99</v>
      </c>
      <c r="Z527" s="3">
        <v>14.99</v>
      </c>
      <c r="AA527" s="3">
        <v>0</v>
      </c>
      <c r="AB527" s="3" t="s">
        <v>547</v>
      </c>
      <c r="AC527" s="3">
        <v>25</v>
      </c>
      <c r="AD527" s="3">
        <v>14.99</v>
      </c>
      <c r="AE527" s="3">
        <v>0</v>
      </c>
      <c r="AF527" s="3">
        <v>0</v>
      </c>
      <c r="AG527" s="3">
        <v>0</v>
      </c>
      <c r="AH527" s="3">
        <v>0.0754716981132075</v>
      </c>
      <c r="AI527" s="3">
        <v>4.0401</v>
      </c>
      <c r="AJ527" s="3" t="s">
        <v>548</v>
      </c>
    </row>
    <row r="528" spans="1:36">
      <c r="A528" s="4">
        <v>43336</v>
      </c>
      <c r="B528" s="3" t="s">
        <v>2127</v>
      </c>
      <c r="C528" s="3" t="s">
        <v>2128</v>
      </c>
      <c r="D528" s="3" t="s">
        <v>2129</v>
      </c>
      <c r="E528" s="3" t="s">
        <v>2130</v>
      </c>
      <c r="F528" s="3" t="s">
        <v>538</v>
      </c>
      <c r="G528" s="3">
        <v>6</v>
      </c>
      <c r="H528" s="3">
        <v>0</v>
      </c>
      <c r="I528" s="3">
        <v>0</v>
      </c>
      <c r="J528" s="3">
        <v>6</v>
      </c>
      <c r="K528" s="3">
        <v>0</v>
      </c>
      <c r="L528" s="3">
        <v>0</v>
      </c>
      <c r="M528" s="3">
        <v>0</v>
      </c>
      <c r="N528" s="3" t="s">
        <v>539</v>
      </c>
      <c r="O528" s="3">
        <v>0</v>
      </c>
      <c r="P528" s="3">
        <v>0</v>
      </c>
      <c r="Q528" s="3">
        <v>0</v>
      </c>
      <c r="R528" s="3">
        <v>0</v>
      </c>
      <c r="S528" s="3">
        <v>0</v>
      </c>
      <c r="T528" s="3">
        <v>0</v>
      </c>
      <c r="U528" s="3">
        <v>0</v>
      </c>
      <c r="V528" s="3">
        <v>0</v>
      </c>
      <c r="W528" s="3" t="s">
        <v>540</v>
      </c>
      <c r="X528" s="3">
        <v>9.99</v>
      </c>
      <c r="Y528" s="3">
        <v>9.99</v>
      </c>
      <c r="Z528" s="3">
        <v>9.99</v>
      </c>
      <c r="AA528" s="3">
        <v>0</v>
      </c>
      <c r="AB528" s="3" t="s">
        <v>541</v>
      </c>
      <c r="AC528" s="3">
        <v>0</v>
      </c>
      <c r="AD528" s="3">
        <v>7.99</v>
      </c>
      <c r="AE528" s="3">
        <v>63</v>
      </c>
      <c r="AF528" s="3">
        <v>0</v>
      </c>
      <c r="AG528" s="3">
        <v>16.363276</v>
      </c>
      <c r="AH528" s="3">
        <v>0</v>
      </c>
      <c r="AI528" s="3">
        <v>0.10302</v>
      </c>
      <c r="AJ528" s="3" t="s">
        <v>548</v>
      </c>
    </row>
    <row r="529" spans="1:36">
      <c r="A529" s="4">
        <v>43336</v>
      </c>
      <c r="B529" s="3" t="s">
        <v>483</v>
      </c>
      <c r="C529" s="3" t="s">
        <v>484</v>
      </c>
      <c r="D529" s="3" t="s">
        <v>485</v>
      </c>
      <c r="E529" s="3" t="s">
        <v>486</v>
      </c>
      <c r="F529" s="3" t="s">
        <v>538</v>
      </c>
      <c r="G529" s="3">
        <v>10</v>
      </c>
      <c r="H529" s="3">
        <v>0</v>
      </c>
      <c r="I529" s="3">
        <v>10</v>
      </c>
      <c r="J529" s="3">
        <v>0</v>
      </c>
      <c r="K529" s="3">
        <v>0</v>
      </c>
      <c r="L529" s="3">
        <v>0</v>
      </c>
      <c r="M529" s="3">
        <v>0</v>
      </c>
      <c r="N529" s="3" t="s">
        <v>539</v>
      </c>
      <c r="O529" s="3">
        <v>0</v>
      </c>
      <c r="P529" s="3">
        <v>0</v>
      </c>
      <c r="Q529" s="3">
        <v>0</v>
      </c>
      <c r="R529" s="3">
        <v>0</v>
      </c>
      <c r="S529" s="3">
        <v>0</v>
      </c>
      <c r="T529" s="3">
        <v>4</v>
      </c>
      <c r="U529" s="3">
        <v>4</v>
      </c>
      <c r="V529" s="3">
        <v>4</v>
      </c>
      <c r="W529" s="3"/>
      <c r="X529" s="3">
        <v>21.99</v>
      </c>
      <c r="Y529" s="3">
        <v>21.99</v>
      </c>
      <c r="Z529" s="3">
        <v>21.99</v>
      </c>
      <c r="AA529" s="3">
        <v>0</v>
      </c>
      <c r="AB529" s="3" t="s">
        <v>547</v>
      </c>
      <c r="AC529" s="3">
        <v>0</v>
      </c>
      <c r="AD529" s="3">
        <v>0</v>
      </c>
      <c r="AE529" s="3">
        <v>0</v>
      </c>
      <c r="AF529" s="3">
        <v>0</v>
      </c>
      <c r="AG529" s="3">
        <v>0</v>
      </c>
      <c r="AH529" s="3">
        <v>0.8</v>
      </c>
      <c r="AI529" s="3">
        <v>1.74941999999999</v>
      </c>
      <c r="AJ529" s="3" t="s">
        <v>548</v>
      </c>
    </row>
    <row r="530" spans="1:36">
      <c r="A530" s="4">
        <v>43336</v>
      </c>
      <c r="B530" s="3" t="s">
        <v>2131</v>
      </c>
      <c r="C530" s="3" t="s">
        <v>2132</v>
      </c>
      <c r="D530" s="3" t="s">
        <v>2133</v>
      </c>
      <c r="E530" s="3" t="s">
        <v>582</v>
      </c>
      <c r="F530" s="3" t="s">
        <v>538</v>
      </c>
      <c r="G530" s="3">
        <v>4</v>
      </c>
      <c r="H530" s="3">
        <v>0</v>
      </c>
      <c r="I530" s="3">
        <v>0</v>
      </c>
      <c r="J530" s="3">
        <v>4</v>
      </c>
      <c r="K530" s="3">
        <v>0</v>
      </c>
      <c r="L530" s="3">
        <v>0</v>
      </c>
      <c r="M530" s="3">
        <v>0</v>
      </c>
      <c r="N530" s="3" t="s">
        <v>539</v>
      </c>
      <c r="O530" s="3">
        <v>0</v>
      </c>
      <c r="P530" s="3">
        <v>0</v>
      </c>
      <c r="Q530" s="3">
        <v>0</v>
      </c>
      <c r="R530" s="3">
        <v>0</v>
      </c>
      <c r="S530" s="3">
        <v>0</v>
      </c>
      <c r="T530" s="3">
        <v>0</v>
      </c>
      <c r="U530" s="3">
        <v>0</v>
      </c>
      <c r="V530" s="3">
        <v>0</v>
      </c>
      <c r="W530" s="3" t="s">
        <v>540</v>
      </c>
      <c r="X530" s="3">
        <v>9.98</v>
      </c>
      <c r="Y530" s="3">
        <v>9.98</v>
      </c>
      <c r="Z530" s="3">
        <v>9.98</v>
      </c>
      <c r="AA530" s="3">
        <v>0</v>
      </c>
      <c r="AB530" s="3" t="s">
        <v>541</v>
      </c>
      <c r="AC530" s="3">
        <v>0</v>
      </c>
      <c r="AD530" s="3">
        <v>7.98</v>
      </c>
      <c r="AE530" s="3">
        <v>63</v>
      </c>
      <c r="AF530" s="3">
        <v>0</v>
      </c>
      <c r="AG530" s="3">
        <v>2.339591</v>
      </c>
      <c r="AH530" s="3">
        <v>0</v>
      </c>
      <c r="AI530" s="5">
        <v>0.000232</v>
      </c>
      <c r="AJ530" s="3" t="s">
        <v>548</v>
      </c>
    </row>
    <row r="531" spans="1:36">
      <c r="A531" s="4">
        <v>43336</v>
      </c>
      <c r="B531" s="3" t="s">
        <v>2134</v>
      </c>
      <c r="C531" s="3" t="s">
        <v>2135</v>
      </c>
      <c r="D531" s="3" t="s">
        <v>2136</v>
      </c>
      <c r="E531" s="3" t="s">
        <v>2137</v>
      </c>
      <c r="F531" s="3" t="s">
        <v>538</v>
      </c>
      <c r="G531" s="3">
        <v>6</v>
      </c>
      <c r="H531" s="3">
        <v>0</v>
      </c>
      <c r="I531" s="3">
        <v>0</v>
      </c>
      <c r="J531" s="3">
        <v>6</v>
      </c>
      <c r="K531" s="3">
        <v>0</v>
      </c>
      <c r="L531" s="3">
        <v>0</v>
      </c>
      <c r="M531" s="3">
        <v>0</v>
      </c>
      <c r="N531" s="3" t="s">
        <v>539</v>
      </c>
      <c r="O531" s="3">
        <v>0</v>
      </c>
      <c r="P531" s="3">
        <v>0</v>
      </c>
      <c r="Q531" s="3">
        <v>0</v>
      </c>
      <c r="R531" s="3">
        <v>0</v>
      </c>
      <c r="S531" s="3">
        <v>0</v>
      </c>
      <c r="T531" s="3">
        <v>0</v>
      </c>
      <c r="U531" s="3">
        <v>0</v>
      </c>
      <c r="V531" s="3">
        <v>0</v>
      </c>
      <c r="W531" s="3" t="s">
        <v>540</v>
      </c>
      <c r="X531" s="3">
        <v>9.99</v>
      </c>
      <c r="Y531" s="3">
        <v>9.99</v>
      </c>
      <c r="Z531" s="3">
        <v>9.99</v>
      </c>
      <c r="AA531" s="3">
        <v>0</v>
      </c>
      <c r="AB531" s="3" t="s">
        <v>541</v>
      </c>
      <c r="AC531" s="3">
        <v>0</v>
      </c>
      <c r="AD531" s="3">
        <v>7.99</v>
      </c>
      <c r="AE531" s="3">
        <v>63</v>
      </c>
      <c r="AF531" s="3">
        <v>0</v>
      </c>
      <c r="AG531" s="3">
        <v>22.578802</v>
      </c>
      <c r="AH531" s="3">
        <v>0</v>
      </c>
      <c r="AI531" s="3">
        <v>0.152682</v>
      </c>
      <c r="AJ531" s="3" t="s">
        <v>548</v>
      </c>
    </row>
    <row r="532" spans="1:36">
      <c r="A532" s="4">
        <v>43336</v>
      </c>
      <c r="B532" s="3" t="s">
        <v>2138</v>
      </c>
      <c r="C532" s="3" t="s">
        <v>2139</v>
      </c>
      <c r="D532" s="3" t="s">
        <v>2140</v>
      </c>
      <c r="E532" s="3" t="s">
        <v>2141</v>
      </c>
      <c r="F532" s="3" t="s">
        <v>538</v>
      </c>
      <c r="G532" s="3">
        <v>1</v>
      </c>
      <c r="H532" s="3">
        <v>0</v>
      </c>
      <c r="I532" s="3">
        <v>1</v>
      </c>
      <c r="J532" s="3">
        <v>0</v>
      </c>
      <c r="K532" s="3">
        <v>0</v>
      </c>
      <c r="L532" s="3">
        <v>0</v>
      </c>
      <c r="M532" s="3">
        <v>0</v>
      </c>
      <c r="N532" s="3" t="s">
        <v>539</v>
      </c>
      <c r="O532" s="3">
        <v>0</v>
      </c>
      <c r="P532" s="3">
        <v>0</v>
      </c>
      <c r="Q532" s="3">
        <v>0</v>
      </c>
      <c r="R532" s="3">
        <v>0</v>
      </c>
      <c r="S532" s="3">
        <v>0</v>
      </c>
      <c r="T532" s="3">
        <v>0</v>
      </c>
      <c r="U532" s="3">
        <v>0</v>
      </c>
      <c r="V532" s="3">
        <v>0</v>
      </c>
      <c r="W532" s="3" t="s">
        <v>553</v>
      </c>
      <c r="X532" s="3">
        <v>9.9</v>
      </c>
      <c r="Y532" s="3">
        <v>9.9</v>
      </c>
      <c r="Z532" s="3">
        <v>9.9</v>
      </c>
      <c r="AA532" s="3">
        <v>0</v>
      </c>
      <c r="AB532" s="3" t="s">
        <v>562</v>
      </c>
      <c r="AC532" s="3">
        <v>0</v>
      </c>
      <c r="AD532" s="3">
        <v>7.92</v>
      </c>
      <c r="AE532" s="3">
        <v>63</v>
      </c>
      <c r="AF532" s="3">
        <v>0</v>
      </c>
      <c r="AG532" s="3">
        <v>6.228309</v>
      </c>
      <c r="AH532" s="3">
        <v>0</v>
      </c>
      <c r="AI532" s="3">
        <v>0.045185</v>
      </c>
      <c r="AJ532" s="3" t="s">
        <v>548</v>
      </c>
    </row>
    <row r="533" spans="1:36">
      <c r="A533" s="4">
        <v>43336</v>
      </c>
      <c r="B533" s="3" t="s">
        <v>2142</v>
      </c>
      <c r="C533" s="3" t="s">
        <v>2143</v>
      </c>
      <c r="D533" s="3" t="s">
        <v>2144</v>
      </c>
      <c r="E533" s="3" t="s">
        <v>2145</v>
      </c>
      <c r="F533" s="3" t="s">
        <v>538</v>
      </c>
      <c r="G533" s="3">
        <v>18</v>
      </c>
      <c r="H533" s="3">
        <v>0</v>
      </c>
      <c r="I533" s="3">
        <v>18</v>
      </c>
      <c r="J533" s="3">
        <v>0</v>
      </c>
      <c r="K533" s="3">
        <v>0</v>
      </c>
      <c r="L533" s="3">
        <v>0</v>
      </c>
      <c r="M533" s="3">
        <v>0</v>
      </c>
      <c r="N533" s="3" t="s">
        <v>539</v>
      </c>
      <c r="O533" s="3">
        <v>0</v>
      </c>
      <c r="P533" s="3">
        <v>0</v>
      </c>
      <c r="Q533" s="3">
        <v>0</v>
      </c>
      <c r="R533" s="3">
        <v>0</v>
      </c>
      <c r="S533" s="3">
        <v>1</v>
      </c>
      <c r="T533" s="3">
        <v>2</v>
      </c>
      <c r="U533" s="3">
        <v>6</v>
      </c>
      <c r="V533" s="3">
        <v>6</v>
      </c>
      <c r="W533" s="3"/>
      <c r="X533" s="3">
        <v>10.9</v>
      </c>
      <c r="Y533" s="3">
        <v>10.9</v>
      </c>
      <c r="Z533" s="3">
        <v>10.9</v>
      </c>
      <c r="AA533" s="3">
        <v>0</v>
      </c>
      <c r="AB533" s="3" t="s">
        <v>562</v>
      </c>
      <c r="AC533" s="3">
        <v>0</v>
      </c>
      <c r="AD533" s="3">
        <v>5.99</v>
      </c>
      <c r="AE533" s="3">
        <v>126</v>
      </c>
      <c r="AF533" s="3">
        <v>0</v>
      </c>
      <c r="AG533" s="3">
        <v>88.314919</v>
      </c>
      <c r="AH533" s="3">
        <v>1.09090909090909</v>
      </c>
      <c r="AI533" s="3">
        <v>0.719063999999999</v>
      </c>
      <c r="AJ533" s="3" t="s">
        <v>548</v>
      </c>
    </row>
    <row r="534" spans="1:36">
      <c r="A534" s="4">
        <v>43336</v>
      </c>
      <c r="B534" s="3" t="s">
        <v>404</v>
      </c>
      <c r="C534" s="3" t="s">
        <v>405</v>
      </c>
      <c r="D534" s="3" t="s">
        <v>406</v>
      </c>
      <c r="E534" s="3" t="s">
        <v>407</v>
      </c>
      <c r="F534" s="3" t="s">
        <v>538</v>
      </c>
      <c r="G534" s="3">
        <v>91</v>
      </c>
      <c r="H534" s="3">
        <v>0</v>
      </c>
      <c r="I534" s="3">
        <v>91</v>
      </c>
      <c r="J534" s="3">
        <v>0</v>
      </c>
      <c r="K534" s="3">
        <v>0</v>
      </c>
      <c r="L534" s="3">
        <v>0</v>
      </c>
      <c r="M534" s="3">
        <v>0</v>
      </c>
      <c r="N534" s="3" t="s">
        <v>539</v>
      </c>
      <c r="O534" s="3">
        <v>0</v>
      </c>
      <c r="P534" s="3">
        <v>0</v>
      </c>
      <c r="Q534" s="3">
        <v>0</v>
      </c>
      <c r="R534" s="3">
        <v>0</v>
      </c>
      <c r="S534" s="3">
        <v>20</v>
      </c>
      <c r="T534" s="3">
        <v>65</v>
      </c>
      <c r="U534" s="3">
        <v>108</v>
      </c>
      <c r="V534" s="3">
        <v>162</v>
      </c>
      <c r="W534" s="3" t="s">
        <v>553</v>
      </c>
      <c r="X534" s="3">
        <v>49.99</v>
      </c>
      <c r="Y534" s="3">
        <v>22.9</v>
      </c>
      <c r="Z534" s="3">
        <v>22.9</v>
      </c>
      <c r="AA534" s="3">
        <v>0</v>
      </c>
      <c r="AB534" s="3" t="s">
        <v>547</v>
      </c>
      <c r="AC534" s="3">
        <v>93</v>
      </c>
      <c r="AD534" s="3">
        <v>22.9</v>
      </c>
      <c r="AE534" s="3">
        <v>0</v>
      </c>
      <c r="AF534" s="3">
        <v>0</v>
      </c>
      <c r="AG534" s="3">
        <v>0</v>
      </c>
      <c r="AH534" s="3">
        <v>1.78021978021978</v>
      </c>
      <c r="AI534" s="3">
        <v>8.088899</v>
      </c>
      <c r="AJ534" s="3" t="s">
        <v>548</v>
      </c>
    </row>
    <row r="535" spans="1:36">
      <c r="A535" s="4">
        <v>43336</v>
      </c>
      <c r="B535" s="3" t="s">
        <v>388</v>
      </c>
      <c r="C535" s="3" t="s">
        <v>389</v>
      </c>
      <c r="D535" s="3" t="s">
        <v>390</v>
      </c>
      <c r="E535" s="3" t="s">
        <v>391</v>
      </c>
      <c r="F535" s="3" t="s">
        <v>538</v>
      </c>
      <c r="G535" s="3">
        <v>86</v>
      </c>
      <c r="H535" s="3">
        <v>0</v>
      </c>
      <c r="I535" s="3">
        <v>86</v>
      </c>
      <c r="J535" s="3">
        <v>0</v>
      </c>
      <c r="K535" s="3">
        <v>0</v>
      </c>
      <c r="L535" s="3">
        <v>0</v>
      </c>
      <c r="M535" s="3">
        <v>0</v>
      </c>
      <c r="N535" s="3" t="s">
        <v>539</v>
      </c>
      <c r="O535" s="3">
        <v>0</v>
      </c>
      <c r="P535" s="3">
        <v>0</v>
      </c>
      <c r="Q535" s="3">
        <v>0</v>
      </c>
      <c r="R535" s="3">
        <v>0</v>
      </c>
      <c r="S535" s="3">
        <v>7</v>
      </c>
      <c r="T535" s="3">
        <v>115</v>
      </c>
      <c r="U535" s="3">
        <v>150</v>
      </c>
      <c r="V535" s="3">
        <v>150</v>
      </c>
      <c r="W535" s="3" t="s">
        <v>553</v>
      </c>
      <c r="X535" s="3">
        <v>22.99</v>
      </c>
      <c r="Y535" s="3">
        <v>22.99</v>
      </c>
      <c r="Z535" s="3">
        <v>22.99</v>
      </c>
      <c r="AA535" s="3">
        <v>0</v>
      </c>
      <c r="AB535" s="3" t="s">
        <v>547</v>
      </c>
      <c r="AC535" s="3">
        <v>0</v>
      </c>
      <c r="AD535" s="3">
        <v>0</v>
      </c>
      <c r="AE535" s="3">
        <v>0</v>
      </c>
      <c r="AF535" s="3">
        <v>0</v>
      </c>
      <c r="AG535" s="3">
        <v>0</v>
      </c>
      <c r="AH535" s="3">
        <v>2.52100840336134</v>
      </c>
      <c r="AI535" s="3">
        <v>5.515008</v>
      </c>
      <c r="AJ535" s="3" t="s">
        <v>596</v>
      </c>
    </row>
    <row r="536" spans="1:36">
      <c r="A536" s="4">
        <v>43336</v>
      </c>
      <c r="B536" s="3" t="s">
        <v>2146</v>
      </c>
      <c r="C536" s="3" t="s">
        <v>2147</v>
      </c>
      <c r="D536" s="3" t="s">
        <v>2148</v>
      </c>
      <c r="E536" s="3" t="s">
        <v>2149</v>
      </c>
      <c r="F536" s="3" t="s">
        <v>538</v>
      </c>
      <c r="G536" s="3">
        <v>9</v>
      </c>
      <c r="H536" s="3">
        <v>0</v>
      </c>
      <c r="I536" s="3">
        <v>0</v>
      </c>
      <c r="J536" s="3">
        <v>0</v>
      </c>
      <c r="K536" s="3">
        <v>0</v>
      </c>
      <c r="L536" s="3">
        <v>8</v>
      </c>
      <c r="M536" s="3">
        <v>1</v>
      </c>
      <c r="N536" s="3" t="s">
        <v>539</v>
      </c>
      <c r="O536" s="3">
        <v>8</v>
      </c>
      <c r="P536" s="3">
        <v>0</v>
      </c>
      <c r="Q536" s="3">
        <v>1</v>
      </c>
      <c r="R536" s="3">
        <v>0.5</v>
      </c>
      <c r="S536" s="3">
        <v>0</v>
      </c>
      <c r="T536" s="3">
        <v>0</v>
      </c>
      <c r="U536" s="3">
        <v>0</v>
      </c>
      <c r="V536" s="3">
        <v>0</v>
      </c>
      <c r="W536" s="3" t="s">
        <v>553</v>
      </c>
      <c r="X536" s="3">
        <v>9.9</v>
      </c>
      <c r="Y536" s="3">
        <v>9.9</v>
      </c>
      <c r="Z536" s="3">
        <v>9.9</v>
      </c>
      <c r="AA536" s="3">
        <v>0</v>
      </c>
      <c r="AB536" s="3" t="s">
        <v>562</v>
      </c>
      <c r="AC536" s="3">
        <v>0</v>
      </c>
      <c r="AD536" s="3">
        <v>6.25</v>
      </c>
      <c r="AE536" s="3">
        <v>364</v>
      </c>
      <c r="AF536" s="3">
        <v>0</v>
      </c>
      <c r="AG536" s="3">
        <v>15.450157</v>
      </c>
      <c r="AH536" s="3">
        <v>0</v>
      </c>
      <c r="AI536" s="5">
        <v>0.000522</v>
      </c>
      <c r="AJ536" s="3" t="s">
        <v>548</v>
      </c>
    </row>
    <row r="537" spans="1:36">
      <c r="A537" s="4">
        <v>43336</v>
      </c>
      <c r="B537" s="3" t="s">
        <v>2150</v>
      </c>
      <c r="C537" s="3" t="s">
        <v>2151</v>
      </c>
      <c r="D537" s="3" t="s">
        <v>2152</v>
      </c>
      <c r="E537" s="3" t="s">
        <v>552</v>
      </c>
      <c r="F537" s="3" t="s">
        <v>538</v>
      </c>
      <c r="G537" s="3">
        <v>3</v>
      </c>
      <c r="H537" s="3">
        <v>0</v>
      </c>
      <c r="I537" s="3">
        <v>3</v>
      </c>
      <c r="J537" s="3">
        <v>0</v>
      </c>
      <c r="K537" s="3">
        <v>0</v>
      </c>
      <c r="L537" s="3">
        <v>0</v>
      </c>
      <c r="M537" s="3">
        <v>0</v>
      </c>
      <c r="N537" s="3" t="s">
        <v>539</v>
      </c>
      <c r="O537" s="3">
        <v>0</v>
      </c>
      <c r="P537" s="3">
        <v>0</v>
      </c>
      <c r="Q537" s="3">
        <v>0</v>
      </c>
      <c r="R537" s="3">
        <v>0</v>
      </c>
      <c r="S537" s="3">
        <v>0</v>
      </c>
      <c r="T537" s="3">
        <v>0</v>
      </c>
      <c r="U537" s="3">
        <v>0</v>
      </c>
      <c r="V537" s="3">
        <v>0</v>
      </c>
      <c r="W537" s="3" t="s">
        <v>553</v>
      </c>
      <c r="X537" s="3">
        <v>32.9</v>
      </c>
      <c r="Y537" s="3">
        <v>32.9</v>
      </c>
      <c r="Z537" s="3">
        <v>32.9</v>
      </c>
      <c r="AA537" s="3">
        <v>0</v>
      </c>
      <c r="AB537" s="3" t="s">
        <v>547</v>
      </c>
      <c r="AC537" s="3">
        <v>3</v>
      </c>
      <c r="AD537" s="3">
        <v>32.9</v>
      </c>
      <c r="AE537" s="3">
        <v>0</v>
      </c>
      <c r="AF537" s="3">
        <v>0</v>
      </c>
      <c r="AG537" s="3">
        <v>0</v>
      </c>
      <c r="AH537" s="3">
        <v>0</v>
      </c>
      <c r="AI537" s="3">
        <v>0.556092</v>
      </c>
      <c r="AJ537" s="3" t="s">
        <v>548</v>
      </c>
    </row>
    <row r="538" spans="1:36">
      <c r="A538" s="4">
        <v>43336</v>
      </c>
      <c r="B538" s="3" t="s">
        <v>182</v>
      </c>
      <c r="C538" s="3" t="s">
        <v>183</v>
      </c>
      <c r="D538" s="3" t="s">
        <v>184</v>
      </c>
      <c r="E538" s="3" t="s">
        <v>185</v>
      </c>
      <c r="F538" s="3" t="s">
        <v>538</v>
      </c>
      <c r="G538" s="3">
        <v>373</v>
      </c>
      <c r="H538" s="3">
        <v>0</v>
      </c>
      <c r="I538" s="3">
        <v>373</v>
      </c>
      <c r="J538" s="3">
        <v>0</v>
      </c>
      <c r="K538" s="3">
        <v>0</v>
      </c>
      <c r="L538" s="3">
        <v>0</v>
      </c>
      <c r="M538" s="3">
        <v>0</v>
      </c>
      <c r="N538" s="3" t="s">
        <v>539</v>
      </c>
      <c r="O538" s="3">
        <v>0</v>
      </c>
      <c r="P538" s="3">
        <v>0</v>
      </c>
      <c r="Q538" s="3">
        <v>0</v>
      </c>
      <c r="R538" s="3">
        <v>0</v>
      </c>
      <c r="S538" s="3">
        <v>81</v>
      </c>
      <c r="T538" s="3">
        <v>504</v>
      </c>
      <c r="U538" s="3">
        <v>813</v>
      </c>
      <c r="V538" s="3">
        <v>1219</v>
      </c>
      <c r="W538" s="3"/>
      <c r="X538" s="3">
        <v>22.99</v>
      </c>
      <c r="Y538" s="3">
        <v>22.99</v>
      </c>
      <c r="Z538" s="3">
        <v>22.99</v>
      </c>
      <c r="AA538" s="3">
        <v>0</v>
      </c>
      <c r="AB538" s="3" t="s">
        <v>547</v>
      </c>
      <c r="AC538" s="3">
        <v>408</v>
      </c>
      <c r="AD538" s="3">
        <v>22.99</v>
      </c>
      <c r="AE538" s="3">
        <v>0</v>
      </c>
      <c r="AF538" s="3">
        <v>0</v>
      </c>
      <c r="AG538" s="3">
        <v>0</v>
      </c>
      <c r="AH538" s="3">
        <v>7.43292682926829</v>
      </c>
      <c r="AI538" s="3">
        <v>15.753282</v>
      </c>
      <c r="AJ538" s="3" t="s">
        <v>596</v>
      </c>
    </row>
    <row r="539" spans="1:36">
      <c r="A539" s="4">
        <v>43336</v>
      </c>
      <c r="B539" s="3" t="s">
        <v>2153</v>
      </c>
      <c r="C539" s="3" t="s">
        <v>2154</v>
      </c>
      <c r="D539" s="3" t="s">
        <v>2155</v>
      </c>
      <c r="E539" s="3" t="s">
        <v>2156</v>
      </c>
      <c r="F539" s="3" t="s">
        <v>538</v>
      </c>
      <c r="G539" s="3">
        <v>2</v>
      </c>
      <c r="H539" s="3">
        <v>0</v>
      </c>
      <c r="I539" s="3">
        <v>0</v>
      </c>
      <c r="J539" s="3">
        <v>1</v>
      </c>
      <c r="K539" s="3">
        <v>1</v>
      </c>
      <c r="L539" s="3">
        <v>0</v>
      </c>
      <c r="M539" s="3">
        <v>0</v>
      </c>
      <c r="N539" s="3" t="s">
        <v>539</v>
      </c>
      <c r="O539" s="3">
        <v>2</v>
      </c>
      <c r="P539" s="3">
        <v>0.56</v>
      </c>
      <c r="Q539" s="3">
        <v>0</v>
      </c>
      <c r="R539" s="3">
        <v>0</v>
      </c>
      <c r="S539" s="3">
        <v>2</v>
      </c>
      <c r="T539" s="3">
        <v>3</v>
      </c>
      <c r="U539" s="3">
        <v>4</v>
      </c>
      <c r="V539" s="3">
        <v>4</v>
      </c>
      <c r="W539" s="3"/>
      <c r="X539" s="3">
        <v>11.99</v>
      </c>
      <c r="Y539" s="3">
        <v>11.99</v>
      </c>
      <c r="Z539" s="3">
        <v>11.99</v>
      </c>
      <c r="AA539" s="3">
        <v>0</v>
      </c>
      <c r="AB539" s="3" t="s">
        <v>547</v>
      </c>
      <c r="AC539" s="3">
        <v>3</v>
      </c>
      <c r="AD539" s="3">
        <v>11.99</v>
      </c>
      <c r="AE539" s="3">
        <v>0</v>
      </c>
      <c r="AF539" s="3">
        <v>0</v>
      </c>
      <c r="AG539" s="3">
        <v>0</v>
      </c>
      <c r="AH539" s="3">
        <v>0.842105263157894</v>
      </c>
      <c r="AI539" s="3">
        <v>0.159664</v>
      </c>
      <c r="AJ539" s="3" t="s">
        <v>548</v>
      </c>
    </row>
    <row r="540" spans="1:36">
      <c r="A540" s="4">
        <v>43336</v>
      </c>
      <c r="B540" s="3" t="s">
        <v>2157</v>
      </c>
      <c r="C540" s="3" t="s">
        <v>2158</v>
      </c>
      <c r="D540" s="3" t="s">
        <v>2159</v>
      </c>
      <c r="E540" s="3" t="s">
        <v>1401</v>
      </c>
      <c r="F540" s="3" t="s">
        <v>538</v>
      </c>
      <c r="G540" s="3">
        <v>3</v>
      </c>
      <c r="H540" s="3">
        <v>0</v>
      </c>
      <c r="I540" s="3">
        <v>0</v>
      </c>
      <c r="J540" s="3">
        <v>3</v>
      </c>
      <c r="K540" s="3">
        <v>0</v>
      </c>
      <c r="L540" s="3">
        <v>0</v>
      </c>
      <c r="M540" s="3">
        <v>0</v>
      </c>
      <c r="N540" s="3" t="s">
        <v>539</v>
      </c>
      <c r="O540" s="3">
        <v>0</v>
      </c>
      <c r="P540" s="3">
        <v>0</v>
      </c>
      <c r="Q540" s="3">
        <v>0</v>
      </c>
      <c r="R540" s="3">
        <v>0</v>
      </c>
      <c r="S540" s="3">
        <v>0</v>
      </c>
      <c r="T540" s="3">
        <v>0</v>
      </c>
      <c r="U540" s="3">
        <v>0</v>
      </c>
      <c r="V540" s="3">
        <v>0</v>
      </c>
      <c r="W540" s="3" t="s">
        <v>540</v>
      </c>
      <c r="X540" s="3">
        <v>7.99</v>
      </c>
      <c r="Y540" s="3">
        <v>7.99</v>
      </c>
      <c r="Z540" s="3">
        <v>7.99</v>
      </c>
      <c r="AA540" s="3">
        <v>0</v>
      </c>
      <c r="AB540" s="3" t="s">
        <v>541</v>
      </c>
      <c r="AC540" s="3">
        <v>3</v>
      </c>
      <c r="AD540" s="3">
        <v>7.99</v>
      </c>
      <c r="AE540" s="3">
        <v>0</v>
      </c>
      <c r="AF540" s="3">
        <v>0</v>
      </c>
      <c r="AG540" s="3">
        <v>0</v>
      </c>
      <c r="AH540" s="3">
        <v>0</v>
      </c>
      <c r="AI540" s="3">
        <v>0.164885999999999</v>
      </c>
      <c r="AJ540" s="3" t="s">
        <v>548</v>
      </c>
    </row>
    <row r="541" spans="1:36">
      <c r="A541" s="4">
        <v>43336</v>
      </c>
      <c r="B541" s="3" t="s">
        <v>280</v>
      </c>
      <c r="C541" s="3" t="s">
        <v>281</v>
      </c>
      <c r="D541" s="3" t="s">
        <v>282</v>
      </c>
      <c r="E541" s="3" t="s">
        <v>283</v>
      </c>
      <c r="F541" s="3" t="s">
        <v>538</v>
      </c>
      <c r="G541" s="3">
        <v>15</v>
      </c>
      <c r="H541" s="3">
        <v>0</v>
      </c>
      <c r="I541" s="3">
        <v>13</v>
      </c>
      <c r="J541" s="3">
        <v>0</v>
      </c>
      <c r="K541" s="3">
        <v>2</v>
      </c>
      <c r="L541" s="3">
        <v>0</v>
      </c>
      <c r="M541" s="3">
        <v>0</v>
      </c>
      <c r="N541" s="3" t="s">
        <v>539</v>
      </c>
      <c r="O541" s="3">
        <v>2</v>
      </c>
      <c r="P541" s="3">
        <v>0.5</v>
      </c>
      <c r="Q541" s="3">
        <v>0</v>
      </c>
      <c r="R541" s="3">
        <v>0</v>
      </c>
      <c r="S541" s="3">
        <v>1</v>
      </c>
      <c r="T541" s="3">
        <v>3</v>
      </c>
      <c r="U541" s="3">
        <v>6</v>
      </c>
      <c r="V541" s="3">
        <v>9</v>
      </c>
      <c r="W541" s="3" t="s">
        <v>553</v>
      </c>
      <c r="X541" s="3">
        <v>55.5</v>
      </c>
      <c r="Y541" s="3">
        <v>25.9</v>
      </c>
      <c r="Z541" s="3">
        <v>25.9</v>
      </c>
      <c r="AA541" s="3">
        <v>0</v>
      </c>
      <c r="AB541" s="3" t="s">
        <v>562</v>
      </c>
      <c r="AC541" s="3">
        <v>0</v>
      </c>
      <c r="AD541" s="3">
        <v>14.97</v>
      </c>
      <c r="AE541" s="3">
        <v>7</v>
      </c>
      <c r="AF541" s="3">
        <v>6</v>
      </c>
      <c r="AG541" s="3">
        <v>56.187731</v>
      </c>
      <c r="AH541" s="3">
        <v>1</v>
      </c>
      <c r="AI541" s="3">
        <v>1.093755</v>
      </c>
      <c r="AJ541" s="3" t="s">
        <v>548</v>
      </c>
    </row>
    <row r="542" spans="1:36">
      <c r="A542" s="4">
        <v>43336</v>
      </c>
      <c r="B542" s="3" t="s">
        <v>2160</v>
      </c>
      <c r="C542" s="3" t="s">
        <v>2161</v>
      </c>
      <c r="D542" s="3" t="s">
        <v>2162</v>
      </c>
      <c r="E542" s="3" t="s">
        <v>1589</v>
      </c>
      <c r="F542" s="3" t="s">
        <v>538</v>
      </c>
      <c r="G542" s="3">
        <v>14</v>
      </c>
      <c r="H542" s="3">
        <v>0</v>
      </c>
      <c r="I542" s="3">
        <v>14</v>
      </c>
      <c r="J542" s="3">
        <v>0</v>
      </c>
      <c r="K542" s="3">
        <v>0</v>
      </c>
      <c r="L542" s="3">
        <v>0</v>
      </c>
      <c r="M542" s="3">
        <v>0</v>
      </c>
      <c r="N542" s="3" t="s">
        <v>539</v>
      </c>
      <c r="O542" s="3">
        <v>0</v>
      </c>
      <c r="P542" s="3">
        <v>0</v>
      </c>
      <c r="Q542" s="3">
        <v>0</v>
      </c>
      <c r="R542" s="3">
        <v>0</v>
      </c>
      <c r="S542" s="3">
        <v>0</v>
      </c>
      <c r="T542" s="3">
        <v>0</v>
      </c>
      <c r="U542" s="3">
        <v>0</v>
      </c>
      <c r="V542" s="3">
        <v>0</v>
      </c>
      <c r="W542" s="3" t="s">
        <v>553</v>
      </c>
      <c r="X542" s="3">
        <v>22.99</v>
      </c>
      <c r="Y542" s="3">
        <v>22.99</v>
      </c>
      <c r="Z542" s="3">
        <v>22.99</v>
      </c>
      <c r="AA542" s="3">
        <v>0</v>
      </c>
      <c r="AB542" s="3" t="s">
        <v>547</v>
      </c>
      <c r="AC542" s="3">
        <v>0</v>
      </c>
      <c r="AD542" s="3">
        <v>0</v>
      </c>
      <c r="AE542" s="3">
        <v>0</v>
      </c>
      <c r="AF542" s="3">
        <v>0</v>
      </c>
      <c r="AG542" s="3">
        <v>0</v>
      </c>
      <c r="AH542" s="3">
        <v>0</v>
      </c>
      <c r="AI542" s="3">
        <v>0.897792</v>
      </c>
      <c r="AJ542" s="3" t="s">
        <v>596</v>
      </c>
    </row>
    <row r="543" spans="1:36">
      <c r="A543" s="4">
        <v>43336</v>
      </c>
      <c r="B543" s="3" t="s">
        <v>2163</v>
      </c>
      <c r="C543" s="3" t="s">
        <v>2164</v>
      </c>
      <c r="D543" s="3" t="s">
        <v>2165</v>
      </c>
      <c r="E543" s="3" t="s">
        <v>570</v>
      </c>
      <c r="F543" s="3" t="s">
        <v>538</v>
      </c>
      <c r="G543" s="3">
        <v>1</v>
      </c>
      <c r="H543" s="3">
        <v>0</v>
      </c>
      <c r="I543" s="3">
        <v>1</v>
      </c>
      <c r="J543" s="3">
        <v>0</v>
      </c>
      <c r="K543" s="3">
        <v>0</v>
      </c>
      <c r="L543" s="3">
        <v>0</v>
      </c>
      <c r="M543" s="3">
        <v>0</v>
      </c>
      <c r="N543" s="3" t="s">
        <v>539</v>
      </c>
      <c r="O543" s="3">
        <v>0</v>
      </c>
      <c r="P543" s="3">
        <v>0</v>
      </c>
      <c r="Q543" s="3">
        <v>0</v>
      </c>
      <c r="R543" s="3">
        <v>0</v>
      </c>
      <c r="S543" s="3">
        <v>2</v>
      </c>
      <c r="T543" s="3">
        <v>5</v>
      </c>
      <c r="U543" s="3">
        <v>5</v>
      </c>
      <c r="V543" s="3">
        <v>5</v>
      </c>
      <c r="W543" s="3"/>
      <c r="X543" s="3">
        <v>9</v>
      </c>
      <c r="Y543" s="3">
        <v>9</v>
      </c>
      <c r="Z543" s="3">
        <v>9</v>
      </c>
      <c r="AA543" s="3">
        <v>0</v>
      </c>
      <c r="AB543" s="3" t="s">
        <v>547</v>
      </c>
      <c r="AC543" s="3">
        <v>1</v>
      </c>
      <c r="AD543" s="3">
        <v>9</v>
      </c>
      <c r="AE543" s="3">
        <v>0</v>
      </c>
      <c r="AF543" s="3">
        <v>0</v>
      </c>
      <c r="AG543" s="3">
        <v>0</v>
      </c>
      <c r="AH543" s="3">
        <v>1.5</v>
      </c>
      <c r="AI543" s="3">
        <v>0.027041</v>
      </c>
      <c r="AJ543" s="3" t="s">
        <v>542</v>
      </c>
    </row>
    <row r="544" spans="1:36">
      <c r="A544" s="4">
        <v>43336</v>
      </c>
      <c r="B544" s="3" t="s">
        <v>2166</v>
      </c>
      <c r="C544" s="3" t="s">
        <v>2167</v>
      </c>
      <c r="D544" s="3" t="s">
        <v>2168</v>
      </c>
      <c r="E544" s="3" t="s">
        <v>2169</v>
      </c>
      <c r="F544" s="3" t="s">
        <v>538</v>
      </c>
      <c r="G544" s="3">
        <v>4</v>
      </c>
      <c r="H544" s="3">
        <v>0</v>
      </c>
      <c r="I544" s="3">
        <v>2</v>
      </c>
      <c r="J544" s="3">
        <v>0</v>
      </c>
      <c r="K544" s="3">
        <v>2</v>
      </c>
      <c r="L544" s="3">
        <v>0</v>
      </c>
      <c r="M544" s="3">
        <v>0</v>
      </c>
      <c r="N544" s="3" t="s">
        <v>539</v>
      </c>
      <c r="O544" s="3">
        <v>2</v>
      </c>
      <c r="P544" s="3">
        <v>0.24</v>
      </c>
      <c r="Q544" s="3">
        <v>0</v>
      </c>
      <c r="R544" s="3">
        <v>0</v>
      </c>
      <c r="S544" s="3">
        <v>0</v>
      </c>
      <c r="T544" s="3">
        <v>0</v>
      </c>
      <c r="U544" s="3">
        <v>0</v>
      </c>
      <c r="V544" s="3">
        <v>0</v>
      </c>
      <c r="W544" s="3" t="s">
        <v>540</v>
      </c>
      <c r="X544" s="3">
        <v>14.9</v>
      </c>
      <c r="Y544" s="3">
        <v>14.9</v>
      </c>
      <c r="Z544" s="3">
        <v>14.9</v>
      </c>
      <c r="AA544" s="3">
        <v>0</v>
      </c>
      <c r="AB544" s="3" t="s">
        <v>541</v>
      </c>
      <c r="AC544" s="3">
        <v>0</v>
      </c>
      <c r="AD544" s="3">
        <v>13.33</v>
      </c>
      <c r="AE544" s="3">
        <v>245</v>
      </c>
      <c r="AF544" s="3">
        <v>0</v>
      </c>
      <c r="AG544" s="3">
        <v>41.100365</v>
      </c>
      <c r="AH544" s="3">
        <v>0</v>
      </c>
      <c r="AI544" s="3">
        <v>0.144044</v>
      </c>
      <c r="AJ544" s="3" t="s">
        <v>596</v>
      </c>
    </row>
    <row r="545" spans="1:36">
      <c r="A545" s="4">
        <v>43336</v>
      </c>
      <c r="B545" s="3" t="s">
        <v>2170</v>
      </c>
      <c r="C545" s="3" t="s">
        <v>2171</v>
      </c>
      <c r="D545" s="3" t="s">
        <v>2172</v>
      </c>
      <c r="E545" s="3" t="s">
        <v>552</v>
      </c>
      <c r="F545" s="3" t="s">
        <v>538</v>
      </c>
      <c r="G545" s="3">
        <v>5</v>
      </c>
      <c r="H545" s="3">
        <v>0</v>
      </c>
      <c r="I545" s="3">
        <v>0</v>
      </c>
      <c r="J545" s="3">
        <v>0</v>
      </c>
      <c r="K545" s="3">
        <v>0</v>
      </c>
      <c r="L545" s="3">
        <v>5</v>
      </c>
      <c r="M545" s="3">
        <v>0</v>
      </c>
      <c r="N545" s="3" t="s">
        <v>539</v>
      </c>
      <c r="O545" s="3">
        <v>5</v>
      </c>
      <c r="P545" s="3">
        <v>0</v>
      </c>
      <c r="Q545" s="3">
        <v>0</v>
      </c>
      <c r="R545" s="3">
        <v>0</v>
      </c>
      <c r="S545" s="3">
        <v>0</v>
      </c>
      <c r="T545" s="3">
        <v>0</v>
      </c>
      <c r="U545" s="3">
        <v>0</v>
      </c>
      <c r="V545" s="3">
        <v>0</v>
      </c>
      <c r="W545" s="3" t="s">
        <v>553</v>
      </c>
      <c r="X545" s="3">
        <v>26.9</v>
      </c>
      <c r="Y545" s="3">
        <v>26.9</v>
      </c>
      <c r="Z545" s="3">
        <v>26.9</v>
      </c>
      <c r="AA545" s="3">
        <v>0</v>
      </c>
      <c r="AB545" s="3" t="s">
        <v>562</v>
      </c>
      <c r="AC545" s="3">
        <v>0</v>
      </c>
      <c r="AD545" s="3">
        <v>21.52</v>
      </c>
      <c r="AE545" s="3">
        <v>63</v>
      </c>
      <c r="AF545" s="3">
        <v>0</v>
      </c>
      <c r="AG545" s="3">
        <v>7.78542</v>
      </c>
      <c r="AH545" s="3">
        <v>0</v>
      </c>
      <c r="AI545" s="5">
        <v>4.99999999999999e-6</v>
      </c>
      <c r="AJ545" s="3" t="s">
        <v>548</v>
      </c>
    </row>
    <row r="546" spans="1:36">
      <c r="A546" s="4">
        <v>43336</v>
      </c>
      <c r="B546" s="3" t="s">
        <v>2173</v>
      </c>
      <c r="C546" s="3" t="s">
        <v>2174</v>
      </c>
      <c r="D546" s="3" t="s">
        <v>2175</v>
      </c>
      <c r="E546" s="3" t="s">
        <v>570</v>
      </c>
      <c r="F546" s="3" t="s">
        <v>538</v>
      </c>
      <c r="G546" s="3">
        <v>13</v>
      </c>
      <c r="H546" s="3">
        <v>0</v>
      </c>
      <c r="I546" s="3">
        <v>13</v>
      </c>
      <c r="J546" s="3">
        <v>0</v>
      </c>
      <c r="K546" s="3">
        <v>0</v>
      </c>
      <c r="L546" s="3">
        <v>0</v>
      </c>
      <c r="M546" s="3">
        <v>0</v>
      </c>
      <c r="N546" s="3" t="s">
        <v>539</v>
      </c>
      <c r="O546" s="3">
        <v>0</v>
      </c>
      <c r="P546" s="3">
        <v>0</v>
      </c>
      <c r="Q546" s="3">
        <v>0</v>
      </c>
      <c r="R546" s="3">
        <v>0</v>
      </c>
      <c r="S546" s="3">
        <v>0</v>
      </c>
      <c r="T546" s="3">
        <v>2</v>
      </c>
      <c r="U546" s="3">
        <v>3</v>
      </c>
      <c r="V546" s="3">
        <v>3</v>
      </c>
      <c r="W546" s="3"/>
      <c r="X546" s="3">
        <v>9</v>
      </c>
      <c r="Y546" s="3">
        <v>9</v>
      </c>
      <c r="Z546" s="3">
        <v>9</v>
      </c>
      <c r="AA546" s="3">
        <v>0</v>
      </c>
      <c r="AB546" s="3" t="s">
        <v>547</v>
      </c>
      <c r="AC546" s="3">
        <v>13</v>
      </c>
      <c r="AD546" s="3">
        <v>9</v>
      </c>
      <c r="AE546" s="3">
        <v>0</v>
      </c>
      <c r="AF546" s="3">
        <v>0</v>
      </c>
      <c r="AG546" s="3">
        <v>0</v>
      </c>
      <c r="AH546" s="3">
        <v>0.428571428571428</v>
      </c>
      <c r="AI546" s="3">
        <v>0.358201999999999</v>
      </c>
      <c r="AJ546" s="3" t="s">
        <v>542</v>
      </c>
    </row>
    <row r="547" spans="1:36">
      <c r="A547" s="4">
        <v>43336</v>
      </c>
      <c r="B547" s="3" t="s">
        <v>91</v>
      </c>
      <c r="C547" s="3" t="s">
        <v>92</v>
      </c>
      <c r="D547" s="3" t="s">
        <v>93</v>
      </c>
      <c r="E547" s="3" t="s">
        <v>94</v>
      </c>
      <c r="F547" s="3" t="s">
        <v>538</v>
      </c>
      <c r="G547" s="3">
        <v>21</v>
      </c>
      <c r="H547" s="3">
        <v>0</v>
      </c>
      <c r="I547" s="3">
        <v>21</v>
      </c>
      <c r="J547" s="3">
        <v>0</v>
      </c>
      <c r="K547" s="3">
        <v>0</v>
      </c>
      <c r="L547" s="3">
        <v>0</v>
      </c>
      <c r="M547" s="3">
        <v>0</v>
      </c>
      <c r="N547" s="3" t="s">
        <v>539</v>
      </c>
      <c r="O547" s="3">
        <v>0</v>
      </c>
      <c r="P547" s="3">
        <v>0</v>
      </c>
      <c r="Q547" s="3">
        <v>0</v>
      </c>
      <c r="R547" s="3">
        <v>0</v>
      </c>
      <c r="S547" s="3">
        <v>4</v>
      </c>
      <c r="T547" s="3">
        <v>13</v>
      </c>
      <c r="U547" s="3">
        <v>32</v>
      </c>
      <c r="V547" s="3">
        <v>37</v>
      </c>
      <c r="W547" s="3"/>
      <c r="X547" s="3">
        <v>15.9</v>
      </c>
      <c r="Y547" s="3">
        <v>15.9</v>
      </c>
      <c r="Z547" s="3">
        <v>15.9</v>
      </c>
      <c r="AA547" s="3">
        <v>13.45</v>
      </c>
      <c r="AB547" s="3" t="s">
        <v>547</v>
      </c>
      <c r="AC547" s="3">
        <v>20</v>
      </c>
      <c r="AD547" s="3">
        <v>15.9</v>
      </c>
      <c r="AE547" s="3">
        <v>0</v>
      </c>
      <c r="AF547" s="3">
        <v>0</v>
      </c>
      <c r="AG547" s="3">
        <v>0</v>
      </c>
      <c r="AH547" s="3">
        <v>3.21739130434782</v>
      </c>
      <c r="AI547" s="3">
        <v>3.340701</v>
      </c>
      <c r="AJ547" s="3" t="s">
        <v>548</v>
      </c>
    </row>
    <row r="548" spans="1:36">
      <c r="A548" s="4">
        <v>43336</v>
      </c>
      <c r="B548" s="3" t="s">
        <v>163</v>
      </c>
      <c r="C548" s="3" t="s">
        <v>164</v>
      </c>
      <c r="D548" s="3" t="s">
        <v>165</v>
      </c>
      <c r="E548" s="3" t="s">
        <v>166</v>
      </c>
      <c r="F548" s="3" t="s">
        <v>538</v>
      </c>
      <c r="G548" s="3">
        <v>177</v>
      </c>
      <c r="H548" s="3">
        <v>0</v>
      </c>
      <c r="I548" s="3">
        <v>177</v>
      </c>
      <c r="J548" s="3">
        <v>0</v>
      </c>
      <c r="K548" s="3">
        <v>0</v>
      </c>
      <c r="L548" s="3">
        <v>0</v>
      </c>
      <c r="M548" s="3">
        <v>0</v>
      </c>
      <c r="N548" s="3" t="s">
        <v>539</v>
      </c>
      <c r="O548" s="3">
        <v>0</v>
      </c>
      <c r="P548" s="3">
        <v>0</v>
      </c>
      <c r="Q548" s="3">
        <v>0</v>
      </c>
      <c r="R548" s="3">
        <v>0</v>
      </c>
      <c r="S548" s="3">
        <v>31</v>
      </c>
      <c r="T548" s="3">
        <v>171</v>
      </c>
      <c r="U548" s="3">
        <v>335</v>
      </c>
      <c r="V548" s="3">
        <v>553</v>
      </c>
      <c r="W548" s="3"/>
      <c r="X548" s="3">
        <v>60.99</v>
      </c>
      <c r="Y548" s="3">
        <v>22.99</v>
      </c>
      <c r="Z548" s="3">
        <v>22.99</v>
      </c>
      <c r="AA548" s="3">
        <v>0</v>
      </c>
      <c r="AB548" s="3" t="s">
        <v>547</v>
      </c>
      <c r="AC548" s="3">
        <v>116</v>
      </c>
      <c r="AD548" s="3">
        <v>22.99</v>
      </c>
      <c r="AE548" s="3">
        <v>0</v>
      </c>
      <c r="AF548" s="3">
        <v>0</v>
      </c>
      <c r="AG548" s="3">
        <v>0</v>
      </c>
      <c r="AH548" s="3">
        <v>4.22944550669216</v>
      </c>
      <c r="AI548" s="3">
        <v>8.597598</v>
      </c>
      <c r="AJ548" s="3" t="s">
        <v>596</v>
      </c>
    </row>
    <row r="549" spans="1:36">
      <c r="A549" s="4">
        <v>43336</v>
      </c>
      <c r="B549" s="3" t="s">
        <v>2176</v>
      </c>
      <c r="C549" s="3" t="s">
        <v>2177</v>
      </c>
      <c r="D549" s="3" t="s">
        <v>2178</v>
      </c>
      <c r="E549" s="3" t="s">
        <v>582</v>
      </c>
      <c r="F549" s="3" t="s">
        <v>538</v>
      </c>
      <c r="G549" s="3">
        <v>4</v>
      </c>
      <c r="H549" s="3">
        <v>0</v>
      </c>
      <c r="I549" s="3">
        <v>0</v>
      </c>
      <c r="J549" s="3">
        <v>4</v>
      </c>
      <c r="K549" s="3">
        <v>0</v>
      </c>
      <c r="L549" s="3">
        <v>0</v>
      </c>
      <c r="M549" s="3">
        <v>0</v>
      </c>
      <c r="N549" s="3" t="s">
        <v>539</v>
      </c>
      <c r="O549" s="3">
        <v>0</v>
      </c>
      <c r="P549" s="3">
        <v>0</v>
      </c>
      <c r="Q549" s="3">
        <v>0</v>
      </c>
      <c r="R549" s="3">
        <v>0</v>
      </c>
      <c r="S549" s="3">
        <v>0</v>
      </c>
      <c r="T549" s="3">
        <v>0</v>
      </c>
      <c r="U549" s="3">
        <v>0</v>
      </c>
      <c r="V549" s="3">
        <v>0</v>
      </c>
      <c r="W549" s="3" t="s">
        <v>540</v>
      </c>
      <c r="X549" s="3">
        <v>9.98</v>
      </c>
      <c r="Y549" s="3">
        <v>9.98</v>
      </c>
      <c r="Z549" s="3">
        <v>9.98</v>
      </c>
      <c r="AA549" s="3">
        <v>0</v>
      </c>
      <c r="AB549" s="3" t="s">
        <v>541</v>
      </c>
      <c r="AC549" s="3">
        <v>0</v>
      </c>
      <c r="AD549" s="3">
        <v>7.98</v>
      </c>
      <c r="AE549" s="3">
        <v>63</v>
      </c>
      <c r="AF549" s="3">
        <v>0</v>
      </c>
      <c r="AG549" s="3">
        <v>2.339591</v>
      </c>
      <c r="AH549" s="3">
        <v>0</v>
      </c>
      <c r="AI549" s="5">
        <v>0.000232</v>
      </c>
      <c r="AJ549" s="3" t="s">
        <v>548</v>
      </c>
    </row>
    <row r="550" spans="1:36">
      <c r="A550" s="4">
        <v>43336</v>
      </c>
      <c r="B550" s="3" t="s">
        <v>2179</v>
      </c>
      <c r="C550" s="3" t="s">
        <v>2180</v>
      </c>
      <c r="D550" s="3" t="s">
        <v>2181</v>
      </c>
      <c r="E550" s="3" t="s">
        <v>2182</v>
      </c>
      <c r="F550" s="3" t="s">
        <v>538</v>
      </c>
      <c r="G550" s="3">
        <v>2</v>
      </c>
      <c r="H550" s="3">
        <v>0</v>
      </c>
      <c r="I550" s="3">
        <v>0</v>
      </c>
      <c r="J550" s="3">
        <v>0</v>
      </c>
      <c r="K550" s="3">
        <v>2</v>
      </c>
      <c r="L550" s="3">
        <v>0</v>
      </c>
      <c r="M550" s="3">
        <v>0</v>
      </c>
      <c r="N550" s="3" t="s">
        <v>539</v>
      </c>
      <c r="O550" s="3">
        <v>2</v>
      </c>
      <c r="P550" s="3">
        <v>0.14</v>
      </c>
      <c r="Q550" s="3">
        <v>0</v>
      </c>
      <c r="R550" s="3">
        <v>0</v>
      </c>
      <c r="S550" s="3">
        <v>0</v>
      </c>
      <c r="T550" s="3">
        <v>0</v>
      </c>
      <c r="U550" s="3">
        <v>0</v>
      </c>
      <c r="V550" s="3">
        <v>0</v>
      </c>
      <c r="W550" s="3" t="s">
        <v>540</v>
      </c>
      <c r="X550" s="3">
        <v>13.99</v>
      </c>
      <c r="Y550" s="3">
        <v>13.99</v>
      </c>
      <c r="Z550" s="3">
        <v>13.99</v>
      </c>
      <c r="AA550" s="3">
        <v>0</v>
      </c>
      <c r="AB550" s="3" t="s">
        <v>562</v>
      </c>
      <c r="AC550" s="3">
        <v>0</v>
      </c>
      <c r="AD550" s="3">
        <v>11.19</v>
      </c>
      <c r="AE550" s="3">
        <v>63</v>
      </c>
      <c r="AF550" s="3">
        <v>0</v>
      </c>
      <c r="AG550" s="3">
        <v>6.834431</v>
      </c>
      <c r="AH550" s="3">
        <v>0</v>
      </c>
      <c r="AI550" s="3">
        <v>0.041666</v>
      </c>
      <c r="AJ550" s="3" t="s">
        <v>548</v>
      </c>
    </row>
    <row r="551" spans="1:36">
      <c r="A551" s="4">
        <v>43336</v>
      </c>
      <c r="B551" s="3" t="s">
        <v>83</v>
      </c>
      <c r="C551" s="3" t="s">
        <v>84</v>
      </c>
      <c r="D551" s="3" t="s">
        <v>85</v>
      </c>
      <c r="E551" s="3" t="s">
        <v>86</v>
      </c>
      <c r="F551" s="3" t="s">
        <v>538</v>
      </c>
      <c r="G551" s="3">
        <v>15</v>
      </c>
      <c r="H551" s="3">
        <v>0</v>
      </c>
      <c r="I551" s="3">
        <v>15</v>
      </c>
      <c r="J551" s="3">
        <v>0</v>
      </c>
      <c r="K551" s="3">
        <v>0</v>
      </c>
      <c r="L551" s="3">
        <v>0</v>
      </c>
      <c r="M551" s="3">
        <v>0</v>
      </c>
      <c r="N551" s="3" t="s">
        <v>539</v>
      </c>
      <c r="O551" s="3">
        <v>0</v>
      </c>
      <c r="P551" s="3">
        <v>0</v>
      </c>
      <c r="Q551" s="3">
        <v>0</v>
      </c>
      <c r="R551" s="3">
        <v>0</v>
      </c>
      <c r="S551" s="3">
        <v>0</v>
      </c>
      <c r="T551" s="3">
        <v>3</v>
      </c>
      <c r="U551" s="3">
        <v>7</v>
      </c>
      <c r="V551" s="3">
        <v>10</v>
      </c>
      <c r="W551" s="3"/>
      <c r="X551" s="3">
        <v>20.99</v>
      </c>
      <c r="Y551" s="3">
        <v>20.99</v>
      </c>
      <c r="Z551" s="3">
        <v>20.99</v>
      </c>
      <c r="AA551" s="3">
        <v>0</v>
      </c>
      <c r="AB551" s="3" t="s">
        <v>547</v>
      </c>
      <c r="AC551" s="3">
        <v>15</v>
      </c>
      <c r="AD551" s="3">
        <v>20.99</v>
      </c>
      <c r="AE551" s="3">
        <v>0</v>
      </c>
      <c r="AF551" s="3">
        <v>0</v>
      </c>
      <c r="AG551" s="3">
        <v>0</v>
      </c>
      <c r="AH551" s="3">
        <v>0.888888888888888</v>
      </c>
      <c r="AI551" s="3">
        <v>1.09476</v>
      </c>
      <c r="AJ551" s="3" t="s">
        <v>548</v>
      </c>
    </row>
    <row r="552" spans="1:36">
      <c r="A552" s="4">
        <v>43336</v>
      </c>
      <c r="B552" s="3" t="s">
        <v>2183</v>
      </c>
      <c r="C552" s="3" t="s">
        <v>2184</v>
      </c>
      <c r="D552" s="3" t="s">
        <v>2185</v>
      </c>
      <c r="E552" s="3" t="s">
        <v>19</v>
      </c>
      <c r="F552" s="3" t="s">
        <v>538</v>
      </c>
      <c r="G552" s="3">
        <v>42</v>
      </c>
      <c r="H552" s="3">
        <v>0</v>
      </c>
      <c r="I552" s="3">
        <v>42</v>
      </c>
      <c r="J552" s="3">
        <v>0</v>
      </c>
      <c r="K552" s="3">
        <v>0</v>
      </c>
      <c r="L552" s="3">
        <v>0</v>
      </c>
      <c r="M552" s="3">
        <v>0</v>
      </c>
      <c r="N552" s="3" t="s">
        <v>539</v>
      </c>
      <c r="O552" s="3">
        <v>0</v>
      </c>
      <c r="P552" s="3">
        <v>0</v>
      </c>
      <c r="Q552" s="3">
        <v>0</v>
      </c>
      <c r="R552" s="3">
        <v>0</v>
      </c>
      <c r="S552" s="3">
        <v>6</v>
      </c>
      <c r="T552" s="3">
        <v>34</v>
      </c>
      <c r="U552" s="3">
        <v>52</v>
      </c>
      <c r="V552" s="3">
        <v>62</v>
      </c>
      <c r="W552" s="3"/>
      <c r="X552" s="3">
        <v>20.99</v>
      </c>
      <c r="Y552" s="3">
        <v>15.99</v>
      </c>
      <c r="Z552" s="3">
        <v>15.99</v>
      </c>
      <c r="AA552" s="3">
        <v>0</v>
      </c>
      <c r="AB552" s="3" t="s">
        <v>547</v>
      </c>
      <c r="AC552" s="3">
        <v>36</v>
      </c>
      <c r="AD552" s="3">
        <v>15.99</v>
      </c>
      <c r="AE552" s="3">
        <v>0</v>
      </c>
      <c r="AF552" s="3">
        <v>0</v>
      </c>
      <c r="AG552" s="3">
        <v>0</v>
      </c>
      <c r="AH552" s="3">
        <v>3.81538461538461</v>
      </c>
      <c r="AI552" s="3">
        <v>2.787624</v>
      </c>
      <c r="AJ552" s="3" t="s">
        <v>596</v>
      </c>
    </row>
    <row r="553" spans="1:36">
      <c r="A553" s="4">
        <v>43336</v>
      </c>
      <c r="B553" s="3" t="s">
        <v>2186</v>
      </c>
      <c r="C553" s="3" t="s">
        <v>2187</v>
      </c>
      <c r="D553" s="3" t="s">
        <v>2188</v>
      </c>
      <c r="E553" s="3" t="s">
        <v>1073</v>
      </c>
      <c r="F553" s="3" t="s">
        <v>538</v>
      </c>
      <c r="G553" s="3">
        <v>5</v>
      </c>
      <c r="H553" s="3">
        <v>0</v>
      </c>
      <c r="I553" s="3">
        <v>5</v>
      </c>
      <c r="J553" s="3">
        <v>0</v>
      </c>
      <c r="K553" s="3">
        <v>0</v>
      </c>
      <c r="L553" s="3">
        <v>0</v>
      </c>
      <c r="M553" s="3">
        <v>0</v>
      </c>
      <c r="N553" s="3" t="s">
        <v>539</v>
      </c>
      <c r="O553" s="3">
        <v>0</v>
      </c>
      <c r="P553" s="3">
        <v>0</v>
      </c>
      <c r="Q553" s="3">
        <v>0</v>
      </c>
      <c r="R553" s="3">
        <v>0</v>
      </c>
      <c r="S553" s="3">
        <v>0</v>
      </c>
      <c r="T553" s="3">
        <v>0</v>
      </c>
      <c r="U553" s="3">
        <v>0</v>
      </c>
      <c r="V553" s="3">
        <v>0</v>
      </c>
      <c r="W553" s="3" t="s">
        <v>540</v>
      </c>
      <c r="X553" s="3">
        <v>19.99</v>
      </c>
      <c r="Y553" s="3">
        <v>19.99</v>
      </c>
      <c r="Z553" s="3">
        <v>19.99</v>
      </c>
      <c r="AA553" s="3">
        <v>0</v>
      </c>
      <c r="AB553" s="3" t="s">
        <v>651</v>
      </c>
      <c r="AC553" s="3">
        <v>5</v>
      </c>
      <c r="AD553" s="3">
        <v>19.99</v>
      </c>
      <c r="AE553" s="3">
        <v>0</v>
      </c>
      <c r="AF553" s="3">
        <v>0</v>
      </c>
      <c r="AG553" s="3">
        <v>0</v>
      </c>
      <c r="AH553" s="3">
        <v>0</v>
      </c>
      <c r="AI553" s="3">
        <v>0.684445</v>
      </c>
      <c r="AJ553" s="3" t="s">
        <v>542</v>
      </c>
    </row>
    <row r="554" spans="1:36">
      <c r="A554" s="4">
        <v>43336</v>
      </c>
      <c r="B554" s="3" t="s">
        <v>384</v>
      </c>
      <c r="C554" s="3" t="s">
        <v>385</v>
      </c>
      <c r="D554" s="3" t="s">
        <v>386</v>
      </c>
      <c r="E554" s="3" t="s">
        <v>2189</v>
      </c>
      <c r="F554" s="3" t="s">
        <v>538</v>
      </c>
      <c r="G554" s="3">
        <v>67</v>
      </c>
      <c r="H554" s="3">
        <v>0</v>
      </c>
      <c r="I554" s="3">
        <v>67</v>
      </c>
      <c r="J554" s="3">
        <v>0</v>
      </c>
      <c r="K554" s="3">
        <v>0</v>
      </c>
      <c r="L554" s="3">
        <v>0</v>
      </c>
      <c r="M554" s="3">
        <v>0</v>
      </c>
      <c r="N554" s="3" t="s">
        <v>539</v>
      </c>
      <c r="O554" s="3">
        <v>0</v>
      </c>
      <c r="P554" s="3">
        <v>0</v>
      </c>
      <c r="Q554" s="3">
        <v>0</v>
      </c>
      <c r="R554" s="3">
        <v>0</v>
      </c>
      <c r="S554" s="3">
        <v>6</v>
      </c>
      <c r="T554" s="3">
        <v>25</v>
      </c>
      <c r="U554" s="3">
        <v>54</v>
      </c>
      <c r="V554" s="3">
        <v>78</v>
      </c>
      <c r="W554" s="3"/>
      <c r="X554" s="3">
        <v>10.9</v>
      </c>
      <c r="Y554" s="3">
        <v>10.9</v>
      </c>
      <c r="Z554" s="3">
        <v>10.9</v>
      </c>
      <c r="AA554" s="3">
        <v>0</v>
      </c>
      <c r="AB554" s="3" t="s">
        <v>547</v>
      </c>
      <c r="AC554" s="3">
        <v>65</v>
      </c>
      <c r="AD554" s="3">
        <v>10.9</v>
      </c>
      <c r="AE554" s="3">
        <v>0</v>
      </c>
      <c r="AF554" s="3">
        <v>0</v>
      </c>
      <c r="AG554" s="3">
        <v>0</v>
      </c>
      <c r="AH554" s="3">
        <v>1.91411042944785</v>
      </c>
      <c r="AI554" s="3">
        <v>11.5613859999999</v>
      </c>
      <c r="AJ554" s="3" t="s">
        <v>548</v>
      </c>
    </row>
    <row r="555" spans="1:36">
      <c r="A555" s="4">
        <v>43336</v>
      </c>
      <c r="B555" s="3" t="s">
        <v>2190</v>
      </c>
      <c r="C555" s="3" t="s">
        <v>2191</v>
      </c>
      <c r="D555" s="3" t="s">
        <v>2192</v>
      </c>
      <c r="E555" s="3" t="s">
        <v>2193</v>
      </c>
      <c r="F555" s="3" t="s">
        <v>538</v>
      </c>
      <c r="G555" s="3">
        <v>7</v>
      </c>
      <c r="H555" s="3">
        <v>0</v>
      </c>
      <c r="I555" s="3">
        <v>7</v>
      </c>
      <c r="J555" s="3">
        <v>0</v>
      </c>
      <c r="K555" s="3">
        <v>0</v>
      </c>
      <c r="L555" s="3">
        <v>0</v>
      </c>
      <c r="M555" s="3">
        <v>0</v>
      </c>
      <c r="N555" s="3" t="s">
        <v>539</v>
      </c>
      <c r="O555" s="3">
        <v>0</v>
      </c>
      <c r="P555" s="3">
        <v>0</v>
      </c>
      <c r="Q555" s="3">
        <v>0</v>
      </c>
      <c r="R555" s="3">
        <v>0</v>
      </c>
      <c r="S555" s="3">
        <v>0</v>
      </c>
      <c r="T555" s="3">
        <v>0</v>
      </c>
      <c r="U555" s="3">
        <v>0</v>
      </c>
      <c r="V555" s="3">
        <v>0</v>
      </c>
      <c r="W555" s="3" t="s">
        <v>553</v>
      </c>
      <c r="X555" s="3">
        <v>25</v>
      </c>
      <c r="Y555" s="3">
        <v>25</v>
      </c>
      <c r="Z555" s="3">
        <v>25</v>
      </c>
      <c r="AA555" s="3">
        <v>0</v>
      </c>
      <c r="AB555" s="3" t="s">
        <v>547</v>
      </c>
      <c r="AC555" s="3">
        <v>7</v>
      </c>
      <c r="AD555" s="3">
        <v>25</v>
      </c>
      <c r="AE555" s="3">
        <v>0</v>
      </c>
      <c r="AF555" s="3">
        <v>0</v>
      </c>
      <c r="AG555" s="3">
        <v>0</v>
      </c>
      <c r="AH555" s="3">
        <v>0</v>
      </c>
      <c r="AI555" s="5">
        <v>7e-6</v>
      </c>
      <c r="AJ555" s="3" t="s">
        <v>548</v>
      </c>
    </row>
    <row r="556" spans="1:36">
      <c r="A556" s="4">
        <v>43336</v>
      </c>
      <c r="B556" s="3" t="s">
        <v>2194</v>
      </c>
      <c r="C556" s="3" t="s">
        <v>2195</v>
      </c>
      <c r="D556" s="3" t="s">
        <v>2196</v>
      </c>
      <c r="E556" s="3" t="s">
        <v>2197</v>
      </c>
      <c r="F556" s="3" t="s">
        <v>538</v>
      </c>
      <c r="G556" s="3">
        <v>16</v>
      </c>
      <c r="H556" s="3">
        <v>0</v>
      </c>
      <c r="I556" s="3">
        <v>16</v>
      </c>
      <c r="J556" s="3">
        <v>0</v>
      </c>
      <c r="K556" s="3">
        <v>0</v>
      </c>
      <c r="L556" s="3">
        <v>0</v>
      </c>
      <c r="M556" s="3">
        <v>0</v>
      </c>
      <c r="N556" s="3" t="s">
        <v>539</v>
      </c>
      <c r="O556" s="3">
        <v>0</v>
      </c>
      <c r="P556" s="3">
        <v>0</v>
      </c>
      <c r="Q556" s="3">
        <v>0</v>
      </c>
      <c r="R556" s="3">
        <v>0</v>
      </c>
      <c r="S556" s="3">
        <v>3</v>
      </c>
      <c r="T556" s="3">
        <v>7</v>
      </c>
      <c r="U556" s="3">
        <v>18</v>
      </c>
      <c r="V556" s="3">
        <v>22</v>
      </c>
      <c r="W556" s="3"/>
      <c r="X556" s="3">
        <v>12.99</v>
      </c>
      <c r="Y556" s="3">
        <v>12.99</v>
      </c>
      <c r="Z556" s="3">
        <v>12.99</v>
      </c>
      <c r="AA556" s="3">
        <v>0</v>
      </c>
      <c r="AB556" s="3" t="s">
        <v>547</v>
      </c>
      <c r="AC556" s="3">
        <v>17</v>
      </c>
      <c r="AD556" s="3">
        <v>12.99</v>
      </c>
      <c r="AE556" s="3">
        <v>0</v>
      </c>
      <c r="AF556" s="3">
        <v>0</v>
      </c>
      <c r="AG556" s="3">
        <v>0</v>
      </c>
      <c r="AH556" s="3">
        <v>1.91304347826086</v>
      </c>
      <c r="AI556" s="3">
        <v>0.539392</v>
      </c>
      <c r="AJ556" s="3" t="s">
        <v>596</v>
      </c>
    </row>
    <row r="557" spans="1:36">
      <c r="A557" s="4">
        <v>43336</v>
      </c>
      <c r="B557" s="3" t="s">
        <v>2198</v>
      </c>
      <c r="C557" s="3" t="s">
        <v>2199</v>
      </c>
      <c r="D557" s="3" t="s">
        <v>2200</v>
      </c>
      <c r="E557" s="3" t="s">
        <v>1073</v>
      </c>
      <c r="F557" s="3" t="s">
        <v>538</v>
      </c>
      <c r="G557" s="3">
        <v>5</v>
      </c>
      <c r="H557" s="3">
        <v>0</v>
      </c>
      <c r="I557" s="3">
        <v>5</v>
      </c>
      <c r="J557" s="3">
        <v>0</v>
      </c>
      <c r="K557" s="3">
        <v>0</v>
      </c>
      <c r="L557" s="3">
        <v>0</v>
      </c>
      <c r="M557" s="3">
        <v>0</v>
      </c>
      <c r="N557" s="3" t="s">
        <v>539</v>
      </c>
      <c r="O557" s="3">
        <v>0</v>
      </c>
      <c r="P557" s="3">
        <v>0</v>
      </c>
      <c r="Q557" s="3">
        <v>0</v>
      </c>
      <c r="R557" s="3">
        <v>0</v>
      </c>
      <c r="S557" s="3">
        <v>0</v>
      </c>
      <c r="T557" s="3">
        <v>0</v>
      </c>
      <c r="U557" s="3">
        <v>0</v>
      </c>
      <c r="V557" s="3">
        <v>0</v>
      </c>
      <c r="W557" s="3" t="s">
        <v>540</v>
      </c>
      <c r="X557" s="3">
        <v>19.99</v>
      </c>
      <c r="Y557" s="3">
        <v>19.99</v>
      </c>
      <c r="Z557" s="3">
        <v>19.99</v>
      </c>
      <c r="AA557" s="3">
        <v>0</v>
      </c>
      <c r="AB557" s="3" t="s">
        <v>651</v>
      </c>
      <c r="AC557" s="3">
        <v>5</v>
      </c>
      <c r="AD557" s="3">
        <v>19.99</v>
      </c>
      <c r="AE557" s="3">
        <v>0</v>
      </c>
      <c r="AF557" s="3">
        <v>0</v>
      </c>
      <c r="AG557" s="3">
        <v>0</v>
      </c>
      <c r="AH557" s="3">
        <v>0</v>
      </c>
      <c r="AI557" s="3">
        <v>0.65901</v>
      </c>
      <c r="AJ557" s="3" t="s">
        <v>542</v>
      </c>
    </row>
    <row r="558" spans="1:36">
      <c r="A558" s="4">
        <v>43336</v>
      </c>
      <c r="B558" s="3" t="s">
        <v>2201</v>
      </c>
      <c r="C558" s="3" t="s">
        <v>2202</v>
      </c>
      <c r="D558" s="3" t="s">
        <v>2203</v>
      </c>
      <c r="E558" s="3" t="s">
        <v>1207</v>
      </c>
      <c r="F558" s="3" t="s">
        <v>538</v>
      </c>
      <c r="G558" s="3">
        <v>49</v>
      </c>
      <c r="H558" s="3">
        <v>0</v>
      </c>
      <c r="I558" s="3">
        <v>49</v>
      </c>
      <c r="J558" s="3">
        <v>0</v>
      </c>
      <c r="K558" s="3">
        <v>0</v>
      </c>
      <c r="L558" s="3">
        <v>0</v>
      </c>
      <c r="M558" s="3">
        <v>0</v>
      </c>
      <c r="N558" s="3" t="s">
        <v>539</v>
      </c>
      <c r="O558" s="3">
        <v>0</v>
      </c>
      <c r="P558" s="3">
        <v>0</v>
      </c>
      <c r="Q558" s="3">
        <v>0</v>
      </c>
      <c r="R558" s="3">
        <v>0</v>
      </c>
      <c r="S558" s="3">
        <v>0</v>
      </c>
      <c r="T558" s="3">
        <v>6</v>
      </c>
      <c r="U558" s="3">
        <v>6</v>
      </c>
      <c r="V558" s="3">
        <v>6</v>
      </c>
      <c r="W558" s="3" t="s">
        <v>540</v>
      </c>
      <c r="X558" s="3">
        <v>15.99</v>
      </c>
      <c r="Y558" s="3">
        <v>15.99</v>
      </c>
      <c r="Z558" s="3">
        <v>15.99</v>
      </c>
      <c r="AA558" s="3">
        <v>0</v>
      </c>
      <c r="AB558" s="3" t="s">
        <v>541</v>
      </c>
      <c r="AC558" s="3">
        <v>49</v>
      </c>
      <c r="AD558" s="3">
        <v>15.99</v>
      </c>
      <c r="AE558" s="3">
        <v>0</v>
      </c>
      <c r="AF558" s="3">
        <v>0</v>
      </c>
      <c r="AG558" s="3">
        <v>0</v>
      </c>
      <c r="AH558" s="3">
        <v>0.244897959183673</v>
      </c>
      <c r="AI558" s="3">
        <v>4.711497</v>
      </c>
      <c r="AJ558" s="3" t="s">
        <v>542</v>
      </c>
    </row>
    <row r="559" spans="1:36">
      <c r="A559" s="4">
        <v>43336</v>
      </c>
      <c r="B559" s="3" t="s">
        <v>2204</v>
      </c>
      <c r="C559" s="3" t="s">
        <v>2205</v>
      </c>
      <c r="D559" s="3" t="s">
        <v>2206</v>
      </c>
      <c r="E559" s="3" t="s">
        <v>1589</v>
      </c>
      <c r="F559" s="3" t="s">
        <v>538</v>
      </c>
      <c r="G559" s="3">
        <v>14</v>
      </c>
      <c r="H559" s="3">
        <v>0</v>
      </c>
      <c r="I559" s="3">
        <v>14</v>
      </c>
      <c r="J559" s="3">
        <v>0</v>
      </c>
      <c r="K559" s="3">
        <v>0</v>
      </c>
      <c r="L559" s="3">
        <v>0</v>
      </c>
      <c r="M559" s="3">
        <v>0</v>
      </c>
      <c r="N559" s="3" t="s">
        <v>539</v>
      </c>
      <c r="O559" s="3">
        <v>0</v>
      </c>
      <c r="P559" s="3">
        <v>0</v>
      </c>
      <c r="Q559" s="3">
        <v>0</v>
      </c>
      <c r="R559" s="3">
        <v>0</v>
      </c>
      <c r="S559" s="3">
        <v>1</v>
      </c>
      <c r="T559" s="3">
        <v>1</v>
      </c>
      <c r="U559" s="3">
        <v>1</v>
      </c>
      <c r="V559" s="3">
        <v>1</v>
      </c>
      <c r="W559" s="3"/>
      <c r="X559" s="3">
        <v>22.99</v>
      </c>
      <c r="Y559" s="3">
        <v>22.99</v>
      </c>
      <c r="Z559" s="3">
        <v>22.99</v>
      </c>
      <c r="AA559" s="3">
        <v>0</v>
      </c>
      <c r="AB559" s="3" t="s">
        <v>547</v>
      </c>
      <c r="AC559" s="3">
        <v>0</v>
      </c>
      <c r="AD559" s="3">
        <v>0</v>
      </c>
      <c r="AE559" s="3">
        <v>0</v>
      </c>
      <c r="AF559" s="3">
        <v>0</v>
      </c>
      <c r="AG559" s="3">
        <v>0</v>
      </c>
      <c r="AH559" s="3">
        <v>0.0714285714285714</v>
      </c>
      <c r="AI559" s="3">
        <v>0.897792</v>
      </c>
      <c r="AJ559" s="3" t="s">
        <v>596</v>
      </c>
    </row>
    <row r="560" spans="1:36">
      <c r="A560" s="4">
        <v>43336</v>
      </c>
      <c r="B560" s="3" t="s">
        <v>2207</v>
      </c>
      <c r="C560" s="3" t="s">
        <v>2208</v>
      </c>
      <c r="D560" s="3" t="s">
        <v>2209</v>
      </c>
      <c r="E560" s="3" t="s">
        <v>590</v>
      </c>
      <c r="F560" s="3" t="s">
        <v>538</v>
      </c>
      <c r="G560" s="3">
        <v>5</v>
      </c>
      <c r="H560" s="3">
        <v>0</v>
      </c>
      <c r="I560" s="3">
        <v>5</v>
      </c>
      <c r="J560" s="3">
        <v>0</v>
      </c>
      <c r="K560" s="3">
        <v>0</v>
      </c>
      <c r="L560" s="3">
        <v>0</v>
      </c>
      <c r="M560" s="3">
        <v>0</v>
      </c>
      <c r="N560" s="3" t="s">
        <v>539</v>
      </c>
      <c r="O560" s="3">
        <v>0</v>
      </c>
      <c r="P560" s="3">
        <v>0</v>
      </c>
      <c r="Q560" s="3">
        <v>0</v>
      </c>
      <c r="R560" s="3">
        <v>0</v>
      </c>
      <c r="S560" s="3">
        <v>0</v>
      </c>
      <c r="T560" s="3">
        <v>0</v>
      </c>
      <c r="U560" s="3">
        <v>0</v>
      </c>
      <c r="V560" s="3">
        <v>0</v>
      </c>
      <c r="W560" s="3" t="s">
        <v>540</v>
      </c>
      <c r="X560" s="3">
        <v>19.99</v>
      </c>
      <c r="Y560" s="3">
        <v>19.99</v>
      </c>
      <c r="Z560" s="3">
        <v>19.99</v>
      </c>
      <c r="AA560" s="3">
        <v>0</v>
      </c>
      <c r="AB560" s="3" t="s">
        <v>541</v>
      </c>
      <c r="AC560" s="3">
        <v>0</v>
      </c>
      <c r="AD560" s="3">
        <v>15.99</v>
      </c>
      <c r="AE560" s="3">
        <v>63</v>
      </c>
      <c r="AF560" s="3">
        <v>0</v>
      </c>
      <c r="AG560" s="3">
        <v>5.785565</v>
      </c>
      <c r="AH560" s="3">
        <v>0</v>
      </c>
      <c r="AI560" s="3">
        <v>0.84828</v>
      </c>
      <c r="AJ560" s="3" t="s">
        <v>542</v>
      </c>
    </row>
    <row r="561" spans="1:36">
      <c r="A561" s="4">
        <v>43336</v>
      </c>
      <c r="B561" s="3" t="s">
        <v>2210</v>
      </c>
      <c r="C561" s="3" t="s">
        <v>2211</v>
      </c>
      <c r="D561" s="3" t="s">
        <v>2212</v>
      </c>
      <c r="E561" s="3" t="s">
        <v>849</v>
      </c>
      <c r="F561" s="3" t="s">
        <v>538</v>
      </c>
      <c r="G561" s="3">
        <v>6</v>
      </c>
      <c r="H561" s="3">
        <v>0</v>
      </c>
      <c r="I561" s="3">
        <v>6</v>
      </c>
      <c r="J561" s="3">
        <v>0</v>
      </c>
      <c r="K561" s="3">
        <v>0</v>
      </c>
      <c r="L561" s="3">
        <v>0</v>
      </c>
      <c r="M561" s="3">
        <v>0</v>
      </c>
      <c r="N561" s="3" t="s">
        <v>539</v>
      </c>
      <c r="O561" s="3">
        <v>0</v>
      </c>
      <c r="P561" s="3">
        <v>0</v>
      </c>
      <c r="Q561" s="3">
        <v>0</v>
      </c>
      <c r="R561" s="3">
        <v>0</v>
      </c>
      <c r="S561" s="3">
        <v>0</v>
      </c>
      <c r="T561" s="3">
        <v>0</v>
      </c>
      <c r="U561" s="3">
        <v>0</v>
      </c>
      <c r="V561" s="3">
        <v>0</v>
      </c>
      <c r="W561" s="3" t="s">
        <v>540</v>
      </c>
      <c r="X561" s="3">
        <v>17.99</v>
      </c>
      <c r="Y561" s="3">
        <v>17.99</v>
      </c>
      <c r="Z561" s="3">
        <v>17.99</v>
      </c>
      <c r="AA561" s="3">
        <v>0</v>
      </c>
      <c r="AB561" s="3" t="s">
        <v>541</v>
      </c>
      <c r="AC561" s="3">
        <v>0</v>
      </c>
      <c r="AD561" s="3">
        <v>14.39</v>
      </c>
      <c r="AE561" s="3">
        <v>63</v>
      </c>
      <c r="AF561" s="3">
        <v>0</v>
      </c>
      <c r="AG561" s="3">
        <v>6.248103</v>
      </c>
      <c r="AH561" s="3">
        <v>0</v>
      </c>
      <c r="AI561" s="3">
        <v>0.71661</v>
      </c>
      <c r="AJ561" s="3" t="s">
        <v>542</v>
      </c>
    </row>
    <row r="562" spans="1:36">
      <c r="A562" s="4">
        <v>43336</v>
      </c>
      <c r="B562" s="3" t="s">
        <v>2213</v>
      </c>
      <c r="C562" s="3" t="s">
        <v>2214</v>
      </c>
      <c r="D562" s="3" t="s">
        <v>2215</v>
      </c>
      <c r="E562" s="3" t="s">
        <v>582</v>
      </c>
      <c r="F562" s="3" t="s">
        <v>538</v>
      </c>
      <c r="G562" s="3">
        <v>4</v>
      </c>
      <c r="H562" s="3">
        <v>0</v>
      </c>
      <c r="I562" s="3">
        <v>0</v>
      </c>
      <c r="J562" s="3">
        <v>4</v>
      </c>
      <c r="K562" s="3">
        <v>0</v>
      </c>
      <c r="L562" s="3">
        <v>0</v>
      </c>
      <c r="M562" s="3">
        <v>0</v>
      </c>
      <c r="N562" s="3" t="s">
        <v>539</v>
      </c>
      <c r="O562" s="3">
        <v>0</v>
      </c>
      <c r="P562" s="3">
        <v>0</v>
      </c>
      <c r="Q562" s="3">
        <v>0</v>
      </c>
      <c r="R562" s="3">
        <v>0</v>
      </c>
      <c r="S562" s="3">
        <v>0</v>
      </c>
      <c r="T562" s="3">
        <v>0</v>
      </c>
      <c r="U562" s="3">
        <v>0</v>
      </c>
      <c r="V562" s="3">
        <v>0</v>
      </c>
      <c r="W562" s="3" t="s">
        <v>540</v>
      </c>
      <c r="X562" s="3">
        <v>9.98</v>
      </c>
      <c r="Y562" s="3">
        <v>9.98</v>
      </c>
      <c r="Z562" s="3">
        <v>9.98</v>
      </c>
      <c r="AA562" s="3">
        <v>0</v>
      </c>
      <c r="AB562" s="3" t="s">
        <v>541</v>
      </c>
      <c r="AC562" s="3">
        <v>0</v>
      </c>
      <c r="AD562" s="3">
        <v>7.98</v>
      </c>
      <c r="AE562" s="3">
        <v>63</v>
      </c>
      <c r="AF562" s="3">
        <v>0</v>
      </c>
      <c r="AG562" s="3">
        <v>2.339591</v>
      </c>
      <c r="AH562" s="3">
        <v>0</v>
      </c>
      <c r="AI562" s="5">
        <v>0.000232</v>
      </c>
      <c r="AJ562" s="3" t="s">
        <v>548</v>
      </c>
    </row>
    <row r="563" spans="1:36">
      <c r="A563" s="4">
        <v>43336</v>
      </c>
      <c r="B563" s="3" t="s">
        <v>2216</v>
      </c>
      <c r="C563" s="3" t="s">
        <v>2217</v>
      </c>
      <c r="D563" s="3" t="s">
        <v>2218</v>
      </c>
      <c r="E563" s="3" t="s">
        <v>1854</v>
      </c>
      <c r="F563" s="3" t="s">
        <v>538</v>
      </c>
      <c r="G563" s="3">
        <v>8</v>
      </c>
      <c r="H563" s="3">
        <v>0</v>
      </c>
      <c r="I563" s="3">
        <v>0</v>
      </c>
      <c r="J563" s="3">
        <v>8</v>
      </c>
      <c r="K563" s="3">
        <v>0</v>
      </c>
      <c r="L563" s="3">
        <v>0</v>
      </c>
      <c r="M563" s="3">
        <v>0</v>
      </c>
      <c r="N563" s="3" t="s">
        <v>539</v>
      </c>
      <c r="O563" s="3">
        <v>0</v>
      </c>
      <c r="P563" s="3">
        <v>0</v>
      </c>
      <c r="Q563" s="3">
        <v>0</v>
      </c>
      <c r="R563" s="3">
        <v>0</v>
      </c>
      <c r="S563" s="3">
        <v>0</v>
      </c>
      <c r="T563" s="3">
        <v>0</v>
      </c>
      <c r="U563" s="3">
        <v>0</v>
      </c>
      <c r="V563" s="3">
        <v>1</v>
      </c>
      <c r="W563" s="3" t="s">
        <v>540</v>
      </c>
      <c r="X563" s="3">
        <v>8.99</v>
      </c>
      <c r="Y563" s="3">
        <v>8.99</v>
      </c>
      <c r="Z563" s="3">
        <v>8.99</v>
      </c>
      <c r="AA563" s="3">
        <v>0</v>
      </c>
      <c r="AB563" s="3" t="s">
        <v>541</v>
      </c>
      <c r="AC563" s="3">
        <v>0</v>
      </c>
      <c r="AD563" s="3">
        <v>7.78</v>
      </c>
      <c r="AE563" s="3">
        <v>364</v>
      </c>
      <c r="AF563" s="3">
        <v>0</v>
      </c>
      <c r="AG563" s="3">
        <v>26.725763</v>
      </c>
      <c r="AH563" s="3">
        <v>0.121212121212121</v>
      </c>
      <c r="AI563" s="5">
        <v>0.000464</v>
      </c>
      <c r="AJ563" s="3" t="s">
        <v>548</v>
      </c>
    </row>
    <row r="564" spans="1:36">
      <c r="A564" s="4">
        <v>43336</v>
      </c>
      <c r="B564" s="3" t="s">
        <v>2219</v>
      </c>
      <c r="C564" s="3" t="s">
        <v>2220</v>
      </c>
      <c r="D564" s="3" t="s">
        <v>2221</v>
      </c>
      <c r="E564" s="3" t="s">
        <v>582</v>
      </c>
      <c r="F564" s="3" t="s">
        <v>538</v>
      </c>
      <c r="G564" s="3">
        <v>4</v>
      </c>
      <c r="H564" s="3">
        <v>0</v>
      </c>
      <c r="I564" s="3">
        <v>0</v>
      </c>
      <c r="J564" s="3">
        <v>4</v>
      </c>
      <c r="K564" s="3">
        <v>0</v>
      </c>
      <c r="L564" s="3">
        <v>0</v>
      </c>
      <c r="M564" s="3">
        <v>0</v>
      </c>
      <c r="N564" s="3" t="s">
        <v>539</v>
      </c>
      <c r="O564" s="3">
        <v>0</v>
      </c>
      <c r="P564" s="3">
        <v>0</v>
      </c>
      <c r="Q564" s="3">
        <v>0</v>
      </c>
      <c r="R564" s="3">
        <v>0</v>
      </c>
      <c r="S564" s="3">
        <v>0</v>
      </c>
      <c r="T564" s="3">
        <v>0</v>
      </c>
      <c r="U564" s="3">
        <v>0</v>
      </c>
      <c r="V564" s="3">
        <v>0</v>
      </c>
      <c r="W564" s="3" t="s">
        <v>540</v>
      </c>
      <c r="X564" s="3">
        <v>9.98</v>
      </c>
      <c r="Y564" s="3">
        <v>9.98</v>
      </c>
      <c r="Z564" s="3">
        <v>9.98</v>
      </c>
      <c r="AA564" s="3">
        <v>0</v>
      </c>
      <c r="AB564" s="3" t="s">
        <v>541</v>
      </c>
      <c r="AC564" s="3">
        <v>0</v>
      </c>
      <c r="AD564" s="3">
        <v>7.98</v>
      </c>
      <c r="AE564" s="3">
        <v>63</v>
      </c>
      <c r="AF564" s="3">
        <v>0</v>
      </c>
      <c r="AG564" s="3">
        <v>2.339591</v>
      </c>
      <c r="AH564" s="3">
        <v>0</v>
      </c>
      <c r="AI564" s="5">
        <v>0.000232</v>
      </c>
      <c r="AJ564" s="3" t="s">
        <v>548</v>
      </c>
    </row>
    <row r="565" spans="1:36">
      <c r="A565" s="4">
        <v>43336</v>
      </c>
      <c r="B565" s="3" t="s">
        <v>48</v>
      </c>
      <c r="C565" s="3" t="s">
        <v>49</v>
      </c>
      <c r="D565" s="3" t="s">
        <v>50</v>
      </c>
      <c r="E565" s="3" t="s">
        <v>19</v>
      </c>
      <c r="F565" s="3" t="s">
        <v>538</v>
      </c>
      <c r="G565" s="3">
        <v>49</v>
      </c>
      <c r="H565" s="3">
        <v>0</v>
      </c>
      <c r="I565" s="3">
        <v>49</v>
      </c>
      <c r="J565" s="3">
        <v>0</v>
      </c>
      <c r="K565" s="3">
        <v>0</v>
      </c>
      <c r="L565" s="3">
        <v>0</v>
      </c>
      <c r="M565" s="3">
        <v>0</v>
      </c>
      <c r="N565" s="3" t="s">
        <v>539</v>
      </c>
      <c r="O565" s="3">
        <v>0</v>
      </c>
      <c r="P565" s="3">
        <v>0</v>
      </c>
      <c r="Q565" s="3">
        <v>0</v>
      </c>
      <c r="R565" s="3">
        <v>0</v>
      </c>
      <c r="S565" s="3">
        <v>3</v>
      </c>
      <c r="T565" s="3">
        <v>21</v>
      </c>
      <c r="U565" s="3">
        <v>36</v>
      </c>
      <c r="V565" s="3">
        <v>48</v>
      </c>
      <c r="W565" s="3"/>
      <c r="X565" s="3">
        <v>15.99</v>
      </c>
      <c r="Y565" s="3">
        <v>15.99</v>
      </c>
      <c r="Z565" s="3">
        <v>15.99</v>
      </c>
      <c r="AA565" s="3">
        <v>0</v>
      </c>
      <c r="AB565" s="3" t="s">
        <v>547</v>
      </c>
      <c r="AC565" s="3">
        <v>49</v>
      </c>
      <c r="AD565" s="3">
        <v>15.99</v>
      </c>
      <c r="AE565" s="3">
        <v>0</v>
      </c>
      <c r="AF565" s="3">
        <v>0</v>
      </c>
      <c r="AG565" s="3">
        <v>0</v>
      </c>
      <c r="AH565" s="3">
        <v>2.34146341463414</v>
      </c>
      <c r="AI565" s="3">
        <v>3.252228</v>
      </c>
      <c r="AJ565" s="3" t="s">
        <v>596</v>
      </c>
    </row>
    <row r="566" spans="1:36">
      <c r="A566" s="4">
        <v>43336</v>
      </c>
      <c r="B566" s="3" t="s">
        <v>2222</v>
      </c>
      <c r="C566" s="3" t="s">
        <v>2223</v>
      </c>
      <c r="D566" s="3" t="s">
        <v>2224</v>
      </c>
      <c r="E566" s="3" t="s">
        <v>2225</v>
      </c>
      <c r="F566" s="3" t="s">
        <v>538</v>
      </c>
      <c r="G566" s="3">
        <v>3</v>
      </c>
      <c r="H566" s="3">
        <v>0</v>
      </c>
      <c r="I566" s="3">
        <v>0</v>
      </c>
      <c r="J566" s="3">
        <v>0</v>
      </c>
      <c r="K566" s="3">
        <v>3</v>
      </c>
      <c r="L566" s="3">
        <v>0</v>
      </c>
      <c r="M566" s="3">
        <v>0</v>
      </c>
      <c r="N566" s="3" t="s">
        <v>539</v>
      </c>
      <c r="O566" s="3">
        <v>3</v>
      </c>
      <c r="P566" s="3">
        <v>0.22</v>
      </c>
      <c r="Q566" s="3">
        <v>0</v>
      </c>
      <c r="R566" s="3">
        <v>0</v>
      </c>
      <c r="S566" s="3">
        <v>0</v>
      </c>
      <c r="T566" s="3">
        <v>0</v>
      </c>
      <c r="U566" s="3">
        <v>0</v>
      </c>
      <c r="V566" s="3">
        <v>0</v>
      </c>
      <c r="W566" s="3" t="s">
        <v>540</v>
      </c>
      <c r="X566" s="3">
        <v>13.59</v>
      </c>
      <c r="Y566" s="3">
        <v>13.59</v>
      </c>
      <c r="Z566" s="3">
        <v>13.59</v>
      </c>
      <c r="AA566" s="3">
        <v>0</v>
      </c>
      <c r="AB566" s="3" t="s">
        <v>562</v>
      </c>
      <c r="AC566" s="3">
        <v>0</v>
      </c>
      <c r="AD566" s="3">
        <v>10.87</v>
      </c>
      <c r="AE566" s="3">
        <v>63</v>
      </c>
      <c r="AF566" s="3">
        <v>0</v>
      </c>
      <c r="AG566" s="3">
        <v>10.182189</v>
      </c>
      <c r="AH566" s="3">
        <v>0</v>
      </c>
      <c r="AI566" s="3">
        <v>0.062499</v>
      </c>
      <c r="AJ566" s="3" t="s">
        <v>548</v>
      </c>
    </row>
    <row r="567" spans="1:36">
      <c r="A567" s="4">
        <v>43336</v>
      </c>
      <c r="B567" s="3" t="s">
        <v>2226</v>
      </c>
      <c r="C567" s="3" t="s">
        <v>2227</v>
      </c>
      <c r="D567" s="3" t="s">
        <v>2228</v>
      </c>
      <c r="E567" s="3" t="s">
        <v>2137</v>
      </c>
      <c r="F567" s="3" t="s">
        <v>538</v>
      </c>
      <c r="G567" s="3">
        <v>6</v>
      </c>
      <c r="H567" s="3">
        <v>0</v>
      </c>
      <c r="I567" s="3">
        <v>0</v>
      </c>
      <c r="J567" s="3">
        <v>6</v>
      </c>
      <c r="K567" s="3">
        <v>0</v>
      </c>
      <c r="L567" s="3">
        <v>0</v>
      </c>
      <c r="M567" s="3">
        <v>0</v>
      </c>
      <c r="N567" s="3" t="s">
        <v>539</v>
      </c>
      <c r="O567" s="3">
        <v>0</v>
      </c>
      <c r="P567" s="3">
        <v>0</v>
      </c>
      <c r="Q567" s="3">
        <v>0</v>
      </c>
      <c r="R567" s="3">
        <v>0</v>
      </c>
      <c r="S567" s="3">
        <v>0</v>
      </c>
      <c r="T567" s="3">
        <v>0</v>
      </c>
      <c r="U567" s="3">
        <v>0</v>
      </c>
      <c r="V567" s="3">
        <v>0</v>
      </c>
      <c r="W567" s="3" t="s">
        <v>540</v>
      </c>
      <c r="X567" s="3">
        <v>9.99</v>
      </c>
      <c r="Y567" s="3">
        <v>9.99</v>
      </c>
      <c r="Z567" s="3">
        <v>9.99</v>
      </c>
      <c r="AA567" s="3">
        <v>0</v>
      </c>
      <c r="AB567" s="3" t="s">
        <v>541</v>
      </c>
      <c r="AC567" s="3">
        <v>0</v>
      </c>
      <c r="AD567" s="3">
        <v>7.99</v>
      </c>
      <c r="AE567" s="3">
        <v>63</v>
      </c>
      <c r="AF567" s="3">
        <v>0</v>
      </c>
      <c r="AG567" s="3">
        <v>16.624891</v>
      </c>
      <c r="AH567" s="3">
        <v>0</v>
      </c>
      <c r="AI567" s="3">
        <v>0.105114</v>
      </c>
      <c r="AJ567" s="3" t="s">
        <v>548</v>
      </c>
    </row>
    <row r="568" spans="1:36">
      <c r="A568" s="4">
        <v>43336</v>
      </c>
      <c r="B568" s="3" t="s">
        <v>2229</v>
      </c>
      <c r="C568" s="3" t="s">
        <v>2230</v>
      </c>
      <c r="D568" s="3" t="s">
        <v>2231</v>
      </c>
      <c r="E568" s="3" t="s">
        <v>66</v>
      </c>
      <c r="F568" s="3" t="s">
        <v>538</v>
      </c>
      <c r="G568" s="3">
        <v>5</v>
      </c>
      <c r="H568" s="3">
        <v>0</v>
      </c>
      <c r="I568" s="3">
        <v>5</v>
      </c>
      <c r="J568" s="3">
        <v>0</v>
      </c>
      <c r="K568" s="3">
        <v>0</v>
      </c>
      <c r="L568" s="3">
        <v>0</v>
      </c>
      <c r="M568" s="3">
        <v>0</v>
      </c>
      <c r="N568" s="3" t="s">
        <v>539</v>
      </c>
      <c r="O568" s="3">
        <v>0</v>
      </c>
      <c r="P568" s="3">
        <v>0</v>
      </c>
      <c r="Q568" s="3">
        <v>0</v>
      </c>
      <c r="R568" s="3">
        <v>0</v>
      </c>
      <c r="S568" s="3">
        <v>0</v>
      </c>
      <c r="T568" s="3">
        <v>0</v>
      </c>
      <c r="U568" s="3">
        <v>0</v>
      </c>
      <c r="V568" s="3">
        <v>0</v>
      </c>
      <c r="W568" s="3" t="s">
        <v>540</v>
      </c>
      <c r="X568" s="3">
        <v>15.99</v>
      </c>
      <c r="Y568" s="3">
        <v>15.99</v>
      </c>
      <c r="Z568" s="3">
        <v>15.99</v>
      </c>
      <c r="AA568" s="3">
        <v>0</v>
      </c>
      <c r="AB568" s="3" t="s">
        <v>541</v>
      </c>
      <c r="AC568" s="3">
        <v>5</v>
      </c>
      <c r="AD568" s="3">
        <v>15.99</v>
      </c>
      <c r="AE568" s="3">
        <v>0</v>
      </c>
      <c r="AF568" s="3">
        <v>0</v>
      </c>
      <c r="AG568" s="3">
        <v>0</v>
      </c>
      <c r="AH568" s="3">
        <v>0</v>
      </c>
      <c r="AI568" s="3">
        <v>0.385484999999999</v>
      </c>
      <c r="AJ568" s="3" t="s">
        <v>542</v>
      </c>
    </row>
    <row r="569" spans="1:36">
      <c r="A569" s="4">
        <v>43336</v>
      </c>
      <c r="B569" s="3" t="s">
        <v>2232</v>
      </c>
      <c r="C569" s="3" t="s">
        <v>2233</v>
      </c>
      <c r="D569" s="3" t="s">
        <v>2234</v>
      </c>
      <c r="E569" s="3" t="s">
        <v>2235</v>
      </c>
      <c r="F569" s="3" t="s">
        <v>538</v>
      </c>
      <c r="G569" s="3">
        <v>7</v>
      </c>
      <c r="H569" s="3">
        <v>0</v>
      </c>
      <c r="I569" s="3">
        <v>0</v>
      </c>
      <c r="J569" s="3">
        <v>0</v>
      </c>
      <c r="K569" s="3">
        <v>0</v>
      </c>
      <c r="L569" s="3">
        <v>7</v>
      </c>
      <c r="M569" s="3">
        <v>0</v>
      </c>
      <c r="N569" s="3" t="s">
        <v>539</v>
      </c>
      <c r="O569" s="3">
        <v>2</v>
      </c>
      <c r="P569" s="3">
        <v>0.11</v>
      </c>
      <c r="Q569" s="3">
        <v>5</v>
      </c>
      <c r="R569" s="3">
        <v>2.5</v>
      </c>
      <c r="S569" s="3">
        <v>0</v>
      </c>
      <c r="T569" s="3">
        <v>1</v>
      </c>
      <c r="U569" s="3">
        <v>1</v>
      </c>
      <c r="V569" s="3">
        <v>2</v>
      </c>
      <c r="W569" s="3"/>
      <c r="X569" s="3">
        <v>27.99</v>
      </c>
      <c r="Y569" s="3">
        <v>27.99</v>
      </c>
      <c r="Z569" s="3">
        <v>27.99</v>
      </c>
      <c r="AA569" s="3">
        <v>0</v>
      </c>
      <c r="AB569" s="3" t="s">
        <v>547</v>
      </c>
      <c r="AC569" s="3">
        <v>7</v>
      </c>
      <c r="AD569" s="3">
        <v>27.99</v>
      </c>
      <c r="AE569" s="3">
        <v>0</v>
      </c>
      <c r="AF569" s="3">
        <v>0</v>
      </c>
      <c r="AG569" s="3">
        <v>0</v>
      </c>
      <c r="AH569" s="3">
        <v>0.25</v>
      </c>
      <c r="AI569" s="3">
        <v>0.111762</v>
      </c>
      <c r="AJ569" s="3" t="s">
        <v>548</v>
      </c>
    </row>
    <row r="570" spans="1:36">
      <c r="A570" s="4">
        <v>43336</v>
      </c>
      <c r="B570" s="3" t="s">
        <v>2236</v>
      </c>
      <c r="C570" s="3" t="s">
        <v>2237</v>
      </c>
      <c r="D570" s="3" t="s">
        <v>2238</v>
      </c>
      <c r="E570" s="3" t="s">
        <v>2239</v>
      </c>
      <c r="F570" s="3" t="s">
        <v>538</v>
      </c>
      <c r="G570" s="3">
        <v>2</v>
      </c>
      <c r="H570" s="3">
        <v>0</v>
      </c>
      <c r="I570" s="3">
        <v>0</v>
      </c>
      <c r="J570" s="3">
        <v>0</v>
      </c>
      <c r="K570" s="3">
        <v>0</v>
      </c>
      <c r="L570" s="3">
        <v>2</v>
      </c>
      <c r="M570" s="3">
        <v>0</v>
      </c>
      <c r="N570" s="3" t="s">
        <v>539</v>
      </c>
      <c r="O570" s="3">
        <v>2</v>
      </c>
      <c r="P570" s="3">
        <v>1.62</v>
      </c>
      <c r="Q570" s="3">
        <v>0</v>
      </c>
      <c r="R570" s="3">
        <v>0</v>
      </c>
      <c r="S570" s="3">
        <v>0</v>
      </c>
      <c r="T570" s="3">
        <v>0</v>
      </c>
      <c r="U570" s="3">
        <v>1</v>
      </c>
      <c r="V570" s="3">
        <v>2</v>
      </c>
      <c r="W570" s="3" t="s">
        <v>553</v>
      </c>
      <c r="X570" s="3">
        <v>26.9</v>
      </c>
      <c r="Y570" s="3">
        <v>26.9</v>
      </c>
      <c r="Z570" s="3">
        <v>26.9</v>
      </c>
      <c r="AA570" s="3">
        <v>0</v>
      </c>
      <c r="AB570" s="3" t="s">
        <v>547</v>
      </c>
      <c r="AC570" s="3">
        <v>2</v>
      </c>
      <c r="AD570" s="3">
        <v>26.9</v>
      </c>
      <c r="AE570" s="3">
        <v>0</v>
      </c>
      <c r="AF570" s="3">
        <v>0</v>
      </c>
      <c r="AG570" s="3">
        <v>0</v>
      </c>
      <c r="AH570" s="3">
        <v>0.210526315789473</v>
      </c>
      <c r="AI570" s="3">
        <v>0.471294</v>
      </c>
      <c r="AJ570" s="3" t="s">
        <v>548</v>
      </c>
    </row>
    <row r="571" spans="1:36">
      <c r="A571" s="4">
        <v>43336</v>
      </c>
      <c r="B571" s="3" t="s">
        <v>2240</v>
      </c>
      <c r="C571" s="3" t="s">
        <v>2241</v>
      </c>
      <c r="D571" s="3" t="s">
        <v>2242</v>
      </c>
      <c r="E571" s="3" t="s">
        <v>2243</v>
      </c>
      <c r="F571" s="3" t="s">
        <v>538</v>
      </c>
      <c r="G571" s="3">
        <v>10</v>
      </c>
      <c r="H571" s="3">
        <v>0</v>
      </c>
      <c r="I571" s="3">
        <v>10</v>
      </c>
      <c r="J571" s="3">
        <v>0</v>
      </c>
      <c r="K571" s="3">
        <v>0</v>
      </c>
      <c r="L571" s="3">
        <v>0</v>
      </c>
      <c r="M571" s="3">
        <v>0</v>
      </c>
      <c r="N571" s="3" t="s">
        <v>539</v>
      </c>
      <c r="O571" s="3">
        <v>0</v>
      </c>
      <c r="P571" s="3">
        <v>0</v>
      </c>
      <c r="Q571" s="3">
        <v>0</v>
      </c>
      <c r="R571" s="3">
        <v>0</v>
      </c>
      <c r="S571" s="3">
        <v>2</v>
      </c>
      <c r="T571" s="3">
        <v>7</v>
      </c>
      <c r="U571" s="3">
        <v>10</v>
      </c>
      <c r="V571" s="3">
        <v>10</v>
      </c>
      <c r="W571" s="3" t="s">
        <v>553</v>
      </c>
      <c r="X571" s="3">
        <v>20.99</v>
      </c>
      <c r="Y571" s="3">
        <v>20.99</v>
      </c>
      <c r="Z571" s="3">
        <v>20.99</v>
      </c>
      <c r="AA571" s="3">
        <v>0</v>
      </c>
      <c r="AB571" s="3" t="s">
        <v>547</v>
      </c>
      <c r="AC571" s="3">
        <v>10</v>
      </c>
      <c r="AD571" s="3">
        <v>20.99</v>
      </c>
      <c r="AE571" s="3">
        <v>0</v>
      </c>
      <c r="AF571" s="3">
        <v>0</v>
      </c>
      <c r="AG571" s="3">
        <v>0</v>
      </c>
      <c r="AH571" s="3">
        <v>1.05263157894736</v>
      </c>
      <c r="AI571" s="3">
        <v>2.31277</v>
      </c>
      <c r="AJ571" s="3" t="s">
        <v>548</v>
      </c>
    </row>
    <row r="572" spans="1:36">
      <c r="A572" s="4">
        <v>43336</v>
      </c>
      <c r="B572" s="3" t="s">
        <v>79</v>
      </c>
      <c r="C572" s="3" t="s">
        <v>80</v>
      </c>
      <c r="D572" s="3" t="s">
        <v>81</v>
      </c>
      <c r="E572" s="3" t="s">
        <v>82</v>
      </c>
      <c r="F572" s="3" t="s">
        <v>538</v>
      </c>
      <c r="G572" s="3">
        <v>9</v>
      </c>
      <c r="H572" s="3">
        <v>0</v>
      </c>
      <c r="I572" s="3">
        <v>9</v>
      </c>
      <c r="J572" s="3">
        <v>0</v>
      </c>
      <c r="K572" s="3">
        <v>0</v>
      </c>
      <c r="L572" s="3">
        <v>0</v>
      </c>
      <c r="M572" s="3">
        <v>0</v>
      </c>
      <c r="N572" s="3" t="s">
        <v>539</v>
      </c>
      <c r="O572" s="3">
        <v>0</v>
      </c>
      <c r="P572" s="3">
        <v>0</v>
      </c>
      <c r="Q572" s="3">
        <v>0</v>
      </c>
      <c r="R572" s="3">
        <v>0</v>
      </c>
      <c r="S572" s="3">
        <v>2</v>
      </c>
      <c r="T572" s="3">
        <v>9</v>
      </c>
      <c r="U572" s="3">
        <v>18</v>
      </c>
      <c r="V572" s="3">
        <v>23</v>
      </c>
      <c r="W572" s="3" t="s">
        <v>553</v>
      </c>
      <c r="X572" s="3">
        <v>9.99</v>
      </c>
      <c r="Y572" s="3">
        <v>9.99</v>
      </c>
      <c r="Z572" s="3">
        <v>9.99</v>
      </c>
      <c r="AA572" s="3">
        <v>0</v>
      </c>
      <c r="AB572" s="3" t="s">
        <v>547</v>
      </c>
      <c r="AC572" s="3">
        <v>10</v>
      </c>
      <c r="AD572" s="3">
        <v>9.99</v>
      </c>
      <c r="AE572" s="3">
        <v>0</v>
      </c>
      <c r="AF572" s="3">
        <v>0</v>
      </c>
      <c r="AG572" s="3">
        <v>0</v>
      </c>
      <c r="AH572" s="3">
        <v>1.24324324324324</v>
      </c>
      <c r="AI572" s="3">
        <v>1.809414</v>
      </c>
      <c r="AJ572" s="3" t="s">
        <v>548</v>
      </c>
    </row>
    <row r="573" spans="1:36">
      <c r="A573" s="4">
        <v>43336</v>
      </c>
      <c r="B573" s="3" t="s">
        <v>2244</v>
      </c>
      <c r="C573" s="3" t="s">
        <v>2245</v>
      </c>
      <c r="D573" s="3" t="s">
        <v>2246</v>
      </c>
      <c r="E573" s="3" t="s">
        <v>2247</v>
      </c>
      <c r="F573" s="3" t="s">
        <v>538</v>
      </c>
      <c r="G573" s="3">
        <v>6</v>
      </c>
      <c r="H573" s="3">
        <v>0</v>
      </c>
      <c r="I573" s="3">
        <v>0</v>
      </c>
      <c r="J573" s="3">
        <v>6</v>
      </c>
      <c r="K573" s="3">
        <v>0</v>
      </c>
      <c r="L573" s="3">
        <v>0</v>
      </c>
      <c r="M573" s="3">
        <v>0</v>
      </c>
      <c r="N573" s="3" t="s">
        <v>539</v>
      </c>
      <c r="O573" s="3">
        <v>0</v>
      </c>
      <c r="P573" s="3">
        <v>0</v>
      </c>
      <c r="Q573" s="3">
        <v>0</v>
      </c>
      <c r="R573" s="3">
        <v>0</v>
      </c>
      <c r="S573" s="3">
        <v>0</v>
      </c>
      <c r="T573" s="3">
        <v>0</v>
      </c>
      <c r="U573" s="3">
        <v>0</v>
      </c>
      <c r="V573" s="3">
        <v>0</v>
      </c>
      <c r="W573" s="3" t="s">
        <v>540</v>
      </c>
      <c r="X573" s="3">
        <v>9.99</v>
      </c>
      <c r="Y573" s="3">
        <v>9.99</v>
      </c>
      <c r="Z573" s="3">
        <v>9.99</v>
      </c>
      <c r="AA573" s="3">
        <v>0</v>
      </c>
      <c r="AB573" s="3" t="s">
        <v>541</v>
      </c>
      <c r="AC573" s="3">
        <v>0</v>
      </c>
      <c r="AD573" s="3">
        <v>7.99</v>
      </c>
      <c r="AE573" s="3">
        <v>63</v>
      </c>
      <c r="AF573" s="3">
        <v>0</v>
      </c>
      <c r="AG573" s="3">
        <v>30.948467</v>
      </c>
      <c r="AH573" s="3">
        <v>0</v>
      </c>
      <c r="AI573" s="3">
        <v>0.219558</v>
      </c>
      <c r="AJ573" s="3" t="s">
        <v>548</v>
      </c>
    </row>
    <row r="574" spans="1:36">
      <c r="A574" s="4">
        <v>43336</v>
      </c>
      <c r="B574" s="3" t="s">
        <v>2248</v>
      </c>
      <c r="C574" s="3" t="s">
        <v>2249</v>
      </c>
      <c r="D574" s="3" t="s">
        <v>2250</v>
      </c>
      <c r="E574" s="3" t="s">
        <v>2251</v>
      </c>
      <c r="F574" s="3" t="s">
        <v>538</v>
      </c>
      <c r="G574" s="3">
        <v>1</v>
      </c>
      <c r="H574" s="3">
        <v>0</v>
      </c>
      <c r="I574" s="3">
        <v>0</v>
      </c>
      <c r="J574" s="3">
        <v>0</v>
      </c>
      <c r="K574" s="3">
        <v>0</v>
      </c>
      <c r="L574" s="3">
        <v>1</v>
      </c>
      <c r="M574" s="3">
        <v>0</v>
      </c>
      <c r="N574" s="3" t="s">
        <v>539</v>
      </c>
      <c r="O574" s="3">
        <v>1</v>
      </c>
      <c r="P574" s="3">
        <v>0.16</v>
      </c>
      <c r="Q574" s="3">
        <v>0</v>
      </c>
      <c r="R574" s="3">
        <v>0</v>
      </c>
      <c r="S574" s="3">
        <v>0</v>
      </c>
      <c r="T574" s="3">
        <v>0</v>
      </c>
      <c r="U574" s="3">
        <v>0</v>
      </c>
      <c r="V574" s="3">
        <v>1</v>
      </c>
      <c r="W574" s="3" t="s">
        <v>553</v>
      </c>
      <c r="X574" s="3">
        <v>22.5</v>
      </c>
      <c r="Y574" s="3">
        <v>22.5</v>
      </c>
      <c r="Z574" s="3">
        <v>22.5</v>
      </c>
      <c r="AA574" s="3">
        <v>0</v>
      </c>
      <c r="AB574" s="3" t="s">
        <v>562</v>
      </c>
      <c r="AC574" s="3">
        <v>0</v>
      </c>
      <c r="AD574" s="3">
        <v>21.08</v>
      </c>
      <c r="AE574" s="3">
        <v>56</v>
      </c>
      <c r="AF574" s="3">
        <v>0</v>
      </c>
      <c r="AG574" s="3">
        <v>16.556287</v>
      </c>
      <c r="AH574" s="3">
        <v>0.8</v>
      </c>
      <c r="AI574" s="3">
        <v>0.047005</v>
      </c>
      <c r="AJ574" s="3" t="s">
        <v>548</v>
      </c>
    </row>
    <row r="575" spans="1:36">
      <c r="A575" s="4">
        <v>43336</v>
      </c>
      <c r="B575" s="3" t="s">
        <v>2252</v>
      </c>
      <c r="C575" s="3" t="s">
        <v>2253</v>
      </c>
      <c r="D575" s="3" t="s">
        <v>2254</v>
      </c>
      <c r="E575" s="3" t="s">
        <v>2255</v>
      </c>
      <c r="F575" s="3" t="s">
        <v>538</v>
      </c>
      <c r="G575" s="3">
        <v>2</v>
      </c>
      <c r="H575" s="3">
        <v>0</v>
      </c>
      <c r="I575" s="3">
        <v>0</v>
      </c>
      <c r="J575" s="3">
        <v>0</v>
      </c>
      <c r="K575" s="3">
        <v>0</v>
      </c>
      <c r="L575" s="3">
        <v>0</v>
      </c>
      <c r="M575" s="3">
        <v>2</v>
      </c>
      <c r="N575" s="3" t="s">
        <v>539</v>
      </c>
      <c r="O575" s="3">
        <v>0</v>
      </c>
      <c r="P575" s="3">
        <v>0</v>
      </c>
      <c r="Q575" s="3">
        <v>2</v>
      </c>
      <c r="R575" s="3">
        <v>1</v>
      </c>
      <c r="S575" s="3">
        <v>0</v>
      </c>
      <c r="T575" s="3">
        <v>0</v>
      </c>
      <c r="U575" s="3">
        <v>0</v>
      </c>
      <c r="V575" s="3">
        <v>0</v>
      </c>
      <c r="W575" s="3" t="s">
        <v>540</v>
      </c>
      <c r="X575" s="3">
        <v>44.1</v>
      </c>
      <c r="Y575" s="3">
        <v>44.1</v>
      </c>
      <c r="Z575" s="3">
        <v>44.1</v>
      </c>
      <c r="AA575" s="3">
        <v>0</v>
      </c>
      <c r="AB575" s="3" t="s">
        <v>562</v>
      </c>
      <c r="AC575" s="3">
        <v>0</v>
      </c>
      <c r="AD575" s="3">
        <v>35.28</v>
      </c>
      <c r="AE575" s="3">
        <v>63</v>
      </c>
      <c r="AF575" s="3">
        <v>0</v>
      </c>
      <c r="AG575" s="3">
        <v>5.12082</v>
      </c>
      <c r="AH575" s="3">
        <v>0</v>
      </c>
      <c r="AI575" s="5">
        <v>0.000116</v>
      </c>
      <c r="AJ575" s="3" t="s">
        <v>548</v>
      </c>
    </row>
    <row r="576" spans="1:36">
      <c r="A576" s="4">
        <v>43336</v>
      </c>
      <c r="B576" s="3" t="s">
        <v>2256</v>
      </c>
      <c r="C576" s="3" t="s">
        <v>2257</v>
      </c>
      <c r="D576" s="3" t="s">
        <v>2258</v>
      </c>
      <c r="E576" s="3" t="s">
        <v>1073</v>
      </c>
      <c r="F576" s="3" t="s">
        <v>538</v>
      </c>
      <c r="G576" s="3">
        <v>5</v>
      </c>
      <c r="H576" s="3">
        <v>0</v>
      </c>
      <c r="I576" s="3">
        <v>5</v>
      </c>
      <c r="J576" s="3">
        <v>0</v>
      </c>
      <c r="K576" s="3">
        <v>0</v>
      </c>
      <c r="L576" s="3">
        <v>0</v>
      </c>
      <c r="M576" s="3">
        <v>0</v>
      </c>
      <c r="N576" s="3" t="s">
        <v>539</v>
      </c>
      <c r="O576" s="3">
        <v>0</v>
      </c>
      <c r="P576" s="3">
        <v>0</v>
      </c>
      <c r="Q576" s="3">
        <v>0</v>
      </c>
      <c r="R576" s="3">
        <v>0</v>
      </c>
      <c r="S576" s="3">
        <v>0</v>
      </c>
      <c r="T576" s="3">
        <v>0</v>
      </c>
      <c r="U576" s="3">
        <v>0</v>
      </c>
      <c r="V576" s="3">
        <v>0</v>
      </c>
      <c r="W576" s="3" t="s">
        <v>540</v>
      </c>
      <c r="X576" s="3">
        <v>19.99</v>
      </c>
      <c r="Y576" s="3">
        <v>19.99</v>
      </c>
      <c r="Z576" s="3">
        <v>19.99</v>
      </c>
      <c r="AA576" s="3">
        <v>0</v>
      </c>
      <c r="AB576" s="3" t="s">
        <v>651</v>
      </c>
      <c r="AC576" s="3">
        <v>5</v>
      </c>
      <c r="AD576" s="3">
        <v>19.99</v>
      </c>
      <c r="AE576" s="3">
        <v>0</v>
      </c>
      <c r="AF576" s="3">
        <v>0</v>
      </c>
      <c r="AG576" s="3">
        <v>0</v>
      </c>
      <c r="AH576" s="3">
        <v>0</v>
      </c>
      <c r="AI576" s="3">
        <v>0.731745</v>
      </c>
      <c r="AJ576" s="3" t="s">
        <v>542</v>
      </c>
    </row>
    <row r="577" spans="1:36">
      <c r="A577" s="4">
        <v>43336</v>
      </c>
      <c r="B577" s="3" t="s">
        <v>2259</v>
      </c>
      <c r="C577" s="3" t="s">
        <v>2260</v>
      </c>
      <c r="D577" s="3" t="s">
        <v>2261</v>
      </c>
      <c r="E577" s="3" t="s">
        <v>757</v>
      </c>
      <c r="F577" s="3" t="s">
        <v>538</v>
      </c>
      <c r="G577" s="3">
        <v>6</v>
      </c>
      <c r="H577" s="3">
        <v>0</v>
      </c>
      <c r="I577" s="3">
        <v>6</v>
      </c>
      <c r="J577" s="3">
        <v>0</v>
      </c>
      <c r="K577" s="3">
        <v>0</v>
      </c>
      <c r="L577" s="3">
        <v>0</v>
      </c>
      <c r="M577" s="3">
        <v>0</v>
      </c>
      <c r="N577" s="3" t="s">
        <v>539</v>
      </c>
      <c r="O577" s="3">
        <v>0</v>
      </c>
      <c r="P577" s="3">
        <v>0</v>
      </c>
      <c r="Q577" s="3">
        <v>0</v>
      </c>
      <c r="R577" s="3">
        <v>0</v>
      </c>
      <c r="S577" s="3">
        <v>0</v>
      </c>
      <c r="T577" s="3">
        <v>0</v>
      </c>
      <c r="U577" s="3">
        <v>0</v>
      </c>
      <c r="V577" s="3">
        <v>0</v>
      </c>
      <c r="W577" s="3" t="s">
        <v>540</v>
      </c>
      <c r="X577" s="3">
        <v>19.99</v>
      </c>
      <c r="Y577" s="3">
        <v>19.99</v>
      </c>
      <c r="Z577" s="3">
        <v>19.99</v>
      </c>
      <c r="AA577" s="3">
        <v>0</v>
      </c>
      <c r="AB577" s="3" t="s">
        <v>541</v>
      </c>
      <c r="AC577" s="3">
        <v>0</v>
      </c>
      <c r="AD577" s="3">
        <v>0</v>
      </c>
      <c r="AE577" s="3">
        <v>0</v>
      </c>
      <c r="AF577" s="3">
        <v>0</v>
      </c>
      <c r="AG577" s="3">
        <v>0</v>
      </c>
      <c r="AH577" s="3">
        <v>0</v>
      </c>
      <c r="AI577" s="3">
        <v>0.811188</v>
      </c>
      <c r="AJ577" s="3" t="s">
        <v>542</v>
      </c>
    </row>
    <row r="578" spans="1:36">
      <c r="A578" s="4">
        <v>43336</v>
      </c>
      <c r="B578" s="3" t="s">
        <v>2262</v>
      </c>
      <c r="C578" s="3" t="s">
        <v>2263</v>
      </c>
      <c r="D578" s="3" t="s">
        <v>2264</v>
      </c>
      <c r="E578" s="3" t="s">
        <v>2265</v>
      </c>
      <c r="F578" s="3" t="s">
        <v>538</v>
      </c>
      <c r="G578" s="3">
        <v>1</v>
      </c>
      <c r="H578" s="3">
        <v>0</v>
      </c>
      <c r="I578" s="3">
        <v>1</v>
      </c>
      <c r="J578" s="3">
        <v>0</v>
      </c>
      <c r="K578" s="3">
        <v>0</v>
      </c>
      <c r="L578" s="3">
        <v>0</v>
      </c>
      <c r="M578" s="3">
        <v>0</v>
      </c>
      <c r="N578" s="3" t="s">
        <v>539</v>
      </c>
      <c r="O578" s="3">
        <v>0</v>
      </c>
      <c r="P578" s="3">
        <v>0</v>
      </c>
      <c r="Q578" s="3">
        <v>0</v>
      </c>
      <c r="R578" s="3">
        <v>0</v>
      </c>
      <c r="S578" s="3">
        <v>0</v>
      </c>
      <c r="T578" s="3">
        <v>3</v>
      </c>
      <c r="U578" s="3">
        <v>9</v>
      </c>
      <c r="V578" s="3">
        <v>9</v>
      </c>
      <c r="W578" s="3" t="s">
        <v>540</v>
      </c>
      <c r="X578" s="3">
        <v>39.2</v>
      </c>
      <c r="Y578" s="3">
        <v>12.4</v>
      </c>
      <c r="Z578" s="3">
        <v>12.4</v>
      </c>
      <c r="AA578" s="3">
        <v>0</v>
      </c>
      <c r="AB578" s="3" t="s">
        <v>651</v>
      </c>
      <c r="AC578" s="3">
        <v>0</v>
      </c>
      <c r="AD578" s="3">
        <v>0</v>
      </c>
      <c r="AE578" s="3">
        <v>0</v>
      </c>
      <c r="AF578" s="3">
        <v>0</v>
      </c>
      <c r="AG578" s="3">
        <v>0</v>
      </c>
      <c r="AH578" s="3">
        <v>2.11764705882352</v>
      </c>
      <c r="AI578" s="5">
        <v>5.8e-5</v>
      </c>
      <c r="AJ578" s="3" t="s">
        <v>548</v>
      </c>
    </row>
    <row r="579" spans="1:36">
      <c r="A579" s="4">
        <v>43336</v>
      </c>
      <c r="B579" s="3" t="s">
        <v>424</v>
      </c>
      <c r="C579" s="3" t="s">
        <v>425</v>
      </c>
      <c r="D579" s="3" t="s">
        <v>426</v>
      </c>
      <c r="E579" s="3" t="s">
        <v>427</v>
      </c>
      <c r="F579" s="3" t="s">
        <v>538</v>
      </c>
      <c r="G579" s="3">
        <v>7</v>
      </c>
      <c r="H579" s="3">
        <v>0</v>
      </c>
      <c r="I579" s="3">
        <v>7</v>
      </c>
      <c r="J579" s="3">
        <v>0</v>
      </c>
      <c r="K579" s="3">
        <v>0</v>
      </c>
      <c r="L579" s="3">
        <v>0</v>
      </c>
      <c r="M579" s="3">
        <v>0</v>
      </c>
      <c r="N579" s="3" t="s">
        <v>539</v>
      </c>
      <c r="O579" s="3">
        <v>0</v>
      </c>
      <c r="P579" s="3">
        <v>0</v>
      </c>
      <c r="Q579" s="3">
        <v>0</v>
      </c>
      <c r="R579" s="3">
        <v>0</v>
      </c>
      <c r="S579" s="3">
        <v>0</v>
      </c>
      <c r="T579" s="3">
        <v>1</v>
      </c>
      <c r="U579" s="3">
        <v>3</v>
      </c>
      <c r="V579" s="3">
        <v>3</v>
      </c>
      <c r="W579" s="3" t="s">
        <v>553</v>
      </c>
      <c r="X579" s="3">
        <v>10.99</v>
      </c>
      <c r="Y579" s="3">
        <v>10.99</v>
      </c>
      <c r="Z579" s="3">
        <v>10.99</v>
      </c>
      <c r="AA579" s="3">
        <v>0</v>
      </c>
      <c r="AB579" s="3" t="s">
        <v>547</v>
      </c>
      <c r="AC579" s="3">
        <v>7</v>
      </c>
      <c r="AD579" s="3">
        <v>10.99</v>
      </c>
      <c r="AE579" s="3">
        <v>0</v>
      </c>
      <c r="AF579" s="3">
        <v>0</v>
      </c>
      <c r="AG579" s="3">
        <v>0</v>
      </c>
      <c r="AH579" s="3">
        <v>0.461538461538461</v>
      </c>
      <c r="AI579" s="3">
        <v>0.265223</v>
      </c>
      <c r="AJ579" s="3" t="s">
        <v>596</v>
      </c>
    </row>
    <row r="580" spans="1:36">
      <c r="A580" s="4">
        <v>43336</v>
      </c>
      <c r="B580" s="3" t="s">
        <v>2266</v>
      </c>
      <c r="C580" s="3" t="s">
        <v>2267</v>
      </c>
      <c r="D580" s="3" t="s">
        <v>2268</v>
      </c>
      <c r="E580" s="3" t="s">
        <v>2269</v>
      </c>
      <c r="F580" s="3" t="s">
        <v>538</v>
      </c>
      <c r="G580" s="3">
        <v>3</v>
      </c>
      <c r="H580" s="3">
        <v>0</v>
      </c>
      <c r="I580" s="3">
        <v>0</v>
      </c>
      <c r="J580" s="3">
        <v>0</v>
      </c>
      <c r="K580" s="3">
        <v>3</v>
      </c>
      <c r="L580" s="3">
        <v>0</v>
      </c>
      <c r="M580" s="3">
        <v>0</v>
      </c>
      <c r="N580" s="3" t="s">
        <v>539</v>
      </c>
      <c r="O580" s="3">
        <v>3</v>
      </c>
      <c r="P580" s="3">
        <v>0.22</v>
      </c>
      <c r="Q580" s="3">
        <v>0</v>
      </c>
      <c r="R580" s="3">
        <v>0</v>
      </c>
      <c r="S580" s="3">
        <v>0</v>
      </c>
      <c r="T580" s="3">
        <v>0</v>
      </c>
      <c r="U580" s="3">
        <v>0</v>
      </c>
      <c r="V580" s="3">
        <v>0</v>
      </c>
      <c r="W580" s="3" t="s">
        <v>540</v>
      </c>
      <c r="X580" s="3">
        <v>9.59</v>
      </c>
      <c r="Y580" s="3">
        <v>9.59</v>
      </c>
      <c r="Z580" s="3">
        <v>9.59</v>
      </c>
      <c r="AA580" s="3">
        <v>0</v>
      </c>
      <c r="AB580" s="3" t="s">
        <v>562</v>
      </c>
      <c r="AC580" s="3">
        <v>0</v>
      </c>
      <c r="AD580" s="3">
        <v>7.67</v>
      </c>
      <c r="AE580" s="3">
        <v>63</v>
      </c>
      <c r="AF580" s="3">
        <v>0</v>
      </c>
      <c r="AG580" s="3">
        <v>9.487614</v>
      </c>
      <c r="AH580" s="3">
        <v>0</v>
      </c>
      <c r="AI580" s="3">
        <v>0.062499</v>
      </c>
      <c r="AJ580" s="3" t="s">
        <v>548</v>
      </c>
    </row>
    <row r="581" spans="1:36">
      <c r="A581" s="4">
        <v>43336</v>
      </c>
      <c r="B581" s="3" t="s">
        <v>268</v>
      </c>
      <c r="C581" s="3" t="s">
        <v>269</v>
      </c>
      <c r="D581" s="3" t="s">
        <v>270</v>
      </c>
      <c r="E581" s="3" t="s">
        <v>271</v>
      </c>
      <c r="F581" s="3" t="s">
        <v>538</v>
      </c>
      <c r="G581" s="3">
        <v>21</v>
      </c>
      <c r="H581" s="3">
        <v>0</v>
      </c>
      <c r="I581" s="3">
        <v>5</v>
      </c>
      <c r="J581" s="3">
        <v>0</v>
      </c>
      <c r="K581" s="3">
        <v>1</v>
      </c>
      <c r="L581" s="3">
        <v>15</v>
      </c>
      <c r="M581" s="3">
        <v>0</v>
      </c>
      <c r="N581" s="3" t="s">
        <v>539</v>
      </c>
      <c r="O581" s="3">
        <v>16</v>
      </c>
      <c r="P581" s="3">
        <v>3.01</v>
      </c>
      <c r="Q581" s="3">
        <v>0</v>
      </c>
      <c r="R581" s="3">
        <v>0</v>
      </c>
      <c r="S581" s="3">
        <v>1</v>
      </c>
      <c r="T581" s="3">
        <v>2</v>
      </c>
      <c r="U581" s="3">
        <v>4</v>
      </c>
      <c r="V581" s="3">
        <v>5</v>
      </c>
      <c r="W581" s="3"/>
      <c r="X581" s="3">
        <v>29.99</v>
      </c>
      <c r="Y581" s="3">
        <v>29.99</v>
      </c>
      <c r="Z581" s="3">
        <v>29.99</v>
      </c>
      <c r="AA581" s="3">
        <v>0</v>
      </c>
      <c r="AB581" s="3" t="s">
        <v>547</v>
      </c>
      <c r="AC581" s="3">
        <v>22</v>
      </c>
      <c r="AD581" s="3">
        <v>29.99</v>
      </c>
      <c r="AE581" s="3">
        <v>0</v>
      </c>
      <c r="AF581" s="3">
        <v>0</v>
      </c>
      <c r="AG581" s="3">
        <v>0</v>
      </c>
      <c r="AH581" s="3">
        <v>0.212765957446808</v>
      </c>
      <c r="AI581" s="3">
        <v>1.144143</v>
      </c>
      <c r="AJ581" s="3" t="s">
        <v>548</v>
      </c>
    </row>
    <row r="582" spans="1:36">
      <c r="A582" s="4">
        <v>43336</v>
      </c>
      <c r="B582" s="3" t="s">
        <v>2270</v>
      </c>
      <c r="C582" s="3" t="s">
        <v>2271</v>
      </c>
      <c r="D582" s="3" t="s">
        <v>2272</v>
      </c>
      <c r="E582" s="3" t="s">
        <v>403</v>
      </c>
      <c r="F582" s="3" t="s">
        <v>538</v>
      </c>
      <c r="G582" s="3">
        <v>15</v>
      </c>
      <c r="H582" s="3">
        <v>0</v>
      </c>
      <c r="I582" s="3">
        <v>0</v>
      </c>
      <c r="J582" s="3">
        <v>0</v>
      </c>
      <c r="K582" s="3">
        <v>0</v>
      </c>
      <c r="L582" s="3">
        <v>15</v>
      </c>
      <c r="M582" s="3">
        <v>0</v>
      </c>
      <c r="N582" s="3" t="s">
        <v>539</v>
      </c>
      <c r="O582" s="3">
        <v>15</v>
      </c>
      <c r="P582" s="3">
        <v>2.56</v>
      </c>
      <c r="Q582" s="3">
        <v>0</v>
      </c>
      <c r="R582" s="3">
        <v>0</v>
      </c>
      <c r="S582" s="3">
        <v>1</v>
      </c>
      <c r="T582" s="3">
        <v>4</v>
      </c>
      <c r="U582" s="3">
        <v>5</v>
      </c>
      <c r="V582" s="3">
        <v>7</v>
      </c>
      <c r="W582" s="3"/>
      <c r="X582" s="3">
        <v>10</v>
      </c>
      <c r="Y582" s="3">
        <v>10</v>
      </c>
      <c r="Z582" s="3">
        <v>10</v>
      </c>
      <c r="AA582" s="3">
        <v>0</v>
      </c>
      <c r="AB582" s="3" t="s">
        <v>562</v>
      </c>
      <c r="AC582" s="3">
        <v>0</v>
      </c>
      <c r="AD582" s="3">
        <v>7.83</v>
      </c>
      <c r="AE582" s="3">
        <v>112</v>
      </c>
      <c r="AF582" s="3">
        <v>0</v>
      </c>
      <c r="AG582" s="3">
        <v>106.535407</v>
      </c>
      <c r="AH582" s="3">
        <v>0.368421052631578</v>
      </c>
      <c r="AI582" s="3">
        <v>0.742185</v>
      </c>
      <c r="AJ582" s="3" t="s">
        <v>596</v>
      </c>
    </row>
    <row r="583" spans="1:36">
      <c r="A583" s="4">
        <v>43336</v>
      </c>
      <c r="B583" s="3" t="s">
        <v>2273</v>
      </c>
      <c r="C583" s="3" t="s">
        <v>2274</v>
      </c>
      <c r="D583" s="3" t="s">
        <v>2275</v>
      </c>
      <c r="E583" s="3" t="s">
        <v>2276</v>
      </c>
      <c r="F583" s="3" t="s">
        <v>538</v>
      </c>
      <c r="G583" s="3">
        <v>2</v>
      </c>
      <c r="H583" s="3">
        <v>0</v>
      </c>
      <c r="I583" s="3">
        <v>0</v>
      </c>
      <c r="J583" s="3">
        <v>2</v>
      </c>
      <c r="K583" s="3">
        <v>0</v>
      </c>
      <c r="L583" s="3">
        <v>0</v>
      </c>
      <c r="M583" s="3">
        <v>0</v>
      </c>
      <c r="N583" s="3" t="s">
        <v>539</v>
      </c>
      <c r="O583" s="3">
        <v>0</v>
      </c>
      <c r="P583" s="3">
        <v>0</v>
      </c>
      <c r="Q583" s="3">
        <v>0</v>
      </c>
      <c r="R583" s="3">
        <v>0</v>
      </c>
      <c r="S583" s="3">
        <v>0</v>
      </c>
      <c r="T583" s="3">
        <v>0</v>
      </c>
      <c r="U583" s="3">
        <v>2</v>
      </c>
      <c r="V583" s="3">
        <v>3</v>
      </c>
      <c r="W583" s="3" t="s">
        <v>553</v>
      </c>
      <c r="X583" s="3">
        <v>24.49</v>
      </c>
      <c r="Y583" s="3">
        <v>24.49</v>
      </c>
      <c r="Z583" s="3">
        <v>24.49</v>
      </c>
      <c r="AA583" s="3">
        <v>0</v>
      </c>
      <c r="AB583" s="3" t="s">
        <v>547</v>
      </c>
      <c r="AC583" s="3">
        <v>2</v>
      </c>
      <c r="AD583" s="3">
        <v>24.49</v>
      </c>
      <c r="AE583" s="3">
        <v>0</v>
      </c>
      <c r="AF583" s="3">
        <v>0</v>
      </c>
      <c r="AG583" s="3">
        <v>0</v>
      </c>
      <c r="AH583" s="3">
        <v>1.5</v>
      </c>
      <c r="AI583" s="3">
        <v>0.358854</v>
      </c>
      <c r="AJ583" s="3" t="s">
        <v>719</v>
      </c>
    </row>
    <row r="584" spans="1:36">
      <c r="A584" s="4">
        <v>43336</v>
      </c>
      <c r="B584" s="3" t="s">
        <v>2277</v>
      </c>
      <c r="C584" s="3" t="s">
        <v>2278</v>
      </c>
      <c r="D584" s="3" t="s">
        <v>2279</v>
      </c>
      <c r="E584" s="3" t="s">
        <v>2280</v>
      </c>
      <c r="F584" s="3" t="s">
        <v>538</v>
      </c>
      <c r="G584" s="3">
        <v>5</v>
      </c>
      <c r="H584" s="3">
        <v>0</v>
      </c>
      <c r="I584" s="3">
        <v>5</v>
      </c>
      <c r="J584" s="3">
        <v>0</v>
      </c>
      <c r="K584" s="3">
        <v>0</v>
      </c>
      <c r="L584" s="3">
        <v>0</v>
      </c>
      <c r="M584" s="3">
        <v>0</v>
      </c>
      <c r="N584" s="3" t="s">
        <v>539</v>
      </c>
      <c r="O584" s="3">
        <v>0</v>
      </c>
      <c r="P584" s="3">
        <v>0</v>
      </c>
      <c r="Q584" s="3">
        <v>0</v>
      </c>
      <c r="R584" s="3">
        <v>0</v>
      </c>
      <c r="S584" s="3">
        <v>0</v>
      </c>
      <c r="T584" s="3">
        <v>0</v>
      </c>
      <c r="U584" s="3">
        <v>0</v>
      </c>
      <c r="V584" s="3">
        <v>3</v>
      </c>
      <c r="W584" s="3" t="s">
        <v>540</v>
      </c>
      <c r="X584" s="3">
        <v>18.99</v>
      </c>
      <c r="Y584" s="3">
        <v>18.99</v>
      </c>
      <c r="Z584" s="3">
        <v>18.99</v>
      </c>
      <c r="AA584" s="3">
        <v>0</v>
      </c>
      <c r="AB584" s="3" t="s">
        <v>541</v>
      </c>
      <c r="AC584" s="3">
        <v>0</v>
      </c>
      <c r="AD584" s="3">
        <v>17.47</v>
      </c>
      <c r="AE584" s="3">
        <v>238</v>
      </c>
      <c r="AF584" s="3">
        <v>0</v>
      </c>
      <c r="AG584" s="3">
        <v>51.09564</v>
      </c>
      <c r="AH584" s="3">
        <v>0.666666666666666</v>
      </c>
      <c r="AI584" s="5">
        <v>4.99999999999999e-6</v>
      </c>
      <c r="AJ584" s="3" t="s">
        <v>548</v>
      </c>
    </row>
    <row r="585" spans="1:36">
      <c r="A585" s="4">
        <v>43336</v>
      </c>
      <c r="B585" s="3" t="s">
        <v>2281</v>
      </c>
      <c r="C585" s="3" t="s">
        <v>2282</v>
      </c>
      <c r="D585" s="3" t="s">
        <v>2283</v>
      </c>
      <c r="E585" s="3" t="s">
        <v>582</v>
      </c>
      <c r="F585" s="3" t="s">
        <v>538</v>
      </c>
      <c r="G585" s="3">
        <v>4</v>
      </c>
      <c r="H585" s="3">
        <v>0</v>
      </c>
      <c r="I585" s="3">
        <v>0</v>
      </c>
      <c r="J585" s="3">
        <v>4</v>
      </c>
      <c r="K585" s="3">
        <v>0</v>
      </c>
      <c r="L585" s="3">
        <v>0</v>
      </c>
      <c r="M585" s="3">
        <v>0</v>
      </c>
      <c r="N585" s="3" t="s">
        <v>539</v>
      </c>
      <c r="O585" s="3">
        <v>0</v>
      </c>
      <c r="P585" s="3">
        <v>0</v>
      </c>
      <c r="Q585" s="3">
        <v>0</v>
      </c>
      <c r="R585" s="3">
        <v>0</v>
      </c>
      <c r="S585" s="3">
        <v>0</v>
      </c>
      <c r="T585" s="3">
        <v>0</v>
      </c>
      <c r="U585" s="3">
        <v>0</v>
      </c>
      <c r="V585" s="3">
        <v>0</v>
      </c>
      <c r="W585" s="3" t="s">
        <v>540</v>
      </c>
      <c r="X585" s="3">
        <v>11.98</v>
      </c>
      <c r="Y585" s="3">
        <v>11.98</v>
      </c>
      <c r="Z585" s="3">
        <v>11.98</v>
      </c>
      <c r="AA585" s="3">
        <v>0</v>
      </c>
      <c r="AB585" s="3" t="s">
        <v>541</v>
      </c>
      <c r="AC585" s="3">
        <v>0</v>
      </c>
      <c r="AD585" s="3">
        <v>9.58</v>
      </c>
      <c r="AE585" s="3">
        <v>63</v>
      </c>
      <c r="AF585" s="3">
        <v>0</v>
      </c>
      <c r="AG585" s="3">
        <v>2.802641</v>
      </c>
      <c r="AH585" s="3">
        <v>0</v>
      </c>
      <c r="AI585" s="5">
        <v>0.000232</v>
      </c>
      <c r="AJ585" s="3" t="s">
        <v>548</v>
      </c>
    </row>
    <row r="586" spans="1:36">
      <c r="A586" s="4">
        <v>43336</v>
      </c>
      <c r="B586" s="3" t="s">
        <v>2284</v>
      </c>
      <c r="C586" s="3" t="s">
        <v>2285</v>
      </c>
      <c r="D586" s="3" t="s">
        <v>2286</v>
      </c>
      <c r="E586" s="3" t="s">
        <v>537</v>
      </c>
      <c r="F586" s="3" t="s">
        <v>538</v>
      </c>
      <c r="G586" s="3">
        <v>6</v>
      </c>
      <c r="H586" s="3">
        <v>0</v>
      </c>
      <c r="I586" s="3">
        <v>6</v>
      </c>
      <c r="J586" s="3">
        <v>0</v>
      </c>
      <c r="K586" s="3">
        <v>0</v>
      </c>
      <c r="L586" s="3">
        <v>0</v>
      </c>
      <c r="M586" s="3">
        <v>0</v>
      </c>
      <c r="N586" s="3" t="s">
        <v>539</v>
      </c>
      <c r="O586" s="3">
        <v>0</v>
      </c>
      <c r="P586" s="3">
        <v>0</v>
      </c>
      <c r="Q586" s="3">
        <v>0</v>
      </c>
      <c r="R586" s="3">
        <v>0</v>
      </c>
      <c r="S586" s="3">
        <v>0</v>
      </c>
      <c r="T586" s="3">
        <v>0</v>
      </c>
      <c r="U586" s="3">
        <v>0</v>
      </c>
      <c r="V586" s="3">
        <v>0</v>
      </c>
      <c r="W586" s="3" t="s">
        <v>540</v>
      </c>
      <c r="X586" s="3">
        <v>22.99</v>
      </c>
      <c r="Y586" s="3">
        <v>22.99</v>
      </c>
      <c r="Z586" s="3">
        <v>22.99</v>
      </c>
      <c r="AA586" s="3">
        <v>0</v>
      </c>
      <c r="AB586" s="3" t="s">
        <v>541</v>
      </c>
      <c r="AC586" s="3">
        <v>0</v>
      </c>
      <c r="AD586" s="3">
        <v>17.59</v>
      </c>
      <c r="AE586" s="3">
        <v>63</v>
      </c>
      <c r="AF586" s="3">
        <v>0</v>
      </c>
      <c r="AG586" s="3">
        <v>7.637253</v>
      </c>
      <c r="AH586" s="3">
        <v>0</v>
      </c>
      <c r="AI586" s="3">
        <v>0.75873</v>
      </c>
      <c r="AJ586" s="3" t="s">
        <v>542</v>
      </c>
    </row>
    <row r="587" spans="1:36">
      <c r="A587" s="4">
        <v>43336</v>
      </c>
      <c r="B587" s="3" t="s">
        <v>2287</v>
      </c>
      <c r="C587" s="3" t="s">
        <v>2288</v>
      </c>
      <c r="D587" s="3" t="s">
        <v>2289</v>
      </c>
      <c r="E587" s="3" t="s">
        <v>2290</v>
      </c>
      <c r="F587" s="3" t="s">
        <v>538</v>
      </c>
      <c r="G587" s="3">
        <v>3</v>
      </c>
      <c r="H587" s="3">
        <v>0</v>
      </c>
      <c r="I587" s="3">
        <v>0</v>
      </c>
      <c r="J587" s="3">
        <v>0</v>
      </c>
      <c r="K587" s="3">
        <v>3</v>
      </c>
      <c r="L587" s="3">
        <v>0</v>
      </c>
      <c r="M587" s="3">
        <v>0</v>
      </c>
      <c r="N587" s="3" t="s">
        <v>539</v>
      </c>
      <c r="O587" s="3">
        <v>3</v>
      </c>
      <c r="P587" s="3">
        <v>0</v>
      </c>
      <c r="Q587" s="3">
        <v>0</v>
      </c>
      <c r="R587" s="3">
        <v>0</v>
      </c>
      <c r="S587" s="3">
        <v>1</v>
      </c>
      <c r="T587" s="3">
        <v>1</v>
      </c>
      <c r="U587" s="3">
        <v>1</v>
      </c>
      <c r="V587" s="3">
        <v>2</v>
      </c>
      <c r="W587" s="3" t="s">
        <v>540</v>
      </c>
      <c r="X587" s="3">
        <v>22.99</v>
      </c>
      <c r="Y587" s="3">
        <v>11.59</v>
      </c>
      <c r="Z587" s="3">
        <v>11.59</v>
      </c>
      <c r="AA587" s="3">
        <v>0</v>
      </c>
      <c r="AB587" s="3" t="s">
        <v>547</v>
      </c>
      <c r="AC587" s="3">
        <v>3</v>
      </c>
      <c r="AD587" s="3">
        <v>11.59</v>
      </c>
      <c r="AE587" s="3">
        <v>0</v>
      </c>
      <c r="AF587" s="3">
        <v>0</v>
      </c>
      <c r="AG587" s="3">
        <v>0</v>
      </c>
      <c r="AH587" s="3">
        <v>0.5</v>
      </c>
      <c r="AI587" s="5">
        <v>0.000174</v>
      </c>
      <c r="AJ587" s="3" t="s">
        <v>548</v>
      </c>
    </row>
    <row r="588" spans="1:36">
      <c r="A588" s="4">
        <v>43336</v>
      </c>
      <c r="B588" s="3" t="s">
        <v>2291</v>
      </c>
      <c r="C588" s="3" t="s">
        <v>2292</v>
      </c>
      <c r="D588" s="3" t="s">
        <v>2293</v>
      </c>
      <c r="E588" s="3" t="s">
        <v>2294</v>
      </c>
      <c r="F588" s="3" t="s">
        <v>538</v>
      </c>
      <c r="G588" s="3">
        <v>1</v>
      </c>
      <c r="H588" s="3">
        <v>0</v>
      </c>
      <c r="I588" s="3">
        <v>1</v>
      </c>
      <c r="J588" s="3">
        <v>0</v>
      </c>
      <c r="K588" s="3">
        <v>0</v>
      </c>
      <c r="L588" s="3">
        <v>0</v>
      </c>
      <c r="M588" s="3">
        <v>0</v>
      </c>
      <c r="N588" s="3" t="s">
        <v>539</v>
      </c>
      <c r="O588" s="3">
        <v>0</v>
      </c>
      <c r="P588" s="3">
        <v>0</v>
      </c>
      <c r="Q588" s="3">
        <v>0</v>
      </c>
      <c r="R588" s="3">
        <v>0</v>
      </c>
      <c r="S588" s="3">
        <v>1</v>
      </c>
      <c r="T588" s="3">
        <v>4</v>
      </c>
      <c r="U588" s="3">
        <v>9</v>
      </c>
      <c r="V588" s="3">
        <v>9</v>
      </c>
      <c r="W588" s="3" t="s">
        <v>553</v>
      </c>
      <c r="X588" s="3">
        <v>12.99</v>
      </c>
      <c r="Y588" s="3">
        <v>12.99</v>
      </c>
      <c r="Z588" s="3">
        <v>12.99</v>
      </c>
      <c r="AA588" s="3">
        <v>0</v>
      </c>
      <c r="AB588" s="3" t="s">
        <v>547</v>
      </c>
      <c r="AC588" s="3">
        <v>2</v>
      </c>
      <c r="AD588" s="3">
        <v>12.99</v>
      </c>
      <c r="AE588" s="3">
        <v>0</v>
      </c>
      <c r="AF588" s="3">
        <v>0</v>
      </c>
      <c r="AG588" s="3">
        <v>0</v>
      </c>
      <c r="AH588" s="3">
        <v>4.5</v>
      </c>
      <c r="AI588" s="3">
        <v>0.033712</v>
      </c>
      <c r="AJ588" s="3" t="s">
        <v>596</v>
      </c>
    </row>
    <row r="589" spans="1:36">
      <c r="A589" s="4">
        <v>43336</v>
      </c>
      <c r="B589" s="3" t="s">
        <v>190</v>
      </c>
      <c r="C589" s="3" t="s">
        <v>191</v>
      </c>
      <c r="D589" s="3" t="s">
        <v>192</v>
      </c>
      <c r="E589" s="3" t="s">
        <v>193</v>
      </c>
      <c r="F589" s="3" t="s">
        <v>538</v>
      </c>
      <c r="G589" s="3">
        <v>102</v>
      </c>
      <c r="H589" s="3">
        <v>0</v>
      </c>
      <c r="I589" s="3">
        <v>102</v>
      </c>
      <c r="J589" s="3">
        <v>0</v>
      </c>
      <c r="K589" s="3">
        <v>0</v>
      </c>
      <c r="L589" s="3">
        <v>0</v>
      </c>
      <c r="M589" s="3">
        <v>0</v>
      </c>
      <c r="N589" s="3" t="s">
        <v>539</v>
      </c>
      <c r="O589" s="3">
        <v>0</v>
      </c>
      <c r="P589" s="3">
        <v>0</v>
      </c>
      <c r="Q589" s="3">
        <v>0</v>
      </c>
      <c r="R589" s="3">
        <v>0</v>
      </c>
      <c r="S589" s="3">
        <v>26</v>
      </c>
      <c r="T589" s="3">
        <v>96</v>
      </c>
      <c r="U589" s="3">
        <v>129</v>
      </c>
      <c r="V589" s="3">
        <v>164</v>
      </c>
      <c r="W589" s="3" t="s">
        <v>553</v>
      </c>
      <c r="X589" s="3">
        <v>22.99</v>
      </c>
      <c r="Y589" s="3">
        <v>22.99</v>
      </c>
      <c r="Z589" s="3">
        <v>22.99</v>
      </c>
      <c r="AA589" s="3">
        <v>0</v>
      </c>
      <c r="AB589" s="3" t="s">
        <v>547</v>
      </c>
      <c r="AC589" s="3">
        <v>13</v>
      </c>
      <c r="AD589" s="3">
        <v>22.99</v>
      </c>
      <c r="AE589" s="3">
        <v>0</v>
      </c>
      <c r="AF589" s="3">
        <v>0</v>
      </c>
      <c r="AG589" s="3">
        <v>0</v>
      </c>
      <c r="AH589" s="3">
        <v>4.78832116788321</v>
      </c>
      <c r="AI589" s="3">
        <v>3.20229</v>
      </c>
      <c r="AJ589" s="3" t="s">
        <v>596</v>
      </c>
    </row>
    <row r="590" spans="1:36">
      <c r="A590" s="4">
        <v>43336</v>
      </c>
      <c r="B590" s="3" t="s">
        <v>2295</v>
      </c>
      <c r="C590" s="3" t="s">
        <v>2296</v>
      </c>
      <c r="D590" s="3" t="s">
        <v>2297</v>
      </c>
      <c r="E590" s="3" t="s">
        <v>303</v>
      </c>
      <c r="F590" s="3" t="s">
        <v>538</v>
      </c>
      <c r="G590" s="3">
        <v>2</v>
      </c>
      <c r="H590" s="3">
        <v>0</v>
      </c>
      <c r="I590" s="3">
        <v>0</v>
      </c>
      <c r="J590" s="3">
        <v>0</v>
      </c>
      <c r="K590" s="3">
        <v>2</v>
      </c>
      <c r="L590" s="3">
        <v>0</v>
      </c>
      <c r="M590" s="3">
        <v>0</v>
      </c>
      <c r="N590" s="3" t="s">
        <v>539</v>
      </c>
      <c r="O590" s="3">
        <v>2</v>
      </c>
      <c r="P590" s="3">
        <v>0.2</v>
      </c>
      <c r="Q590" s="3">
        <v>0</v>
      </c>
      <c r="R590" s="3">
        <v>0</v>
      </c>
      <c r="S590" s="3">
        <v>0</v>
      </c>
      <c r="T590" s="3">
        <v>0</v>
      </c>
      <c r="U590" s="3">
        <v>0</v>
      </c>
      <c r="V590" s="3">
        <v>1</v>
      </c>
      <c r="W590" s="3" t="s">
        <v>540</v>
      </c>
      <c r="X590" s="3">
        <v>9.9</v>
      </c>
      <c r="Y590" s="3">
        <v>9.9</v>
      </c>
      <c r="Z590" s="3">
        <v>9.9</v>
      </c>
      <c r="AA590" s="3">
        <v>0</v>
      </c>
      <c r="AB590" s="3" t="s">
        <v>541</v>
      </c>
      <c r="AC590" s="3">
        <v>0</v>
      </c>
      <c r="AD590" s="3">
        <v>8.77</v>
      </c>
      <c r="AE590" s="3">
        <v>182</v>
      </c>
      <c r="AF590" s="3">
        <v>0</v>
      </c>
      <c r="AG590" s="3">
        <v>13.694346</v>
      </c>
      <c r="AH590" s="3">
        <v>0.444444444444444</v>
      </c>
      <c r="AI590" s="3">
        <v>0.057972</v>
      </c>
      <c r="AJ590" s="3" t="s">
        <v>548</v>
      </c>
    </row>
    <row r="591" spans="1:36">
      <c r="A591" s="4">
        <v>43336</v>
      </c>
      <c r="B591" s="3" t="s">
        <v>2298</v>
      </c>
      <c r="C591" s="3" t="s">
        <v>2299</v>
      </c>
      <c r="D591" s="3" t="s">
        <v>2300</v>
      </c>
      <c r="E591" s="3" t="s">
        <v>845</v>
      </c>
      <c r="F591" s="3" t="s">
        <v>538</v>
      </c>
      <c r="G591" s="3">
        <v>1</v>
      </c>
      <c r="H591" s="3">
        <v>0</v>
      </c>
      <c r="I591" s="3">
        <v>1</v>
      </c>
      <c r="J591" s="3">
        <v>0</v>
      </c>
      <c r="K591" s="3">
        <v>0</v>
      </c>
      <c r="L591" s="3">
        <v>0</v>
      </c>
      <c r="M591" s="3">
        <v>0</v>
      </c>
      <c r="N591" s="3" t="s">
        <v>539</v>
      </c>
      <c r="O591" s="3">
        <v>0</v>
      </c>
      <c r="P591" s="3">
        <v>0</v>
      </c>
      <c r="Q591" s="3">
        <v>0</v>
      </c>
      <c r="R591" s="3">
        <v>0</v>
      </c>
      <c r="S591" s="3">
        <v>0</v>
      </c>
      <c r="T591" s="3">
        <v>0</v>
      </c>
      <c r="U591" s="3">
        <v>0</v>
      </c>
      <c r="V591" s="3">
        <v>0</v>
      </c>
      <c r="W591" s="3" t="s">
        <v>540</v>
      </c>
      <c r="X591" s="3">
        <v>13.3</v>
      </c>
      <c r="Y591" s="3">
        <v>13.3</v>
      </c>
      <c r="Z591" s="3">
        <v>13.3</v>
      </c>
      <c r="AA591" s="3">
        <v>0</v>
      </c>
      <c r="AB591" s="3" t="s">
        <v>541</v>
      </c>
      <c r="AC591" s="3">
        <v>0</v>
      </c>
      <c r="AD591" s="3">
        <v>0</v>
      </c>
      <c r="AE591" s="3">
        <v>0</v>
      </c>
      <c r="AF591" s="3">
        <v>0</v>
      </c>
      <c r="AG591" s="3">
        <v>0</v>
      </c>
      <c r="AH591" s="3">
        <v>0</v>
      </c>
      <c r="AI591" s="3">
        <v>0.143438</v>
      </c>
      <c r="AJ591" s="3" t="s">
        <v>548</v>
      </c>
    </row>
    <row r="592" spans="1:36">
      <c r="A592" s="4">
        <v>43336</v>
      </c>
      <c r="B592" s="3" t="s">
        <v>2301</v>
      </c>
      <c r="C592" s="3" t="s">
        <v>2302</v>
      </c>
      <c r="D592" s="3" t="s">
        <v>2303</v>
      </c>
      <c r="E592" s="3" t="s">
        <v>552</v>
      </c>
      <c r="F592" s="3" t="s">
        <v>538</v>
      </c>
      <c r="G592" s="3">
        <v>3</v>
      </c>
      <c r="H592" s="3">
        <v>0</v>
      </c>
      <c r="I592" s="3">
        <v>3</v>
      </c>
      <c r="J592" s="3">
        <v>0</v>
      </c>
      <c r="K592" s="3">
        <v>0</v>
      </c>
      <c r="L592" s="3">
        <v>0</v>
      </c>
      <c r="M592" s="3">
        <v>0</v>
      </c>
      <c r="N592" s="3" t="s">
        <v>539</v>
      </c>
      <c r="O592" s="3">
        <v>0</v>
      </c>
      <c r="P592" s="3">
        <v>0</v>
      </c>
      <c r="Q592" s="3">
        <v>0</v>
      </c>
      <c r="R592" s="3">
        <v>0</v>
      </c>
      <c r="S592" s="3">
        <v>0</v>
      </c>
      <c r="T592" s="3">
        <v>0</v>
      </c>
      <c r="U592" s="3">
        <v>0</v>
      </c>
      <c r="V592" s="3">
        <v>0</v>
      </c>
      <c r="W592" s="3" t="s">
        <v>553</v>
      </c>
      <c r="X592" s="3">
        <v>31.9</v>
      </c>
      <c r="Y592" s="3">
        <v>31.9</v>
      </c>
      <c r="Z592" s="3">
        <v>31.9</v>
      </c>
      <c r="AA592" s="3">
        <v>0</v>
      </c>
      <c r="AB592" s="3" t="s">
        <v>562</v>
      </c>
      <c r="AC592" s="3">
        <v>0</v>
      </c>
      <c r="AD592" s="3">
        <v>28.02</v>
      </c>
      <c r="AE592" s="3">
        <v>238</v>
      </c>
      <c r="AF592" s="3">
        <v>0</v>
      </c>
      <c r="AG592" s="3">
        <v>93.681392</v>
      </c>
      <c r="AH592" s="3">
        <v>0</v>
      </c>
      <c r="AI592" s="3">
        <v>0.441798</v>
      </c>
      <c r="AJ592" s="3" t="s">
        <v>548</v>
      </c>
    </row>
    <row r="593" spans="1:36">
      <c r="A593" s="4">
        <v>43336</v>
      </c>
      <c r="B593" s="3" t="s">
        <v>2304</v>
      </c>
      <c r="C593" s="3" t="s">
        <v>2305</v>
      </c>
      <c r="D593" s="3" t="s">
        <v>2306</v>
      </c>
      <c r="E593" s="3" t="s">
        <v>1038</v>
      </c>
      <c r="F593" s="3" t="s">
        <v>538</v>
      </c>
      <c r="G593" s="3">
        <v>3</v>
      </c>
      <c r="H593" s="3">
        <v>0</v>
      </c>
      <c r="I593" s="3">
        <v>0</v>
      </c>
      <c r="J593" s="3">
        <v>3</v>
      </c>
      <c r="K593" s="3">
        <v>0</v>
      </c>
      <c r="L593" s="3">
        <v>0</v>
      </c>
      <c r="M593" s="3">
        <v>0</v>
      </c>
      <c r="N593" s="3" t="s">
        <v>539</v>
      </c>
      <c r="O593" s="3">
        <v>0</v>
      </c>
      <c r="P593" s="3">
        <v>0</v>
      </c>
      <c r="Q593" s="3">
        <v>0</v>
      </c>
      <c r="R593" s="3">
        <v>0</v>
      </c>
      <c r="S593" s="3">
        <v>0</v>
      </c>
      <c r="T593" s="3">
        <v>0</v>
      </c>
      <c r="U593" s="3">
        <v>0</v>
      </c>
      <c r="V593" s="3">
        <v>0</v>
      </c>
      <c r="W593" s="3" t="s">
        <v>540</v>
      </c>
      <c r="X593" s="3">
        <v>9.98</v>
      </c>
      <c r="Y593" s="3">
        <v>9.98</v>
      </c>
      <c r="Z593" s="3">
        <v>9.98</v>
      </c>
      <c r="AA593" s="3">
        <v>0</v>
      </c>
      <c r="AB593" s="3" t="s">
        <v>541</v>
      </c>
      <c r="AC593" s="3">
        <v>0</v>
      </c>
      <c r="AD593" s="3">
        <v>7.98</v>
      </c>
      <c r="AE593" s="3">
        <v>63</v>
      </c>
      <c r="AF593" s="3">
        <v>0</v>
      </c>
      <c r="AG593" s="3">
        <v>1.754693</v>
      </c>
      <c r="AH593" s="3">
        <v>0</v>
      </c>
      <c r="AI593" s="5">
        <v>0.000174</v>
      </c>
      <c r="AJ593" s="3" t="s">
        <v>548</v>
      </c>
    </row>
    <row r="594" spans="1:36">
      <c r="A594" s="4">
        <v>43336</v>
      </c>
      <c r="B594" s="3" t="s">
        <v>2307</v>
      </c>
      <c r="C594" s="3" t="s">
        <v>2308</v>
      </c>
      <c r="D594" s="3" t="s">
        <v>2309</v>
      </c>
      <c r="E594" s="3" t="s">
        <v>1038</v>
      </c>
      <c r="F594" s="3" t="s">
        <v>538</v>
      </c>
      <c r="G594" s="3">
        <v>4</v>
      </c>
      <c r="H594" s="3">
        <v>0</v>
      </c>
      <c r="I594" s="3">
        <v>0</v>
      </c>
      <c r="J594" s="3">
        <v>4</v>
      </c>
      <c r="K594" s="3">
        <v>0</v>
      </c>
      <c r="L594" s="3">
        <v>0</v>
      </c>
      <c r="M594" s="3">
        <v>0</v>
      </c>
      <c r="N594" s="3" t="s">
        <v>539</v>
      </c>
      <c r="O594" s="3">
        <v>0</v>
      </c>
      <c r="P594" s="3">
        <v>0</v>
      </c>
      <c r="Q594" s="3">
        <v>0</v>
      </c>
      <c r="R594" s="3">
        <v>0</v>
      </c>
      <c r="S594" s="3">
        <v>0</v>
      </c>
      <c r="T594" s="3">
        <v>0</v>
      </c>
      <c r="U594" s="3">
        <v>0</v>
      </c>
      <c r="V594" s="3">
        <v>0</v>
      </c>
      <c r="W594" s="3" t="s">
        <v>540</v>
      </c>
      <c r="X594" s="3">
        <v>9.98</v>
      </c>
      <c r="Y594" s="3">
        <v>9.98</v>
      </c>
      <c r="Z594" s="3">
        <v>9.98</v>
      </c>
      <c r="AA594" s="3">
        <v>0</v>
      </c>
      <c r="AB594" s="3" t="s">
        <v>541</v>
      </c>
      <c r="AC594" s="3">
        <v>0</v>
      </c>
      <c r="AD594" s="3">
        <v>7.98</v>
      </c>
      <c r="AE594" s="3">
        <v>63</v>
      </c>
      <c r="AF594" s="3">
        <v>0</v>
      </c>
      <c r="AG594" s="3">
        <v>2.339591</v>
      </c>
      <c r="AH594" s="3">
        <v>0</v>
      </c>
      <c r="AI594" s="5">
        <v>0.000232</v>
      </c>
      <c r="AJ594" s="3" t="s">
        <v>548</v>
      </c>
    </row>
    <row r="595" spans="1:36">
      <c r="A595" s="4">
        <v>43336</v>
      </c>
      <c r="B595" s="3" t="s">
        <v>2310</v>
      </c>
      <c r="C595" s="3" t="s">
        <v>2311</v>
      </c>
      <c r="D595" s="3" t="s">
        <v>2312</v>
      </c>
      <c r="E595" s="3" t="s">
        <v>815</v>
      </c>
      <c r="F595" s="3" t="s">
        <v>538</v>
      </c>
      <c r="G595" s="3">
        <v>6</v>
      </c>
      <c r="H595" s="3">
        <v>0</v>
      </c>
      <c r="I595" s="3">
        <v>6</v>
      </c>
      <c r="J595" s="3">
        <v>0</v>
      </c>
      <c r="K595" s="3">
        <v>0</v>
      </c>
      <c r="L595" s="3">
        <v>0</v>
      </c>
      <c r="M595" s="3">
        <v>0</v>
      </c>
      <c r="N595" s="3" t="s">
        <v>539</v>
      </c>
      <c r="O595" s="3">
        <v>0</v>
      </c>
      <c r="P595" s="3">
        <v>0</v>
      </c>
      <c r="Q595" s="3">
        <v>0</v>
      </c>
      <c r="R595" s="3">
        <v>0</v>
      </c>
      <c r="S595" s="3">
        <v>0</v>
      </c>
      <c r="T595" s="3">
        <v>0</v>
      </c>
      <c r="U595" s="3">
        <v>0</v>
      </c>
      <c r="V595" s="3">
        <v>0</v>
      </c>
      <c r="W595" s="3" t="s">
        <v>540</v>
      </c>
      <c r="X595" s="3">
        <v>22.99</v>
      </c>
      <c r="Y595" s="3">
        <v>22.99</v>
      </c>
      <c r="Z595" s="3">
        <v>22.99</v>
      </c>
      <c r="AA595" s="3">
        <v>0</v>
      </c>
      <c r="AB595" s="3" t="s">
        <v>541</v>
      </c>
      <c r="AC595" s="3">
        <v>0</v>
      </c>
      <c r="AD595" s="3">
        <v>0</v>
      </c>
      <c r="AE595" s="3">
        <v>0</v>
      </c>
      <c r="AF595" s="3">
        <v>0</v>
      </c>
      <c r="AG595" s="3">
        <v>0</v>
      </c>
      <c r="AH595" s="3">
        <v>0</v>
      </c>
      <c r="AI595" s="3">
        <v>0.906833999999999</v>
      </c>
      <c r="AJ595" s="3" t="s">
        <v>542</v>
      </c>
    </row>
    <row r="596" spans="1:36">
      <c r="A596" s="4">
        <v>43336</v>
      </c>
      <c r="B596" s="3" t="s">
        <v>2313</v>
      </c>
      <c r="C596" s="3" t="s">
        <v>2314</v>
      </c>
      <c r="D596" s="3" t="s">
        <v>2315</v>
      </c>
      <c r="E596" s="3" t="s">
        <v>2316</v>
      </c>
      <c r="F596" s="3" t="s">
        <v>538</v>
      </c>
      <c r="G596" s="3">
        <v>18</v>
      </c>
      <c r="H596" s="3">
        <v>0</v>
      </c>
      <c r="I596" s="3">
        <v>18</v>
      </c>
      <c r="J596" s="3">
        <v>0</v>
      </c>
      <c r="K596" s="3">
        <v>0</v>
      </c>
      <c r="L596" s="3">
        <v>0</v>
      </c>
      <c r="M596" s="3">
        <v>0</v>
      </c>
      <c r="N596" s="3" t="s">
        <v>539</v>
      </c>
      <c r="O596" s="3">
        <v>0</v>
      </c>
      <c r="P596" s="3">
        <v>0</v>
      </c>
      <c r="Q596" s="3">
        <v>0</v>
      </c>
      <c r="R596" s="3">
        <v>0</v>
      </c>
      <c r="S596" s="3">
        <v>1</v>
      </c>
      <c r="T596" s="3">
        <v>7</v>
      </c>
      <c r="U596" s="3">
        <v>12</v>
      </c>
      <c r="V596" s="3">
        <v>16</v>
      </c>
      <c r="W596" s="3"/>
      <c r="X596" s="3">
        <v>13.99</v>
      </c>
      <c r="Y596" s="3">
        <v>13.99</v>
      </c>
      <c r="Z596" s="3">
        <v>13.99</v>
      </c>
      <c r="AA596" s="3">
        <v>0</v>
      </c>
      <c r="AB596" s="3" t="s">
        <v>547</v>
      </c>
      <c r="AC596" s="3">
        <v>18</v>
      </c>
      <c r="AD596" s="3">
        <v>13.99</v>
      </c>
      <c r="AE596" s="3">
        <v>0</v>
      </c>
      <c r="AF596" s="3">
        <v>0</v>
      </c>
      <c r="AG596" s="3">
        <v>0</v>
      </c>
      <c r="AH596" s="3">
        <v>1.04918032786885</v>
      </c>
      <c r="AI596" s="3">
        <v>1.384974</v>
      </c>
      <c r="AJ596" s="3" t="s">
        <v>596</v>
      </c>
    </row>
    <row r="597" spans="1:36">
      <c r="A597" s="4">
        <v>43336</v>
      </c>
      <c r="B597" s="3" t="s">
        <v>2317</v>
      </c>
      <c r="C597" s="3" t="s">
        <v>2318</v>
      </c>
      <c r="D597" s="3" t="s">
        <v>2319</v>
      </c>
      <c r="E597" s="3" t="s">
        <v>2320</v>
      </c>
      <c r="F597" s="3" t="s">
        <v>538</v>
      </c>
      <c r="G597" s="3">
        <v>8</v>
      </c>
      <c r="H597" s="3">
        <v>0</v>
      </c>
      <c r="I597" s="3">
        <v>6</v>
      </c>
      <c r="J597" s="3">
        <v>2</v>
      </c>
      <c r="K597" s="3">
        <v>0</v>
      </c>
      <c r="L597" s="3">
        <v>0</v>
      </c>
      <c r="M597" s="3">
        <v>0</v>
      </c>
      <c r="N597" s="3" t="s">
        <v>539</v>
      </c>
      <c r="O597" s="3">
        <v>0</v>
      </c>
      <c r="P597" s="3">
        <v>0</v>
      </c>
      <c r="Q597" s="3">
        <v>0</v>
      </c>
      <c r="R597" s="3">
        <v>0</v>
      </c>
      <c r="S597" s="3">
        <v>0</v>
      </c>
      <c r="T597" s="3">
        <v>0</v>
      </c>
      <c r="U597" s="3">
        <v>1</v>
      </c>
      <c r="V597" s="3">
        <v>1</v>
      </c>
      <c r="W597" s="3" t="s">
        <v>553</v>
      </c>
      <c r="X597" s="3">
        <v>15.99</v>
      </c>
      <c r="Y597" s="3">
        <v>15.99</v>
      </c>
      <c r="Z597" s="3">
        <v>15.99</v>
      </c>
      <c r="AA597" s="3">
        <v>0</v>
      </c>
      <c r="AB597" s="3" t="s">
        <v>562</v>
      </c>
      <c r="AC597" s="3">
        <v>8</v>
      </c>
      <c r="AD597" s="3">
        <v>15.19</v>
      </c>
      <c r="AE597" s="3">
        <v>0</v>
      </c>
      <c r="AF597" s="3">
        <v>0</v>
      </c>
      <c r="AG597" s="3">
        <v>0</v>
      </c>
      <c r="AH597" s="3">
        <v>0.181818181818181</v>
      </c>
      <c r="AI597" s="3">
        <v>0.365504</v>
      </c>
      <c r="AJ597" s="3" t="s">
        <v>596</v>
      </c>
    </row>
    <row r="598" spans="1:36">
      <c r="A598" s="4">
        <v>43336</v>
      </c>
      <c r="B598" s="3" t="s">
        <v>2321</v>
      </c>
      <c r="C598" s="3" t="s">
        <v>2322</v>
      </c>
      <c r="D598" s="3" t="s">
        <v>2323</v>
      </c>
      <c r="E598" s="3" t="s">
        <v>2324</v>
      </c>
      <c r="F598" s="3" t="s">
        <v>538</v>
      </c>
      <c r="G598" s="3">
        <v>5</v>
      </c>
      <c r="H598" s="3">
        <v>0</v>
      </c>
      <c r="I598" s="3">
        <v>5</v>
      </c>
      <c r="J598" s="3">
        <v>0</v>
      </c>
      <c r="K598" s="3">
        <v>0</v>
      </c>
      <c r="L598" s="3">
        <v>0</v>
      </c>
      <c r="M598" s="3">
        <v>0</v>
      </c>
      <c r="N598" s="3" t="s">
        <v>539</v>
      </c>
      <c r="O598" s="3">
        <v>0</v>
      </c>
      <c r="P598" s="3">
        <v>0</v>
      </c>
      <c r="Q598" s="3">
        <v>0</v>
      </c>
      <c r="R598" s="3">
        <v>0</v>
      </c>
      <c r="S598" s="3">
        <v>0</v>
      </c>
      <c r="T598" s="3">
        <v>0</v>
      </c>
      <c r="U598" s="3">
        <v>0</v>
      </c>
      <c r="V598" s="3">
        <v>0</v>
      </c>
      <c r="W598" s="3" t="s">
        <v>553</v>
      </c>
      <c r="X598" s="3">
        <v>14.99</v>
      </c>
      <c r="Y598" s="3">
        <v>14.99</v>
      </c>
      <c r="Z598" s="3">
        <v>14.99</v>
      </c>
      <c r="AA598" s="3">
        <v>0</v>
      </c>
      <c r="AB598" s="3" t="s">
        <v>547</v>
      </c>
      <c r="AC598" s="3">
        <v>5</v>
      </c>
      <c r="AD598" s="3">
        <v>14.99</v>
      </c>
      <c r="AE598" s="3">
        <v>0</v>
      </c>
      <c r="AF598" s="3">
        <v>0</v>
      </c>
      <c r="AG598" s="3">
        <v>0</v>
      </c>
      <c r="AH598" s="3">
        <v>0</v>
      </c>
      <c r="AI598" s="3">
        <v>1.17665</v>
      </c>
      <c r="AJ598" s="3" t="s">
        <v>548</v>
      </c>
    </row>
    <row r="599" spans="1:36">
      <c r="A599" s="4">
        <v>43336</v>
      </c>
      <c r="B599" s="3" t="s">
        <v>443</v>
      </c>
      <c r="C599" s="3" t="s">
        <v>444</v>
      </c>
      <c r="D599" s="3" t="s">
        <v>445</v>
      </c>
      <c r="E599" s="3" t="s">
        <v>446</v>
      </c>
      <c r="F599" s="3" t="s">
        <v>538</v>
      </c>
      <c r="G599" s="3">
        <v>106</v>
      </c>
      <c r="H599" s="3">
        <v>0</v>
      </c>
      <c r="I599" s="3">
        <v>106</v>
      </c>
      <c r="J599" s="3">
        <v>0</v>
      </c>
      <c r="K599" s="3">
        <v>0</v>
      </c>
      <c r="L599" s="3">
        <v>0</v>
      </c>
      <c r="M599" s="3">
        <v>0</v>
      </c>
      <c r="N599" s="3" t="s">
        <v>539</v>
      </c>
      <c r="O599" s="3">
        <v>0</v>
      </c>
      <c r="P599" s="3">
        <v>0</v>
      </c>
      <c r="Q599" s="3">
        <v>0</v>
      </c>
      <c r="R599" s="3">
        <v>0</v>
      </c>
      <c r="S599" s="3">
        <v>23</v>
      </c>
      <c r="T599" s="3">
        <v>97</v>
      </c>
      <c r="U599" s="3">
        <v>166</v>
      </c>
      <c r="V599" s="3">
        <v>227</v>
      </c>
      <c r="W599" s="3"/>
      <c r="X599" s="3">
        <v>9.99</v>
      </c>
      <c r="Y599" s="3">
        <v>9.99</v>
      </c>
      <c r="Z599" s="3">
        <v>9.99</v>
      </c>
      <c r="AA599" s="3">
        <v>0</v>
      </c>
      <c r="AB599" s="3" t="s">
        <v>547</v>
      </c>
      <c r="AC599" s="3">
        <v>16</v>
      </c>
      <c r="AD599" s="3">
        <v>9.99</v>
      </c>
      <c r="AE599" s="3">
        <v>0</v>
      </c>
      <c r="AF599" s="3">
        <v>0</v>
      </c>
      <c r="AG599" s="3">
        <v>0</v>
      </c>
      <c r="AH599" s="3">
        <v>4.82978723404255</v>
      </c>
      <c r="AI599" s="3">
        <v>8.097234</v>
      </c>
      <c r="AJ599" s="3" t="s">
        <v>548</v>
      </c>
    </row>
    <row r="600" spans="1:36">
      <c r="A600" s="4">
        <v>43336</v>
      </c>
      <c r="B600" s="3" t="s">
        <v>147</v>
      </c>
      <c r="C600" s="3" t="s">
        <v>148</v>
      </c>
      <c r="D600" s="3" t="s">
        <v>149</v>
      </c>
      <c r="E600" s="3" t="s">
        <v>150</v>
      </c>
      <c r="F600" s="3" t="s">
        <v>538</v>
      </c>
      <c r="G600" s="3">
        <v>385</v>
      </c>
      <c r="H600" s="3">
        <v>0</v>
      </c>
      <c r="I600" s="3">
        <v>385</v>
      </c>
      <c r="J600" s="3">
        <v>0</v>
      </c>
      <c r="K600" s="3">
        <v>0</v>
      </c>
      <c r="L600" s="3">
        <v>0</v>
      </c>
      <c r="M600" s="3">
        <v>0</v>
      </c>
      <c r="N600" s="3" t="s">
        <v>539</v>
      </c>
      <c r="O600" s="3">
        <v>0</v>
      </c>
      <c r="P600" s="3">
        <v>0</v>
      </c>
      <c r="Q600" s="3">
        <v>0</v>
      </c>
      <c r="R600" s="3">
        <v>0</v>
      </c>
      <c r="S600" s="3">
        <v>320</v>
      </c>
      <c r="T600" s="3">
        <v>1299</v>
      </c>
      <c r="U600" s="3">
        <v>2301</v>
      </c>
      <c r="V600" s="3">
        <v>3227</v>
      </c>
      <c r="W600" s="3"/>
      <c r="X600" s="3">
        <v>22.99</v>
      </c>
      <c r="Y600" s="3">
        <v>22.99</v>
      </c>
      <c r="Z600" s="3">
        <v>22.99</v>
      </c>
      <c r="AA600" s="3">
        <v>0</v>
      </c>
      <c r="AB600" s="3" t="s">
        <v>547</v>
      </c>
      <c r="AC600" s="3">
        <v>486</v>
      </c>
      <c r="AD600" s="3">
        <v>22.99</v>
      </c>
      <c r="AE600" s="3">
        <v>0</v>
      </c>
      <c r="AF600" s="3">
        <v>0</v>
      </c>
      <c r="AG600" s="3">
        <v>0</v>
      </c>
      <c r="AH600" s="3">
        <v>11.3927625772285</v>
      </c>
      <c r="AI600" s="3">
        <v>24.0867549999999</v>
      </c>
      <c r="AJ600" s="3" t="s">
        <v>596</v>
      </c>
    </row>
    <row r="601" spans="1:36">
      <c r="A601" s="4">
        <v>43336</v>
      </c>
      <c r="B601" s="3" t="s">
        <v>2325</v>
      </c>
      <c r="C601" s="3" t="s">
        <v>2326</v>
      </c>
      <c r="D601" s="3" t="s">
        <v>2327</v>
      </c>
      <c r="E601" s="3" t="s">
        <v>2328</v>
      </c>
      <c r="F601" s="3" t="s">
        <v>538</v>
      </c>
      <c r="G601" s="3">
        <v>3</v>
      </c>
      <c r="H601" s="3">
        <v>0</v>
      </c>
      <c r="I601" s="3">
        <v>3</v>
      </c>
      <c r="J601" s="3">
        <v>0</v>
      </c>
      <c r="K601" s="3">
        <v>0</v>
      </c>
      <c r="L601" s="3">
        <v>0</v>
      </c>
      <c r="M601" s="3">
        <v>0</v>
      </c>
      <c r="N601" s="3" t="s">
        <v>539</v>
      </c>
      <c r="O601" s="3">
        <v>0</v>
      </c>
      <c r="P601" s="3">
        <v>0</v>
      </c>
      <c r="Q601" s="3">
        <v>0</v>
      </c>
      <c r="R601" s="3">
        <v>0</v>
      </c>
      <c r="S601" s="3">
        <v>0</v>
      </c>
      <c r="T601" s="3">
        <v>0</v>
      </c>
      <c r="U601" s="3">
        <v>0</v>
      </c>
      <c r="V601" s="3">
        <v>0</v>
      </c>
      <c r="W601" s="3" t="s">
        <v>553</v>
      </c>
      <c r="X601" s="3">
        <v>29.9</v>
      </c>
      <c r="Y601" s="3">
        <v>29.9</v>
      </c>
      <c r="Z601" s="3">
        <v>29.9</v>
      </c>
      <c r="AA601" s="3">
        <v>0</v>
      </c>
      <c r="AB601" s="3" t="s">
        <v>562</v>
      </c>
      <c r="AC601" s="3">
        <v>0</v>
      </c>
      <c r="AD601" s="3">
        <v>23.92</v>
      </c>
      <c r="AE601" s="3">
        <v>63</v>
      </c>
      <c r="AF601" s="3">
        <v>0</v>
      </c>
      <c r="AG601" s="3">
        <v>68.838284</v>
      </c>
      <c r="AH601" s="3">
        <v>0</v>
      </c>
      <c r="AI601" s="3">
        <v>0.508536</v>
      </c>
      <c r="AJ601" s="3" t="s">
        <v>548</v>
      </c>
    </row>
    <row r="602" spans="1:36">
      <c r="A602" s="4">
        <v>43336</v>
      </c>
      <c r="B602" s="3" t="s">
        <v>2329</v>
      </c>
      <c r="C602" s="3" t="s">
        <v>2330</v>
      </c>
      <c r="D602" s="3" t="s">
        <v>2331</v>
      </c>
      <c r="E602" s="3" t="s">
        <v>2332</v>
      </c>
      <c r="F602" s="3" t="s">
        <v>538</v>
      </c>
      <c r="G602" s="3">
        <v>7</v>
      </c>
      <c r="H602" s="3">
        <v>0</v>
      </c>
      <c r="I602" s="3">
        <v>7</v>
      </c>
      <c r="J602" s="3">
        <v>0</v>
      </c>
      <c r="K602" s="3">
        <v>0</v>
      </c>
      <c r="L602" s="3">
        <v>0</v>
      </c>
      <c r="M602" s="3">
        <v>0</v>
      </c>
      <c r="N602" s="3" t="s">
        <v>539</v>
      </c>
      <c r="O602" s="3">
        <v>0</v>
      </c>
      <c r="P602" s="3">
        <v>0</v>
      </c>
      <c r="Q602" s="3">
        <v>0</v>
      </c>
      <c r="R602" s="3">
        <v>0</v>
      </c>
      <c r="S602" s="3">
        <v>1</v>
      </c>
      <c r="T602" s="3">
        <v>3</v>
      </c>
      <c r="U602" s="3">
        <v>5</v>
      </c>
      <c r="V602" s="3">
        <v>6</v>
      </c>
      <c r="W602" s="3" t="s">
        <v>553</v>
      </c>
      <c r="X602" s="3">
        <v>10.99</v>
      </c>
      <c r="Y602" s="3">
        <v>10.99</v>
      </c>
      <c r="Z602" s="3">
        <v>10.99</v>
      </c>
      <c r="AA602" s="3">
        <v>0</v>
      </c>
      <c r="AB602" s="3" t="s">
        <v>547</v>
      </c>
      <c r="AC602" s="3">
        <v>7</v>
      </c>
      <c r="AD602" s="3">
        <v>10.99</v>
      </c>
      <c r="AE602" s="3">
        <v>0</v>
      </c>
      <c r="AF602" s="3">
        <v>0</v>
      </c>
      <c r="AG602" s="3">
        <v>0</v>
      </c>
      <c r="AH602" s="3">
        <v>0.75</v>
      </c>
      <c r="AI602" s="3">
        <v>0.265223</v>
      </c>
      <c r="AJ602" s="3" t="s">
        <v>596</v>
      </c>
    </row>
    <row r="603" spans="1:36">
      <c r="A603" s="4">
        <v>43336</v>
      </c>
      <c r="B603" s="3" t="s">
        <v>2333</v>
      </c>
      <c r="C603" s="3" t="s">
        <v>2334</v>
      </c>
      <c r="D603" s="3" t="s">
        <v>2335</v>
      </c>
      <c r="E603" s="3" t="s">
        <v>2336</v>
      </c>
      <c r="F603" s="3" t="s">
        <v>538</v>
      </c>
      <c r="G603" s="3">
        <v>4</v>
      </c>
      <c r="H603" s="3">
        <v>0</v>
      </c>
      <c r="I603" s="3">
        <v>4</v>
      </c>
      <c r="J603" s="3">
        <v>0</v>
      </c>
      <c r="K603" s="3">
        <v>0</v>
      </c>
      <c r="L603" s="3">
        <v>0</v>
      </c>
      <c r="M603" s="3">
        <v>0</v>
      </c>
      <c r="N603" s="3" t="s">
        <v>539</v>
      </c>
      <c r="O603" s="3">
        <v>0</v>
      </c>
      <c r="P603" s="3">
        <v>0</v>
      </c>
      <c r="Q603" s="3">
        <v>0</v>
      </c>
      <c r="R603" s="3">
        <v>0</v>
      </c>
      <c r="S603" s="3">
        <v>2</v>
      </c>
      <c r="T603" s="3">
        <v>4</v>
      </c>
      <c r="U603" s="3">
        <v>4</v>
      </c>
      <c r="V603" s="3">
        <v>4</v>
      </c>
      <c r="W603" s="3"/>
      <c r="X603" s="3">
        <v>10</v>
      </c>
      <c r="Y603" s="3">
        <v>10</v>
      </c>
      <c r="Z603" s="3">
        <v>10</v>
      </c>
      <c r="AA603" s="3">
        <v>0</v>
      </c>
      <c r="AB603" s="3" t="s">
        <v>547</v>
      </c>
      <c r="AC603" s="3">
        <v>5</v>
      </c>
      <c r="AD603" s="3">
        <v>10</v>
      </c>
      <c r="AE603" s="3">
        <v>0</v>
      </c>
      <c r="AF603" s="3">
        <v>0</v>
      </c>
      <c r="AG603" s="3">
        <v>0</v>
      </c>
      <c r="AH603" s="3">
        <v>0.695652173913043</v>
      </c>
      <c r="AI603" s="3">
        <v>0.232604</v>
      </c>
      <c r="AJ603" s="3" t="s">
        <v>596</v>
      </c>
    </row>
    <row r="604" spans="1:36">
      <c r="A604" s="4">
        <v>43336</v>
      </c>
      <c r="B604" s="3" t="s">
        <v>2337</v>
      </c>
      <c r="C604" s="3" t="s">
        <v>2338</v>
      </c>
      <c r="D604" s="3" t="s">
        <v>2339</v>
      </c>
      <c r="E604" s="3" t="s">
        <v>815</v>
      </c>
      <c r="F604" s="3" t="s">
        <v>538</v>
      </c>
      <c r="G604" s="3">
        <v>6</v>
      </c>
      <c r="H604" s="3">
        <v>0</v>
      </c>
      <c r="I604" s="3">
        <v>6</v>
      </c>
      <c r="J604" s="3">
        <v>0</v>
      </c>
      <c r="K604" s="3">
        <v>0</v>
      </c>
      <c r="L604" s="3">
        <v>0</v>
      </c>
      <c r="M604" s="3">
        <v>0</v>
      </c>
      <c r="N604" s="3" t="s">
        <v>539</v>
      </c>
      <c r="O604" s="3">
        <v>0</v>
      </c>
      <c r="P604" s="3">
        <v>0</v>
      </c>
      <c r="Q604" s="3">
        <v>0</v>
      </c>
      <c r="R604" s="3">
        <v>0</v>
      </c>
      <c r="S604" s="3">
        <v>0</v>
      </c>
      <c r="T604" s="3">
        <v>0</v>
      </c>
      <c r="U604" s="3">
        <v>0</v>
      </c>
      <c r="V604" s="3">
        <v>0</v>
      </c>
      <c r="W604" s="3" t="s">
        <v>540</v>
      </c>
      <c r="X604" s="3">
        <v>22.99</v>
      </c>
      <c r="Y604" s="3">
        <v>22.99</v>
      </c>
      <c r="Z604" s="3">
        <v>22.99</v>
      </c>
      <c r="AA604" s="3">
        <v>0</v>
      </c>
      <c r="AB604" s="3" t="s">
        <v>541</v>
      </c>
      <c r="AC604" s="3">
        <v>0</v>
      </c>
      <c r="AD604" s="3">
        <v>0</v>
      </c>
      <c r="AE604" s="3">
        <v>0</v>
      </c>
      <c r="AF604" s="3">
        <v>0</v>
      </c>
      <c r="AG604" s="3">
        <v>0</v>
      </c>
      <c r="AH604" s="3">
        <v>0</v>
      </c>
      <c r="AI604" s="3">
        <v>0.920388</v>
      </c>
      <c r="AJ604" s="3" t="s">
        <v>542</v>
      </c>
    </row>
    <row r="605" spans="1:36">
      <c r="A605" s="4">
        <v>43336</v>
      </c>
      <c r="B605" s="3" t="s">
        <v>2340</v>
      </c>
      <c r="C605" s="3" t="s">
        <v>2341</v>
      </c>
      <c r="D605" s="3" t="s">
        <v>2342</v>
      </c>
      <c r="E605" s="3" t="s">
        <v>2343</v>
      </c>
      <c r="F605" s="3" t="s">
        <v>538</v>
      </c>
      <c r="G605" s="3">
        <v>20</v>
      </c>
      <c r="H605" s="3">
        <v>0</v>
      </c>
      <c r="I605" s="3">
        <v>19</v>
      </c>
      <c r="J605" s="3">
        <v>1</v>
      </c>
      <c r="K605" s="3">
        <v>0</v>
      </c>
      <c r="L605" s="3">
        <v>0</v>
      </c>
      <c r="M605" s="3">
        <v>0</v>
      </c>
      <c r="N605" s="3" t="s">
        <v>539</v>
      </c>
      <c r="O605" s="3">
        <v>0</v>
      </c>
      <c r="P605" s="3">
        <v>0</v>
      </c>
      <c r="Q605" s="3">
        <v>0</v>
      </c>
      <c r="R605" s="3">
        <v>0</v>
      </c>
      <c r="S605" s="3">
        <v>1</v>
      </c>
      <c r="T605" s="3">
        <v>7</v>
      </c>
      <c r="U605" s="3">
        <v>11</v>
      </c>
      <c r="V605" s="3">
        <v>15</v>
      </c>
      <c r="W605" s="3"/>
      <c r="X605" s="3">
        <v>9.99</v>
      </c>
      <c r="Y605" s="3">
        <v>9.99</v>
      </c>
      <c r="Z605" s="3">
        <v>9.99</v>
      </c>
      <c r="AA605" s="3">
        <v>0</v>
      </c>
      <c r="AB605" s="3" t="s">
        <v>547</v>
      </c>
      <c r="AC605" s="3">
        <v>19</v>
      </c>
      <c r="AD605" s="3">
        <v>9.99</v>
      </c>
      <c r="AE605" s="3">
        <v>0</v>
      </c>
      <c r="AF605" s="3">
        <v>0</v>
      </c>
      <c r="AG605" s="3">
        <v>0</v>
      </c>
      <c r="AH605" s="3">
        <v>0.652173913043478</v>
      </c>
      <c r="AI605" s="3">
        <v>0.6375</v>
      </c>
      <c r="AJ605" s="3" t="s">
        <v>548</v>
      </c>
    </row>
    <row r="606" spans="1:36">
      <c r="A606" s="4">
        <v>43336</v>
      </c>
      <c r="B606" s="3" t="s">
        <v>2344</v>
      </c>
      <c r="C606" s="3" t="s">
        <v>2345</v>
      </c>
      <c r="D606" s="3" t="s">
        <v>2346</v>
      </c>
      <c r="E606" s="3" t="s">
        <v>303</v>
      </c>
      <c r="F606" s="3" t="s">
        <v>538</v>
      </c>
      <c r="G606" s="3">
        <v>6</v>
      </c>
      <c r="H606" s="3">
        <v>0</v>
      </c>
      <c r="I606" s="3">
        <v>0</v>
      </c>
      <c r="J606" s="3">
        <v>0</v>
      </c>
      <c r="K606" s="3">
        <v>6</v>
      </c>
      <c r="L606" s="3">
        <v>0</v>
      </c>
      <c r="M606" s="3">
        <v>0</v>
      </c>
      <c r="N606" s="3" t="s">
        <v>539</v>
      </c>
      <c r="O606" s="3">
        <v>6</v>
      </c>
      <c r="P606" s="3">
        <v>1.74</v>
      </c>
      <c r="Q606" s="3">
        <v>0</v>
      </c>
      <c r="R606" s="3">
        <v>0</v>
      </c>
      <c r="S606" s="3">
        <v>0</v>
      </c>
      <c r="T606" s="3">
        <v>0</v>
      </c>
      <c r="U606" s="3">
        <v>0</v>
      </c>
      <c r="V606" s="3">
        <v>0</v>
      </c>
      <c r="W606" s="3" t="s">
        <v>540</v>
      </c>
      <c r="X606" s="3">
        <v>45.9</v>
      </c>
      <c r="Y606" s="3">
        <v>45.9</v>
      </c>
      <c r="Z606" s="3">
        <v>45.9</v>
      </c>
      <c r="AA606" s="3">
        <v>0</v>
      </c>
      <c r="AB606" s="3" t="s">
        <v>562</v>
      </c>
      <c r="AC606" s="3">
        <v>0</v>
      </c>
      <c r="AD606" s="3">
        <v>36.72</v>
      </c>
      <c r="AE606" s="3">
        <v>63</v>
      </c>
      <c r="AF606" s="3">
        <v>0</v>
      </c>
      <c r="AG606" s="3">
        <v>85.477249</v>
      </c>
      <c r="AH606" s="3">
        <v>0</v>
      </c>
      <c r="AI606" s="3">
        <v>0.512868</v>
      </c>
      <c r="AJ606" s="3" t="s">
        <v>548</v>
      </c>
    </row>
    <row r="607" spans="1:36">
      <c r="A607" s="4">
        <v>43336</v>
      </c>
      <c r="B607" s="3" t="s">
        <v>63</v>
      </c>
      <c r="C607" s="3" t="s">
        <v>64</v>
      </c>
      <c r="D607" s="3" t="s">
        <v>65</v>
      </c>
      <c r="E607" s="3" t="s">
        <v>66</v>
      </c>
      <c r="F607" s="3" t="s">
        <v>538</v>
      </c>
      <c r="G607" s="3">
        <v>5</v>
      </c>
      <c r="H607" s="3">
        <v>0</v>
      </c>
      <c r="I607" s="3">
        <v>5</v>
      </c>
      <c r="J607" s="3">
        <v>0</v>
      </c>
      <c r="K607" s="3">
        <v>0</v>
      </c>
      <c r="L607" s="3">
        <v>0</v>
      </c>
      <c r="M607" s="3">
        <v>0</v>
      </c>
      <c r="N607" s="3" t="s">
        <v>539</v>
      </c>
      <c r="O607" s="3">
        <v>0</v>
      </c>
      <c r="P607" s="3">
        <v>0</v>
      </c>
      <c r="Q607" s="3">
        <v>0</v>
      </c>
      <c r="R607" s="3">
        <v>0</v>
      </c>
      <c r="S607" s="3">
        <v>0</v>
      </c>
      <c r="T607" s="3">
        <v>0</v>
      </c>
      <c r="U607" s="3">
        <v>0</v>
      </c>
      <c r="V607" s="3">
        <v>0</v>
      </c>
      <c r="W607" s="3" t="s">
        <v>540</v>
      </c>
      <c r="X607" s="3">
        <v>15.99</v>
      </c>
      <c r="Y607" s="3">
        <v>15.99</v>
      </c>
      <c r="Z607" s="3">
        <v>15.99</v>
      </c>
      <c r="AA607" s="3">
        <v>0</v>
      </c>
      <c r="AB607" s="3" t="s">
        <v>541</v>
      </c>
      <c r="AC607" s="3">
        <v>5</v>
      </c>
      <c r="AD607" s="3">
        <v>15.99</v>
      </c>
      <c r="AE607" s="3">
        <v>0</v>
      </c>
      <c r="AF607" s="3">
        <v>0</v>
      </c>
      <c r="AG607" s="3">
        <v>0</v>
      </c>
      <c r="AH607" s="3">
        <v>0</v>
      </c>
      <c r="AI607" s="3">
        <v>0.55</v>
      </c>
      <c r="AJ607" s="3" t="s">
        <v>542</v>
      </c>
    </row>
    <row r="608" spans="1:36">
      <c r="A608" s="4">
        <v>43336</v>
      </c>
      <c r="B608" s="3" t="s">
        <v>119</v>
      </c>
      <c r="C608" s="3" t="s">
        <v>120</v>
      </c>
      <c r="D608" s="3" t="s">
        <v>121</v>
      </c>
      <c r="E608" s="3" t="s">
        <v>122</v>
      </c>
      <c r="F608" s="3" t="s">
        <v>538</v>
      </c>
      <c r="G608" s="3">
        <v>1</v>
      </c>
      <c r="H608" s="3">
        <v>0</v>
      </c>
      <c r="I608" s="3">
        <v>1</v>
      </c>
      <c r="J608" s="3">
        <v>0</v>
      </c>
      <c r="K608" s="3">
        <v>0</v>
      </c>
      <c r="L608" s="3">
        <v>0</v>
      </c>
      <c r="M608" s="3">
        <v>0</v>
      </c>
      <c r="N608" s="3" t="s">
        <v>539</v>
      </c>
      <c r="O608" s="3">
        <v>0</v>
      </c>
      <c r="P608" s="3">
        <v>0</v>
      </c>
      <c r="Q608" s="3">
        <v>0</v>
      </c>
      <c r="R608" s="3">
        <v>0</v>
      </c>
      <c r="S608" s="3">
        <v>0</v>
      </c>
      <c r="T608" s="3">
        <v>5</v>
      </c>
      <c r="U608" s="3">
        <v>11</v>
      </c>
      <c r="V608" s="3">
        <v>13</v>
      </c>
      <c r="W608" s="3" t="s">
        <v>553</v>
      </c>
      <c r="X608" s="3">
        <v>12.4</v>
      </c>
      <c r="Y608" s="3">
        <v>12.4</v>
      </c>
      <c r="Z608" s="3">
        <v>12.4</v>
      </c>
      <c r="AA608" s="3">
        <v>0</v>
      </c>
      <c r="AB608" s="3" t="s">
        <v>547</v>
      </c>
      <c r="AC608" s="3">
        <v>0</v>
      </c>
      <c r="AD608" s="3">
        <v>0</v>
      </c>
      <c r="AE608" s="3">
        <v>0</v>
      </c>
      <c r="AF608" s="3">
        <v>0</v>
      </c>
      <c r="AG608" s="3">
        <v>0</v>
      </c>
      <c r="AH608" s="3">
        <v>8.66666666666666</v>
      </c>
      <c r="AI608" s="3">
        <v>0.040035</v>
      </c>
      <c r="AJ608" s="3" t="s">
        <v>548</v>
      </c>
    </row>
    <row r="609" spans="1:36">
      <c r="A609" s="4">
        <v>43336</v>
      </c>
      <c r="B609" s="3" t="s">
        <v>392</v>
      </c>
      <c r="C609" s="3" t="s">
        <v>393</v>
      </c>
      <c r="D609" s="3" t="s">
        <v>394</v>
      </c>
      <c r="E609" s="3" t="s">
        <v>395</v>
      </c>
      <c r="F609" s="3" t="s">
        <v>538</v>
      </c>
      <c r="G609" s="3">
        <v>32</v>
      </c>
      <c r="H609" s="3">
        <v>0</v>
      </c>
      <c r="I609" s="3">
        <v>32</v>
      </c>
      <c r="J609" s="3">
        <v>0</v>
      </c>
      <c r="K609" s="3">
        <v>0</v>
      </c>
      <c r="L609" s="3">
        <v>0</v>
      </c>
      <c r="M609" s="3">
        <v>0</v>
      </c>
      <c r="N609" s="3" t="s">
        <v>539</v>
      </c>
      <c r="O609" s="3">
        <v>0</v>
      </c>
      <c r="P609" s="3">
        <v>0</v>
      </c>
      <c r="Q609" s="3">
        <v>0</v>
      </c>
      <c r="R609" s="3">
        <v>0</v>
      </c>
      <c r="S609" s="3">
        <v>6</v>
      </c>
      <c r="T609" s="3">
        <v>21</v>
      </c>
      <c r="U609" s="3">
        <v>41</v>
      </c>
      <c r="V609" s="3">
        <v>66</v>
      </c>
      <c r="W609" s="3"/>
      <c r="X609" s="3">
        <v>12.9</v>
      </c>
      <c r="Y609" s="3">
        <v>12.9</v>
      </c>
      <c r="Z609" s="3">
        <v>12.9</v>
      </c>
      <c r="AA609" s="3">
        <v>0</v>
      </c>
      <c r="AB609" s="3" t="s">
        <v>547</v>
      </c>
      <c r="AC609" s="3">
        <v>26</v>
      </c>
      <c r="AD609" s="3">
        <v>12.9</v>
      </c>
      <c r="AE609" s="3">
        <v>0</v>
      </c>
      <c r="AF609" s="3">
        <v>0</v>
      </c>
      <c r="AG609" s="3">
        <v>0</v>
      </c>
      <c r="AH609" s="3">
        <v>3.77142857142857</v>
      </c>
      <c r="AI609" s="3">
        <v>4.401344</v>
      </c>
      <c r="AJ609" s="3" t="s">
        <v>548</v>
      </c>
    </row>
    <row r="610" spans="1:36">
      <c r="A610" s="4">
        <v>43336</v>
      </c>
      <c r="B610" s="3" t="s">
        <v>2347</v>
      </c>
      <c r="C610" s="3" t="s">
        <v>2348</v>
      </c>
      <c r="D610" s="3" t="s">
        <v>2349</v>
      </c>
      <c r="E610" s="3" t="s">
        <v>582</v>
      </c>
      <c r="F610" s="3" t="s">
        <v>538</v>
      </c>
      <c r="G610" s="3">
        <v>4</v>
      </c>
      <c r="H610" s="3">
        <v>0</v>
      </c>
      <c r="I610" s="3">
        <v>0</v>
      </c>
      <c r="J610" s="3">
        <v>4</v>
      </c>
      <c r="K610" s="3">
        <v>0</v>
      </c>
      <c r="L610" s="3">
        <v>0</v>
      </c>
      <c r="M610" s="3">
        <v>0</v>
      </c>
      <c r="N610" s="3" t="s">
        <v>539</v>
      </c>
      <c r="O610" s="3">
        <v>0</v>
      </c>
      <c r="P610" s="3">
        <v>0</v>
      </c>
      <c r="Q610" s="3">
        <v>0</v>
      </c>
      <c r="R610" s="3">
        <v>0</v>
      </c>
      <c r="S610" s="3">
        <v>0</v>
      </c>
      <c r="T610" s="3">
        <v>0</v>
      </c>
      <c r="U610" s="3">
        <v>0</v>
      </c>
      <c r="V610" s="3">
        <v>0</v>
      </c>
      <c r="W610" s="3" t="s">
        <v>540</v>
      </c>
      <c r="X610" s="3">
        <v>25.99</v>
      </c>
      <c r="Y610" s="3">
        <v>11.98</v>
      </c>
      <c r="Z610" s="3">
        <v>11.98</v>
      </c>
      <c r="AA610" s="3">
        <v>0</v>
      </c>
      <c r="AB610" s="3" t="s">
        <v>562</v>
      </c>
      <c r="AC610" s="3">
        <v>0</v>
      </c>
      <c r="AD610" s="3">
        <v>9.58</v>
      </c>
      <c r="AE610" s="3">
        <v>63</v>
      </c>
      <c r="AF610" s="3">
        <v>0</v>
      </c>
      <c r="AG610" s="3">
        <v>2.802641</v>
      </c>
      <c r="AH610" s="3">
        <v>0</v>
      </c>
      <c r="AI610" s="5">
        <v>0.000232</v>
      </c>
      <c r="AJ610" s="3" t="s">
        <v>548</v>
      </c>
    </row>
    <row r="611" spans="1:36">
      <c r="A611" s="4">
        <v>43336</v>
      </c>
      <c r="B611" s="3" t="s">
        <v>2350</v>
      </c>
      <c r="C611" s="3" t="s">
        <v>2351</v>
      </c>
      <c r="D611" s="3" t="s">
        <v>2352</v>
      </c>
      <c r="E611" s="3" t="s">
        <v>2353</v>
      </c>
      <c r="F611" s="3" t="s">
        <v>538</v>
      </c>
      <c r="G611" s="3">
        <v>3</v>
      </c>
      <c r="H611" s="3">
        <v>0</v>
      </c>
      <c r="I611" s="3">
        <v>0</v>
      </c>
      <c r="J611" s="3">
        <v>0</v>
      </c>
      <c r="K611" s="3">
        <v>0</v>
      </c>
      <c r="L611" s="3">
        <v>1</v>
      </c>
      <c r="M611" s="3">
        <v>2</v>
      </c>
      <c r="N611" s="3" t="s">
        <v>539</v>
      </c>
      <c r="O611" s="3">
        <v>1</v>
      </c>
      <c r="P611" s="3">
        <v>0</v>
      </c>
      <c r="Q611" s="3">
        <v>2</v>
      </c>
      <c r="R611" s="3">
        <v>1</v>
      </c>
      <c r="S611" s="3">
        <v>0</v>
      </c>
      <c r="T611" s="3">
        <v>0</v>
      </c>
      <c r="U611" s="3">
        <v>0</v>
      </c>
      <c r="V611" s="3">
        <v>0</v>
      </c>
      <c r="W611" s="3" t="s">
        <v>540</v>
      </c>
      <c r="X611" s="3">
        <v>20.7</v>
      </c>
      <c r="Y611" s="3">
        <v>20.7</v>
      </c>
      <c r="Z611" s="3">
        <v>20.7</v>
      </c>
      <c r="AA611" s="3">
        <v>0</v>
      </c>
      <c r="AB611" s="3" t="s">
        <v>562</v>
      </c>
      <c r="AC611" s="3">
        <v>0</v>
      </c>
      <c r="AD611" s="3">
        <v>15.38</v>
      </c>
      <c r="AE611" s="3">
        <v>364</v>
      </c>
      <c r="AF611" s="3">
        <v>0</v>
      </c>
      <c r="AG611" s="3">
        <v>19.989474</v>
      </c>
      <c r="AH611" s="3">
        <v>0</v>
      </c>
      <c r="AI611" s="5">
        <v>0.000174</v>
      </c>
      <c r="AJ611" s="3" t="s">
        <v>548</v>
      </c>
    </row>
    <row r="612" spans="1:36">
      <c r="A612" s="4">
        <v>43336</v>
      </c>
      <c r="B612" s="3" t="s">
        <v>2354</v>
      </c>
      <c r="C612" s="3" t="s">
        <v>2355</v>
      </c>
      <c r="D612" s="3" t="s">
        <v>2356</v>
      </c>
      <c r="E612" s="3" t="s">
        <v>66</v>
      </c>
      <c r="F612" s="3" t="s">
        <v>538</v>
      </c>
      <c r="G612" s="3">
        <v>5</v>
      </c>
      <c r="H612" s="3">
        <v>0</v>
      </c>
      <c r="I612" s="3">
        <v>5</v>
      </c>
      <c r="J612" s="3">
        <v>0</v>
      </c>
      <c r="K612" s="3">
        <v>0</v>
      </c>
      <c r="L612" s="3">
        <v>0</v>
      </c>
      <c r="M612" s="3">
        <v>0</v>
      </c>
      <c r="N612" s="3" t="s">
        <v>539</v>
      </c>
      <c r="O612" s="3">
        <v>0</v>
      </c>
      <c r="P612" s="3">
        <v>0</v>
      </c>
      <c r="Q612" s="3">
        <v>0</v>
      </c>
      <c r="R612" s="3">
        <v>0</v>
      </c>
      <c r="S612" s="3">
        <v>0</v>
      </c>
      <c r="T612" s="3">
        <v>0</v>
      </c>
      <c r="U612" s="3">
        <v>0</v>
      </c>
      <c r="V612" s="3">
        <v>0</v>
      </c>
      <c r="W612" s="3" t="s">
        <v>540</v>
      </c>
      <c r="X612" s="3">
        <v>15.99</v>
      </c>
      <c r="Y612" s="3">
        <v>15.99</v>
      </c>
      <c r="Z612" s="3">
        <v>15.99</v>
      </c>
      <c r="AA612" s="3">
        <v>0</v>
      </c>
      <c r="AB612" s="3" t="s">
        <v>541</v>
      </c>
      <c r="AC612" s="3">
        <v>5</v>
      </c>
      <c r="AD612" s="3">
        <v>15.99</v>
      </c>
      <c r="AE612" s="3">
        <v>0</v>
      </c>
      <c r="AF612" s="3">
        <v>0</v>
      </c>
      <c r="AG612" s="3">
        <v>0</v>
      </c>
      <c r="AH612" s="3">
        <v>0</v>
      </c>
      <c r="AI612" s="3">
        <v>0.537445</v>
      </c>
      <c r="AJ612" s="3" t="s">
        <v>542</v>
      </c>
    </row>
    <row r="613" spans="1:36">
      <c r="A613" s="4">
        <v>43336</v>
      </c>
      <c r="B613" s="3" t="s">
        <v>2357</v>
      </c>
      <c r="C613" s="3" t="s">
        <v>2358</v>
      </c>
      <c r="D613" s="3" t="s">
        <v>2359</v>
      </c>
      <c r="E613" s="3" t="s">
        <v>1038</v>
      </c>
      <c r="F613" s="3" t="s">
        <v>538</v>
      </c>
      <c r="G613" s="3">
        <v>4</v>
      </c>
      <c r="H613" s="3">
        <v>0</v>
      </c>
      <c r="I613" s="3">
        <v>0</v>
      </c>
      <c r="J613" s="3">
        <v>4</v>
      </c>
      <c r="K613" s="3">
        <v>0</v>
      </c>
      <c r="L613" s="3">
        <v>0</v>
      </c>
      <c r="M613" s="3">
        <v>0</v>
      </c>
      <c r="N613" s="3" t="s">
        <v>539</v>
      </c>
      <c r="O613" s="3">
        <v>0</v>
      </c>
      <c r="P613" s="3">
        <v>0</v>
      </c>
      <c r="Q613" s="3">
        <v>0</v>
      </c>
      <c r="R613" s="3">
        <v>0</v>
      </c>
      <c r="S613" s="3">
        <v>0</v>
      </c>
      <c r="T613" s="3">
        <v>0</v>
      </c>
      <c r="U613" s="3">
        <v>0</v>
      </c>
      <c r="V613" s="3">
        <v>0</v>
      </c>
      <c r="W613" s="3" t="s">
        <v>540</v>
      </c>
      <c r="X613" s="3">
        <v>11.98</v>
      </c>
      <c r="Y613" s="3">
        <v>11.98</v>
      </c>
      <c r="Z613" s="3">
        <v>11.98</v>
      </c>
      <c r="AA613" s="3">
        <v>0</v>
      </c>
      <c r="AB613" s="3" t="s">
        <v>541</v>
      </c>
      <c r="AC613" s="3">
        <v>0</v>
      </c>
      <c r="AD613" s="3">
        <v>9.58</v>
      </c>
      <c r="AE613" s="3">
        <v>63</v>
      </c>
      <c r="AF613" s="3">
        <v>0</v>
      </c>
      <c r="AG613" s="3">
        <v>2.802641</v>
      </c>
      <c r="AH613" s="3">
        <v>0</v>
      </c>
      <c r="AI613" s="5">
        <v>0.000232</v>
      </c>
      <c r="AJ613" s="3" t="s">
        <v>548</v>
      </c>
    </row>
    <row r="614" spans="1:36">
      <c r="A614" s="4">
        <v>43336</v>
      </c>
      <c r="B614" s="3" t="s">
        <v>2360</v>
      </c>
      <c r="C614" s="3" t="s">
        <v>2361</v>
      </c>
      <c r="D614" s="3" t="s">
        <v>2362</v>
      </c>
      <c r="E614" s="3" t="s">
        <v>537</v>
      </c>
      <c r="F614" s="3" t="s">
        <v>538</v>
      </c>
      <c r="G614" s="3">
        <v>6</v>
      </c>
      <c r="H614" s="3">
        <v>0</v>
      </c>
      <c r="I614" s="3">
        <v>6</v>
      </c>
      <c r="J614" s="3">
        <v>0</v>
      </c>
      <c r="K614" s="3">
        <v>0</v>
      </c>
      <c r="L614" s="3">
        <v>0</v>
      </c>
      <c r="M614" s="3">
        <v>0</v>
      </c>
      <c r="N614" s="3" t="s">
        <v>539</v>
      </c>
      <c r="O614" s="3">
        <v>0</v>
      </c>
      <c r="P614" s="3">
        <v>0</v>
      </c>
      <c r="Q614" s="3">
        <v>0</v>
      </c>
      <c r="R614" s="3">
        <v>0</v>
      </c>
      <c r="S614" s="3">
        <v>0</v>
      </c>
      <c r="T614" s="3">
        <v>0</v>
      </c>
      <c r="U614" s="3">
        <v>0</v>
      </c>
      <c r="V614" s="3">
        <v>0</v>
      </c>
      <c r="W614" s="3" t="s">
        <v>540</v>
      </c>
      <c r="X614" s="3">
        <v>22.99</v>
      </c>
      <c r="Y614" s="3">
        <v>22.99</v>
      </c>
      <c r="Z614" s="3">
        <v>22.99</v>
      </c>
      <c r="AA614" s="3">
        <v>0</v>
      </c>
      <c r="AB614" s="3" t="s">
        <v>541</v>
      </c>
      <c r="AC614" s="3">
        <v>0</v>
      </c>
      <c r="AD614" s="3">
        <v>17.59</v>
      </c>
      <c r="AE614" s="3">
        <v>63</v>
      </c>
      <c r="AF614" s="3">
        <v>0</v>
      </c>
      <c r="AG614" s="3">
        <v>7.637253</v>
      </c>
      <c r="AH614" s="3">
        <v>0</v>
      </c>
      <c r="AI614" s="3">
        <v>0.892272</v>
      </c>
      <c r="AJ614" s="3" t="s">
        <v>542</v>
      </c>
    </row>
    <row r="615" spans="1:36">
      <c r="A615" s="4">
        <v>43336</v>
      </c>
      <c r="B615" s="3" t="s">
        <v>2363</v>
      </c>
      <c r="C615" s="3" t="s">
        <v>2364</v>
      </c>
      <c r="D615" s="3" t="s">
        <v>2365</v>
      </c>
      <c r="E615" s="3" t="s">
        <v>2366</v>
      </c>
      <c r="F615" s="3" t="s">
        <v>538</v>
      </c>
      <c r="G615" s="3">
        <v>13</v>
      </c>
      <c r="H615" s="3">
        <v>0</v>
      </c>
      <c r="I615" s="3">
        <v>13</v>
      </c>
      <c r="J615" s="3">
        <v>0</v>
      </c>
      <c r="K615" s="3">
        <v>0</v>
      </c>
      <c r="L615" s="3">
        <v>0</v>
      </c>
      <c r="M615" s="3">
        <v>0</v>
      </c>
      <c r="N615" s="3" t="s">
        <v>539</v>
      </c>
      <c r="O615" s="3">
        <v>0</v>
      </c>
      <c r="P615" s="3">
        <v>0</v>
      </c>
      <c r="Q615" s="3">
        <v>0</v>
      </c>
      <c r="R615" s="3">
        <v>0</v>
      </c>
      <c r="S615" s="3">
        <v>2</v>
      </c>
      <c r="T615" s="3">
        <v>10</v>
      </c>
      <c r="U615" s="3">
        <v>24</v>
      </c>
      <c r="V615" s="3">
        <v>33</v>
      </c>
      <c r="W615" s="3"/>
      <c r="X615" s="3">
        <v>17.99</v>
      </c>
      <c r="Y615" s="3">
        <v>17.99</v>
      </c>
      <c r="Z615" s="3">
        <v>17.99</v>
      </c>
      <c r="AA615" s="3">
        <v>0</v>
      </c>
      <c r="AB615" s="3" t="s">
        <v>547</v>
      </c>
      <c r="AC615" s="3">
        <v>14</v>
      </c>
      <c r="AD615" s="3">
        <v>17.99</v>
      </c>
      <c r="AE615" s="3">
        <v>0</v>
      </c>
      <c r="AF615" s="3">
        <v>0</v>
      </c>
      <c r="AG615" s="3">
        <v>0</v>
      </c>
      <c r="AH615" s="3">
        <v>2.2</v>
      </c>
      <c r="AI615" s="3">
        <v>0.245063</v>
      </c>
      <c r="AJ615" s="3" t="s">
        <v>548</v>
      </c>
    </row>
    <row r="616" spans="1:36">
      <c r="A616" s="4">
        <v>43336</v>
      </c>
      <c r="B616" s="3" t="s">
        <v>2367</v>
      </c>
      <c r="C616" s="3" t="s">
        <v>2368</v>
      </c>
      <c r="D616" s="3" t="s">
        <v>2369</v>
      </c>
      <c r="E616" s="3" t="s">
        <v>2370</v>
      </c>
      <c r="F616" s="3" t="s">
        <v>538</v>
      </c>
      <c r="G616" s="3">
        <v>7</v>
      </c>
      <c r="H616" s="3">
        <v>0</v>
      </c>
      <c r="I616" s="3">
        <v>6</v>
      </c>
      <c r="J616" s="3">
        <v>1</v>
      </c>
      <c r="K616" s="3">
        <v>0</v>
      </c>
      <c r="L616" s="3">
        <v>0</v>
      </c>
      <c r="M616" s="3">
        <v>0</v>
      </c>
      <c r="N616" s="3" t="s">
        <v>539</v>
      </c>
      <c r="O616" s="3">
        <v>0</v>
      </c>
      <c r="P616" s="3">
        <v>0</v>
      </c>
      <c r="Q616" s="3">
        <v>0</v>
      </c>
      <c r="R616" s="3">
        <v>0</v>
      </c>
      <c r="S616" s="3">
        <v>2</v>
      </c>
      <c r="T616" s="3">
        <v>3</v>
      </c>
      <c r="U616" s="3">
        <v>5</v>
      </c>
      <c r="V616" s="3">
        <v>9</v>
      </c>
      <c r="W616" s="3" t="s">
        <v>540</v>
      </c>
      <c r="X616" s="3">
        <v>19.99</v>
      </c>
      <c r="Y616" s="3">
        <v>19.99</v>
      </c>
      <c r="Z616" s="3">
        <v>19.99</v>
      </c>
      <c r="AA616" s="3">
        <v>0</v>
      </c>
      <c r="AB616" s="3" t="s">
        <v>541</v>
      </c>
      <c r="AC616" s="3">
        <v>7</v>
      </c>
      <c r="AD616" s="3">
        <v>19.99</v>
      </c>
      <c r="AE616" s="3">
        <v>0</v>
      </c>
      <c r="AF616" s="3">
        <v>0</v>
      </c>
      <c r="AG616" s="3">
        <v>0</v>
      </c>
      <c r="AH616" s="3">
        <v>1.09090909090909</v>
      </c>
      <c r="AI616" s="3">
        <v>0.250347999999999</v>
      </c>
      <c r="AJ616" s="3" t="s">
        <v>548</v>
      </c>
    </row>
    <row r="617" spans="1:36">
      <c r="A617" s="4">
        <v>43336</v>
      </c>
      <c r="B617" s="3" t="s">
        <v>2371</v>
      </c>
      <c r="C617" s="3" t="s">
        <v>2372</v>
      </c>
      <c r="D617" s="3" t="s">
        <v>2373</v>
      </c>
      <c r="E617" s="3" t="s">
        <v>2374</v>
      </c>
      <c r="F617" s="3" t="s">
        <v>538</v>
      </c>
      <c r="G617" s="3">
        <v>5</v>
      </c>
      <c r="H617" s="3">
        <v>0</v>
      </c>
      <c r="I617" s="3">
        <v>5</v>
      </c>
      <c r="J617" s="3">
        <v>0</v>
      </c>
      <c r="K617" s="3">
        <v>0</v>
      </c>
      <c r="L617" s="3">
        <v>0</v>
      </c>
      <c r="M617" s="3">
        <v>0</v>
      </c>
      <c r="N617" s="3" t="s">
        <v>539</v>
      </c>
      <c r="O617" s="3">
        <v>0</v>
      </c>
      <c r="P617" s="3">
        <v>0</v>
      </c>
      <c r="Q617" s="3">
        <v>0</v>
      </c>
      <c r="R617" s="3">
        <v>0</v>
      </c>
      <c r="S617" s="3">
        <v>0</v>
      </c>
      <c r="T617" s="3">
        <v>0</v>
      </c>
      <c r="U617" s="3">
        <v>2</v>
      </c>
      <c r="V617" s="3">
        <v>2</v>
      </c>
      <c r="W617" s="3" t="s">
        <v>553</v>
      </c>
      <c r="X617" s="3">
        <v>12.99</v>
      </c>
      <c r="Y617" s="3">
        <v>10</v>
      </c>
      <c r="Z617" s="3">
        <v>10</v>
      </c>
      <c r="AA617" s="3">
        <v>0</v>
      </c>
      <c r="AB617" s="3" t="s">
        <v>547</v>
      </c>
      <c r="AC617" s="3">
        <v>6</v>
      </c>
      <c r="AD617" s="3">
        <v>10</v>
      </c>
      <c r="AE617" s="3">
        <v>0</v>
      </c>
      <c r="AF617" s="3">
        <v>0</v>
      </c>
      <c r="AG617" s="3">
        <v>0</v>
      </c>
      <c r="AH617" s="3">
        <v>0.347826086956521</v>
      </c>
      <c r="AI617" s="3">
        <v>0.417825</v>
      </c>
      <c r="AJ617" s="3" t="s">
        <v>596</v>
      </c>
    </row>
    <row r="618" spans="1:36">
      <c r="A618" s="4">
        <v>43336</v>
      </c>
      <c r="B618" s="3" t="s">
        <v>2375</v>
      </c>
      <c r="C618" s="3" t="s">
        <v>2376</v>
      </c>
      <c r="D618" s="3" t="s">
        <v>2377</v>
      </c>
      <c r="E618" s="3" t="s">
        <v>2378</v>
      </c>
      <c r="F618" s="3" t="s">
        <v>538</v>
      </c>
      <c r="G618" s="3">
        <v>1</v>
      </c>
      <c r="H618" s="3">
        <v>0</v>
      </c>
      <c r="I618" s="3">
        <v>0</v>
      </c>
      <c r="J618" s="3">
        <v>0</v>
      </c>
      <c r="K618" s="3">
        <v>1</v>
      </c>
      <c r="L618" s="3">
        <v>0</v>
      </c>
      <c r="M618" s="3">
        <v>0</v>
      </c>
      <c r="N618" s="3" t="s">
        <v>539</v>
      </c>
      <c r="O618" s="3">
        <v>1</v>
      </c>
      <c r="P618" s="3">
        <v>0.2</v>
      </c>
      <c r="Q618" s="3">
        <v>0</v>
      </c>
      <c r="R618" s="3">
        <v>0</v>
      </c>
      <c r="S618" s="3">
        <v>0</v>
      </c>
      <c r="T618" s="3">
        <v>0</v>
      </c>
      <c r="U618" s="3">
        <v>0</v>
      </c>
      <c r="V618" s="3">
        <v>0</v>
      </c>
      <c r="W618" s="3" t="s">
        <v>553</v>
      </c>
      <c r="X618" s="3">
        <v>29.9</v>
      </c>
      <c r="Y618" s="3">
        <v>29.9</v>
      </c>
      <c r="Z618" s="3">
        <v>29.9</v>
      </c>
      <c r="AA618" s="3">
        <v>0</v>
      </c>
      <c r="AB618" s="3" t="s">
        <v>743</v>
      </c>
      <c r="AC618" s="3">
        <v>0</v>
      </c>
      <c r="AD618" s="3">
        <v>29.9</v>
      </c>
      <c r="AE618" s="3">
        <v>0</v>
      </c>
      <c r="AF618" s="3">
        <v>1</v>
      </c>
      <c r="AG618" s="3">
        <v>15.553464</v>
      </c>
      <c r="AH618" s="3">
        <v>0</v>
      </c>
      <c r="AI618" s="3">
        <v>0.058074</v>
      </c>
      <c r="AJ618" s="3" t="s">
        <v>548</v>
      </c>
    </row>
    <row r="619" spans="1:36">
      <c r="A619" s="4">
        <v>43336</v>
      </c>
      <c r="B619" s="3" t="s">
        <v>2379</v>
      </c>
      <c r="C619" s="3" t="s">
        <v>2380</v>
      </c>
      <c r="D619" s="3" t="s">
        <v>2381</v>
      </c>
      <c r="E619" s="3" t="s">
        <v>2382</v>
      </c>
      <c r="F619" s="3" t="s">
        <v>538</v>
      </c>
      <c r="G619" s="3">
        <v>30</v>
      </c>
      <c r="H619" s="3">
        <v>0</v>
      </c>
      <c r="I619" s="3">
        <v>30</v>
      </c>
      <c r="J619" s="3">
        <v>0</v>
      </c>
      <c r="K619" s="3">
        <v>0</v>
      </c>
      <c r="L619" s="3">
        <v>0</v>
      </c>
      <c r="M619" s="3">
        <v>0</v>
      </c>
      <c r="N619" s="3" t="s">
        <v>539</v>
      </c>
      <c r="O619" s="3">
        <v>0</v>
      </c>
      <c r="P619" s="3">
        <v>0</v>
      </c>
      <c r="Q619" s="3">
        <v>0</v>
      </c>
      <c r="R619" s="3">
        <v>0</v>
      </c>
      <c r="S619" s="3">
        <v>4</v>
      </c>
      <c r="T619" s="3">
        <v>7</v>
      </c>
      <c r="U619" s="3">
        <v>25</v>
      </c>
      <c r="V619" s="3">
        <v>31</v>
      </c>
      <c r="W619" s="3"/>
      <c r="X619" s="3">
        <v>12.99</v>
      </c>
      <c r="Y619" s="3">
        <v>12.99</v>
      </c>
      <c r="Z619" s="3">
        <v>12.99</v>
      </c>
      <c r="AA619" s="3">
        <v>0</v>
      </c>
      <c r="AB619" s="3" t="s">
        <v>547</v>
      </c>
      <c r="AC619" s="3">
        <v>32</v>
      </c>
      <c r="AD619" s="3">
        <v>12.99</v>
      </c>
      <c r="AE619" s="3">
        <v>0</v>
      </c>
      <c r="AF619" s="3">
        <v>0</v>
      </c>
      <c r="AG619" s="3">
        <v>0</v>
      </c>
      <c r="AH619" s="3">
        <v>1.6986301369863</v>
      </c>
      <c r="AI619" s="3">
        <v>1.01136</v>
      </c>
      <c r="AJ619" s="3" t="s">
        <v>596</v>
      </c>
    </row>
    <row r="620" spans="1:36">
      <c r="A620" s="4">
        <v>43336</v>
      </c>
      <c r="B620" s="3" t="s">
        <v>2383</v>
      </c>
      <c r="C620" s="3" t="s">
        <v>2384</v>
      </c>
      <c r="D620" s="3" t="s">
        <v>2385</v>
      </c>
      <c r="E620" s="3" t="s">
        <v>537</v>
      </c>
      <c r="F620" s="3" t="s">
        <v>538</v>
      </c>
      <c r="G620" s="3">
        <v>6</v>
      </c>
      <c r="H620" s="3">
        <v>0</v>
      </c>
      <c r="I620" s="3">
        <v>6</v>
      </c>
      <c r="J620" s="3">
        <v>0</v>
      </c>
      <c r="K620" s="3">
        <v>0</v>
      </c>
      <c r="L620" s="3">
        <v>0</v>
      </c>
      <c r="M620" s="3">
        <v>0</v>
      </c>
      <c r="N620" s="3" t="s">
        <v>539</v>
      </c>
      <c r="O620" s="3">
        <v>0</v>
      </c>
      <c r="P620" s="3">
        <v>0</v>
      </c>
      <c r="Q620" s="3">
        <v>0</v>
      </c>
      <c r="R620" s="3">
        <v>0</v>
      </c>
      <c r="S620" s="3">
        <v>0</v>
      </c>
      <c r="T620" s="3">
        <v>0</v>
      </c>
      <c r="U620" s="3">
        <v>0</v>
      </c>
      <c r="V620" s="3">
        <v>0</v>
      </c>
      <c r="W620" s="3" t="s">
        <v>540</v>
      </c>
      <c r="X620" s="3">
        <v>19.99</v>
      </c>
      <c r="Y620" s="3">
        <v>19.99</v>
      </c>
      <c r="Z620" s="3">
        <v>19.99</v>
      </c>
      <c r="AA620" s="3">
        <v>0</v>
      </c>
      <c r="AB620" s="3" t="s">
        <v>541</v>
      </c>
      <c r="AC620" s="3">
        <v>0</v>
      </c>
      <c r="AD620" s="3">
        <v>15.99</v>
      </c>
      <c r="AE620" s="3">
        <v>63</v>
      </c>
      <c r="AF620" s="3">
        <v>0</v>
      </c>
      <c r="AG620" s="3">
        <v>6.942642</v>
      </c>
      <c r="AH620" s="3">
        <v>0</v>
      </c>
      <c r="AI620" s="3">
        <v>1.297632</v>
      </c>
      <c r="AJ620" s="3" t="s">
        <v>542</v>
      </c>
    </row>
    <row r="621" spans="1:36">
      <c r="A621" s="4">
        <v>43336</v>
      </c>
      <c r="B621" s="3" t="s">
        <v>41</v>
      </c>
      <c r="C621" s="3" t="s">
        <v>42</v>
      </c>
      <c r="D621" s="3" t="s">
        <v>43</v>
      </c>
      <c r="E621" s="3" t="s">
        <v>19</v>
      </c>
      <c r="F621" s="3" t="s">
        <v>538</v>
      </c>
      <c r="G621" s="3">
        <v>34</v>
      </c>
      <c r="H621" s="3">
        <v>0</v>
      </c>
      <c r="I621" s="3">
        <v>34</v>
      </c>
      <c r="J621" s="3">
        <v>0</v>
      </c>
      <c r="K621" s="3">
        <v>0</v>
      </c>
      <c r="L621" s="3">
        <v>0</v>
      </c>
      <c r="M621" s="3">
        <v>0</v>
      </c>
      <c r="N621" s="3" t="s">
        <v>539</v>
      </c>
      <c r="O621" s="3">
        <v>0</v>
      </c>
      <c r="P621" s="3">
        <v>0</v>
      </c>
      <c r="Q621" s="3">
        <v>0</v>
      </c>
      <c r="R621" s="3">
        <v>0</v>
      </c>
      <c r="S621" s="3">
        <v>1</v>
      </c>
      <c r="T621" s="3">
        <v>6</v>
      </c>
      <c r="U621" s="3">
        <v>11</v>
      </c>
      <c r="V621" s="3">
        <v>13</v>
      </c>
      <c r="W621" s="3"/>
      <c r="X621" s="3">
        <v>20.99</v>
      </c>
      <c r="Y621" s="3">
        <v>15.99</v>
      </c>
      <c r="Z621" s="3">
        <v>15.99</v>
      </c>
      <c r="AA621" s="3">
        <v>0</v>
      </c>
      <c r="AB621" s="3" t="s">
        <v>547</v>
      </c>
      <c r="AC621" s="3">
        <v>33</v>
      </c>
      <c r="AD621" s="3">
        <v>15.99</v>
      </c>
      <c r="AE621" s="3">
        <v>0</v>
      </c>
      <c r="AF621" s="3">
        <v>0</v>
      </c>
      <c r="AG621" s="3">
        <v>0</v>
      </c>
      <c r="AH621" s="3">
        <v>0.928571428571428</v>
      </c>
      <c r="AI621" s="3">
        <v>2.256648</v>
      </c>
      <c r="AJ621" s="3" t="s">
        <v>596</v>
      </c>
    </row>
    <row r="622" spans="1:36">
      <c r="A622" s="4">
        <v>43336</v>
      </c>
      <c r="B622" s="3" t="s">
        <v>2386</v>
      </c>
      <c r="C622" s="3" t="s">
        <v>2387</v>
      </c>
      <c r="D622" s="3" t="s">
        <v>2388</v>
      </c>
      <c r="E622" s="3" t="s">
        <v>655</v>
      </c>
      <c r="F622" s="3" t="s">
        <v>538</v>
      </c>
      <c r="G622" s="3">
        <v>5</v>
      </c>
      <c r="H622" s="3">
        <v>0</v>
      </c>
      <c r="I622" s="3">
        <v>5</v>
      </c>
      <c r="J622" s="3">
        <v>0</v>
      </c>
      <c r="K622" s="3">
        <v>0</v>
      </c>
      <c r="L622" s="3">
        <v>0</v>
      </c>
      <c r="M622" s="3">
        <v>0</v>
      </c>
      <c r="N622" s="3" t="s">
        <v>539</v>
      </c>
      <c r="O622" s="3">
        <v>0</v>
      </c>
      <c r="P622" s="3">
        <v>0</v>
      </c>
      <c r="Q622" s="3">
        <v>0</v>
      </c>
      <c r="R622" s="3">
        <v>0</v>
      </c>
      <c r="S622" s="3">
        <v>0</v>
      </c>
      <c r="T622" s="3">
        <v>0</v>
      </c>
      <c r="U622" s="3">
        <v>0</v>
      </c>
      <c r="V622" s="3">
        <v>0</v>
      </c>
      <c r="W622" s="3" t="s">
        <v>540</v>
      </c>
      <c r="X622" s="3">
        <v>16.99</v>
      </c>
      <c r="Y622" s="3">
        <v>16.99</v>
      </c>
      <c r="Z622" s="3">
        <v>16.99</v>
      </c>
      <c r="AA622" s="3">
        <v>0</v>
      </c>
      <c r="AB622" s="3" t="s">
        <v>541</v>
      </c>
      <c r="AC622" s="3">
        <v>5</v>
      </c>
      <c r="AD622" s="3">
        <v>16.99</v>
      </c>
      <c r="AE622" s="3">
        <v>0</v>
      </c>
      <c r="AF622" s="3">
        <v>0</v>
      </c>
      <c r="AG622" s="3">
        <v>0</v>
      </c>
      <c r="AH622" s="3">
        <v>0</v>
      </c>
      <c r="AI622" s="3">
        <v>0.67599</v>
      </c>
      <c r="AJ622" s="3" t="s">
        <v>542</v>
      </c>
    </row>
    <row r="623" spans="1:36">
      <c r="A623" s="4">
        <v>43336</v>
      </c>
      <c r="B623" s="3" t="s">
        <v>2389</v>
      </c>
      <c r="C623" s="3" t="s">
        <v>2390</v>
      </c>
      <c r="D623" s="3" t="s">
        <v>2391</v>
      </c>
      <c r="E623" s="3" t="s">
        <v>2392</v>
      </c>
      <c r="F623" s="3" t="s">
        <v>538</v>
      </c>
      <c r="G623" s="3">
        <v>8</v>
      </c>
      <c r="H623" s="3">
        <v>0</v>
      </c>
      <c r="I623" s="3">
        <v>0</v>
      </c>
      <c r="J623" s="3">
        <v>4</v>
      </c>
      <c r="K623" s="3">
        <v>4</v>
      </c>
      <c r="L623" s="3">
        <v>0</v>
      </c>
      <c r="M623" s="3">
        <v>0</v>
      </c>
      <c r="N623" s="3" t="s">
        <v>539</v>
      </c>
      <c r="O623" s="3">
        <v>4</v>
      </c>
      <c r="P623" s="3">
        <v>0.96</v>
      </c>
      <c r="Q623" s="3">
        <v>0</v>
      </c>
      <c r="R623" s="3">
        <v>0</v>
      </c>
      <c r="S623" s="3">
        <v>0</v>
      </c>
      <c r="T623" s="3">
        <v>0</v>
      </c>
      <c r="U623" s="3">
        <v>0</v>
      </c>
      <c r="V623" s="3">
        <v>0</v>
      </c>
      <c r="W623" s="3" t="s">
        <v>553</v>
      </c>
      <c r="X623" s="3">
        <v>20.99</v>
      </c>
      <c r="Y623" s="3">
        <v>20.99</v>
      </c>
      <c r="Z623" s="3">
        <v>20.99</v>
      </c>
      <c r="AA623" s="3">
        <v>0</v>
      </c>
      <c r="AB623" s="3" t="s">
        <v>547</v>
      </c>
      <c r="AC623" s="3">
        <v>8</v>
      </c>
      <c r="AD623" s="3">
        <v>20.99</v>
      </c>
      <c r="AE623" s="3">
        <v>0</v>
      </c>
      <c r="AF623" s="3">
        <v>0</v>
      </c>
      <c r="AG623" s="3">
        <v>0</v>
      </c>
      <c r="AH623" s="3">
        <v>0</v>
      </c>
      <c r="AI623" s="3">
        <v>0.550928</v>
      </c>
      <c r="AJ623" s="3" t="s">
        <v>548</v>
      </c>
    </row>
    <row r="624" spans="1:36">
      <c r="A624" s="4">
        <v>43336</v>
      </c>
      <c r="B624" s="3" t="s">
        <v>75</v>
      </c>
      <c r="C624" s="3" t="s">
        <v>76</v>
      </c>
      <c r="D624" s="3" t="s">
        <v>77</v>
      </c>
      <c r="E624" s="3" t="s">
        <v>78</v>
      </c>
      <c r="F624" s="3" t="s">
        <v>538</v>
      </c>
      <c r="G624" s="3">
        <v>1</v>
      </c>
      <c r="H624" s="3">
        <v>0</v>
      </c>
      <c r="I624" s="3">
        <v>1</v>
      </c>
      <c r="J624" s="3">
        <v>0</v>
      </c>
      <c r="K624" s="3">
        <v>0</v>
      </c>
      <c r="L624" s="3">
        <v>0</v>
      </c>
      <c r="M624" s="3">
        <v>0</v>
      </c>
      <c r="N624" s="3" t="s">
        <v>539</v>
      </c>
      <c r="O624" s="3">
        <v>0</v>
      </c>
      <c r="P624" s="3">
        <v>0</v>
      </c>
      <c r="Q624" s="3">
        <v>0</v>
      </c>
      <c r="R624" s="3">
        <v>0</v>
      </c>
      <c r="S624" s="3">
        <v>3</v>
      </c>
      <c r="T624" s="3">
        <v>15</v>
      </c>
      <c r="U624" s="3">
        <v>27</v>
      </c>
      <c r="V624" s="3">
        <v>35</v>
      </c>
      <c r="W624" s="3"/>
      <c r="X624" s="3">
        <v>35.99</v>
      </c>
      <c r="Y624" s="3">
        <v>35.99</v>
      </c>
      <c r="Z624" s="3">
        <v>35.99</v>
      </c>
      <c r="AA624" s="3">
        <v>0</v>
      </c>
      <c r="AB624" s="3" t="s">
        <v>547</v>
      </c>
      <c r="AC624" s="3">
        <v>1</v>
      </c>
      <c r="AD624" s="3">
        <v>35.99</v>
      </c>
      <c r="AE624" s="3">
        <v>0</v>
      </c>
      <c r="AF624" s="3">
        <v>0</v>
      </c>
      <c r="AG624" s="3">
        <v>0</v>
      </c>
      <c r="AH624" s="3">
        <v>2.85714285714285</v>
      </c>
      <c r="AI624" s="3">
        <v>0.239872</v>
      </c>
      <c r="AJ624" s="3" t="s">
        <v>548</v>
      </c>
    </row>
    <row r="625" spans="1:36">
      <c r="A625" s="4">
        <v>43336</v>
      </c>
      <c r="B625" s="3" t="s">
        <v>2393</v>
      </c>
      <c r="C625" s="3" t="s">
        <v>2394</v>
      </c>
      <c r="D625" s="3" t="s">
        <v>2395</v>
      </c>
      <c r="E625" s="3" t="s">
        <v>2396</v>
      </c>
      <c r="F625" s="3" t="s">
        <v>538</v>
      </c>
      <c r="G625" s="3">
        <v>25</v>
      </c>
      <c r="H625" s="3">
        <v>0</v>
      </c>
      <c r="I625" s="3">
        <v>25</v>
      </c>
      <c r="J625" s="3">
        <v>0</v>
      </c>
      <c r="K625" s="3">
        <v>0</v>
      </c>
      <c r="L625" s="3">
        <v>0</v>
      </c>
      <c r="M625" s="3">
        <v>0</v>
      </c>
      <c r="N625" s="3" t="s">
        <v>539</v>
      </c>
      <c r="O625" s="3">
        <v>0</v>
      </c>
      <c r="P625" s="3">
        <v>0</v>
      </c>
      <c r="Q625" s="3">
        <v>0</v>
      </c>
      <c r="R625" s="3">
        <v>0</v>
      </c>
      <c r="S625" s="3">
        <v>3</v>
      </c>
      <c r="T625" s="3">
        <v>15</v>
      </c>
      <c r="U625" s="3">
        <v>21</v>
      </c>
      <c r="V625" s="3">
        <v>33</v>
      </c>
      <c r="W625" s="3"/>
      <c r="X625" s="3">
        <v>22.99</v>
      </c>
      <c r="Y625" s="3">
        <v>22.99</v>
      </c>
      <c r="Z625" s="3">
        <v>22.99</v>
      </c>
      <c r="AA625" s="3">
        <v>0</v>
      </c>
      <c r="AB625" s="3" t="s">
        <v>547</v>
      </c>
      <c r="AC625" s="3">
        <v>27</v>
      </c>
      <c r="AD625" s="3">
        <v>22.99</v>
      </c>
      <c r="AE625" s="3">
        <v>0</v>
      </c>
      <c r="AF625" s="3">
        <v>0</v>
      </c>
      <c r="AG625" s="3">
        <v>0</v>
      </c>
      <c r="AH625" s="3">
        <v>1.59036144578313</v>
      </c>
      <c r="AI625" s="3">
        <v>1.2882</v>
      </c>
      <c r="AJ625" s="3" t="s">
        <v>548</v>
      </c>
    </row>
    <row r="626" spans="1:36">
      <c r="A626" s="4">
        <v>43336</v>
      </c>
      <c r="B626" s="3" t="s">
        <v>2397</v>
      </c>
      <c r="C626" s="3" t="s">
        <v>2398</v>
      </c>
      <c r="D626" s="3" t="s">
        <v>2399</v>
      </c>
      <c r="E626" s="3" t="s">
        <v>2400</v>
      </c>
      <c r="F626" s="3" t="s">
        <v>538</v>
      </c>
      <c r="G626" s="3">
        <v>25</v>
      </c>
      <c r="H626" s="3">
        <v>0</v>
      </c>
      <c r="I626" s="3">
        <v>0</v>
      </c>
      <c r="J626" s="3">
        <v>1</v>
      </c>
      <c r="K626" s="3">
        <v>0</v>
      </c>
      <c r="L626" s="3">
        <v>24</v>
      </c>
      <c r="M626" s="3">
        <v>0</v>
      </c>
      <c r="N626" s="3" t="s">
        <v>539</v>
      </c>
      <c r="O626" s="3">
        <v>0</v>
      </c>
      <c r="P626" s="3">
        <v>0</v>
      </c>
      <c r="Q626" s="3">
        <v>24</v>
      </c>
      <c r="R626" s="3">
        <v>12</v>
      </c>
      <c r="S626" s="3">
        <v>0</v>
      </c>
      <c r="T626" s="3">
        <v>0</v>
      </c>
      <c r="U626" s="3">
        <v>2</v>
      </c>
      <c r="V626" s="3">
        <v>3</v>
      </c>
      <c r="W626" s="3" t="s">
        <v>553</v>
      </c>
      <c r="X626" s="3">
        <v>23.99</v>
      </c>
      <c r="Y626" s="3">
        <v>23.99</v>
      </c>
      <c r="Z626" s="3">
        <v>23.99</v>
      </c>
      <c r="AA626" s="3">
        <v>0</v>
      </c>
      <c r="AB626" s="3" t="s">
        <v>562</v>
      </c>
      <c r="AC626" s="3">
        <v>23</v>
      </c>
      <c r="AD626" s="3">
        <v>20.06</v>
      </c>
      <c r="AE626" s="3">
        <v>42</v>
      </c>
      <c r="AF626" s="3">
        <v>0</v>
      </c>
      <c r="AG626" s="3">
        <v>19.455328</v>
      </c>
      <c r="AH626" s="3">
        <v>0.114285714285714</v>
      </c>
      <c r="AI626" s="3">
        <v>1.362975</v>
      </c>
      <c r="AJ626" s="3" t="s">
        <v>548</v>
      </c>
    </row>
    <row r="627" spans="1:36">
      <c r="A627" s="4">
        <v>43336</v>
      </c>
      <c r="B627" s="3" t="s">
        <v>2401</v>
      </c>
      <c r="C627" s="3" t="s">
        <v>2402</v>
      </c>
      <c r="D627" s="3" t="s">
        <v>2403</v>
      </c>
      <c r="E627" s="3" t="s">
        <v>2404</v>
      </c>
      <c r="F627" s="3" t="s">
        <v>538</v>
      </c>
      <c r="G627" s="3">
        <v>1</v>
      </c>
      <c r="H627" s="3">
        <v>0</v>
      </c>
      <c r="I627" s="3">
        <v>1</v>
      </c>
      <c r="J627" s="3">
        <v>0</v>
      </c>
      <c r="K627" s="3">
        <v>0</v>
      </c>
      <c r="L627" s="3">
        <v>0</v>
      </c>
      <c r="M627" s="3">
        <v>0</v>
      </c>
      <c r="N627" s="3" t="s">
        <v>539</v>
      </c>
      <c r="O627" s="3">
        <v>0</v>
      </c>
      <c r="P627" s="3">
        <v>0</v>
      </c>
      <c r="Q627" s="3">
        <v>0</v>
      </c>
      <c r="R627" s="3">
        <v>0</v>
      </c>
      <c r="S627" s="3">
        <v>0</v>
      </c>
      <c r="T627" s="3">
        <v>0</v>
      </c>
      <c r="U627" s="3">
        <v>0</v>
      </c>
      <c r="V627" s="3">
        <v>0</v>
      </c>
      <c r="W627" s="3" t="s">
        <v>540</v>
      </c>
      <c r="X627" s="3">
        <v>13.1</v>
      </c>
      <c r="Y627" s="3">
        <v>13.1</v>
      </c>
      <c r="Z627" s="3">
        <v>13.1</v>
      </c>
      <c r="AA627" s="3">
        <v>0</v>
      </c>
      <c r="AB627" s="3" t="s">
        <v>651</v>
      </c>
      <c r="AC627" s="3">
        <v>1</v>
      </c>
      <c r="AD627" s="3">
        <v>13.1</v>
      </c>
      <c r="AE627" s="3">
        <v>0</v>
      </c>
      <c r="AF627" s="3">
        <v>0</v>
      </c>
      <c r="AG627" s="3">
        <v>0</v>
      </c>
      <c r="AH627" s="3">
        <v>0</v>
      </c>
      <c r="AI627" s="3">
        <v>0.015799</v>
      </c>
      <c r="AJ627" s="3" t="s">
        <v>548</v>
      </c>
    </row>
    <row r="628" spans="1:36">
      <c r="A628" s="4">
        <v>43336</v>
      </c>
      <c r="B628" s="3" t="s">
        <v>2405</v>
      </c>
      <c r="C628" s="3" t="s">
        <v>2406</v>
      </c>
      <c r="D628" s="3" t="s">
        <v>2407</v>
      </c>
      <c r="E628" s="3" t="s">
        <v>2408</v>
      </c>
      <c r="F628" s="3" t="s">
        <v>538</v>
      </c>
      <c r="G628" s="3">
        <v>21</v>
      </c>
      <c r="H628" s="3">
        <v>0</v>
      </c>
      <c r="I628" s="3">
        <v>0</v>
      </c>
      <c r="J628" s="3">
        <v>0</v>
      </c>
      <c r="K628" s="3">
        <v>0</v>
      </c>
      <c r="L628" s="3">
        <v>17</v>
      </c>
      <c r="M628" s="3">
        <v>4</v>
      </c>
      <c r="N628" s="3" t="s">
        <v>539</v>
      </c>
      <c r="O628" s="3">
        <v>2</v>
      </c>
      <c r="P628" s="3">
        <v>0.06</v>
      </c>
      <c r="Q628" s="3">
        <v>19</v>
      </c>
      <c r="R628" s="3">
        <v>9.5</v>
      </c>
      <c r="S628" s="3">
        <v>0</v>
      </c>
      <c r="T628" s="3">
        <v>0</v>
      </c>
      <c r="U628" s="3">
        <v>2</v>
      </c>
      <c r="V628" s="3">
        <v>4</v>
      </c>
      <c r="W628" s="3" t="s">
        <v>553</v>
      </c>
      <c r="X628" s="3">
        <v>9.99</v>
      </c>
      <c r="Y628" s="3">
        <v>9.99</v>
      </c>
      <c r="Z628" s="3">
        <v>9.99</v>
      </c>
      <c r="AA628" s="3">
        <v>0</v>
      </c>
      <c r="AB628" s="3" t="s">
        <v>562</v>
      </c>
      <c r="AC628" s="3">
        <v>0</v>
      </c>
      <c r="AD628" s="3">
        <v>7.8</v>
      </c>
      <c r="AE628" s="3">
        <v>364</v>
      </c>
      <c r="AF628" s="3">
        <v>0</v>
      </c>
      <c r="AG628" s="3">
        <v>97.292172</v>
      </c>
      <c r="AH628" s="3">
        <v>0.177777777777777</v>
      </c>
      <c r="AI628" s="3">
        <v>0.210020999999999</v>
      </c>
      <c r="AJ628" s="3" t="s">
        <v>548</v>
      </c>
    </row>
    <row r="629" spans="1:36">
      <c r="A629" s="4">
        <v>43336</v>
      </c>
      <c r="B629" s="3" t="s">
        <v>2409</v>
      </c>
      <c r="C629" s="3" t="s">
        <v>2410</v>
      </c>
      <c r="D629" s="3" t="s">
        <v>2411</v>
      </c>
      <c r="E629" s="3" t="s">
        <v>2412</v>
      </c>
      <c r="F629" s="3" t="s">
        <v>538</v>
      </c>
      <c r="G629" s="3">
        <v>20</v>
      </c>
      <c r="H629" s="3">
        <v>0</v>
      </c>
      <c r="I629" s="3">
        <v>11</v>
      </c>
      <c r="J629" s="3">
        <v>9</v>
      </c>
      <c r="K629" s="3">
        <v>0</v>
      </c>
      <c r="L629" s="3">
        <v>0</v>
      </c>
      <c r="M629" s="3">
        <v>0</v>
      </c>
      <c r="N629" s="3" t="s">
        <v>539</v>
      </c>
      <c r="O629" s="3">
        <v>0</v>
      </c>
      <c r="P629" s="3">
        <v>0</v>
      </c>
      <c r="Q629" s="3">
        <v>0</v>
      </c>
      <c r="R629" s="3">
        <v>0</v>
      </c>
      <c r="S629" s="3">
        <v>0</v>
      </c>
      <c r="T629" s="3">
        <v>0</v>
      </c>
      <c r="U629" s="3">
        <v>0</v>
      </c>
      <c r="V629" s="3">
        <v>3</v>
      </c>
      <c r="W629" s="3" t="s">
        <v>553</v>
      </c>
      <c r="X629" s="3">
        <v>13.99</v>
      </c>
      <c r="Y629" s="3">
        <v>13.99</v>
      </c>
      <c r="Z629" s="3">
        <v>13.99</v>
      </c>
      <c r="AA629" s="3">
        <v>0</v>
      </c>
      <c r="AB629" s="3" t="s">
        <v>562</v>
      </c>
      <c r="AC629" s="3">
        <v>0</v>
      </c>
      <c r="AD629" s="3">
        <v>11.75</v>
      </c>
      <c r="AE629" s="3">
        <v>350</v>
      </c>
      <c r="AF629" s="3">
        <v>0</v>
      </c>
      <c r="AG629" s="3">
        <v>298.84536</v>
      </c>
      <c r="AH629" s="3">
        <v>0.153846153846153</v>
      </c>
      <c r="AI629" s="3">
        <v>1.68285999999999</v>
      </c>
      <c r="AJ629" s="3" t="s">
        <v>548</v>
      </c>
    </row>
    <row r="630" spans="1:36">
      <c r="A630" s="4">
        <v>43336</v>
      </c>
      <c r="B630" s="3" t="s">
        <v>2413</v>
      </c>
      <c r="C630" s="3" t="s">
        <v>2414</v>
      </c>
      <c r="D630" s="3" t="s">
        <v>2415</v>
      </c>
      <c r="E630" s="3" t="s">
        <v>482</v>
      </c>
      <c r="F630" s="3" t="s">
        <v>538</v>
      </c>
      <c r="G630" s="3">
        <v>7</v>
      </c>
      <c r="H630" s="3">
        <v>0</v>
      </c>
      <c r="I630" s="3">
        <v>4</v>
      </c>
      <c r="J630" s="3">
        <v>0</v>
      </c>
      <c r="K630" s="3">
        <v>0</v>
      </c>
      <c r="L630" s="3">
        <v>3</v>
      </c>
      <c r="M630" s="3">
        <v>0</v>
      </c>
      <c r="N630" s="3" t="s">
        <v>539</v>
      </c>
      <c r="O630" s="3">
        <v>3</v>
      </c>
      <c r="P630" s="3">
        <v>0.76</v>
      </c>
      <c r="Q630" s="3">
        <v>0</v>
      </c>
      <c r="R630" s="3">
        <v>0</v>
      </c>
      <c r="S630" s="3">
        <v>0</v>
      </c>
      <c r="T630" s="3">
        <v>0</v>
      </c>
      <c r="U630" s="3">
        <v>1</v>
      </c>
      <c r="V630" s="3">
        <v>1</v>
      </c>
      <c r="W630" s="3" t="s">
        <v>553</v>
      </c>
      <c r="X630" s="3">
        <v>13.99</v>
      </c>
      <c r="Y630" s="3">
        <v>13.99</v>
      </c>
      <c r="Z630" s="3">
        <v>13.99</v>
      </c>
      <c r="AA630" s="3">
        <v>0</v>
      </c>
      <c r="AB630" s="3" t="s">
        <v>547</v>
      </c>
      <c r="AC630" s="3">
        <v>7</v>
      </c>
      <c r="AD630" s="3">
        <v>13.99</v>
      </c>
      <c r="AE630" s="3">
        <v>0</v>
      </c>
      <c r="AF630" s="3">
        <v>0</v>
      </c>
      <c r="AG630" s="3">
        <v>0</v>
      </c>
      <c r="AH630" s="3">
        <v>0.181818181818181</v>
      </c>
      <c r="AI630" s="3">
        <v>0.516397</v>
      </c>
      <c r="AJ630" s="3" t="s">
        <v>596</v>
      </c>
    </row>
    <row r="631" spans="1:36">
      <c r="A631" s="4">
        <v>43336</v>
      </c>
      <c r="B631" s="3" t="s">
        <v>260</v>
      </c>
      <c r="C631" s="3" t="s">
        <v>261</v>
      </c>
      <c r="D631" s="3" t="s">
        <v>262</v>
      </c>
      <c r="E631" s="3" t="s">
        <v>263</v>
      </c>
      <c r="F631" s="3" t="s">
        <v>538</v>
      </c>
      <c r="G631" s="3">
        <v>14</v>
      </c>
      <c r="H631" s="3">
        <v>0</v>
      </c>
      <c r="I631" s="3">
        <v>14</v>
      </c>
      <c r="J631" s="3">
        <v>0</v>
      </c>
      <c r="K631" s="3">
        <v>0</v>
      </c>
      <c r="L631" s="3">
        <v>0</v>
      </c>
      <c r="M631" s="3">
        <v>0</v>
      </c>
      <c r="N631" s="3" t="s">
        <v>539</v>
      </c>
      <c r="O631" s="3">
        <v>0</v>
      </c>
      <c r="P631" s="3">
        <v>0</v>
      </c>
      <c r="Q631" s="3">
        <v>0</v>
      </c>
      <c r="R631" s="3">
        <v>0</v>
      </c>
      <c r="S631" s="3">
        <v>4</v>
      </c>
      <c r="T631" s="3">
        <v>10</v>
      </c>
      <c r="U631" s="3">
        <v>21</v>
      </c>
      <c r="V631" s="3">
        <v>28</v>
      </c>
      <c r="W631" s="3"/>
      <c r="X631" s="3">
        <v>7.99</v>
      </c>
      <c r="Y631" s="3">
        <v>7.99</v>
      </c>
      <c r="Z631" s="3">
        <v>7.99</v>
      </c>
      <c r="AA631" s="3">
        <v>0</v>
      </c>
      <c r="AB631" s="3" t="s">
        <v>547</v>
      </c>
      <c r="AC631" s="3">
        <v>8</v>
      </c>
      <c r="AD631" s="3">
        <v>7.99</v>
      </c>
      <c r="AE631" s="3">
        <v>0</v>
      </c>
      <c r="AF631" s="3">
        <v>0</v>
      </c>
      <c r="AG631" s="3">
        <v>0</v>
      </c>
      <c r="AH631" s="3">
        <v>4.14814814814814</v>
      </c>
      <c r="AI631" s="3">
        <v>0.896098</v>
      </c>
      <c r="AJ631" s="3" t="s">
        <v>548</v>
      </c>
    </row>
    <row r="632" spans="1:36">
      <c r="A632" s="4">
        <v>43336</v>
      </c>
      <c r="B632" s="3" t="s">
        <v>2416</v>
      </c>
      <c r="C632" s="3" t="s">
        <v>2417</v>
      </c>
      <c r="D632" s="3" t="s">
        <v>2418</v>
      </c>
      <c r="E632" s="3" t="s">
        <v>1073</v>
      </c>
      <c r="F632" s="3" t="s">
        <v>538</v>
      </c>
      <c r="G632" s="3">
        <v>5</v>
      </c>
      <c r="H632" s="3">
        <v>0</v>
      </c>
      <c r="I632" s="3">
        <v>5</v>
      </c>
      <c r="J632" s="3">
        <v>0</v>
      </c>
      <c r="K632" s="3">
        <v>0</v>
      </c>
      <c r="L632" s="3">
        <v>0</v>
      </c>
      <c r="M632" s="3">
        <v>0</v>
      </c>
      <c r="N632" s="3" t="s">
        <v>539</v>
      </c>
      <c r="O632" s="3">
        <v>0</v>
      </c>
      <c r="P632" s="3">
        <v>0</v>
      </c>
      <c r="Q632" s="3">
        <v>0</v>
      </c>
      <c r="R632" s="3">
        <v>0</v>
      </c>
      <c r="S632" s="3">
        <v>0</v>
      </c>
      <c r="T632" s="3">
        <v>0</v>
      </c>
      <c r="U632" s="3">
        <v>0</v>
      </c>
      <c r="V632" s="3">
        <v>0</v>
      </c>
      <c r="W632" s="3" t="s">
        <v>540</v>
      </c>
      <c r="X632" s="3">
        <v>19.99</v>
      </c>
      <c r="Y632" s="3">
        <v>19.99</v>
      </c>
      <c r="Z632" s="3">
        <v>19.99</v>
      </c>
      <c r="AA632" s="3">
        <v>0</v>
      </c>
      <c r="AB632" s="3" t="s">
        <v>651</v>
      </c>
      <c r="AC632" s="3">
        <v>5</v>
      </c>
      <c r="AD632" s="3">
        <v>19.99</v>
      </c>
      <c r="AE632" s="3">
        <v>0</v>
      </c>
      <c r="AF632" s="3">
        <v>0</v>
      </c>
      <c r="AG632" s="3">
        <v>0</v>
      </c>
      <c r="AH632" s="3">
        <v>0</v>
      </c>
      <c r="AI632" s="3">
        <v>0.65901</v>
      </c>
      <c r="AJ632" s="3" t="s">
        <v>542</v>
      </c>
    </row>
    <row r="633" spans="1:36">
      <c r="A633" s="4">
        <v>43336</v>
      </c>
      <c r="B633" s="3" t="s">
        <v>2419</v>
      </c>
      <c r="C633" s="3" t="s">
        <v>2420</v>
      </c>
      <c r="D633" s="3" t="s">
        <v>2421</v>
      </c>
      <c r="E633" s="3" t="s">
        <v>2422</v>
      </c>
      <c r="F633" s="3" t="s">
        <v>538</v>
      </c>
      <c r="G633" s="3">
        <v>4</v>
      </c>
      <c r="H633" s="3">
        <v>0</v>
      </c>
      <c r="I633" s="3">
        <v>0</v>
      </c>
      <c r="J633" s="3">
        <v>0</v>
      </c>
      <c r="K633" s="3">
        <v>4</v>
      </c>
      <c r="L633" s="3">
        <v>0</v>
      </c>
      <c r="M633" s="3">
        <v>0</v>
      </c>
      <c r="N633" s="3" t="s">
        <v>539</v>
      </c>
      <c r="O633" s="3">
        <v>4</v>
      </c>
      <c r="P633" s="3">
        <v>0.8</v>
      </c>
      <c r="Q633" s="3">
        <v>0</v>
      </c>
      <c r="R633" s="3">
        <v>0</v>
      </c>
      <c r="S633" s="3">
        <v>0</v>
      </c>
      <c r="T633" s="3">
        <v>0</v>
      </c>
      <c r="U633" s="3">
        <v>0</v>
      </c>
      <c r="V633" s="3">
        <v>0</v>
      </c>
      <c r="W633" s="3" t="s">
        <v>540</v>
      </c>
      <c r="X633" s="3">
        <v>21.4</v>
      </c>
      <c r="Y633" s="3">
        <v>21.4</v>
      </c>
      <c r="Z633" s="3">
        <v>21.4</v>
      </c>
      <c r="AA633" s="3">
        <v>0</v>
      </c>
      <c r="AB633" s="3" t="s">
        <v>562</v>
      </c>
      <c r="AC633" s="3">
        <v>0</v>
      </c>
      <c r="AD633" s="3">
        <v>16.36</v>
      </c>
      <c r="AE633" s="3">
        <v>364</v>
      </c>
      <c r="AF633" s="3">
        <v>0</v>
      </c>
      <c r="AG633" s="3">
        <v>55.707857</v>
      </c>
      <c r="AH633" s="3">
        <v>0</v>
      </c>
      <c r="AI633" s="3">
        <v>0.237316</v>
      </c>
      <c r="AJ633" s="3" t="s">
        <v>548</v>
      </c>
    </row>
    <row r="634" spans="1:36">
      <c r="A634" s="4">
        <v>43336</v>
      </c>
      <c r="B634" s="3" t="s">
        <v>2423</v>
      </c>
      <c r="C634" s="3" t="s">
        <v>2424</v>
      </c>
      <c r="D634" s="3" t="s">
        <v>2425</v>
      </c>
      <c r="E634" s="3" t="s">
        <v>612</v>
      </c>
      <c r="F634" s="3" t="s">
        <v>538</v>
      </c>
      <c r="G634" s="3">
        <v>6</v>
      </c>
      <c r="H634" s="3">
        <v>0</v>
      </c>
      <c r="I634" s="3">
        <v>6</v>
      </c>
      <c r="J634" s="3">
        <v>0</v>
      </c>
      <c r="K634" s="3">
        <v>0</v>
      </c>
      <c r="L634" s="3">
        <v>0</v>
      </c>
      <c r="M634" s="3">
        <v>0</v>
      </c>
      <c r="N634" s="3" t="s">
        <v>539</v>
      </c>
      <c r="O634" s="3">
        <v>0</v>
      </c>
      <c r="P634" s="3">
        <v>0</v>
      </c>
      <c r="Q634" s="3">
        <v>0</v>
      </c>
      <c r="R634" s="3">
        <v>0</v>
      </c>
      <c r="S634" s="3">
        <v>0</v>
      </c>
      <c r="T634" s="3">
        <v>0</v>
      </c>
      <c r="U634" s="3">
        <v>0</v>
      </c>
      <c r="V634" s="3">
        <v>0</v>
      </c>
      <c r="W634" s="3" t="s">
        <v>540</v>
      </c>
      <c r="X634" s="3">
        <v>19.99</v>
      </c>
      <c r="Y634" s="3">
        <v>19.99</v>
      </c>
      <c r="Z634" s="3">
        <v>19.99</v>
      </c>
      <c r="AA634" s="3">
        <v>0</v>
      </c>
      <c r="AB634" s="3" t="s">
        <v>541</v>
      </c>
      <c r="AC634" s="3">
        <v>0</v>
      </c>
      <c r="AD634" s="3">
        <v>0</v>
      </c>
      <c r="AE634" s="3">
        <v>0</v>
      </c>
      <c r="AF634" s="3">
        <v>0</v>
      </c>
      <c r="AG634" s="3">
        <v>0</v>
      </c>
      <c r="AH634" s="3">
        <v>0</v>
      </c>
      <c r="AI634" s="5">
        <v>6e-6</v>
      </c>
      <c r="AJ634" s="3" t="s">
        <v>542</v>
      </c>
    </row>
    <row r="635" spans="1:36">
      <c r="A635" s="4">
        <v>43336</v>
      </c>
      <c r="B635" s="3" t="s">
        <v>2426</v>
      </c>
      <c r="C635" s="3" t="s">
        <v>2427</v>
      </c>
      <c r="D635" s="3" t="s">
        <v>2428</v>
      </c>
      <c r="E635" s="3" t="s">
        <v>537</v>
      </c>
      <c r="F635" s="3" t="s">
        <v>538</v>
      </c>
      <c r="G635" s="3">
        <v>6</v>
      </c>
      <c r="H635" s="3">
        <v>0</v>
      </c>
      <c r="I635" s="3">
        <v>6</v>
      </c>
      <c r="J635" s="3">
        <v>0</v>
      </c>
      <c r="K635" s="3">
        <v>0</v>
      </c>
      <c r="L635" s="3">
        <v>0</v>
      </c>
      <c r="M635" s="3">
        <v>0</v>
      </c>
      <c r="N635" s="3" t="s">
        <v>539</v>
      </c>
      <c r="O635" s="3">
        <v>0</v>
      </c>
      <c r="P635" s="3">
        <v>0</v>
      </c>
      <c r="Q635" s="3">
        <v>0</v>
      </c>
      <c r="R635" s="3">
        <v>0</v>
      </c>
      <c r="S635" s="3">
        <v>0</v>
      </c>
      <c r="T635" s="3">
        <v>0</v>
      </c>
      <c r="U635" s="3">
        <v>0</v>
      </c>
      <c r="V635" s="3">
        <v>0</v>
      </c>
      <c r="W635" s="3" t="s">
        <v>540</v>
      </c>
      <c r="X635" s="3">
        <v>22.99</v>
      </c>
      <c r="Y635" s="3">
        <v>22.99</v>
      </c>
      <c r="Z635" s="3">
        <v>22.99</v>
      </c>
      <c r="AA635" s="3">
        <v>0</v>
      </c>
      <c r="AB635" s="3" t="s">
        <v>541</v>
      </c>
      <c r="AC635" s="3">
        <v>0</v>
      </c>
      <c r="AD635" s="3">
        <v>17.59</v>
      </c>
      <c r="AE635" s="3">
        <v>63</v>
      </c>
      <c r="AF635" s="3">
        <v>0</v>
      </c>
      <c r="AG635" s="3">
        <v>7.637217</v>
      </c>
      <c r="AH635" s="3">
        <v>0</v>
      </c>
      <c r="AI635" s="3">
        <v>1.031634</v>
      </c>
      <c r="AJ635" s="3" t="s">
        <v>542</v>
      </c>
    </row>
    <row r="636" spans="1:36">
      <c r="A636" s="4">
        <v>43336</v>
      </c>
      <c r="B636" s="3" t="s">
        <v>332</v>
      </c>
      <c r="C636" s="3" t="s">
        <v>333</v>
      </c>
      <c r="D636" s="3" t="s">
        <v>334</v>
      </c>
      <c r="E636" s="3" t="s">
        <v>335</v>
      </c>
      <c r="F636" s="3" t="s">
        <v>538</v>
      </c>
      <c r="G636" s="3">
        <v>25</v>
      </c>
      <c r="H636" s="3">
        <v>0</v>
      </c>
      <c r="I636" s="3">
        <v>25</v>
      </c>
      <c r="J636" s="3">
        <v>0</v>
      </c>
      <c r="K636" s="3">
        <v>0</v>
      </c>
      <c r="L636" s="3">
        <v>0</v>
      </c>
      <c r="M636" s="3">
        <v>0</v>
      </c>
      <c r="N636" s="3" t="s">
        <v>539</v>
      </c>
      <c r="O636" s="3">
        <v>0</v>
      </c>
      <c r="P636" s="3">
        <v>0</v>
      </c>
      <c r="Q636" s="3">
        <v>0</v>
      </c>
      <c r="R636" s="3">
        <v>0</v>
      </c>
      <c r="S636" s="3">
        <v>1</v>
      </c>
      <c r="T636" s="3">
        <v>5</v>
      </c>
      <c r="U636" s="3">
        <v>8</v>
      </c>
      <c r="V636" s="3">
        <v>13</v>
      </c>
      <c r="W636" s="3"/>
      <c r="X636" s="3">
        <v>20</v>
      </c>
      <c r="Y636" s="3">
        <v>13.99</v>
      </c>
      <c r="Z636" s="3">
        <v>13.99</v>
      </c>
      <c r="AA636" s="3">
        <v>0</v>
      </c>
      <c r="AB636" s="3" t="s">
        <v>547</v>
      </c>
      <c r="AC636" s="3">
        <v>25</v>
      </c>
      <c r="AD636" s="3">
        <v>13.99</v>
      </c>
      <c r="AE636" s="3">
        <v>0</v>
      </c>
      <c r="AF636" s="3">
        <v>0</v>
      </c>
      <c r="AG636" s="3">
        <v>0</v>
      </c>
      <c r="AH636" s="3">
        <v>0.702702702702702</v>
      </c>
      <c r="AI636" s="3">
        <v>1.923575</v>
      </c>
      <c r="AJ636" s="3" t="s">
        <v>596</v>
      </c>
    </row>
    <row r="637" spans="1:36">
      <c r="A637" s="4">
        <v>43336</v>
      </c>
      <c r="B637" s="3" t="s">
        <v>2429</v>
      </c>
      <c r="C637" s="3" t="s">
        <v>2430</v>
      </c>
      <c r="D637" s="3" t="s">
        <v>2431</v>
      </c>
      <c r="E637" s="3" t="s">
        <v>2432</v>
      </c>
      <c r="F637" s="3" t="s">
        <v>538</v>
      </c>
      <c r="G637" s="3">
        <v>23</v>
      </c>
      <c r="H637" s="3">
        <v>0</v>
      </c>
      <c r="I637" s="3">
        <v>1</v>
      </c>
      <c r="J637" s="3">
        <v>0</v>
      </c>
      <c r="K637" s="3">
        <v>0</v>
      </c>
      <c r="L637" s="3">
        <v>22</v>
      </c>
      <c r="M637" s="3">
        <v>0</v>
      </c>
      <c r="N637" s="3" t="s">
        <v>539</v>
      </c>
      <c r="O637" s="3">
        <v>22</v>
      </c>
      <c r="P637" s="3">
        <v>0</v>
      </c>
      <c r="Q637" s="3">
        <v>0</v>
      </c>
      <c r="R637" s="3">
        <v>0</v>
      </c>
      <c r="S637" s="3">
        <v>2</v>
      </c>
      <c r="T637" s="3">
        <v>4</v>
      </c>
      <c r="U637" s="3">
        <v>9</v>
      </c>
      <c r="V637" s="3">
        <v>10</v>
      </c>
      <c r="W637" s="3"/>
      <c r="X637" s="3">
        <v>15.99</v>
      </c>
      <c r="Y637" s="3">
        <v>15.99</v>
      </c>
      <c r="Z637" s="3">
        <v>15.99</v>
      </c>
      <c r="AA637" s="3">
        <v>0</v>
      </c>
      <c r="AB637" s="3" t="s">
        <v>547</v>
      </c>
      <c r="AC637" s="3">
        <v>23</v>
      </c>
      <c r="AD637" s="3">
        <v>15.99</v>
      </c>
      <c r="AE637" s="3">
        <v>0</v>
      </c>
      <c r="AF637" s="3">
        <v>0</v>
      </c>
      <c r="AG637" s="3">
        <v>0</v>
      </c>
      <c r="AH637" s="3">
        <v>0.350877192982456</v>
      </c>
      <c r="AI637" s="5">
        <v>9.2e-5</v>
      </c>
      <c r="AJ637" s="3" t="s">
        <v>548</v>
      </c>
    </row>
    <row r="638" spans="1:36">
      <c r="A638" s="4">
        <v>43336</v>
      </c>
      <c r="B638" s="3" t="s">
        <v>340</v>
      </c>
      <c r="C638" s="3" t="s">
        <v>341</v>
      </c>
      <c r="D638" s="3" t="s">
        <v>342</v>
      </c>
      <c r="E638" s="3" t="s">
        <v>343</v>
      </c>
      <c r="F638" s="3" t="s">
        <v>538</v>
      </c>
      <c r="G638" s="3">
        <v>13</v>
      </c>
      <c r="H638" s="3">
        <v>0</v>
      </c>
      <c r="I638" s="3">
        <v>13</v>
      </c>
      <c r="J638" s="3">
        <v>0</v>
      </c>
      <c r="K638" s="3">
        <v>0</v>
      </c>
      <c r="L638" s="3">
        <v>0</v>
      </c>
      <c r="M638" s="3">
        <v>0</v>
      </c>
      <c r="N638" s="3" t="s">
        <v>539</v>
      </c>
      <c r="O638" s="3">
        <v>0</v>
      </c>
      <c r="P638" s="3">
        <v>0</v>
      </c>
      <c r="Q638" s="3">
        <v>0</v>
      </c>
      <c r="R638" s="3">
        <v>0</v>
      </c>
      <c r="S638" s="3">
        <v>0</v>
      </c>
      <c r="T638" s="3">
        <v>1</v>
      </c>
      <c r="U638" s="3">
        <v>4</v>
      </c>
      <c r="V638" s="3">
        <v>7</v>
      </c>
      <c r="W638" s="3" t="s">
        <v>553</v>
      </c>
      <c r="X638" s="3">
        <v>13.99</v>
      </c>
      <c r="Y638" s="3">
        <v>13.99</v>
      </c>
      <c r="Z638" s="3">
        <v>13.99</v>
      </c>
      <c r="AA638" s="3">
        <v>0</v>
      </c>
      <c r="AB638" s="3" t="s">
        <v>547</v>
      </c>
      <c r="AC638" s="3">
        <v>13</v>
      </c>
      <c r="AD638" s="3">
        <v>13.99</v>
      </c>
      <c r="AE638" s="3">
        <v>0</v>
      </c>
      <c r="AF638" s="3">
        <v>0</v>
      </c>
      <c r="AG638" s="3">
        <v>0</v>
      </c>
      <c r="AH638" s="3">
        <v>0.459016393442622</v>
      </c>
      <c r="AI638" s="3">
        <v>1.000259</v>
      </c>
      <c r="AJ638" s="3" t="s">
        <v>596</v>
      </c>
    </row>
    <row r="639" spans="1:36">
      <c r="A639" s="4">
        <v>43336</v>
      </c>
      <c r="B639" s="3" t="s">
        <v>159</v>
      </c>
      <c r="C639" s="3" t="s">
        <v>160</v>
      </c>
      <c r="D639" s="3" t="s">
        <v>161</v>
      </c>
      <c r="E639" s="3" t="s">
        <v>162</v>
      </c>
      <c r="F639" s="3" t="s">
        <v>538</v>
      </c>
      <c r="G639" s="3">
        <v>10</v>
      </c>
      <c r="H639" s="3">
        <v>0</v>
      </c>
      <c r="I639" s="3">
        <v>10</v>
      </c>
      <c r="J639" s="3">
        <v>0</v>
      </c>
      <c r="K639" s="3">
        <v>0</v>
      </c>
      <c r="L639" s="3">
        <v>0</v>
      </c>
      <c r="M639" s="3">
        <v>0</v>
      </c>
      <c r="N639" s="3" t="s">
        <v>539</v>
      </c>
      <c r="O639" s="3">
        <v>0</v>
      </c>
      <c r="P639" s="3">
        <v>0</v>
      </c>
      <c r="Q639" s="3">
        <v>0</v>
      </c>
      <c r="R639" s="3">
        <v>0</v>
      </c>
      <c r="S639" s="3">
        <v>0</v>
      </c>
      <c r="T639" s="3">
        <v>11</v>
      </c>
      <c r="U639" s="3">
        <v>27</v>
      </c>
      <c r="V639" s="3">
        <v>38</v>
      </c>
      <c r="W639" s="3"/>
      <c r="X639" s="3">
        <v>13.99</v>
      </c>
      <c r="Y639" s="3">
        <v>13.99</v>
      </c>
      <c r="Z639" s="3">
        <v>13.99</v>
      </c>
      <c r="AA639" s="3">
        <v>0</v>
      </c>
      <c r="AB639" s="3" t="s">
        <v>547</v>
      </c>
      <c r="AC639" s="3">
        <v>3</v>
      </c>
      <c r="AD639" s="3">
        <v>13.99</v>
      </c>
      <c r="AE639" s="3">
        <v>0</v>
      </c>
      <c r="AF639" s="3">
        <v>0</v>
      </c>
      <c r="AG639" s="3">
        <v>0</v>
      </c>
      <c r="AH639" s="3">
        <v>3.61904761904761</v>
      </c>
      <c r="AI639" s="3">
        <v>1.38789</v>
      </c>
      <c r="AJ639" s="3" t="s">
        <v>548</v>
      </c>
    </row>
    <row r="640" spans="1:36">
      <c r="A640" s="4">
        <v>43336</v>
      </c>
      <c r="B640" s="3" t="s">
        <v>2433</v>
      </c>
      <c r="C640" s="3" t="s">
        <v>2434</v>
      </c>
      <c r="D640" s="3" t="s">
        <v>2435</v>
      </c>
      <c r="E640" s="3" t="s">
        <v>2436</v>
      </c>
      <c r="F640" s="3" t="s">
        <v>538</v>
      </c>
      <c r="G640" s="3">
        <v>4</v>
      </c>
      <c r="H640" s="3">
        <v>0</v>
      </c>
      <c r="I640" s="3">
        <v>4</v>
      </c>
      <c r="J640" s="3">
        <v>0</v>
      </c>
      <c r="K640" s="3">
        <v>0</v>
      </c>
      <c r="L640" s="3">
        <v>0</v>
      </c>
      <c r="M640" s="3">
        <v>0</v>
      </c>
      <c r="N640" s="3" t="s">
        <v>539</v>
      </c>
      <c r="O640" s="3">
        <v>0</v>
      </c>
      <c r="P640" s="3">
        <v>0</v>
      </c>
      <c r="Q640" s="3">
        <v>0</v>
      </c>
      <c r="R640" s="3">
        <v>0</v>
      </c>
      <c r="S640" s="3">
        <v>0</v>
      </c>
      <c r="T640" s="3">
        <v>0</v>
      </c>
      <c r="U640" s="3">
        <v>2</v>
      </c>
      <c r="V640" s="3">
        <v>3</v>
      </c>
      <c r="W640" s="3" t="s">
        <v>553</v>
      </c>
      <c r="X640" s="3">
        <v>10.99</v>
      </c>
      <c r="Y640" s="3">
        <v>10.99</v>
      </c>
      <c r="Z640" s="3">
        <v>10.99</v>
      </c>
      <c r="AA640" s="3">
        <v>0</v>
      </c>
      <c r="AB640" s="3" t="s">
        <v>562</v>
      </c>
      <c r="AC640" s="3">
        <v>0</v>
      </c>
      <c r="AD640" s="3">
        <v>8.79</v>
      </c>
      <c r="AE640" s="3">
        <v>63</v>
      </c>
      <c r="AF640" s="3">
        <v>0</v>
      </c>
      <c r="AG640" s="3">
        <v>45.04048</v>
      </c>
      <c r="AH640" s="3">
        <v>0.705882352941176</v>
      </c>
      <c r="AI640" s="3">
        <v>0.478496</v>
      </c>
      <c r="AJ640" s="3" t="s">
        <v>548</v>
      </c>
    </row>
    <row r="641" spans="1:36">
      <c r="A641" s="4">
        <v>43336</v>
      </c>
      <c r="B641" s="3" t="s">
        <v>2437</v>
      </c>
      <c r="C641" s="3" t="s">
        <v>2438</v>
      </c>
      <c r="D641" s="3" t="s">
        <v>2439</v>
      </c>
      <c r="E641" s="3" t="s">
        <v>616</v>
      </c>
      <c r="F641" s="3" t="s">
        <v>538</v>
      </c>
      <c r="G641" s="3">
        <v>6</v>
      </c>
      <c r="H641" s="3">
        <v>0</v>
      </c>
      <c r="I641" s="3">
        <v>6</v>
      </c>
      <c r="J641" s="3">
        <v>0</v>
      </c>
      <c r="K641" s="3">
        <v>0</v>
      </c>
      <c r="L641" s="3">
        <v>0</v>
      </c>
      <c r="M641" s="3">
        <v>0</v>
      </c>
      <c r="N641" s="3" t="s">
        <v>539</v>
      </c>
      <c r="O641" s="3">
        <v>0</v>
      </c>
      <c r="P641" s="3">
        <v>0</v>
      </c>
      <c r="Q641" s="3">
        <v>0</v>
      </c>
      <c r="R641" s="3">
        <v>0</v>
      </c>
      <c r="S641" s="3">
        <v>0</v>
      </c>
      <c r="T641" s="3">
        <v>0</v>
      </c>
      <c r="U641" s="3">
        <v>0</v>
      </c>
      <c r="V641" s="3">
        <v>0</v>
      </c>
      <c r="W641" s="3" t="s">
        <v>540</v>
      </c>
      <c r="X641" s="3">
        <v>17.99</v>
      </c>
      <c r="Y641" s="3">
        <v>17.99</v>
      </c>
      <c r="Z641" s="3">
        <v>17.99</v>
      </c>
      <c r="AA641" s="3">
        <v>0</v>
      </c>
      <c r="AB641" s="3" t="s">
        <v>541</v>
      </c>
      <c r="AC641" s="3">
        <v>0</v>
      </c>
      <c r="AD641" s="3">
        <v>14.39</v>
      </c>
      <c r="AE641" s="3">
        <v>63</v>
      </c>
      <c r="AF641" s="3">
        <v>0</v>
      </c>
      <c r="AG641" s="3">
        <v>6.248103</v>
      </c>
      <c r="AH641" s="3">
        <v>0</v>
      </c>
      <c r="AI641" s="3">
        <v>0.669924</v>
      </c>
      <c r="AJ641" s="3" t="s">
        <v>542</v>
      </c>
    </row>
    <row r="642" spans="1:36">
      <c r="A642" s="6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8"/>
      <c r="AJ642" s="7"/>
    </row>
    <row r="643" spans="1:36">
      <c r="A643" s="6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8"/>
      <c r="AJ643" s="7"/>
    </row>
    <row r="644" spans="1:36">
      <c r="A644" s="6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</row>
    <row r="645" spans="1:36">
      <c r="A645" s="6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</row>
    <row r="646" spans="1:36">
      <c r="A646" s="6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</row>
    <row r="647" spans="1:36">
      <c r="A647" s="6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</row>
    <row r="648" spans="1:36">
      <c r="A648" s="6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</row>
    <row r="649" spans="1:36">
      <c r="A649" s="6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8"/>
      <c r="AJ649" s="7"/>
    </row>
    <row r="650" spans="1:36">
      <c r="A650" s="6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8"/>
      <c r="AJ650" s="7"/>
    </row>
    <row r="651" spans="1:36">
      <c r="A651" s="6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</row>
    <row r="652" spans="1:36">
      <c r="A652" s="6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</row>
    <row r="653" spans="1:36">
      <c r="A653" s="6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</row>
    <row r="654" spans="1:36">
      <c r="A654" s="6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</row>
    <row r="655" spans="1:36">
      <c r="A655" s="6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</row>
    <row r="656" spans="1:36">
      <c r="A656" s="6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8"/>
      <c r="AJ656" s="7"/>
    </row>
    <row r="657" spans="1:36">
      <c r="A657" s="6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</row>
    <row r="658" spans="1:36">
      <c r="A658" s="6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</row>
    <row r="659" spans="1:36">
      <c r="A659" s="6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</row>
    <row r="660" spans="1:36">
      <c r="A660" s="6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</row>
    <row r="661" spans="1:36">
      <c r="A661" s="6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</row>
    <row r="662" spans="1:36">
      <c r="A662" s="6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</row>
    <row r="663" spans="1:36">
      <c r="A663" s="6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</row>
    <row r="664" spans="1:36">
      <c r="A664" s="6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</row>
    <row r="665" spans="1:36">
      <c r="A665" s="6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8"/>
      <c r="AJ665" s="7"/>
    </row>
    <row r="666" spans="1:36">
      <c r="A666" s="6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</row>
    <row r="667" spans="1:36">
      <c r="A667" s="6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8"/>
      <c r="AJ667" s="7"/>
    </row>
    <row r="668" spans="1:36">
      <c r="A668" s="6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</row>
    <row r="669" spans="1:36">
      <c r="A669" s="6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</row>
    <row r="670" spans="1:36">
      <c r="A670" s="6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</row>
    <row r="671" spans="1:36">
      <c r="A671" s="6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</row>
    <row r="672" spans="1:36">
      <c r="A672" s="6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8"/>
      <c r="AJ672" s="7"/>
    </row>
    <row r="673" spans="1:36">
      <c r="A673" s="6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</row>
    <row r="674" spans="1:36">
      <c r="A674" s="6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</row>
    <row r="675" spans="1:36">
      <c r="A675" s="6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8"/>
      <c r="AJ675" s="7"/>
    </row>
    <row r="676" spans="1:36">
      <c r="A676" s="6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</row>
    <row r="677" spans="1:36">
      <c r="A677" s="6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8"/>
      <c r="AJ677" s="7"/>
    </row>
    <row r="678" spans="1:36">
      <c r="A678" s="6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</row>
    <row r="679" spans="1:36">
      <c r="A679" s="6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</row>
    <row r="680" spans="1:36">
      <c r="A680" s="6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</row>
    <row r="681" spans="1:36">
      <c r="A681" s="6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</row>
    <row r="682" spans="1:36">
      <c r="A682" s="6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</row>
    <row r="683" spans="1:36">
      <c r="A683" s="6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</row>
    <row r="684" spans="1:36">
      <c r="A684" s="6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</row>
    <row r="685" spans="1:36">
      <c r="A685" s="6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</row>
    <row r="686" spans="1:36">
      <c r="A686" s="6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</row>
    <row r="687" spans="1:36">
      <c r="A687" s="6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</row>
    <row r="688" spans="1:36">
      <c r="A688" s="6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8"/>
      <c r="AJ688" s="7"/>
    </row>
    <row r="689" spans="1:36">
      <c r="A689" s="6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</row>
    <row r="690" spans="1:36">
      <c r="A690" s="6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</row>
    <row r="691" spans="1:36">
      <c r="A691" s="6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</row>
    <row r="692" spans="1:36">
      <c r="A692" s="6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</row>
    <row r="693" spans="1:36">
      <c r="A693" s="6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</row>
    <row r="694" spans="1:36">
      <c r="A694" s="6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</row>
    <row r="695" spans="1:36">
      <c r="A695" s="6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</row>
    <row r="696" spans="1:36">
      <c r="A696" s="6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</row>
    <row r="697" spans="1:36">
      <c r="A697" s="6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</row>
    <row r="698" spans="1:36">
      <c r="A698" s="6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</row>
    <row r="699" spans="1:36">
      <c r="A699" s="6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</row>
    <row r="700" spans="1:36">
      <c r="A700" s="6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</row>
    <row r="701" spans="1:36">
      <c r="A701" s="6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8"/>
      <c r="AJ701" s="7"/>
    </row>
    <row r="702" spans="1:36">
      <c r="A702" s="6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8"/>
      <c r="AJ702" s="7"/>
    </row>
    <row r="703" spans="1:36">
      <c r="A703" s="6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</row>
    <row r="704" spans="1:36">
      <c r="A704" s="6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</row>
    <row r="705" spans="1:36">
      <c r="A705" s="6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</row>
    <row r="706" spans="1:36">
      <c r="A706" s="6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</row>
    <row r="707" spans="1:36">
      <c r="A707" s="6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</row>
    <row r="708" spans="1:36">
      <c r="A708" s="6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</row>
    <row r="709" spans="1:36">
      <c r="A709" s="6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</row>
    <row r="710" spans="1:36">
      <c r="A710" s="6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8"/>
      <c r="AJ710" s="7"/>
    </row>
    <row r="711" spans="1:36">
      <c r="A711" s="6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8"/>
      <c r="AJ711" s="7"/>
    </row>
    <row r="712" spans="1:36">
      <c r="A712" s="6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</row>
    <row r="713" spans="1:36">
      <c r="A713" s="6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</row>
    <row r="714" spans="1:36">
      <c r="A714" s="6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</row>
    <row r="715" spans="1:36">
      <c r="A715" s="6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</row>
    <row r="716" spans="1:36">
      <c r="A716" s="6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</row>
    <row r="717" spans="1:36">
      <c r="A717" s="6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</row>
    <row r="718" spans="1:36">
      <c r="A718" s="6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</row>
    <row r="719" spans="1:36">
      <c r="A719" s="6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</row>
    <row r="720" spans="1:36">
      <c r="A720" s="6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</row>
    <row r="721" spans="1:36">
      <c r="A721" s="6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</row>
    <row r="722" spans="1:36">
      <c r="A722" s="6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</row>
    <row r="723" spans="1:36">
      <c r="A723" s="6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</row>
    <row r="724" spans="1:36">
      <c r="A724" s="6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</row>
    <row r="725" spans="1:36">
      <c r="A725" s="6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</row>
    <row r="726" spans="1:36">
      <c r="A726" s="6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</row>
    <row r="727" spans="1:36">
      <c r="A727" s="6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</row>
    <row r="728" spans="1:36">
      <c r="A728" s="6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8"/>
      <c r="AJ728" s="7"/>
    </row>
    <row r="729" spans="1:36">
      <c r="A729" s="6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</row>
    <row r="730" spans="1:36">
      <c r="A730" s="6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</row>
    <row r="731" spans="1:36">
      <c r="A731" s="6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</row>
    <row r="732" spans="1:36">
      <c r="A732" s="6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</row>
    <row r="733" spans="1:36">
      <c r="A733" s="6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</row>
    <row r="734" spans="1:36">
      <c r="A734" s="6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</row>
    <row r="735" spans="1:36">
      <c r="A735" s="6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</row>
    <row r="736" spans="1:36">
      <c r="A736" s="6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</row>
    <row r="737" spans="1:36">
      <c r="A737" s="6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</row>
    <row r="738" spans="1:36">
      <c r="A738" s="6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</row>
    <row r="739" spans="1:36">
      <c r="A739" s="6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</row>
    <row r="740" spans="1:36">
      <c r="A740" s="6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</row>
    <row r="741" spans="1:36">
      <c r="A741" s="6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</row>
    <row r="742" spans="1:36">
      <c r="A742" s="6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</row>
    <row r="743" spans="1:36">
      <c r="A743" s="6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</row>
    <row r="744" spans="1:36">
      <c r="A744" s="6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</row>
    <row r="745" spans="1:36">
      <c r="A745" s="6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</row>
    <row r="746" spans="1:36">
      <c r="A746" s="6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</row>
    <row r="747" spans="1:36">
      <c r="A747" s="6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</row>
    <row r="748" spans="1:36">
      <c r="A748" s="6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</row>
    <row r="749" spans="1:36">
      <c r="A749" s="6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</row>
    <row r="750" spans="1:36">
      <c r="A750" s="6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</row>
    <row r="751" spans="1:36">
      <c r="A751" s="6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</row>
    <row r="752" spans="1:36">
      <c r="A752" s="6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</row>
    <row r="753" spans="1:36">
      <c r="A753" s="6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</row>
    <row r="754" spans="1:36">
      <c r="A754" s="6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</row>
    <row r="755" spans="1:36">
      <c r="A755" s="6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</row>
    <row r="756" spans="1:36">
      <c r="A756" s="6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</row>
    <row r="757" spans="1:36">
      <c r="A757" s="6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</row>
    <row r="758" spans="1:36">
      <c r="A758" s="6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</row>
    <row r="759" spans="1:36">
      <c r="A759" s="6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</row>
    <row r="760" spans="1:36">
      <c r="A760" s="6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</row>
    <row r="761" spans="1:36">
      <c r="A761" s="6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</row>
    <row r="762" spans="1:36">
      <c r="A762" s="6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</row>
    <row r="763" spans="1:36">
      <c r="A763" s="6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</row>
    <row r="764" spans="1:36">
      <c r="A764" s="6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</row>
    <row r="765" spans="1:36">
      <c r="A765" s="6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</row>
    <row r="766" spans="1:36">
      <c r="A766" s="6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8"/>
      <c r="AJ766" s="7"/>
    </row>
    <row r="767" spans="1:36">
      <c r="A767" s="6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</row>
    <row r="768" spans="1:36">
      <c r="A768" s="6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</row>
    <row r="769" spans="1:36">
      <c r="A769" s="6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</row>
    <row r="770" spans="1:36">
      <c r="A770" s="6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</row>
    <row r="771" spans="1:36">
      <c r="A771" s="6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8"/>
      <c r="AJ771" s="7"/>
    </row>
    <row r="772" spans="1:36">
      <c r="A772" s="6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</row>
    <row r="773" spans="1:36">
      <c r="A773" s="6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8"/>
      <c r="AJ773" s="7"/>
    </row>
    <row r="774" spans="1:36">
      <c r="A774" s="6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</row>
    <row r="775" spans="1:36">
      <c r="A775" s="6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</row>
    <row r="776" spans="1:36">
      <c r="A776" s="6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</row>
    <row r="777" spans="1:36">
      <c r="A777" s="6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</row>
    <row r="778" spans="1:36">
      <c r="A778" s="6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088"/>
  <sheetViews>
    <sheetView topLeftCell="A1070" workbookViewId="0">
      <selection activeCell="R1088" sqref="R1088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2440</v>
      </c>
      <c r="F1" s="3" t="s">
        <v>2441</v>
      </c>
      <c r="G1" s="3" t="s">
        <v>2442</v>
      </c>
      <c r="H1" s="3" t="s">
        <v>2443</v>
      </c>
      <c r="I1" s="3" t="s">
        <v>2444</v>
      </c>
      <c r="J1" s="3" t="s">
        <v>2445</v>
      </c>
      <c r="K1" s="3" t="s">
        <v>2446</v>
      </c>
      <c r="L1" s="3" t="s">
        <v>2447</v>
      </c>
      <c r="M1" s="3" t="s">
        <v>2448</v>
      </c>
      <c r="N1" s="3" t="s">
        <v>2449</v>
      </c>
      <c r="O1" s="3" t="s">
        <v>2450</v>
      </c>
      <c r="P1" s="3" t="s">
        <v>2451</v>
      </c>
      <c r="Q1" s="3" t="s">
        <v>2452</v>
      </c>
      <c r="R1" s="3" t="s">
        <v>2453</v>
      </c>
    </row>
    <row r="2" spans="1:18">
      <c r="A2" s="3" t="s">
        <v>1066</v>
      </c>
      <c r="B2" s="3" t="s">
        <v>1067</v>
      </c>
      <c r="C2" s="3" t="s">
        <v>1068</v>
      </c>
      <c r="D2" s="3" t="s">
        <v>1069</v>
      </c>
      <c r="E2" s="3" t="s">
        <v>538</v>
      </c>
      <c r="F2" s="3">
        <v>19.9</v>
      </c>
      <c r="G2" s="3" t="s">
        <v>2454</v>
      </c>
      <c r="H2" s="3"/>
      <c r="I2" s="3" t="s">
        <v>2455</v>
      </c>
      <c r="J2" s="3">
        <v>1</v>
      </c>
      <c r="K2" s="3">
        <v>1</v>
      </c>
      <c r="L2" s="3">
        <v>0</v>
      </c>
      <c r="M2" s="3">
        <v>0</v>
      </c>
      <c r="N2" s="3">
        <v>1</v>
      </c>
      <c r="O2" s="3">
        <v>0.06</v>
      </c>
      <c r="P2" s="3">
        <v>0</v>
      </c>
      <c r="Q2" s="3">
        <v>0</v>
      </c>
      <c r="R2" s="3">
        <v>0</v>
      </c>
    </row>
    <row r="3" spans="1:18">
      <c r="A3" s="3" t="s">
        <v>2456</v>
      </c>
      <c r="B3" s="3" t="s">
        <v>2457</v>
      </c>
      <c r="C3" s="3" t="s">
        <v>2458</v>
      </c>
      <c r="D3" s="3"/>
      <c r="E3" s="3" t="s">
        <v>2459</v>
      </c>
      <c r="F3" s="3"/>
      <c r="G3" s="3"/>
      <c r="H3" s="3"/>
      <c r="I3" s="3"/>
      <c r="J3" s="3">
        <v>0</v>
      </c>
      <c r="K3" s="3">
        <v>0</v>
      </c>
      <c r="L3" s="3">
        <v>0</v>
      </c>
      <c r="M3" s="3">
        <v>0</v>
      </c>
      <c r="N3" s="3">
        <v>0</v>
      </c>
      <c r="O3" s="3"/>
      <c r="P3" s="3">
        <v>0</v>
      </c>
      <c r="Q3" s="3">
        <v>0</v>
      </c>
      <c r="R3" s="3">
        <v>0</v>
      </c>
    </row>
    <row r="4" spans="1:18">
      <c r="A4" s="3" t="s">
        <v>637</v>
      </c>
      <c r="B4" s="3" t="s">
        <v>638</v>
      </c>
      <c r="C4" s="3" t="s">
        <v>639</v>
      </c>
      <c r="D4" s="3" t="s">
        <v>640</v>
      </c>
      <c r="E4" s="3" t="s">
        <v>538</v>
      </c>
      <c r="F4" s="3">
        <v>9.99</v>
      </c>
      <c r="G4" s="3" t="s">
        <v>2454</v>
      </c>
      <c r="H4" s="3"/>
      <c r="I4" s="3" t="s">
        <v>2455</v>
      </c>
      <c r="J4" s="3">
        <v>2</v>
      </c>
      <c r="K4" s="3">
        <v>1</v>
      </c>
      <c r="L4" s="3">
        <v>1</v>
      </c>
      <c r="M4" s="3">
        <v>0</v>
      </c>
      <c r="N4" s="3">
        <v>2</v>
      </c>
      <c r="O4" s="3">
        <v>0.2</v>
      </c>
      <c r="P4" s="3">
        <v>0</v>
      </c>
      <c r="Q4" s="3">
        <v>0</v>
      </c>
      <c r="R4" s="3">
        <v>0</v>
      </c>
    </row>
    <row r="5" spans="1:18">
      <c r="A5" s="3" t="s">
        <v>2460</v>
      </c>
      <c r="B5" s="3" t="s">
        <v>2461</v>
      </c>
      <c r="C5" s="3" t="s">
        <v>2462</v>
      </c>
      <c r="D5" s="3" t="s">
        <v>2463</v>
      </c>
      <c r="E5" s="3" t="s">
        <v>538</v>
      </c>
      <c r="F5" s="3">
        <v>20.99</v>
      </c>
      <c r="G5" s="3" t="s">
        <v>2454</v>
      </c>
      <c r="H5" s="3"/>
      <c r="I5" s="3" t="s">
        <v>2455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0.03</v>
      </c>
      <c r="P5" s="3">
        <v>0</v>
      </c>
      <c r="Q5" s="3">
        <v>0</v>
      </c>
      <c r="R5" s="3">
        <v>0</v>
      </c>
    </row>
    <row r="6" spans="1:18">
      <c r="A6" s="3" t="s">
        <v>1780</v>
      </c>
      <c r="B6" s="3" t="s">
        <v>1781</v>
      </c>
      <c r="C6" s="3" t="s">
        <v>1782</v>
      </c>
      <c r="D6" s="3" t="s">
        <v>1783</v>
      </c>
      <c r="E6" s="3" t="s">
        <v>538</v>
      </c>
      <c r="F6" s="3">
        <v>11.99</v>
      </c>
      <c r="G6" s="3" t="s">
        <v>2454</v>
      </c>
      <c r="H6" s="3"/>
      <c r="I6" s="3" t="s">
        <v>2455</v>
      </c>
      <c r="J6" s="3">
        <v>4</v>
      </c>
      <c r="K6" s="3">
        <v>4</v>
      </c>
      <c r="L6" s="3">
        <v>0</v>
      </c>
      <c r="M6" s="3">
        <v>0</v>
      </c>
      <c r="N6" s="3">
        <v>4</v>
      </c>
      <c r="O6" s="3">
        <v>0.07</v>
      </c>
      <c r="P6" s="3">
        <v>0</v>
      </c>
      <c r="Q6" s="3">
        <v>0</v>
      </c>
      <c r="R6" s="3">
        <v>0</v>
      </c>
    </row>
    <row r="7" spans="1:18">
      <c r="A7" s="3" t="s">
        <v>2464</v>
      </c>
      <c r="B7" s="3" t="s">
        <v>2465</v>
      </c>
      <c r="C7" s="3" t="s">
        <v>2466</v>
      </c>
      <c r="D7" s="3" t="s">
        <v>1783</v>
      </c>
      <c r="E7" s="3" t="s">
        <v>538</v>
      </c>
      <c r="F7" s="3">
        <v>11.99</v>
      </c>
      <c r="G7" s="3" t="s">
        <v>2454</v>
      </c>
      <c r="H7" s="3"/>
      <c r="I7" s="3" t="s">
        <v>2455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0.07</v>
      </c>
      <c r="P7" s="3">
        <v>0</v>
      </c>
      <c r="Q7" s="3">
        <v>0</v>
      </c>
      <c r="R7" s="3">
        <v>0</v>
      </c>
    </row>
    <row r="8" spans="1:18">
      <c r="A8" s="3" t="s">
        <v>2467</v>
      </c>
      <c r="B8" s="3" t="s">
        <v>2468</v>
      </c>
      <c r="C8" s="3" t="s">
        <v>2469</v>
      </c>
      <c r="D8" s="3"/>
      <c r="E8" s="3" t="s">
        <v>2459</v>
      </c>
      <c r="F8" s="3"/>
      <c r="G8" s="3"/>
      <c r="H8" s="3"/>
      <c r="I8" s="3"/>
      <c r="J8" s="3">
        <v>0</v>
      </c>
      <c r="K8" s="3">
        <v>0</v>
      </c>
      <c r="L8" s="3">
        <v>0</v>
      </c>
      <c r="M8" s="3">
        <v>0</v>
      </c>
      <c r="N8" s="3">
        <v>0</v>
      </c>
      <c r="O8" s="3"/>
      <c r="P8" s="3">
        <v>0</v>
      </c>
      <c r="Q8" s="3">
        <v>0</v>
      </c>
      <c r="R8" s="3">
        <v>0</v>
      </c>
    </row>
    <row r="9" spans="1:18">
      <c r="A9" s="3" t="s">
        <v>2470</v>
      </c>
      <c r="B9" s="3" t="s">
        <v>2471</v>
      </c>
      <c r="C9" s="3" t="s">
        <v>2472</v>
      </c>
      <c r="D9" s="3" t="s">
        <v>1783</v>
      </c>
      <c r="E9" s="3" t="s">
        <v>538</v>
      </c>
      <c r="F9" s="3">
        <v>11.99</v>
      </c>
      <c r="G9" s="3" t="s">
        <v>2454</v>
      </c>
      <c r="H9" s="3"/>
      <c r="I9" s="3" t="s">
        <v>2455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0.07</v>
      </c>
      <c r="P9" s="3">
        <v>0</v>
      </c>
      <c r="Q9" s="3">
        <v>0</v>
      </c>
      <c r="R9" s="3">
        <v>0</v>
      </c>
    </row>
    <row r="10" spans="1:18">
      <c r="A10" s="3" t="s">
        <v>1940</v>
      </c>
      <c r="B10" s="3" t="s">
        <v>1941</v>
      </c>
      <c r="C10" s="3" t="s">
        <v>1942</v>
      </c>
      <c r="D10" s="3" t="s">
        <v>1943</v>
      </c>
      <c r="E10" s="3" t="s">
        <v>538</v>
      </c>
      <c r="F10" s="3">
        <v>9.99</v>
      </c>
      <c r="G10" s="3" t="s">
        <v>2454</v>
      </c>
      <c r="H10" s="3"/>
      <c r="I10" s="3" t="s">
        <v>2455</v>
      </c>
      <c r="J10" s="3">
        <v>6</v>
      </c>
      <c r="K10" s="3">
        <v>6</v>
      </c>
      <c r="L10" s="3">
        <v>0</v>
      </c>
      <c r="M10" s="3">
        <v>0</v>
      </c>
      <c r="N10" s="3">
        <v>6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1729</v>
      </c>
      <c r="B11" s="3" t="s">
        <v>1730</v>
      </c>
      <c r="C11" s="3" t="s">
        <v>1731</v>
      </c>
      <c r="D11" s="3" t="s">
        <v>1732</v>
      </c>
      <c r="E11" s="3" t="s">
        <v>538</v>
      </c>
      <c r="F11" s="3">
        <v>9.99</v>
      </c>
      <c r="G11" s="3" t="s">
        <v>2454</v>
      </c>
      <c r="H11" s="3"/>
      <c r="I11" s="3" t="s">
        <v>2455</v>
      </c>
      <c r="J11" s="3">
        <v>6</v>
      </c>
      <c r="K11" s="3">
        <v>6</v>
      </c>
      <c r="L11" s="3">
        <v>0</v>
      </c>
      <c r="M11" s="3">
        <v>0</v>
      </c>
      <c r="N11" s="3">
        <v>6</v>
      </c>
      <c r="O11" s="3">
        <v>0.03</v>
      </c>
      <c r="P11" s="3">
        <v>0</v>
      </c>
      <c r="Q11" s="3">
        <v>0</v>
      </c>
      <c r="R11" s="3">
        <v>0</v>
      </c>
    </row>
    <row r="12" spans="1:18">
      <c r="A12" s="3" t="s">
        <v>2244</v>
      </c>
      <c r="B12" s="3" t="s">
        <v>2245</v>
      </c>
      <c r="C12" s="3" t="s">
        <v>2246</v>
      </c>
      <c r="D12" s="3" t="s">
        <v>2247</v>
      </c>
      <c r="E12" s="3" t="s">
        <v>538</v>
      </c>
      <c r="F12" s="3">
        <v>9.99</v>
      </c>
      <c r="G12" s="3" t="s">
        <v>2454</v>
      </c>
      <c r="H12" s="3"/>
      <c r="I12" s="3" t="s">
        <v>2455</v>
      </c>
      <c r="J12" s="3">
        <v>6</v>
      </c>
      <c r="K12" s="3">
        <v>6</v>
      </c>
      <c r="L12" s="3">
        <v>0</v>
      </c>
      <c r="M12" s="3">
        <v>0</v>
      </c>
      <c r="N12" s="3">
        <v>6</v>
      </c>
      <c r="O12" s="3">
        <v>0.04</v>
      </c>
      <c r="P12" s="3">
        <v>0</v>
      </c>
      <c r="Q12" s="3">
        <v>0</v>
      </c>
      <c r="R12" s="3">
        <v>0</v>
      </c>
    </row>
    <row r="13" spans="1:18">
      <c r="A13" s="3" t="s">
        <v>2127</v>
      </c>
      <c r="B13" s="3" t="s">
        <v>2128</v>
      </c>
      <c r="C13" s="3" t="s">
        <v>2129</v>
      </c>
      <c r="D13" s="3" t="s">
        <v>2130</v>
      </c>
      <c r="E13" s="3" t="s">
        <v>538</v>
      </c>
      <c r="F13" s="3">
        <v>9.99</v>
      </c>
      <c r="G13" s="3" t="s">
        <v>2454</v>
      </c>
      <c r="H13" s="3"/>
      <c r="I13" s="3" t="s">
        <v>2455</v>
      </c>
      <c r="J13" s="3">
        <v>6</v>
      </c>
      <c r="K13" s="3">
        <v>6</v>
      </c>
      <c r="L13" s="3">
        <v>0</v>
      </c>
      <c r="M13" s="3">
        <v>0</v>
      </c>
      <c r="N13" s="3">
        <v>6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1859</v>
      </c>
      <c r="B14" s="3" t="s">
        <v>1860</v>
      </c>
      <c r="C14" s="3" t="s">
        <v>1861</v>
      </c>
      <c r="D14" s="3" t="s">
        <v>1862</v>
      </c>
      <c r="E14" s="3" t="s">
        <v>538</v>
      </c>
      <c r="F14" s="3">
        <v>9.99</v>
      </c>
      <c r="G14" s="3" t="s">
        <v>2454</v>
      </c>
      <c r="H14" s="3"/>
      <c r="I14" s="3" t="s">
        <v>2455</v>
      </c>
      <c r="J14" s="3">
        <v>6</v>
      </c>
      <c r="K14" s="3">
        <v>6</v>
      </c>
      <c r="L14" s="3">
        <v>0</v>
      </c>
      <c r="M14" s="3">
        <v>0</v>
      </c>
      <c r="N14" s="3">
        <v>6</v>
      </c>
      <c r="O14" s="3">
        <v>0.02</v>
      </c>
      <c r="P14" s="3">
        <v>0</v>
      </c>
      <c r="Q14" s="3">
        <v>0</v>
      </c>
      <c r="R14" s="3">
        <v>0</v>
      </c>
    </row>
    <row r="15" spans="1:18">
      <c r="A15" s="3" t="s">
        <v>1952</v>
      </c>
      <c r="B15" s="3" t="s">
        <v>1953</v>
      </c>
      <c r="C15" s="3" t="s">
        <v>1954</v>
      </c>
      <c r="D15" s="3" t="s">
        <v>1955</v>
      </c>
      <c r="E15" s="3" t="s">
        <v>538</v>
      </c>
      <c r="F15" s="3">
        <v>9.99</v>
      </c>
      <c r="G15" s="3" t="s">
        <v>2454</v>
      </c>
      <c r="H15" s="3"/>
      <c r="I15" s="3" t="s">
        <v>2455</v>
      </c>
      <c r="J15" s="3">
        <v>6</v>
      </c>
      <c r="K15" s="3">
        <v>6</v>
      </c>
      <c r="L15" s="3">
        <v>0</v>
      </c>
      <c r="M15" s="3">
        <v>0</v>
      </c>
      <c r="N15" s="3">
        <v>6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1054</v>
      </c>
      <c r="B16" s="3" t="s">
        <v>1055</v>
      </c>
      <c r="C16" s="3" t="s">
        <v>1056</v>
      </c>
      <c r="D16" s="3" t="s">
        <v>2473</v>
      </c>
      <c r="E16" s="3" t="s">
        <v>538</v>
      </c>
      <c r="F16" s="3">
        <v>9.99</v>
      </c>
      <c r="G16" s="3" t="s">
        <v>2454</v>
      </c>
      <c r="H16" s="3"/>
      <c r="I16" s="3" t="s">
        <v>2455</v>
      </c>
      <c r="J16" s="3">
        <v>6</v>
      </c>
      <c r="K16" s="3">
        <v>6</v>
      </c>
      <c r="L16" s="3">
        <v>0</v>
      </c>
      <c r="M16" s="3">
        <v>0</v>
      </c>
      <c r="N16" s="3">
        <v>6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1430</v>
      </c>
      <c r="B17" s="3" t="s">
        <v>1431</v>
      </c>
      <c r="C17" s="3" t="s">
        <v>1432</v>
      </c>
      <c r="D17" s="3" t="s">
        <v>1433</v>
      </c>
      <c r="E17" s="3" t="s">
        <v>538</v>
      </c>
      <c r="F17" s="3">
        <v>9.99</v>
      </c>
      <c r="G17" s="3" t="s">
        <v>2454</v>
      </c>
      <c r="H17" s="3"/>
      <c r="I17" s="3" t="s">
        <v>2455</v>
      </c>
      <c r="J17" s="3">
        <v>6</v>
      </c>
      <c r="K17" s="3">
        <v>6</v>
      </c>
      <c r="L17" s="3">
        <v>0</v>
      </c>
      <c r="M17" s="3">
        <v>0</v>
      </c>
      <c r="N17" s="3">
        <v>6</v>
      </c>
      <c r="O17" s="3">
        <v>0.02</v>
      </c>
      <c r="P17" s="3">
        <v>0</v>
      </c>
      <c r="Q17" s="3">
        <v>0</v>
      </c>
      <c r="R17" s="3">
        <v>0</v>
      </c>
    </row>
    <row r="18" spans="1:18">
      <c r="A18" s="3" t="s">
        <v>805</v>
      </c>
      <c r="B18" s="3" t="s">
        <v>806</v>
      </c>
      <c r="C18" s="3" t="s">
        <v>807</v>
      </c>
      <c r="D18" s="3" t="s">
        <v>808</v>
      </c>
      <c r="E18" s="3" t="s">
        <v>538</v>
      </c>
      <c r="F18" s="3">
        <v>9.99</v>
      </c>
      <c r="G18" s="3" t="s">
        <v>2454</v>
      </c>
      <c r="H18" s="3"/>
      <c r="I18" s="3" t="s">
        <v>2455</v>
      </c>
      <c r="J18" s="3">
        <v>6</v>
      </c>
      <c r="K18" s="3">
        <v>6</v>
      </c>
      <c r="L18" s="3">
        <v>0</v>
      </c>
      <c r="M18" s="3">
        <v>0</v>
      </c>
      <c r="N18" s="3">
        <v>6</v>
      </c>
      <c r="O18" s="3">
        <v>0.03</v>
      </c>
      <c r="P18" s="3">
        <v>0</v>
      </c>
      <c r="Q18" s="3">
        <v>0</v>
      </c>
      <c r="R18" s="3">
        <v>0</v>
      </c>
    </row>
    <row r="19" spans="1:18">
      <c r="A19" s="3" t="s">
        <v>2134</v>
      </c>
      <c r="B19" s="3" t="s">
        <v>2135</v>
      </c>
      <c r="C19" s="3" t="s">
        <v>2136</v>
      </c>
      <c r="D19" s="3" t="s">
        <v>2137</v>
      </c>
      <c r="E19" s="3" t="s">
        <v>538</v>
      </c>
      <c r="F19" s="3">
        <v>9.99</v>
      </c>
      <c r="G19" s="3" t="s">
        <v>2454</v>
      </c>
      <c r="H19" s="3"/>
      <c r="I19" s="3" t="s">
        <v>2455</v>
      </c>
      <c r="J19" s="3">
        <v>6</v>
      </c>
      <c r="K19" s="3">
        <v>6</v>
      </c>
      <c r="L19" s="3">
        <v>0</v>
      </c>
      <c r="M19" s="3">
        <v>0</v>
      </c>
      <c r="N19" s="3">
        <v>6</v>
      </c>
      <c r="O19" s="3">
        <v>0.03</v>
      </c>
      <c r="P19" s="3">
        <v>0</v>
      </c>
      <c r="Q19" s="3">
        <v>0</v>
      </c>
      <c r="R19" s="3">
        <v>0</v>
      </c>
    </row>
    <row r="20" spans="1:18">
      <c r="A20" s="3" t="s">
        <v>2226</v>
      </c>
      <c r="B20" s="3" t="s">
        <v>2227</v>
      </c>
      <c r="C20" s="3" t="s">
        <v>2228</v>
      </c>
      <c r="D20" s="3" t="s">
        <v>2137</v>
      </c>
      <c r="E20" s="3" t="s">
        <v>538</v>
      </c>
      <c r="F20" s="3">
        <v>9.99</v>
      </c>
      <c r="G20" s="3" t="s">
        <v>2454</v>
      </c>
      <c r="H20" s="3"/>
      <c r="I20" s="3" t="s">
        <v>2455</v>
      </c>
      <c r="J20" s="3">
        <v>6</v>
      </c>
      <c r="K20" s="3">
        <v>6</v>
      </c>
      <c r="L20" s="3">
        <v>0</v>
      </c>
      <c r="M20" s="3">
        <v>0</v>
      </c>
      <c r="N20" s="3">
        <v>6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902</v>
      </c>
      <c r="B21" s="3" t="s">
        <v>903</v>
      </c>
      <c r="C21" s="3" t="s">
        <v>904</v>
      </c>
      <c r="D21" s="3" t="s">
        <v>905</v>
      </c>
      <c r="E21" s="3" t="s">
        <v>538</v>
      </c>
      <c r="F21" s="3">
        <v>9.99</v>
      </c>
      <c r="G21" s="3" t="s">
        <v>2454</v>
      </c>
      <c r="H21" s="3"/>
      <c r="I21" s="3" t="s">
        <v>2455</v>
      </c>
      <c r="J21" s="3">
        <v>6</v>
      </c>
      <c r="K21" s="3">
        <v>6</v>
      </c>
      <c r="L21" s="3">
        <v>0</v>
      </c>
      <c r="M21" s="3">
        <v>0</v>
      </c>
      <c r="N21" s="3">
        <v>6</v>
      </c>
      <c r="O21" s="3">
        <v>0.03</v>
      </c>
      <c r="P21" s="3">
        <v>0</v>
      </c>
      <c r="Q21" s="3">
        <v>0</v>
      </c>
      <c r="R21" s="3">
        <v>0</v>
      </c>
    </row>
    <row r="22" spans="1:18">
      <c r="A22" s="3" t="s">
        <v>1050</v>
      </c>
      <c r="B22" s="3" t="s">
        <v>1051</v>
      </c>
      <c r="C22" s="3" t="s">
        <v>1052</v>
      </c>
      <c r="D22" s="3" t="s">
        <v>1053</v>
      </c>
      <c r="E22" s="3" t="s">
        <v>538</v>
      </c>
      <c r="F22" s="3">
        <v>9.99</v>
      </c>
      <c r="G22" s="3" t="s">
        <v>2454</v>
      </c>
      <c r="H22" s="3"/>
      <c r="I22" s="3" t="s">
        <v>2455</v>
      </c>
      <c r="J22" s="3">
        <v>6</v>
      </c>
      <c r="K22" s="3">
        <v>6</v>
      </c>
      <c r="L22" s="3">
        <v>0</v>
      </c>
      <c r="M22" s="3">
        <v>0</v>
      </c>
      <c r="N22" s="3">
        <v>6</v>
      </c>
      <c r="O22" s="3">
        <v>0.02</v>
      </c>
      <c r="P22" s="3">
        <v>0</v>
      </c>
      <c r="Q22" s="3">
        <v>0</v>
      </c>
      <c r="R22" s="3">
        <v>0</v>
      </c>
    </row>
    <row r="23" spans="1:18">
      <c r="A23" s="3" t="s">
        <v>1316</v>
      </c>
      <c r="B23" s="3" t="s">
        <v>1317</v>
      </c>
      <c r="C23" s="3" t="s">
        <v>1318</v>
      </c>
      <c r="D23" s="3" t="s">
        <v>1319</v>
      </c>
      <c r="E23" s="3" t="s">
        <v>538</v>
      </c>
      <c r="F23" s="3">
        <v>9.99</v>
      </c>
      <c r="G23" s="3" t="s">
        <v>2454</v>
      </c>
      <c r="H23" s="3"/>
      <c r="I23" s="3" t="s">
        <v>2455</v>
      </c>
      <c r="J23" s="3">
        <v>6</v>
      </c>
      <c r="K23" s="3">
        <v>6</v>
      </c>
      <c r="L23" s="3">
        <v>0</v>
      </c>
      <c r="M23" s="3">
        <v>0</v>
      </c>
      <c r="N23" s="3">
        <v>6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2004</v>
      </c>
      <c r="B24" s="3" t="s">
        <v>2005</v>
      </c>
      <c r="C24" s="3" t="s">
        <v>2006</v>
      </c>
      <c r="D24" s="3" t="s">
        <v>1319</v>
      </c>
      <c r="E24" s="3" t="s">
        <v>538</v>
      </c>
      <c r="F24" s="3">
        <v>9.99</v>
      </c>
      <c r="G24" s="3" t="s">
        <v>2454</v>
      </c>
      <c r="H24" s="3"/>
      <c r="I24" s="3" t="s">
        <v>2455</v>
      </c>
      <c r="J24" s="3">
        <v>5</v>
      </c>
      <c r="K24" s="3">
        <v>5</v>
      </c>
      <c r="L24" s="3">
        <v>0</v>
      </c>
      <c r="M24" s="3">
        <v>0</v>
      </c>
      <c r="N24" s="3">
        <v>5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2474</v>
      </c>
      <c r="B25" s="3" t="s">
        <v>2475</v>
      </c>
      <c r="C25" s="3" t="s">
        <v>2476</v>
      </c>
      <c r="D25" s="3" t="s">
        <v>2477</v>
      </c>
      <c r="E25" s="3" t="s">
        <v>538</v>
      </c>
      <c r="F25" s="3">
        <v>22.99</v>
      </c>
      <c r="G25" s="3" t="s">
        <v>2454</v>
      </c>
      <c r="H25" s="3"/>
      <c r="I25" s="3" t="s">
        <v>2455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</row>
    <row r="26" spans="1:18">
      <c r="A26" s="3" t="s">
        <v>2478</v>
      </c>
      <c r="B26" s="3" t="s">
        <v>2479</v>
      </c>
      <c r="C26" s="3" t="s">
        <v>2480</v>
      </c>
      <c r="D26" s="3" t="s">
        <v>2481</v>
      </c>
      <c r="E26" s="3" t="s">
        <v>538</v>
      </c>
      <c r="F26" s="3">
        <v>22.99</v>
      </c>
      <c r="G26" s="3" t="s">
        <v>2454</v>
      </c>
      <c r="H26" s="3"/>
      <c r="I26" s="3" t="s">
        <v>2455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</row>
    <row r="27" spans="1:18">
      <c r="A27" s="3" t="s">
        <v>2287</v>
      </c>
      <c r="B27" s="3" t="s">
        <v>2288</v>
      </c>
      <c r="C27" s="3" t="s">
        <v>2289</v>
      </c>
      <c r="D27" s="3" t="s">
        <v>2290</v>
      </c>
      <c r="E27" s="3" t="s">
        <v>538</v>
      </c>
      <c r="F27" s="3">
        <v>22.99</v>
      </c>
      <c r="G27" s="3" t="s">
        <v>2454</v>
      </c>
      <c r="H27" s="3"/>
      <c r="I27" s="3" t="s">
        <v>2455</v>
      </c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1590</v>
      </c>
      <c r="B28" s="3" t="s">
        <v>1591</v>
      </c>
      <c r="C28" s="3" t="s">
        <v>1592</v>
      </c>
      <c r="D28" s="3" t="s">
        <v>1593</v>
      </c>
      <c r="E28" s="3" t="s">
        <v>538</v>
      </c>
      <c r="F28" s="3">
        <v>8.99</v>
      </c>
      <c r="G28" s="3" t="s">
        <v>2454</v>
      </c>
      <c r="H28" s="3"/>
      <c r="I28" s="3" t="s">
        <v>2455</v>
      </c>
      <c r="J28" s="3">
        <v>6</v>
      </c>
      <c r="K28" s="3">
        <v>6</v>
      </c>
      <c r="L28" s="3">
        <v>0</v>
      </c>
      <c r="M28" s="3">
        <v>0</v>
      </c>
      <c r="N28" s="3">
        <v>6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2482</v>
      </c>
      <c r="B29" s="3" t="s">
        <v>2483</v>
      </c>
      <c r="C29" s="3" t="s">
        <v>2484</v>
      </c>
      <c r="D29" s="3" t="s">
        <v>2485</v>
      </c>
      <c r="E29" s="3" t="s">
        <v>538</v>
      </c>
      <c r="F29" s="3">
        <v>88.9</v>
      </c>
      <c r="G29" s="3" t="s">
        <v>2454</v>
      </c>
      <c r="H29" s="3"/>
      <c r="I29" s="3" t="s">
        <v>2455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0.08</v>
      </c>
      <c r="P29" s="3">
        <v>0</v>
      </c>
      <c r="Q29" s="3">
        <v>0</v>
      </c>
      <c r="R29" s="3">
        <v>0</v>
      </c>
    </row>
    <row r="30" spans="1:18">
      <c r="A30" s="3" t="s">
        <v>906</v>
      </c>
      <c r="B30" s="3" t="s">
        <v>907</v>
      </c>
      <c r="C30" s="3" t="s">
        <v>908</v>
      </c>
      <c r="D30" s="3" t="s">
        <v>909</v>
      </c>
      <c r="E30" s="3" t="s">
        <v>538</v>
      </c>
      <c r="F30" s="3">
        <v>99.99</v>
      </c>
      <c r="G30" s="3" t="s">
        <v>2454</v>
      </c>
      <c r="H30" s="3"/>
      <c r="I30" s="3" t="s">
        <v>2455</v>
      </c>
      <c r="J30" s="3">
        <v>1</v>
      </c>
      <c r="K30" s="3">
        <v>1</v>
      </c>
      <c r="L30" s="3">
        <v>0</v>
      </c>
      <c r="M30" s="3">
        <v>0</v>
      </c>
      <c r="N30" s="3">
        <v>1</v>
      </c>
      <c r="O30" s="3">
        <v>0.2</v>
      </c>
      <c r="P30" s="3">
        <v>0</v>
      </c>
      <c r="Q30" s="3">
        <v>0</v>
      </c>
      <c r="R30" s="3">
        <v>0</v>
      </c>
    </row>
    <row r="31" spans="1:18">
      <c r="A31" s="3" t="s">
        <v>8</v>
      </c>
      <c r="B31" s="3" t="s">
        <v>9</v>
      </c>
      <c r="C31" s="3" t="s">
        <v>10</v>
      </c>
      <c r="D31" s="3"/>
      <c r="E31" s="3" t="s">
        <v>2459</v>
      </c>
      <c r="F31" s="3"/>
      <c r="G31" s="3"/>
      <c r="H31" s="3"/>
      <c r="I31" s="3"/>
      <c r="J31" s="3">
        <v>1</v>
      </c>
      <c r="K31" s="3">
        <v>0</v>
      </c>
      <c r="L31" s="3">
        <v>0</v>
      </c>
      <c r="M31" s="3">
        <v>1</v>
      </c>
      <c r="N31" s="3">
        <v>1</v>
      </c>
      <c r="O31" s="3"/>
      <c r="P31" s="3">
        <v>0</v>
      </c>
      <c r="Q31" s="3">
        <v>0</v>
      </c>
      <c r="R31" s="3">
        <v>0</v>
      </c>
    </row>
    <row r="32" spans="1:18">
      <c r="A32" s="3" t="s">
        <v>1682</v>
      </c>
      <c r="B32" s="3" t="s">
        <v>1683</v>
      </c>
      <c r="C32" s="3" t="s">
        <v>1684</v>
      </c>
      <c r="D32" s="3" t="s">
        <v>1685</v>
      </c>
      <c r="E32" s="3" t="s">
        <v>538</v>
      </c>
      <c r="F32" s="3">
        <v>21.99</v>
      </c>
      <c r="G32" s="3" t="s">
        <v>2454</v>
      </c>
      <c r="H32" s="3"/>
      <c r="I32" s="3" t="s">
        <v>2455</v>
      </c>
      <c r="J32" s="3">
        <v>4</v>
      </c>
      <c r="K32" s="3">
        <v>4</v>
      </c>
      <c r="L32" s="3">
        <v>0</v>
      </c>
      <c r="M32" s="3">
        <v>0</v>
      </c>
      <c r="N32" s="3">
        <v>4</v>
      </c>
      <c r="O32" s="3">
        <v>0.08</v>
      </c>
      <c r="P32" s="3">
        <v>0</v>
      </c>
      <c r="Q32" s="3">
        <v>0</v>
      </c>
      <c r="R32" s="3">
        <v>0</v>
      </c>
    </row>
    <row r="33" spans="1:18">
      <c r="A33" s="3" t="s">
        <v>1674</v>
      </c>
      <c r="B33" s="3" t="s">
        <v>1675</v>
      </c>
      <c r="C33" s="3" t="s">
        <v>1676</v>
      </c>
      <c r="D33" s="3" t="s">
        <v>1677</v>
      </c>
      <c r="E33" s="3" t="s">
        <v>538</v>
      </c>
      <c r="F33" s="3">
        <v>19.99</v>
      </c>
      <c r="G33" s="3" t="s">
        <v>2454</v>
      </c>
      <c r="H33" s="3"/>
      <c r="I33" s="3" t="s">
        <v>2455</v>
      </c>
      <c r="J33" s="3">
        <v>3</v>
      </c>
      <c r="K33" s="3">
        <v>3</v>
      </c>
      <c r="L33" s="3">
        <v>0</v>
      </c>
      <c r="M33" s="3">
        <v>0</v>
      </c>
      <c r="N33" s="3">
        <v>3</v>
      </c>
      <c r="O33" s="3">
        <v>0.1</v>
      </c>
      <c r="P33" s="3">
        <v>0</v>
      </c>
      <c r="Q33" s="3">
        <v>0</v>
      </c>
      <c r="R33" s="3">
        <v>0</v>
      </c>
    </row>
    <row r="34" spans="1:18">
      <c r="A34" s="3" t="s">
        <v>2486</v>
      </c>
      <c r="B34" s="3" t="s">
        <v>2487</v>
      </c>
      <c r="C34" s="3" t="s">
        <v>2488</v>
      </c>
      <c r="D34" s="3" t="s">
        <v>2489</v>
      </c>
      <c r="E34" s="3" t="s">
        <v>538</v>
      </c>
      <c r="F34" s="3">
        <v>9.9</v>
      </c>
      <c r="G34" s="3" t="s">
        <v>2454</v>
      </c>
      <c r="H34" s="3"/>
      <c r="I34" s="3" t="s">
        <v>2455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0.04</v>
      </c>
      <c r="P34" s="3">
        <v>0</v>
      </c>
      <c r="Q34" s="3">
        <v>0</v>
      </c>
      <c r="R34" s="3">
        <v>0</v>
      </c>
    </row>
    <row r="35" spans="1:18">
      <c r="A35" s="3" t="s">
        <v>2490</v>
      </c>
      <c r="B35" s="3" t="s">
        <v>2491</v>
      </c>
      <c r="C35" s="3" t="s">
        <v>2492</v>
      </c>
      <c r="D35" s="3" t="s">
        <v>2493</v>
      </c>
      <c r="E35" s="3" t="s">
        <v>538</v>
      </c>
      <c r="F35" s="3">
        <v>9.9</v>
      </c>
      <c r="G35" s="3" t="s">
        <v>2454</v>
      </c>
      <c r="H35" s="3"/>
      <c r="I35" s="3" t="s">
        <v>2455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0.06</v>
      </c>
      <c r="P35" s="3">
        <v>0</v>
      </c>
      <c r="Q35" s="3">
        <v>0</v>
      </c>
      <c r="R35" s="3">
        <v>0</v>
      </c>
    </row>
    <row r="36" spans="1:18">
      <c r="A36" s="3" t="s">
        <v>2138</v>
      </c>
      <c r="B36" s="3" t="s">
        <v>2139</v>
      </c>
      <c r="C36" s="3" t="s">
        <v>2140</v>
      </c>
      <c r="D36" s="3" t="s">
        <v>2141</v>
      </c>
      <c r="E36" s="3" t="s">
        <v>538</v>
      </c>
      <c r="F36" s="3">
        <v>9.9</v>
      </c>
      <c r="G36" s="3" t="s">
        <v>2454</v>
      </c>
      <c r="H36" s="3"/>
      <c r="I36" s="3" t="s">
        <v>2455</v>
      </c>
      <c r="J36" s="3">
        <v>1</v>
      </c>
      <c r="K36" s="3">
        <v>1</v>
      </c>
      <c r="L36" s="3">
        <v>0</v>
      </c>
      <c r="M36" s="3">
        <v>0</v>
      </c>
      <c r="N36" s="3">
        <v>1</v>
      </c>
      <c r="O36" s="3">
        <v>0.05</v>
      </c>
      <c r="P36" s="3">
        <v>0</v>
      </c>
      <c r="Q36" s="3">
        <v>0</v>
      </c>
      <c r="R36" s="3">
        <v>0</v>
      </c>
    </row>
    <row r="37" spans="1:18">
      <c r="A37" s="3" t="s">
        <v>2494</v>
      </c>
      <c r="B37" s="3" t="s">
        <v>2495</v>
      </c>
      <c r="C37" s="3" t="s">
        <v>2496</v>
      </c>
      <c r="D37" s="3" t="s">
        <v>2497</v>
      </c>
      <c r="E37" s="3" t="s">
        <v>538</v>
      </c>
      <c r="F37" s="3">
        <v>9.9</v>
      </c>
      <c r="G37" s="3" t="s">
        <v>2454</v>
      </c>
      <c r="H37" s="3"/>
      <c r="I37" s="3" t="s">
        <v>2455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</row>
    <row r="38" spans="1:18">
      <c r="A38" s="3" t="s">
        <v>2498</v>
      </c>
      <c r="B38" s="3" t="s">
        <v>2499</v>
      </c>
      <c r="C38" s="3" t="s">
        <v>2500</v>
      </c>
      <c r="D38" s="3" t="s">
        <v>2501</v>
      </c>
      <c r="E38" s="3" t="s">
        <v>538</v>
      </c>
      <c r="F38" s="3">
        <v>9.9</v>
      </c>
      <c r="G38" s="3" t="s">
        <v>2454</v>
      </c>
      <c r="H38" s="3"/>
      <c r="I38" s="3" t="s">
        <v>2455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0.06</v>
      </c>
      <c r="P38" s="3">
        <v>0</v>
      </c>
      <c r="Q38" s="3">
        <v>0</v>
      </c>
      <c r="R38" s="3">
        <v>0</v>
      </c>
    </row>
    <row r="39" spans="1:18">
      <c r="A39" s="3" t="s">
        <v>2502</v>
      </c>
      <c r="B39" s="3" t="s">
        <v>2503</v>
      </c>
      <c r="C39" s="3" t="s">
        <v>2504</v>
      </c>
      <c r="D39" s="3" t="s">
        <v>2505</v>
      </c>
      <c r="E39" s="3" t="s">
        <v>538</v>
      </c>
      <c r="F39" s="3">
        <v>9.9</v>
      </c>
      <c r="G39" s="3" t="s">
        <v>2454</v>
      </c>
      <c r="H39" s="3"/>
      <c r="I39" s="3" t="s">
        <v>2455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</row>
    <row r="40" spans="1:18">
      <c r="A40" s="3" t="s">
        <v>2506</v>
      </c>
      <c r="B40" s="3" t="s">
        <v>2507</v>
      </c>
      <c r="C40" s="3" t="s">
        <v>2488</v>
      </c>
      <c r="D40" s="3" t="s">
        <v>2489</v>
      </c>
      <c r="E40" s="3" t="s">
        <v>538</v>
      </c>
      <c r="F40" s="3">
        <v>20.99</v>
      </c>
      <c r="G40" s="3" t="s">
        <v>2454</v>
      </c>
      <c r="H40" s="3"/>
      <c r="I40" s="3" t="s">
        <v>2455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0.04</v>
      </c>
      <c r="P40" s="3">
        <v>0</v>
      </c>
      <c r="Q40" s="3">
        <v>0</v>
      </c>
      <c r="R40" s="3">
        <v>0</v>
      </c>
    </row>
    <row r="41" spans="1:18">
      <c r="A41" s="3" t="s">
        <v>2508</v>
      </c>
      <c r="B41" s="3" t="s">
        <v>2509</v>
      </c>
      <c r="C41" s="3" t="s">
        <v>2492</v>
      </c>
      <c r="D41" s="3" t="s">
        <v>2493</v>
      </c>
      <c r="E41" s="3" t="s">
        <v>538</v>
      </c>
      <c r="F41" s="3">
        <v>20.99</v>
      </c>
      <c r="G41" s="3" t="s">
        <v>2454</v>
      </c>
      <c r="H41" s="3"/>
      <c r="I41" s="3" t="s">
        <v>2455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0.06</v>
      </c>
      <c r="P41" s="3">
        <v>0</v>
      </c>
      <c r="Q41" s="3">
        <v>0</v>
      </c>
      <c r="R41" s="3">
        <v>0</v>
      </c>
    </row>
    <row r="42" spans="1:18">
      <c r="A42" s="3" t="s">
        <v>2510</v>
      </c>
      <c r="B42" s="3" t="s">
        <v>2511</v>
      </c>
      <c r="C42" s="3" t="s">
        <v>2140</v>
      </c>
      <c r="D42" s="3" t="s">
        <v>2141</v>
      </c>
      <c r="E42" s="3" t="s">
        <v>538</v>
      </c>
      <c r="F42" s="3">
        <v>20.99</v>
      </c>
      <c r="G42" s="3" t="s">
        <v>2454</v>
      </c>
      <c r="H42" s="3"/>
      <c r="I42" s="3" t="s">
        <v>2455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0.05</v>
      </c>
      <c r="P42" s="3">
        <v>0</v>
      </c>
      <c r="Q42" s="3">
        <v>0</v>
      </c>
      <c r="R42" s="3">
        <v>0</v>
      </c>
    </row>
    <row r="43" spans="1:18">
      <c r="A43" s="3" t="s">
        <v>2512</v>
      </c>
      <c r="B43" s="3" t="s">
        <v>2513</v>
      </c>
      <c r="C43" s="3" t="s">
        <v>2496</v>
      </c>
      <c r="D43" s="3" t="s">
        <v>2497</v>
      </c>
      <c r="E43" s="3" t="s">
        <v>538</v>
      </c>
      <c r="F43" s="3">
        <v>20.99</v>
      </c>
      <c r="G43" s="3" t="s">
        <v>2454</v>
      </c>
      <c r="H43" s="3"/>
      <c r="I43" s="3" t="s">
        <v>2455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</row>
    <row r="44" spans="1:18">
      <c r="A44" s="3" t="s">
        <v>2514</v>
      </c>
      <c r="B44" s="3" t="s">
        <v>2515</v>
      </c>
      <c r="C44" s="3" t="s">
        <v>2500</v>
      </c>
      <c r="D44" s="3" t="s">
        <v>2501</v>
      </c>
      <c r="E44" s="3" t="s">
        <v>538</v>
      </c>
      <c r="F44" s="3">
        <v>20.99</v>
      </c>
      <c r="G44" s="3" t="s">
        <v>2454</v>
      </c>
      <c r="H44" s="3"/>
      <c r="I44" s="3" t="s">
        <v>2455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0.06</v>
      </c>
      <c r="P44" s="3">
        <v>0</v>
      </c>
      <c r="Q44" s="3">
        <v>0</v>
      </c>
      <c r="R44" s="3">
        <v>0</v>
      </c>
    </row>
    <row r="45" spans="1:18">
      <c r="A45" s="3" t="s">
        <v>2516</v>
      </c>
      <c r="B45" s="3" t="s">
        <v>2517</v>
      </c>
      <c r="C45" s="3" t="s">
        <v>2504</v>
      </c>
      <c r="D45" s="3" t="s">
        <v>2505</v>
      </c>
      <c r="E45" s="3" t="s">
        <v>538</v>
      </c>
      <c r="F45" s="3">
        <v>20.99</v>
      </c>
      <c r="G45" s="3" t="s">
        <v>2454</v>
      </c>
      <c r="H45" s="3"/>
      <c r="I45" s="3" t="s">
        <v>2455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</row>
    <row r="46" spans="1:18">
      <c r="A46" s="3" t="s">
        <v>2518</v>
      </c>
      <c r="B46" s="3" t="s">
        <v>2519</v>
      </c>
      <c r="C46" s="3" t="s">
        <v>2520</v>
      </c>
      <c r="D46" s="3" t="s">
        <v>2521</v>
      </c>
      <c r="E46" s="3" t="s">
        <v>538</v>
      </c>
      <c r="F46" s="3">
        <v>9.99</v>
      </c>
      <c r="G46" s="3" t="s">
        <v>2454</v>
      </c>
      <c r="H46" s="3"/>
      <c r="I46" s="3" t="s">
        <v>2455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0.09</v>
      </c>
      <c r="P46" s="3">
        <v>0</v>
      </c>
      <c r="Q46" s="3">
        <v>0</v>
      </c>
      <c r="R46" s="3">
        <v>0</v>
      </c>
    </row>
    <row r="47" spans="1:18">
      <c r="A47" s="3" t="s">
        <v>2522</v>
      </c>
      <c r="B47" s="3" t="s">
        <v>2523</v>
      </c>
      <c r="C47" s="3" t="s">
        <v>2524</v>
      </c>
      <c r="D47" s="3" t="s">
        <v>2525</v>
      </c>
      <c r="E47" s="3" t="s">
        <v>538</v>
      </c>
      <c r="F47" s="3">
        <v>22.99</v>
      </c>
      <c r="G47" s="3" t="s">
        <v>2454</v>
      </c>
      <c r="H47" s="3"/>
      <c r="I47" s="3" t="s">
        <v>2455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0.02</v>
      </c>
      <c r="P47" s="3">
        <v>0</v>
      </c>
      <c r="Q47" s="3">
        <v>0</v>
      </c>
      <c r="R47" s="3">
        <v>0</v>
      </c>
    </row>
    <row r="48" spans="1:18">
      <c r="A48" s="3" t="s">
        <v>2526</v>
      </c>
      <c r="B48" s="3" t="s">
        <v>2527</v>
      </c>
      <c r="C48" s="3" t="s">
        <v>2528</v>
      </c>
      <c r="D48" s="3" t="s">
        <v>2525</v>
      </c>
      <c r="E48" s="3" t="s">
        <v>538</v>
      </c>
      <c r="F48" s="3">
        <v>22.99</v>
      </c>
      <c r="G48" s="3" t="s">
        <v>2454</v>
      </c>
      <c r="H48" s="3"/>
      <c r="I48" s="3" t="s">
        <v>2455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0.02</v>
      </c>
      <c r="P48" s="3">
        <v>0</v>
      </c>
      <c r="Q48" s="3">
        <v>0</v>
      </c>
      <c r="R48" s="3">
        <v>0</v>
      </c>
    </row>
    <row r="49" spans="1:18">
      <c r="A49" s="3" t="s">
        <v>2529</v>
      </c>
      <c r="B49" s="3" t="s">
        <v>2530</v>
      </c>
      <c r="C49" s="3" t="s">
        <v>2531</v>
      </c>
      <c r="D49" s="3" t="s">
        <v>2525</v>
      </c>
      <c r="E49" s="3" t="s">
        <v>538</v>
      </c>
      <c r="F49" s="3">
        <v>22.99</v>
      </c>
      <c r="G49" s="3" t="s">
        <v>2454</v>
      </c>
      <c r="H49" s="3"/>
      <c r="I49" s="3" t="s">
        <v>2455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0.02</v>
      </c>
      <c r="P49" s="3">
        <v>0</v>
      </c>
      <c r="Q49" s="3">
        <v>0</v>
      </c>
      <c r="R49" s="3">
        <v>0</v>
      </c>
    </row>
    <row r="50" spans="1:18">
      <c r="A50" s="3" t="s">
        <v>2532</v>
      </c>
      <c r="B50" s="3" t="s">
        <v>2533</v>
      </c>
      <c r="C50" s="3" t="s">
        <v>2534</v>
      </c>
      <c r="D50" s="3" t="s">
        <v>2525</v>
      </c>
      <c r="E50" s="3" t="s">
        <v>538</v>
      </c>
      <c r="F50" s="3">
        <v>22.99</v>
      </c>
      <c r="G50" s="3" t="s">
        <v>2454</v>
      </c>
      <c r="H50" s="3"/>
      <c r="I50" s="3" t="s">
        <v>2455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0.02</v>
      </c>
      <c r="P50" s="3">
        <v>0</v>
      </c>
      <c r="Q50" s="3">
        <v>0</v>
      </c>
      <c r="R50" s="3">
        <v>0</v>
      </c>
    </row>
    <row r="51" spans="1:18">
      <c r="A51" s="3" t="s">
        <v>2535</v>
      </c>
      <c r="B51" s="3" t="s">
        <v>2536</v>
      </c>
      <c r="C51" s="3" t="s">
        <v>2537</v>
      </c>
      <c r="D51" s="3" t="s">
        <v>2525</v>
      </c>
      <c r="E51" s="3" t="s">
        <v>538</v>
      </c>
      <c r="F51" s="3">
        <v>22.99</v>
      </c>
      <c r="G51" s="3" t="s">
        <v>2454</v>
      </c>
      <c r="H51" s="3"/>
      <c r="I51" s="3" t="s">
        <v>2455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0.02</v>
      </c>
      <c r="P51" s="3">
        <v>0</v>
      </c>
      <c r="Q51" s="3">
        <v>0</v>
      </c>
      <c r="R51" s="3">
        <v>0</v>
      </c>
    </row>
    <row r="52" spans="1:18">
      <c r="A52" s="3" t="s">
        <v>2538</v>
      </c>
      <c r="B52" s="3" t="s">
        <v>2539</v>
      </c>
      <c r="C52" s="3" t="s">
        <v>2540</v>
      </c>
      <c r="D52" s="3" t="s">
        <v>2525</v>
      </c>
      <c r="E52" s="3" t="s">
        <v>538</v>
      </c>
      <c r="F52" s="3">
        <v>22.99</v>
      </c>
      <c r="G52" s="3" t="s">
        <v>2454</v>
      </c>
      <c r="H52" s="3"/>
      <c r="I52" s="3" t="s">
        <v>2455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0.02</v>
      </c>
      <c r="P52" s="3">
        <v>0</v>
      </c>
      <c r="Q52" s="3">
        <v>0</v>
      </c>
      <c r="R52" s="3">
        <v>0</v>
      </c>
    </row>
    <row r="53" spans="1:18">
      <c r="A53" s="3" t="s">
        <v>2541</v>
      </c>
      <c r="B53" s="3" t="s">
        <v>2542</v>
      </c>
      <c r="C53" s="3" t="s">
        <v>2543</v>
      </c>
      <c r="D53" s="3" t="s">
        <v>2525</v>
      </c>
      <c r="E53" s="3" t="s">
        <v>538</v>
      </c>
      <c r="F53" s="3">
        <v>22.99</v>
      </c>
      <c r="G53" s="3" t="s">
        <v>2454</v>
      </c>
      <c r="H53" s="3"/>
      <c r="I53" s="3" t="s">
        <v>2455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0.02</v>
      </c>
      <c r="P53" s="3">
        <v>0</v>
      </c>
      <c r="Q53" s="3">
        <v>0</v>
      </c>
      <c r="R53" s="3">
        <v>0</v>
      </c>
    </row>
    <row r="54" spans="1:18">
      <c r="A54" s="3" t="s">
        <v>2544</v>
      </c>
      <c r="B54" s="3" t="s">
        <v>2545</v>
      </c>
      <c r="C54" s="3" t="s">
        <v>2546</v>
      </c>
      <c r="D54" s="3" t="s">
        <v>2525</v>
      </c>
      <c r="E54" s="3" t="s">
        <v>538</v>
      </c>
      <c r="F54" s="3">
        <v>22.99</v>
      </c>
      <c r="G54" s="3" t="s">
        <v>2454</v>
      </c>
      <c r="H54" s="3"/>
      <c r="I54" s="3" t="s">
        <v>2455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0.02</v>
      </c>
      <c r="P54" s="3">
        <v>0</v>
      </c>
      <c r="Q54" s="3">
        <v>0</v>
      </c>
      <c r="R54" s="3">
        <v>0</v>
      </c>
    </row>
    <row r="55" spans="1:18">
      <c r="A55" s="3" t="s">
        <v>2547</v>
      </c>
      <c r="B55" s="3" t="s">
        <v>2548</v>
      </c>
      <c r="C55" s="3" t="s">
        <v>2549</v>
      </c>
      <c r="D55" s="3" t="s">
        <v>2525</v>
      </c>
      <c r="E55" s="3" t="s">
        <v>538</v>
      </c>
      <c r="F55" s="3">
        <v>22.99</v>
      </c>
      <c r="G55" s="3" t="s">
        <v>2454</v>
      </c>
      <c r="H55" s="3"/>
      <c r="I55" s="3" t="s">
        <v>2455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0.02</v>
      </c>
      <c r="P55" s="3">
        <v>0</v>
      </c>
      <c r="Q55" s="3">
        <v>0</v>
      </c>
      <c r="R55" s="3">
        <v>0</v>
      </c>
    </row>
    <row r="56" spans="1:18">
      <c r="A56" s="3" t="s">
        <v>1438</v>
      </c>
      <c r="B56" s="3" t="s">
        <v>1439</v>
      </c>
      <c r="C56" s="3" t="s">
        <v>1440</v>
      </c>
      <c r="D56" s="3" t="s">
        <v>1441</v>
      </c>
      <c r="E56" s="3" t="s">
        <v>538</v>
      </c>
      <c r="F56" s="3">
        <v>16.99</v>
      </c>
      <c r="G56" s="3" t="s">
        <v>2454</v>
      </c>
      <c r="H56" s="3"/>
      <c r="I56" s="3" t="s">
        <v>2455</v>
      </c>
      <c r="J56" s="3">
        <v>16</v>
      </c>
      <c r="K56" s="3">
        <v>16</v>
      </c>
      <c r="L56" s="3">
        <v>0</v>
      </c>
      <c r="M56" s="3">
        <v>0</v>
      </c>
      <c r="N56" s="3">
        <v>16</v>
      </c>
      <c r="O56" s="3">
        <v>0.1</v>
      </c>
      <c r="P56" s="3">
        <v>0</v>
      </c>
      <c r="Q56" s="3">
        <v>0</v>
      </c>
      <c r="R56" s="3">
        <v>0</v>
      </c>
    </row>
    <row r="57" spans="1:18">
      <c r="A57" s="3" t="s">
        <v>1557</v>
      </c>
      <c r="B57" s="3" t="s">
        <v>1558</v>
      </c>
      <c r="C57" s="3" t="s">
        <v>1559</v>
      </c>
      <c r="D57" s="3" t="s">
        <v>1560</v>
      </c>
      <c r="E57" s="3" t="s">
        <v>538</v>
      </c>
      <c r="F57" s="3">
        <v>25.99</v>
      </c>
      <c r="G57" s="3" t="s">
        <v>2454</v>
      </c>
      <c r="H57" s="3"/>
      <c r="I57" s="3" t="s">
        <v>2455</v>
      </c>
      <c r="J57" s="3">
        <v>15</v>
      </c>
      <c r="K57" s="3">
        <v>15</v>
      </c>
      <c r="L57" s="3">
        <v>0</v>
      </c>
      <c r="M57" s="3">
        <v>0</v>
      </c>
      <c r="N57" s="3">
        <v>15</v>
      </c>
      <c r="O57" s="3">
        <v>0.07</v>
      </c>
      <c r="P57" s="3">
        <v>0</v>
      </c>
      <c r="Q57" s="3">
        <v>0</v>
      </c>
      <c r="R57" s="3">
        <v>0</v>
      </c>
    </row>
    <row r="58" spans="1:18">
      <c r="A58" s="3" t="s">
        <v>2550</v>
      </c>
      <c r="B58" s="3" t="s">
        <v>2551</v>
      </c>
      <c r="C58" s="3" t="s">
        <v>2552</v>
      </c>
      <c r="D58" s="3" t="s">
        <v>2553</v>
      </c>
      <c r="E58" s="3" t="s">
        <v>538</v>
      </c>
      <c r="F58" s="3">
        <v>19.99</v>
      </c>
      <c r="G58" s="3" t="s">
        <v>2454</v>
      </c>
      <c r="H58" s="3"/>
      <c r="I58" s="3" t="s">
        <v>2455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0.14</v>
      </c>
      <c r="P58" s="3">
        <v>0</v>
      </c>
      <c r="Q58" s="3">
        <v>0</v>
      </c>
      <c r="R58" s="3">
        <v>0</v>
      </c>
    </row>
    <row r="59" spans="1:18">
      <c r="A59" s="3" t="s">
        <v>617</v>
      </c>
      <c r="B59" s="3" t="s">
        <v>618</v>
      </c>
      <c r="C59" s="3" t="s">
        <v>619</v>
      </c>
      <c r="D59" s="3" t="s">
        <v>620</v>
      </c>
      <c r="E59" s="3" t="s">
        <v>538</v>
      </c>
      <c r="F59" s="3">
        <v>22.99</v>
      </c>
      <c r="G59" s="3" t="s">
        <v>2454</v>
      </c>
      <c r="H59" s="3"/>
      <c r="I59" s="3" t="s">
        <v>2455</v>
      </c>
      <c r="J59" s="3">
        <v>18</v>
      </c>
      <c r="K59" s="3">
        <v>18</v>
      </c>
      <c r="L59" s="3">
        <v>0</v>
      </c>
      <c r="M59" s="3">
        <v>0</v>
      </c>
      <c r="N59" s="3">
        <v>18</v>
      </c>
      <c r="O59" s="3">
        <v>0.12</v>
      </c>
      <c r="P59" s="3">
        <v>0</v>
      </c>
      <c r="Q59" s="3">
        <v>0</v>
      </c>
      <c r="R59" s="3">
        <v>0</v>
      </c>
    </row>
    <row r="60" spans="1:18">
      <c r="A60" s="3" t="s">
        <v>874</v>
      </c>
      <c r="B60" s="3" t="s">
        <v>875</v>
      </c>
      <c r="C60" s="3" t="s">
        <v>876</v>
      </c>
      <c r="D60" s="3" t="s">
        <v>877</v>
      </c>
      <c r="E60" s="3" t="s">
        <v>538</v>
      </c>
      <c r="F60" s="3">
        <v>29.99</v>
      </c>
      <c r="G60" s="3" t="s">
        <v>2454</v>
      </c>
      <c r="H60" s="3"/>
      <c r="I60" s="3" t="s">
        <v>2455</v>
      </c>
      <c r="J60" s="3">
        <v>3</v>
      </c>
      <c r="K60" s="3">
        <v>3</v>
      </c>
      <c r="L60" s="3">
        <v>0</v>
      </c>
      <c r="M60" s="3">
        <v>0</v>
      </c>
      <c r="N60" s="3">
        <v>3</v>
      </c>
      <c r="O60" s="3">
        <v>0.21</v>
      </c>
      <c r="P60" s="3">
        <v>0</v>
      </c>
      <c r="Q60" s="3">
        <v>0</v>
      </c>
      <c r="R60" s="3">
        <v>0</v>
      </c>
    </row>
    <row r="61" spans="1:18">
      <c r="A61" s="3" t="s">
        <v>1881</v>
      </c>
      <c r="B61" s="3" t="s">
        <v>1882</v>
      </c>
      <c r="C61" s="3" t="s">
        <v>1883</v>
      </c>
      <c r="D61" s="3" t="s">
        <v>1884</v>
      </c>
      <c r="E61" s="3" t="s">
        <v>538</v>
      </c>
      <c r="F61" s="3">
        <v>25.9</v>
      </c>
      <c r="G61" s="3" t="s">
        <v>2454</v>
      </c>
      <c r="H61" s="3"/>
      <c r="I61" s="3" t="s">
        <v>2455</v>
      </c>
      <c r="J61" s="3">
        <v>18</v>
      </c>
      <c r="K61" s="3">
        <v>18</v>
      </c>
      <c r="L61" s="3">
        <v>0</v>
      </c>
      <c r="M61" s="3">
        <v>0</v>
      </c>
      <c r="N61" s="3">
        <v>18</v>
      </c>
      <c r="O61" s="3">
        <v>0.04</v>
      </c>
      <c r="P61" s="3">
        <v>0</v>
      </c>
      <c r="Q61" s="3">
        <v>0</v>
      </c>
      <c r="R61" s="3">
        <v>0</v>
      </c>
    </row>
    <row r="62" spans="1:18">
      <c r="A62" s="3" t="s">
        <v>2007</v>
      </c>
      <c r="B62" s="3" t="s">
        <v>2008</v>
      </c>
      <c r="C62" s="3" t="s">
        <v>2009</v>
      </c>
      <c r="D62" s="3" t="s">
        <v>2010</v>
      </c>
      <c r="E62" s="3" t="s">
        <v>538</v>
      </c>
      <c r="F62" s="3">
        <v>16.99</v>
      </c>
      <c r="G62" s="3" t="s">
        <v>2454</v>
      </c>
      <c r="H62" s="3"/>
      <c r="I62" s="3" t="s">
        <v>2455</v>
      </c>
      <c r="J62" s="3">
        <v>13</v>
      </c>
      <c r="K62" s="3">
        <v>13</v>
      </c>
      <c r="L62" s="3">
        <v>0</v>
      </c>
      <c r="M62" s="3">
        <v>0</v>
      </c>
      <c r="N62" s="3">
        <v>13</v>
      </c>
      <c r="O62" s="3">
        <v>0.08</v>
      </c>
      <c r="P62" s="3">
        <v>0</v>
      </c>
      <c r="Q62" s="3">
        <v>0</v>
      </c>
      <c r="R62" s="3">
        <v>0</v>
      </c>
    </row>
    <row r="63" spans="1:18">
      <c r="A63" s="3" t="s">
        <v>558</v>
      </c>
      <c r="B63" s="3" t="s">
        <v>559</v>
      </c>
      <c r="C63" s="3" t="s">
        <v>560</v>
      </c>
      <c r="D63" s="3" t="s">
        <v>561</v>
      </c>
      <c r="E63" s="3" t="s">
        <v>538</v>
      </c>
      <c r="F63" s="3">
        <v>13.99</v>
      </c>
      <c r="G63" s="3" t="s">
        <v>2454</v>
      </c>
      <c r="H63" s="3"/>
      <c r="I63" s="3" t="s">
        <v>2455</v>
      </c>
      <c r="J63" s="3">
        <v>11</v>
      </c>
      <c r="K63" s="3">
        <v>11</v>
      </c>
      <c r="L63" s="3">
        <v>0</v>
      </c>
      <c r="M63" s="3">
        <v>0</v>
      </c>
      <c r="N63" s="3">
        <v>11</v>
      </c>
      <c r="O63" s="3">
        <v>0.05</v>
      </c>
      <c r="P63" s="3">
        <v>0</v>
      </c>
      <c r="Q63" s="3">
        <v>0</v>
      </c>
      <c r="R63" s="3">
        <v>0</v>
      </c>
    </row>
    <row r="64" spans="1:18">
      <c r="A64" s="3" t="s">
        <v>981</v>
      </c>
      <c r="B64" s="3" t="s">
        <v>982</v>
      </c>
      <c r="C64" s="3" t="s">
        <v>983</v>
      </c>
      <c r="D64" s="3" t="s">
        <v>984</v>
      </c>
      <c r="E64" s="3" t="s">
        <v>538</v>
      </c>
      <c r="F64" s="3">
        <v>19.99</v>
      </c>
      <c r="G64" s="3" t="s">
        <v>2454</v>
      </c>
      <c r="H64" s="3"/>
      <c r="I64" s="3" t="s">
        <v>2455</v>
      </c>
      <c r="J64" s="3">
        <v>24</v>
      </c>
      <c r="K64" s="3">
        <v>24</v>
      </c>
      <c r="L64" s="3">
        <v>0</v>
      </c>
      <c r="M64" s="3">
        <v>0</v>
      </c>
      <c r="N64" s="3">
        <v>24</v>
      </c>
      <c r="O64" s="3">
        <v>0.06</v>
      </c>
      <c r="P64" s="3">
        <v>0</v>
      </c>
      <c r="Q64" s="3">
        <v>0</v>
      </c>
      <c r="R64" s="3">
        <v>0</v>
      </c>
    </row>
    <row r="65" spans="1:18">
      <c r="A65" s="3" t="s">
        <v>2397</v>
      </c>
      <c r="B65" s="3" t="s">
        <v>2398</v>
      </c>
      <c r="C65" s="3" t="s">
        <v>2399</v>
      </c>
      <c r="D65" s="3" t="s">
        <v>2400</v>
      </c>
      <c r="E65" s="3" t="s">
        <v>538</v>
      </c>
      <c r="F65" s="3">
        <v>23.99</v>
      </c>
      <c r="G65" s="3" t="s">
        <v>2454</v>
      </c>
      <c r="H65" s="3"/>
      <c r="I65" s="3" t="s">
        <v>2455</v>
      </c>
      <c r="J65" s="3">
        <v>25</v>
      </c>
      <c r="K65" s="3">
        <v>25</v>
      </c>
      <c r="L65" s="3">
        <v>0</v>
      </c>
      <c r="M65" s="3">
        <v>0</v>
      </c>
      <c r="N65" s="3">
        <v>25</v>
      </c>
      <c r="O65" s="3">
        <v>0.05</v>
      </c>
      <c r="P65" s="3">
        <v>0</v>
      </c>
      <c r="Q65" s="3">
        <v>0</v>
      </c>
      <c r="R65" s="3">
        <v>0</v>
      </c>
    </row>
    <row r="66" spans="1:18">
      <c r="A66" s="3" t="s">
        <v>1291</v>
      </c>
      <c r="B66" s="3" t="s">
        <v>1292</v>
      </c>
      <c r="C66" s="3" t="s">
        <v>1293</v>
      </c>
      <c r="D66" s="3" t="s">
        <v>1294</v>
      </c>
      <c r="E66" s="3" t="s">
        <v>538</v>
      </c>
      <c r="F66" s="3">
        <v>25.99</v>
      </c>
      <c r="G66" s="3" t="s">
        <v>2454</v>
      </c>
      <c r="H66" s="3"/>
      <c r="I66" s="3" t="s">
        <v>2455</v>
      </c>
      <c r="J66" s="3">
        <v>8</v>
      </c>
      <c r="K66" s="3">
        <v>8</v>
      </c>
      <c r="L66" s="3">
        <v>0</v>
      </c>
      <c r="M66" s="3">
        <v>0</v>
      </c>
      <c r="N66" s="3">
        <v>8</v>
      </c>
      <c r="O66" s="3">
        <v>0.01</v>
      </c>
      <c r="P66" s="3">
        <v>0</v>
      </c>
      <c r="Q66" s="3">
        <v>0</v>
      </c>
      <c r="R66" s="3">
        <v>0</v>
      </c>
    </row>
    <row r="67" spans="1:18">
      <c r="A67" s="3" t="s">
        <v>2232</v>
      </c>
      <c r="B67" s="3" t="s">
        <v>2233</v>
      </c>
      <c r="C67" s="3" t="s">
        <v>2234</v>
      </c>
      <c r="D67" s="3" t="s">
        <v>2235</v>
      </c>
      <c r="E67" s="3" t="s">
        <v>538</v>
      </c>
      <c r="F67" s="3">
        <v>27.99</v>
      </c>
      <c r="G67" s="3" t="s">
        <v>2454</v>
      </c>
      <c r="H67" s="3"/>
      <c r="I67" s="3" t="s">
        <v>2455</v>
      </c>
      <c r="J67" s="3">
        <v>7</v>
      </c>
      <c r="K67" s="3">
        <v>7</v>
      </c>
      <c r="L67" s="3">
        <v>0</v>
      </c>
      <c r="M67" s="3">
        <v>0</v>
      </c>
      <c r="N67" s="3">
        <v>7</v>
      </c>
      <c r="O67" s="3">
        <v>0.02</v>
      </c>
      <c r="P67" s="3">
        <v>0</v>
      </c>
      <c r="Q67" s="3">
        <v>0</v>
      </c>
      <c r="R67" s="3">
        <v>0</v>
      </c>
    </row>
    <row r="68" spans="1:18">
      <c r="A68" s="3" t="s">
        <v>1787</v>
      </c>
      <c r="B68" s="3" t="s">
        <v>1788</v>
      </c>
      <c r="C68" s="3" t="s">
        <v>1789</v>
      </c>
      <c r="D68" s="3" t="s">
        <v>1790</v>
      </c>
      <c r="E68" s="3" t="s">
        <v>538</v>
      </c>
      <c r="F68" s="3">
        <v>29.99</v>
      </c>
      <c r="G68" s="3" t="s">
        <v>2454</v>
      </c>
      <c r="H68" s="3"/>
      <c r="I68" s="3" t="s">
        <v>2455</v>
      </c>
      <c r="J68" s="3">
        <v>5</v>
      </c>
      <c r="K68" s="3">
        <v>5</v>
      </c>
      <c r="L68" s="3">
        <v>0</v>
      </c>
      <c r="M68" s="3">
        <v>0</v>
      </c>
      <c r="N68" s="3">
        <v>5</v>
      </c>
      <c r="O68" s="3">
        <v>0.11</v>
      </c>
      <c r="P68" s="3">
        <v>0</v>
      </c>
      <c r="Q68" s="3">
        <v>0</v>
      </c>
      <c r="R68" s="3">
        <v>0</v>
      </c>
    </row>
    <row r="69" spans="1:18">
      <c r="A69" s="3" t="s">
        <v>2405</v>
      </c>
      <c r="B69" s="3" t="s">
        <v>2406</v>
      </c>
      <c r="C69" s="3" t="s">
        <v>2407</v>
      </c>
      <c r="D69" s="3" t="s">
        <v>2408</v>
      </c>
      <c r="E69" s="3" t="s">
        <v>538</v>
      </c>
      <c r="F69" s="3">
        <v>9.99</v>
      </c>
      <c r="G69" s="3" t="s">
        <v>2454</v>
      </c>
      <c r="H69" s="3"/>
      <c r="I69" s="3" t="s">
        <v>2455</v>
      </c>
      <c r="J69" s="3">
        <v>21</v>
      </c>
      <c r="K69" s="3">
        <v>21</v>
      </c>
      <c r="L69" s="3">
        <v>0</v>
      </c>
      <c r="M69" s="3">
        <v>0</v>
      </c>
      <c r="N69" s="3">
        <v>21</v>
      </c>
      <c r="O69" s="3">
        <v>0.01</v>
      </c>
      <c r="P69" s="3">
        <v>0</v>
      </c>
      <c r="Q69" s="3">
        <v>0</v>
      </c>
      <c r="R69" s="3">
        <v>0</v>
      </c>
    </row>
    <row r="70" spans="1:18">
      <c r="A70" s="3" t="s">
        <v>970</v>
      </c>
      <c r="B70" s="3" t="s">
        <v>971</v>
      </c>
      <c r="C70" s="3" t="s">
        <v>972</v>
      </c>
      <c r="D70" s="3" t="s">
        <v>973</v>
      </c>
      <c r="E70" s="3" t="s">
        <v>538</v>
      </c>
      <c r="F70" s="3">
        <v>17.99</v>
      </c>
      <c r="G70" s="3" t="s">
        <v>2454</v>
      </c>
      <c r="H70" s="3"/>
      <c r="I70" s="3" t="s">
        <v>2455</v>
      </c>
      <c r="J70" s="3">
        <v>10</v>
      </c>
      <c r="K70" s="3">
        <v>10</v>
      </c>
      <c r="L70" s="3">
        <v>0</v>
      </c>
      <c r="M70" s="3">
        <v>0</v>
      </c>
      <c r="N70" s="3">
        <v>11</v>
      </c>
      <c r="O70" s="3">
        <v>0.01</v>
      </c>
      <c r="P70" s="3">
        <v>0</v>
      </c>
      <c r="Q70" s="3">
        <v>0</v>
      </c>
      <c r="R70" s="3">
        <v>1</v>
      </c>
    </row>
    <row r="71" spans="1:18">
      <c r="A71" s="3" t="s">
        <v>1519</v>
      </c>
      <c r="B71" s="3" t="s">
        <v>1520</v>
      </c>
      <c r="C71" s="3" t="s">
        <v>1521</v>
      </c>
      <c r="D71" s="3" t="s">
        <v>1522</v>
      </c>
      <c r="E71" s="3" t="s">
        <v>538</v>
      </c>
      <c r="F71" s="3">
        <v>12.99</v>
      </c>
      <c r="G71" s="3" t="s">
        <v>2454</v>
      </c>
      <c r="H71" s="3"/>
      <c r="I71" s="3" t="s">
        <v>2455</v>
      </c>
      <c r="J71" s="3">
        <v>22</v>
      </c>
      <c r="K71" s="3">
        <v>21</v>
      </c>
      <c r="L71" s="3">
        <v>1</v>
      </c>
      <c r="M71" s="3">
        <v>0</v>
      </c>
      <c r="N71" s="3">
        <v>22</v>
      </c>
      <c r="O71" s="3">
        <v>0.01</v>
      </c>
      <c r="P71" s="3">
        <v>0</v>
      </c>
      <c r="Q71" s="3">
        <v>0</v>
      </c>
      <c r="R71" s="3">
        <v>0</v>
      </c>
    </row>
    <row r="72" spans="1:18">
      <c r="A72" s="3" t="s">
        <v>2066</v>
      </c>
      <c r="B72" s="3" t="s">
        <v>2067</v>
      </c>
      <c r="C72" s="3" t="s">
        <v>2068</v>
      </c>
      <c r="D72" s="3" t="s">
        <v>2069</v>
      </c>
      <c r="E72" s="3" t="s">
        <v>538</v>
      </c>
      <c r="F72" s="3">
        <v>15.7</v>
      </c>
      <c r="G72" s="3" t="s">
        <v>2454</v>
      </c>
      <c r="H72" s="3"/>
      <c r="I72" s="3" t="s">
        <v>2455</v>
      </c>
      <c r="J72" s="3">
        <v>12</v>
      </c>
      <c r="K72" s="3">
        <v>12</v>
      </c>
      <c r="L72" s="3">
        <v>0</v>
      </c>
      <c r="M72" s="3">
        <v>0</v>
      </c>
      <c r="N72" s="3">
        <v>12</v>
      </c>
      <c r="O72" s="3">
        <v>0</v>
      </c>
      <c r="P72" s="3">
        <v>0</v>
      </c>
      <c r="Q72" s="3">
        <v>0</v>
      </c>
      <c r="R72" s="3">
        <v>0</v>
      </c>
    </row>
    <row r="73" spans="1:18">
      <c r="A73" s="3" t="s">
        <v>1888</v>
      </c>
      <c r="B73" s="3" t="s">
        <v>1889</v>
      </c>
      <c r="C73" s="3" t="s">
        <v>1890</v>
      </c>
      <c r="D73" s="3" t="s">
        <v>1891</v>
      </c>
      <c r="E73" s="3" t="s">
        <v>538</v>
      </c>
      <c r="F73" s="3">
        <v>14.7</v>
      </c>
      <c r="G73" s="3" t="s">
        <v>2454</v>
      </c>
      <c r="H73" s="3"/>
      <c r="I73" s="3" t="s">
        <v>2455</v>
      </c>
      <c r="J73" s="3">
        <v>12</v>
      </c>
      <c r="K73" s="3">
        <v>12</v>
      </c>
      <c r="L73" s="3">
        <v>0</v>
      </c>
      <c r="M73" s="3">
        <v>0</v>
      </c>
      <c r="N73" s="3">
        <v>12</v>
      </c>
      <c r="O73" s="3">
        <v>0</v>
      </c>
      <c r="P73" s="3">
        <v>0</v>
      </c>
      <c r="Q73" s="3">
        <v>0</v>
      </c>
      <c r="R73" s="3">
        <v>0</v>
      </c>
    </row>
    <row r="74" spans="1:18">
      <c r="A74" s="3" t="s">
        <v>2146</v>
      </c>
      <c r="B74" s="3" t="s">
        <v>2147</v>
      </c>
      <c r="C74" s="3" t="s">
        <v>2148</v>
      </c>
      <c r="D74" s="3" t="s">
        <v>2149</v>
      </c>
      <c r="E74" s="3" t="s">
        <v>538</v>
      </c>
      <c r="F74" s="3">
        <v>15.7</v>
      </c>
      <c r="G74" s="3" t="s">
        <v>2454</v>
      </c>
      <c r="H74" s="3"/>
      <c r="I74" s="3" t="s">
        <v>2455</v>
      </c>
      <c r="J74" s="3">
        <v>9</v>
      </c>
      <c r="K74" s="3">
        <v>9</v>
      </c>
      <c r="L74" s="3">
        <v>0</v>
      </c>
      <c r="M74" s="3">
        <v>0</v>
      </c>
      <c r="N74" s="3">
        <v>9</v>
      </c>
      <c r="O74" s="3">
        <v>0</v>
      </c>
      <c r="P74" s="3">
        <v>0</v>
      </c>
      <c r="Q74" s="3">
        <v>0</v>
      </c>
      <c r="R74" s="3">
        <v>0</v>
      </c>
    </row>
    <row r="75" spans="1:18">
      <c r="A75" s="3" t="s">
        <v>2554</v>
      </c>
      <c r="B75" s="3" t="s">
        <v>2555</v>
      </c>
      <c r="C75" s="3" t="s">
        <v>2556</v>
      </c>
      <c r="D75" s="3" t="s">
        <v>15</v>
      </c>
      <c r="E75" s="3" t="s">
        <v>538</v>
      </c>
      <c r="F75" s="3">
        <v>50.4</v>
      </c>
      <c r="G75" s="3" t="s">
        <v>2454</v>
      </c>
      <c r="H75" s="3"/>
      <c r="I75" s="3" t="s">
        <v>2455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</row>
    <row r="76" spans="1:18">
      <c r="A76" s="3" t="s">
        <v>2557</v>
      </c>
      <c r="B76" s="3" t="s">
        <v>2558</v>
      </c>
      <c r="C76" s="3" t="s">
        <v>2559</v>
      </c>
      <c r="D76" s="3" t="s">
        <v>15</v>
      </c>
      <c r="E76" s="3" t="s">
        <v>538</v>
      </c>
      <c r="F76" s="3">
        <v>47.6</v>
      </c>
      <c r="G76" s="3" t="s">
        <v>2454</v>
      </c>
      <c r="H76" s="3"/>
      <c r="I76" s="3" t="s">
        <v>2455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2560</v>
      </c>
      <c r="B77" s="3" t="s">
        <v>2561</v>
      </c>
      <c r="C77" s="3" t="s">
        <v>2562</v>
      </c>
      <c r="D77" s="3" t="s">
        <v>15</v>
      </c>
      <c r="E77" s="3" t="s">
        <v>538</v>
      </c>
      <c r="F77" s="3">
        <v>44.8</v>
      </c>
      <c r="G77" s="3" t="s">
        <v>2454</v>
      </c>
      <c r="H77" s="3"/>
      <c r="I77" s="3" t="s">
        <v>2455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</row>
    <row r="78" spans="1:18">
      <c r="A78" s="3" t="s">
        <v>2563</v>
      </c>
      <c r="B78" s="3" t="s">
        <v>2564</v>
      </c>
      <c r="C78" s="3" t="s">
        <v>2565</v>
      </c>
      <c r="D78" s="3" t="s">
        <v>15</v>
      </c>
      <c r="E78" s="3" t="s">
        <v>538</v>
      </c>
      <c r="F78" s="3">
        <v>53.2</v>
      </c>
      <c r="G78" s="3" t="s">
        <v>2454</v>
      </c>
      <c r="H78" s="3"/>
      <c r="I78" s="3" t="s">
        <v>2455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2566</v>
      </c>
      <c r="B79" s="3" t="s">
        <v>2567</v>
      </c>
      <c r="C79" s="3" t="s">
        <v>2568</v>
      </c>
      <c r="D79" s="3" t="s">
        <v>15</v>
      </c>
      <c r="E79" s="3" t="s">
        <v>538</v>
      </c>
      <c r="F79" s="3">
        <v>50.4</v>
      </c>
      <c r="G79" s="3" t="s">
        <v>2454</v>
      </c>
      <c r="H79" s="3"/>
      <c r="I79" s="3" t="s">
        <v>2455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</row>
    <row r="80" spans="1:18">
      <c r="A80" s="3" t="s">
        <v>2569</v>
      </c>
      <c r="B80" s="3" t="s">
        <v>2570</v>
      </c>
      <c r="C80" s="3" t="s">
        <v>2571</v>
      </c>
      <c r="D80" s="3" t="s">
        <v>15</v>
      </c>
      <c r="E80" s="3" t="s">
        <v>538</v>
      </c>
      <c r="F80" s="3">
        <v>47.6</v>
      </c>
      <c r="G80" s="3" t="s">
        <v>2454</v>
      </c>
      <c r="H80" s="3"/>
      <c r="I80" s="3" t="s">
        <v>2455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2572</v>
      </c>
      <c r="B81" s="3" t="s">
        <v>2573</v>
      </c>
      <c r="C81" s="3" t="s">
        <v>2574</v>
      </c>
      <c r="D81" s="3" t="s">
        <v>15</v>
      </c>
      <c r="E81" s="3" t="s">
        <v>538</v>
      </c>
      <c r="F81" s="3">
        <v>44.8</v>
      </c>
      <c r="G81" s="3" t="s">
        <v>2454</v>
      </c>
      <c r="H81" s="3"/>
      <c r="I81" s="3" t="s">
        <v>2455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</row>
    <row r="82" spans="1:18">
      <c r="A82" s="3" t="s">
        <v>2575</v>
      </c>
      <c r="B82" s="3" t="s">
        <v>2576</v>
      </c>
      <c r="C82" s="3" t="s">
        <v>2577</v>
      </c>
      <c r="D82" s="3" t="s">
        <v>15</v>
      </c>
      <c r="E82" s="3" t="s">
        <v>538</v>
      </c>
      <c r="F82" s="3">
        <v>9.99</v>
      </c>
      <c r="G82" s="3" t="s">
        <v>2454</v>
      </c>
      <c r="H82" s="3"/>
      <c r="I82" s="3" t="s">
        <v>2455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2578</v>
      </c>
      <c r="B83" s="3" t="s">
        <v>2579</v>
      </c>
      <c r="C83" s="3" t="s">
        <v>2580</v>
      </c>
      <c r="D83" s="3" t="s">
        <v>15</v>
      </c>
      <c r="E83" s="3" t="s">
        <v>538</v>
      </c>
      <c r="F83" s="3">
        <v>50.4</v>
      </c>
      <c r="G83" s="3" t="s">
        <v>2454</v>
      </c>
      <c r="H83" s="3"/>
      <c r="I83" s="3" t="s">
        <v>2455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</row>
    <row r="84" spans="1:18">
      <c r="A84" s="3" t="s">
        <v>2581</v>
      </c>
      <c r="B84" s="3" t="s">
        <v>2582</v>
      </c>
      <c r="C84" s="3" t="s">
        <v>2583</v>
      </c>
      <c r="D84" s="3" t="s">
        <v>15</v>
      </c>
      <c r="E84" s="3" t="s">
        <v>538</v>
      </c>
      <c r="F84" s="3">
        <v>47.6</v>
      </c>
      <c r="G84" s="3" t="s">
        <v>2454</v>
      </c>
      <c r="H84" s="3"/>
      <c r="I84" s="3" t="s">
        <v>2455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</row>
    <row r="85" spans="1:18">
      <c r="A85" s="3" t="s">
        <v>2584</v>
      </c>
      <c r="B85" s="3" t="s">
        <v>2585</v>
      </c>
      <c r="C85" s="3" t="s">
        <v>2586</v>
      </c>
      <c r="D85" s="3" t="s">
        <v>15</v>
      </c>
      <c r="E85" s="3" t="s">
        <v>538</v>
      </c>
      <c r="F85" s="3">
        <v>44.8</v>
      </c>
      <c r="G85" s="3" t="s">
        <v>2454</v>
      </c>
      <c r="H85" s="3"/>
      <c r="I85" s="3" t="s">
        <v>2455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</row>
    <row r="86" spans="1:18">
      <c r="A86" s="3" t="s">
        <v>2587</v>
      </c>
      <c r="B86" s="3" t="s">
        <v>2588</v>
      </c>
      <c r="C86" s="3" t="s">
        <v>2589</v>
      </c>
      <c r="D86" s="3"/>
      <c r="E86" s="3" t="s">
        <v>2459</v>
      </c>
      <c r="F86" s="3"/>
      <c r="G86" s="3"/>
      <c r="H86" s="3"/>
      <c r="I86" s="3"/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/>
      <c r="P86" s="3">
        <v>0</v>
      </c>
      <c r="Q86" s="3">
        <v>0</v>
      </c>
      <c r="R86" s="3">
        <v>0</v>
      </c>
    </row>
    <row r="87" spans="1:18">
      <c r="A87" s="3" t="s">
        <v>2590</v>
      </c>
      <c r="B87" s="3" t="s">
        <v>2591</v>
      </c>
      <c r="C87" s="3" t="s">
        <v>2592</v>
      </c>
      <c r="D87" s="3" t="s">
        <v>15</v>
      </c>
      <c r="E87" s="3" t="s">
        <v>538</v>
      </c>
      <c r="F87" s="3">
        <v>50.4</v>
      </c>
      <c r="G87" s="3" t="s">
        <v>2454</v>
      </c>
      <c r="H87" s="3"/>
      <c r="I87" s="3" t="s">
        <v>2455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</row>
    <row r="88" spans="1:18">
      <c r="A88" s="3" t="s">
        <v>2593</v>
      </c>
      <c r="B88" s="3" t="s">
        <v>2594</v>
      </c>
      <c r="C88" s="3" t="s">
        <v>2595</v>
      </c>
      <c r="D88" s="3" t="s">
        <v>15</v>
      </c>
      <c r="E88" s="3" t="s">
        <v>538</v>
      </c>
      <c r="F88" s="3">
        <v>47.6</v>
      </c>
      <c r="G88" s="3" t="s">
        <v>2454</v>
      </c>
      <c r="H88" s="3"/>
      <c r="I88" s="3" t="s">
        <v>2455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</row>
    <row r="89" spans="1:18">
      <c r="A89" s="3" t="s">
        <v>2596</v>
      </c>
      <c r="B89" s="3" t="s">
        <v>2597</v>
      </c>
      <c r="C89" s="3" t="s">
        <v>2598</v>
      </c>
      <c r="D89" s="3" t="s">
        <v>15</v>
      </c>
      <c r="E89" s="3" t="s">
        <v>538</v>
      </c>
      <c r="F89" s="3">
        <v>44.8</v>
      </c>
      <c r="G89" s="3" t="s">
        <v>2454</v>
      </c>
      <c r="H89" s="3"/>
      <c r="I89" s="3" t="s">
        <v>2455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</row>
    <row r="90" spans="1:18">
      <c r="A90" s="3" t="s">
        <v>12</v>
      </c>
      <c r="B90" s="3" t="s">
        <v>13</v>
      </c>
      <c r="C90" s="3" t="s">
        <v>14</v>
      </c>
      <c r="D90" s="3" t="s">
        <v>15</v>
      </c>
      <c r="E90" s="3" t="s">
        <v>538</v>
      </c>
      <c r="F90" s="3">
        <v>9.99</v>
      </c>
      <c r="G90" s="3" t="s">
        <v>2454</v>
      </c>
      <c r="H90" s="3"/>
      <c r="I90" s="3" t="s">
        <v>2455</v>
      </c>
      <c r="J90" s="3">
        <v>1</v>
      </c>
      <c r="K90" s="3">
        <v>0</v>
      </c>
      <c r="L90" s="3">
        <v>0</v>
      </c>
      <c r="M90" s="3">
        <v>1</v>
      </c>
      <c r="N90" s="3">
        <v>1</v>
      </c>
      <c r="O90" s="3">
        <v>0</v>
      </c>
      <c r="P90" s="3">
        <v>0</v>
      </c>
      <c r="Q90" s="3">
        <v>0</v>
      </c>
      <c r="R90" s="3">
        <v>0</v>
      </c>
    </row>
    <row r="91" spans="1:18">
      <c r="A91" s="3" t="s">
        <v>2599</v>
      </c>
      <c r="B91" s="3" t="s">
        <v>2600</v>
      </c>
      <c r="C91" s="3" t="s">
        <v>2601</v>
      </c>
      <c r="D91" s="3" t="s">
        <v>2602</v>
      </c>
      <c r="E91" s="3" t="s">
        <v>538</v>
      </c>
      <c r="F91" s="3">
        <v>38.5</v>
      </c>
      <c r="G91" s="3" t="s">
        <v>2454</v>
      </c>
      <c r="H91" s="3"/>
      <c r="I91" s="3" t="s">
        <v>2455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0.04</v>
      </c>
      <c r="P91" s="3">
        <v>0</v>
      </c>
      <c r="Q91" s="3">
        <v>0</v>
      </c>
      <c r="R91" s="3">
        <v>0</v>
      </c>
    </row>
    <row r="92" spans="1:18">
      <c r="A92" s="3" t="s">
        <v>2603</v>
      </c>
      <c r="B92" s="3" t="s">
        <v>2604</v>
      </c>
      <c r="C92" s="3" t="s">
        <v>2605</v>
      </c>
      <c r="D92" s="3" t="s">
        <v>2602</v>
      </c>
      <c r="E92" s="3" t="s">
        <v>538</v>
      </c>
      <c r="F92" s="3">
        <v>31.9</v>
      </c>
      <c r="G92" s="3" t="s">
        <v>2454</v>
      </c>
      <c r="H92" s="3"/>
      <c r="I92" s="3" t="s">
        <v>2455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0.04</v>
      </c>
      <c r="P92" s="3">
        <v>0</v>
      </c>
      <c r="Q92" s="3">
        <v>0</v>
      </c>
      <c r="R92" s="3">
        <v>0</v>
      </c>
    </row>
    <row r="93" spans="1:18">
      <c r="A93" s="3" t="s">
        <v>2606</v>
      </c>
      <c r="B93" s="3" t="s">
        <v>2607</v>
      </c>
      <c r="C93" s="3" t="s">
        <v>2608</v>
      </c>
      <c r="D93" s="3" t="s">
        <v>2602</v>
      </c>
      <c r="E93" s="3" t="s">
        <v>538</v>
      </c>
      <c r="F93" s="3">
        <v>23.8</v>
      </c>
      <c r="G93" s="3" t="s">
        <v>2454</v>
      </c>
      <c r="H93" s="3"/>
      <c r="I93" s="3" t="s">
        <v>2455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0.02</v>
      </c>
      <c r="P93" s="3">
        <v>0</v>
      </c>
      <c r="Q93" s="3">
        <v>0</v>
      </c>
      <c r="R93" s="3">
        <v>0</v>
      </c>
    </row>
    <row r="94" spans="1:18">
      <c r="A94" s="3" t="s">
        <v>2609</v>
      </c>
      <c r="B94" s="3" t="s">
        <v>2610</v>
      </c>
      <c r="C94" s="3" t="s">
        <v>2611</v>
      </c>
      <c r="D94" s="3" t="s">
        <v>2602</v>
      </c>
      <c r="E94" s="3" t="s">
        <v>538</v>
      </c>
      <c r="F94" s="3">
        <v>47.6</v>
      </c>
      <c r="G94" s="3" t="s">
        <v>2454</v>
      </c>
      <c r="H94" s="3"/>
      <c r="I94" s="3" t="s">
        <v>2455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0.13</v>
      </c>
      <c r="P94" s="3">
        <v>0</v>
      </c>
      <c r="Q94" s="3">
        <v>0</v>
      </c>
      <c r="R94" s="3">
        <v>0</v>
      </c>
    </row>
    <row r="95" spans="1:18">
      <c r="A95" s="3" t="s">
        <v>2612</v>
      </c>
      <c r="B95" s="3" t="s">
        <v>2613</v>
      </c>
      <c r="C95" s="3" t="s">
        <v>2614</v>
      </c>
      <c r="D95" s="3" t="s">
        <v>2602</v>
      </c>
      <c r="E95" s="3" t="s">
        <v>538</v>
      </c>
      <c r="F95" s="3">
        <v>38.5</v>
      </c>
      <c r="G95" s="3" t="s">
        <v>2454</v>
      </c>
      <c r="H95" s="3"/>
      <c r="I95" s="3" t="s">
        <v>2455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0.07</v>
      </c>
      <c r="P95" s="3">
        <v>0</v>
      </c>
      <c r="Q95" s="3">
        <v>0</v>
      </c>
      <c r="R95" s="3">
        <v>0</v>
      </c>
    </row>
    <row r="96" spans="1:18">
      <c r="A96" s="3" t="s">
        <v>2615</v>
      </c>
      <c r="B96" s="3" t="s">
        <v>2616</v>
      </c>
      <c r="C96" s="3" t="s">
        <v>2617</v>
      </c>
      <c r="D96" s="3" t="s">
        <v>2602</v>
      </c>
      <c r="E96" s="3" t="s">
        <v>538</v>
      </c>
      <c r="F96" s="3">
        <v>31.9</v>
      </c>
      <c r="G96" s="3" t="s">
        <v>2454</v>
      </c>
      <c r="H96" s="3"/>
      <c r="I96" s="3" t="s">
        <v>2455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0.02</v>
      </c>
      <c r="P96" s="3">
        <v>0</v>
      </c>
      <c r="Q96" s="3">
        <v>0</v>
      </c>
      <c r="R96" s="3">
        <v>0</v>
      </c>
    </row>
    <row r="97" spans="1:18">
      <c r="A97" s="3" t="s">
        <v>2618</v>
      </c>
      <c r="B97" s="3" t="s">
        <v>2619</v>
      </c>
      <c r="C97" s="3" t="s">
        <v>2620</v>
      </c>
      <c r="D97" s="3" t="s">
        <v>2602</v>
      </c>
      <c r="E97" s="3" t="s">
        <v>538</v>
      </c>
      <c r="F97" s="3">
        <v>23.8</v>
      </c>
      <c r="G97" s="3" t="s">
        <v>2454</v>
      </c>
      <c r="H97" s="3"/>
      <c r="I97" s="3" t="s">
        <v>2455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0.02</v>
      </c>
      <c r="P97" s="3">
        <v>0</v>
      </c>
      <c r="Q97" s="3">
        <v>0</v>
      </c>
      <c r="R97" s="3">
        <v>0</v>
      </c>
    </row>
    <row r="98" spans="1:18">
      <c r="A98" s="3" t="s">
        <v>2621</v>
      </c>
      <c r="B98" s="3" t="s">
        <v>2622</v>
      </c>
      <c r="C98" s="3" t="s">
        <v>2623</v>
      </c>
      <c r="D98" s="3" t="s">
        <v>2602</v>
      </c>
      <c r="E98" s="3" t="s">
        <v>538</v>
      </c>
      <c r="F98" s="3">
        <v>47.6</v>
      </c>
      <c r="G98" s="3" t="s">
        <v>2454</v>
      </c>
      <c r="H98" s="3"/>
      <c r="I98" s="3" t="s">
        <v>2455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0.15</v>
      </c>
      <c r="P98" s="3">
        <v>0</v>
      </c>
      <c r="Q98" s="3">
        <v>0</v>
      </c>
      <c r="R98" s="3">
        <v>0</v>
      </c>
    </row>
    <row r="99" spans="1:18">
      <c r="A99" s="3" t="s">
        <v>2624</v>
      </c>
      <c r="B99" s="3" t="s">
        <v>2625</v>
      </c>
      <c r="C99" s="3" t="s">
        <v>2626</v>
      </c>
      <c r="D99" s="3" t="s">
        <v>2627</v>
      </c>
      <c r="E99" s="3" t="s">
        <v>538</v>
      </c>
      <c r="F99" s="3">
        <v>9.99</v>
      </c>
      <c r="G99" s="3" t="s">
        <v>2454</v>
      </c>
      <c r="H99" s="3"/>
      <c r="I99" s="3" t="s">
        <v>2455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0.11</v>
      </c>
      <c r="P99" s="3">
        <v>0</v>
      </c>
      <c r="Q99" s="3">
        <v>0</v>
      </c>
      <c r="R99" s="3">
        <v>0</v>
      </c>
    </row>
    <row r="100" spans="1:18">
      <c r="A100" s="3" t="s">
        <v>2628</v>
      </c>
      <c r="B100" s="3" t="s">
        <v>2629</v>
      </c>
      <c r="C100" s="3" t="s">
        <v>2630</v>
      </c>
      <c r="D100" s="3" t="s">
        <v>2631</v>
      </c>
      <c r="E100" s="3" t="s">
        <v>538</v>
      </c>
      <c r="F100" s="3">
        <v>24.99</v>
      </c>
      <c r="G100" s="3" t="s">
        <v>2454</v>
      </c>
      <c r="H100" s="3"/>
      <c r="I100" s="3" t="s">
        <v>2455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</row>
    <row r="101" spans="1:18">
      <c r="A101" s="3" t="s">
        <v>2632</v>
      </c>
      <c r="B101" s="3" t="s">
        <v>2633</v>
      </c>
      <c r="C101" s="3" t="s">
        <v>2634</v>
      </c>
      <c r="D101" s="3" t="s">
        <v>2631</v>
      </c>
      <c r="E101" s="3" t="s">
        <v>538</v>
      </c>
      <c r="F101" s="3">
        <v>24.99</v>
      </c>
      <c r="G101" s="3" t="s">
        <v>2454</v>
      </c>
      <c r="H101" s="3"/>
      <c r="I101" s="3" t="s">
        <v>2455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</row>
    <row r="102" spans="1:18">
      <c r="A102" s="3" t="s">
        <v>2635</v>
      </c>
      <c r="B102" s="3" t="s">
        <v>2636</v>
      </c>
      <c r="C102" s="3" t="s">
        <v>2637</v>
      </c>
      <c r="D102" s="3" t="s">
        <v>2631</v>
      </c>
      <c r="E102" s="3" t="s">
        <v>538</v>
      </c>
      <c r="F102" s="3">
        <v>24.99</v>
      </c>
      <c r="G102" s="3" t="s">
        <v>2454</v>
      </c>
      <c r="H102" s="3"/>
      <c r="I102" s="3" t="s">
        <v>2455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</row>
    <row r="103" spans="1:18">
      <c r="A103" s="3" t="s">
        <v>2638</v>
      </c>
      <c r="B103" s="3" t="s">
        <v>2639</v>
      </c>
      <c r="C103" s="3" t="s">
        <v>2640</v>
      </c>
      <c r="D103" s="3" t="s">
        <v>2631</v>
      </c>
      <c r="E103" s="3" t="s">
        <v>538</v>
      </c>
      <c r="F103" s="3">
        <v>24.99</v>
      </c>
      <c r="G103" s="3" t="s">
        <v>2454</v>
      </c>
      <c r="H103" s="3"/>
      <c r="I103" s="3" t="s">
        <v>2455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</row>
    <row r="104" spans="1:18">
      <c r="A104" s="3" t="s">
        <v>2641</v>
      </c>
      <c r="B104" s="3" t="s">
        <v>2642</v>
      </c>
      <c r="C104" s="3" t="s">
        <v>2643</v>
      </c>
      <c r="D104" s="3" t="s">
        <v>2644</v>
      </c>
      <c r="E104" s="3" t="s">
        <v>538</v>
      </c>
      <c r="F104" s="3">
        <v>10.99</v>
      </c>
      <c r="G104" s="3" t="s">
        <v>2454</v>
      </c>
      <c r="H104" s="3"/>
      <c r="I104" s="3" t="s">
        <v>2455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0.07</v>
      </c>
      <c r="P104" s="3">
        <v>0</v>
      </c>
      <c r="Q104" s="3">
        <v>0</v>
      </c>
      <c r="R104" s="3">
        <v>0</v>
      </c>
    </row>
    <row r="105" spans="1:18">
      <c r="A105" s="3" t="s">
        <v>2645</v>
      </c>
      <c r="B105" s="3" t="s">
        <v>2646</v>
      </c>
      <c r="C105" s="3" t="s">
        <v>2647</v>
      </c>
      <c r="D105" s="3" t="s">
        <v>2648</v>
      </c>
      <c r="E105" s="3" t="s">
        <v>538</v>
      </c>
      <c r="F105" s="3">
        <v>10.99</v>
      </c>
      <c r="G105" s="3" t="s">
        <v>2454</v>
      </c>
      <c r="H105" s="3"/>
      <c r="I105" s="3" t="s">
        <v>2455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0.07</v>
      </c>
      <c r="P105" s="3">
        <v>0</v>
      </c>
      <c r="Q105" s="3">
        <v>0</v>
      </c>
      <c r="R105" s="3">
        <v>0</v>
      </c>
    </row>
    <row r="106" spans="1:18">
      <c r="A106" s="3" t="s">
        <v>2649</v>
      </c>
      <c r="B106" s="3" t="s">
        <v>2650</v>
      </c>
      <c r="C106" s="3" t="s">
        <v>2651</v>
      </c>
      <c r="D106" s="3" t="s">
        <v>2652</v>
      </c>
      <c r="E106" s="3" t="s">
        <v>538</v>
      </c>
      <c r="F106" s="3">
        <v>10.99</v>
      </c>
      <c r="G106" s="3" t="s">
        <v>2454</v>
      </c>
      <c r="H106" s="3"/>
      <c r="I106" s="3" t="s">
        <v>2455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0.07</v>
      </c>
      <c r="P106" s="3">
        <v>0</v>
      </c>
      <c r="Q106" s="3">
        <v>0</v>
      </c>
      <c r="R106" s="3">
        <v>0</v>
      </c>
    </row>
    <row r="107" spans="1:18">
      <c r="A107" s="3" t="s">
        <v>2653</v>
      </c>
      <c r="B107" s="3" t="s">
        <v>2654</v>
      </c>
      <c r="C107" s="3" t="s">
        <v>2655</v>
      </c>
      <c r="D107" s="3" t="s">
        <v>2656</v>
      </c>
      <c r="E107" s="3" t="s">
        <v>538</v>
      </c>
      <c r="F107" s="3">
        <v>10.99</v>
      </c>
      <c r="G107" s="3" t="s">
        <v>2454</v>
      </c>
      <c r="H107" s="3"/>
      <c r="I107" s="3" t="s">
        <v>2455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0.08</v>
      </c>
      <c r="P107" s="3">
        <v>0</v>
      </c>
      <c r="Q107" s="3">
        <v>0</v>
      </c>
      <c r="R107" s="3">
        <v>0</v>
      </c>
    </row>
    <row r="108" spans="1:18">
      <c r="A108" s="3" t="s">
        <v>787</v>
      </c>
      <c r="B108" s="3" t="s">
        <v>788</v>
      </c>
      <c r="C108" s="3" t="s">
        <v>789</v>
      </c>
      <c r="D108" s="3" t="s">
        <v>2657</v>
      </c>
      <c r="E108" s="3" t="s">
        <v>538</v>
      </c>
      <c r="F108" s="3">
        <v>17.99</v>
      </c>
      <c r="G108" s="3" t="s">
        <v>2454</v>
      </c>
      <c r="H108" s="3"/>
      <c r="I108" s="3" t="s">
        <v>2455</v>
      </c>
      <c r="J108" s="3">
        <v>6</v>
      </c>
      <c r="K108" s="3">
        <v>6</v>
      </c>
      <c r="L108" s="3">
        <v>0</v>
      </c>
      <c r="M108" s="3">
        <v>0</v>
      </c>
      <c r="N108" s="3">
        <v>6</v>
      </c>
      <c r="O108" s="3">
        <v>0.05</v>
      </c>
      <c r="P108" s="3">
        <v>0</v>
      </c>
      <c r="Q108" s="3">
        <v>0</v>
      </c>
      <c r="R108" s="3">
        <v>0</v>
      </c>
    </row>
    <row r="109" spans="1:18">
      <c r="A109" s="3" t="s">
        <v>2658</v>
      </c>
      <c r="B109" s="3" t="s">
        <v>2659</v>
      </c>
      <c r="C109" s="3" t="s">
        <v>2660</v>
      </c>
      <c r="D109" s="3" t="s">
        <v>2661</v>
      </c>
      <c r="E109" s="3" t="s">
        <v>538</v>
      </c>
      <c r="F109" s="3">
        <v>22.99</v>
      </c>
      <c r="G109" s="3" t="s">
        <v>2454</v>
      </c>
      <c r="H109" s="3"/>
      <c r="I109" s="3" t="s">
        <v>2455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0.1</v>
      </c>
      <c r="P109" s="3">
        <v>0</v>
      </c>
      <c r="Q109" s="3">
        <v>0</v>
      </c>
      <c r="R109" s="3">
        <v>0</v>
      </c>
    </row>
    <row r="110" spans="1:18">
      <c r="A110" s="3" t="s">
        <v>1926</v>
      </c>
      <c r="B110" s="3" t="s">
        <v>1927</v>
      </c>
      <c r="C110" s="3" t="s">
        <v>1928</v>
      </c>
      <c r="D110" s="3" t="s">
        <v>1929</v>
      </c>
      <c r="E110" s="3" t="s">
        <v>538</v>
      </c>
      <c r="F110" s="3">
        <v>84.8</v>
      </c>
      <c r="G110" s="3" t="s">
        <v>2454</v>
      </c>
      <c r="H110" s="3"/>
      <c r="I110" s="3" t="s">
        <v>2455</v>
      </c>
      <c r="J110" s="3">
        <v>1</v>
      </c>
      <c r="K110" s="3">
        <v>1</v>
      </c>
      <c r="L110" s="3">
        <v>0</v>
      </c>
      <c r="M110" s="3">
        <v>0</v>
      </c>
      <c r="N110" s="3">
        <v>1</v>
      </c>
      <c r="O110" s="3">
        <v>0.13</v>
      </c>
      <c r="P110" s="3">
        <v>0</v>
      </c>
      <c r="Q110" s="3">
        <v>0</v>
      </c>
      <c r="R110" s="3">
        <v>0</v>
      </c>
    </row>
    <row r="111" spans="1:18">
      <c r="A111" s="3" t="s">
        <v>2662</v>
      </c>
      <c r="B111" s="3" t="s">
        <v>2663</v>
      </c>
      <c r="C111" s="3" t="s">
        <v>2664</v>
      </c>
      <c r="D111" s="3" t="s">
        <v>2665</v>
      </c>
      <c r="E111" s="3" t="s">
        <v>538</v>
      </c>
      <c r="F111" s="3">
        <v>100.6</v>
      </c>
      <c r="G111" s="3" t="s">
        <v>2454</v>
      </c>
      <c r="H111" s="3"/>
      <c r="I111" s="3" t="s">
        <v>2455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0.05</v>
      </c>
      <c r="P111" s="3">
        <v>0</v>
      </c>
      <c r="Q111" s="3">
        <v>0</v>
      </c>
      <c r="R111" s="3">
        <v>0</v>
      </c>
    </row>
    <row r="112" spans="1:18">
      <c r="A112" s="3" t="s">
        <v>2666</v>
      </c>
      <c r="B112" s="3" t="s">
        <v>2667</v>
      </c>
      <c r="C112" s="3" t="s">
        <v>2668</v>
      </c>
      <c r="D112" s="3" t="s">
        <v>2669</v>
      </c>
      <c r="E112" s="3" t="s">
        <v>538</v>
      </c>
      <c r="F112" s="3">
        <v>116.2</v>
      </c>
      <c r="G112" s="3" t="s">
        <v>2454</v>
      </c>
      <c r="H112" s="3"/>
      <c r="I112" s="3" t="s">
        <v>2455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0.1</v>
      </c>
      <c r="P112" s="3">
        <v>0</v>
      </c>
      <c r="Q112" s="3">
        <v>0</v>
      </c>
      <c r="R112" s="3">
        <v>0</v>
      </c>
    </row>
    <row r="113" spans="1:18">
      <c r="A113" s="3" t="s">
        <v>2670</v>
      </c>
      <c r="B113" s="3" t="s">
        <v>2671</v>
      </c>
      <c r="C113" s="3" t="s">
        <v>2672</v>
      </c>
      <c r="D113" s="3" t="s">
        <v>2673</v>
      </c>
      <c r="E113" s="3" t="s">
        <v>538</v>
      </c>
      <c r="F113" s="3">
        <v>8.99</v>
      </c>
      <c r="G113" s="3" t="s">
        <v>2454</v>
      </c>
      <c r="H113" s="3"/>
      <c r="I113" s="3" t="s">
        <v>2455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0.06</v>
      </c>
      <c r="P113" s="3">
        <v>0</v>
      </c>
      <c r="Q113" s="3">
        <v>0</v>
      </c>
      <c r="R113" s="3">
        <v>0</v>
      </c>
    </row>
    <row r="114" spans="1:18">
      <c r="A114" s="3" t="s">
        <v>2153</v>
      </c>
      <c r="B114" s="3" t="s">
        <v>2154</v>
      </c>
      <c r="C114" s="3" t="s">
        <v>2155</v>
      </c>
      <c r="D114" s="3" t="s">
        <v>2156</v>
      </c>
      <c r="E114" s="3" t="s">
        <v>538</v>
      </c>
      <c r="F114" s="3">
        <v>11.99</v>
      </c>
      <c r="G114" s="3" t="s">
        <v>2454</v>
      </c>
      <c r="H114" s="3"/>
      <c r="I114" s="3" t="s">
        <v>2455</v>
      </c>
      <c r="J114" s="3">
        <v>2</v>
      </c>
      <c r="K114" s="3">
        <v>2</v>
      </c>
      <c r="L114" s="3">
        <v>0</v>
      </c>
      <c r="M114" s="3">
        <v>0</v>
      </c>
      <c r="N114" s="3">
        <v>2</v>
      </c>
      <c r="O114" s="3">
        <v>0.08</v>
      </c>
      <c r="P114" s="3">
        <v>0</v>
      </c>
      <c r="Q114" s="3">
        <v>0</v>
      </c>
      <c r="R114" s="3">
        <v>0</v>
      </c>
    </row>
    <row r="115" spans="1:18">
      <c r="A115" s="3" t="s">
        <v>1349</v>
      </c>
      <c r="B115" s="3" t="s">
        <v>1350</v>
      </c>
      <c r="C115" s="3" t="s">
        <v>1351</v>
      </c>
      <c r="D115" s="3" t="s">
        <v>1352</v>
      </c>
      <c r="E115" s="3" t="s">
        <v>538</v>
      </c>
      <c r="F115" s="3">
        <v>52.9</v>
      </c>
      <c r="G115" s="3" t="s">
        <v>2454</v>
      </c>
      <c r="H115" s="3"/>
      <c r="I115" s="3" t="s">
        <v>2455</v>
      </c>
      <c r="J115" s="3">
        <v>8</v>
      </c>
      <c r="K115" s="3">
        <v>8</v>
      </c>
      <c r="L115" s="3">
        <v>0</v>
      </c>
      <c r="M115" s="3">
        <v>0</v>
      </c>
      <c r="N115" s="3">
        <v>8</v>
      </c>
      <c r="O115" s="3">
        <v>0.08</v>
      </c>
      <c r="P115" s="3">
        <v>0</v>
      </c>
      <c r="Q115" s="3">
        <v>0</v>
      </c>
      <c r="R115" s="3">
        <v>0</v>
      </c>
    </row>
    <row r="116" spans="1:18">
      <c r="A116" s="3" t="s">
        <v>2674</v>
      </c>
      <c r="B116" s="3" t="s">
        <v>2675</v>
      </c>
      <c r="C116" s="3" t="s">
        <v>2676</v>
      </c>
      <c r="D116" s="3" t="s">
        <v>2677</v>
      </c>
      <c r="E116" s="3" t="s">
        <v>538</v>
      </c>
      <c r="F116" s="3">
        <v>81.7</v>
      </c>
      <c r="G116" s="3" t="s">
        <v>2454</v>
      </c>
      <c r="H116" s="3"/>
      <c r="I116" s="3" t="s">
        <v>2455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0.25</v>
      </c>
      <c r="P116" s="3">
        <v>0</v>
      </c>
      <c r="Q116" s="3">
        <v>0</v>
      </c>
      <c r="R116" s="3">
        <v>0</v>
      </c>
    </row>
    <row r="117" spans="1:18">
      <c r="A117" s="3" t="s">
        <v>1545</v>
      </c>
      <c r="B117" s="3" t="s">
        <v>1546</v>
      </c>
      <c r="C117" s="3" t="s">
        <v>1547</v>
      </c>
      <c r="D117" s="3" t="s">
        <v>1548</v>
      </c>
      <c r="E117" s="3" t="s">
        <v>538</v>
      </c>
      <c r="F117" s="3">
        <v>92.1</v>
      </c>
      <c r="G117" s="3" t="s">
        <v>2454</v>
      </c>
      <c r="H117" s="3"/>
      <c r="I117" s="3" t="s">
        <v>2455</v>
      </c>
      <c r="J117" s="3">
        <v>7</v>
      </c>
      <c r="K117" s="3">
        <v>7</v>
      </c>
      <c r="L117" s="3">
        <v>0</v>
      </c>
      <c r="M117" s="3">
        <v>0</v>
      </c>
      <c r="N117" s="3">
        <v>7</v>
      </c>
      <c r="O117" s="3">
        <v>0</v>
      </c>
      <c r="P117" s="3">
        <v>0</v>
      </c>
      <c r="Q117" s="3">
        <v>0</v>
      </c>
      <c r="R117" s="3">
        <v>0</v>
      </c>
    </row>
    <row r="118" spans="1:18">
      <c r="A118" s="3" t="s">
        <v>2678</v>
      </c>
      <c r="B118" s="3" t="s">
        <v>2679</v>
      </c>
      <c r="C118" s="3" t="s">
        <v>2680</v>
      </c>
      <c r="D118" s="3" t="s">
        <v>2681</v>
      </c>
      <c r="E118" s="3" t="s">
        <v>538</v>
      </c>
      <c r="F118" s="3">
        <v>102.5</v>
      </c>
      <c r="G118" s="3" t="s">
        <v>2454</v>
      </c>
      <c r="H118" s="3"/>
      <c r="I118" s="3" t="s">
        <v>2455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0.11</v>
      </c>
      <c r="P118" s="3">
        <v>0</v>
      </c>
      <c r="Q118" s="3">
        <v>0</v>
      </c>
      <c r="R118" s="3">
        <v>0</v>
      </c>
    </row>
    <row r="119" spans="1:18">
      <c r="A119" s="3" t="s">
        <v>1180</v>
      </c>
      <c r="B119" s="3" t="s">
        <v>1181</v>
      </c>
      <c r="C119" s="3" t="s">
        <v>1182</v>
      </c>
      <c r="D119" s="3" t="s">
        <v>1183</v>
      </c>
      <c r="E119" s="3" t="s">
        <v>538</v>
      </c>
      <c r="F119" s="3">
        <v>33.2</v>
      </c>
      <c r="G119" s="3" t="s">
        <v>2454</v>
      </c>
      <c r="H119" s="3"/>
      <c r="I119" s="3" t="s">
        <v>2455</v>
      </c>
      <c r="J119" s="3">
        <v>12</v>
      </c>
      <c r="K119" s="3">
        <v>12</v>
      </c>
      <c r="L119" s="3">
        <v>0</v>
      </c>
      <c r="M119" s="3">
        <v>0</v>
      </c>
      <c r="N119" s="3">
        <v>12</v>
      </c>
      <c r="O119" s="3">
        <v>0.02</v>
      </c>
      <c r="P119" s="3">
        <v>0</v>
      </c>
      <c r="Q119" s="3">
        <v>0</v>
      </c>
      <c r="R119" s="3">
        <v>0</v>
      </c>
    </row>
    <row r="120" spans="1:18">
      <c r="A120" s="3" t="s">
        <v>2682</v>
      </c>
      <c r="B120" s="3" t="s">
        <v>2683</v>
      </c>
      <c r="C120" s="3" t="s">
        <v>2684</v>
      </c>
      <c r="D120" s="3" t="s">
        <v>2685</v>
      </c>
      <c r="E120" s="3" t="s">
        <v>538</v>
      </c>
      <c r="F120" s="3">
        <v>54.4</v>
      </c>
      <c r="G120" s="3" t="s">
        <v>2454</v>
      </c>
      <c r="H120" s="3"/>
      <c r="I120" s="3" t="s">
        <v>2455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0.06</v>
      </c>
      <c r="P120" s="3">
        <v>0</v>
      </c>
      <c r="Q120" s="3">
        <v>0</v>
      </c>
      <c r="R120" s="3">
        <v>0</v>
      </c>
    </row>
    <row r="121" spans="1:18">
      <c r="A121" s="3" t="s">
        <v>1968</v>
      </c>
      <c r="B121" s="3" t="s">
        <v>1969</v>
      </c>
      <c r="C121" s="3" t="s">
        <v>1970</v>
      </c>
      <c r="D121" s="3" t="s">
        <v>1971</v>
      </c>
      <c r="E121" s="3" t="s">
        <v>538</v>
      </c>
      <c r="F121" s="3">
        <v>74.4</v>
      </c>
      <c r="G121" s="3" t="s">
        <v>2454</v>
      </c>
      <c r="H121" s="3"/>
      <c r="I121" s="3" t="s">
        <v>2455</v>
      </c>
      <c r="J121" s="3">
        <v>1</v>
      </c>
      <c r="K121" s="3">
        <v>1</v>
      </c>
      <c r="L121" s="3">
        <v>0</v>
      </c>
      <c r="M121" s="3">
        <v>0</v>
      </c>
      <c r="N121" s="3">
        <v>1</v>
      </c>
      <c r="O121" s="3">
        <v>0.08</v>
      </c>
      <c r="P121" s="3">
        <v>0</v>
      </c>
      <c r="Q121" s="3">
        <v>0</v>
      </c>
      <c r="R121" s="3">
        <v>0</v>
      </c>
    </row>
    <row r="122" spans="1:18">
      <c r="A122" s="3" t="s">
        <v>2686</v>
      </c>
      <c r="B122" s="3" t="s">
        <v>2687</v>
      </c>
      <c r="C122" s="3" t="s">
        <v>2688</v>
      </c>
      <c r="D122" s="3" t="s">
        <v>2689</v>
      </c>
      <c r="E122" s="3" t="s">
        <v>538</v>
      </c>
      <c r="F122" s="3">
        <v>50.99</v>
      </c>
      <c r="G122" s="3" t="s">
        <v>2454</v>
      </c>
      <c r="H122" s="3"/>
      <c r="I122" s="3" t="s">
        <v>2455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0.27</v>
      </c>
      <c r="P122" s="3">
        <v>0</v>
      </c>
      <c r="Q122" s="3">
        <v>0</v>
      </c>
      <c r="R122" s="3">
        <v>0</v>
      </c>
    </row>
    <row r="123" spans="1:18">
      <c r="A123" s="3" t="s">
        <v>2690</v>
      </c>
      <c r="B123" s="3" t="s">
        <v>2691</v>
      </c>
      <c r="C123" s="3" t="s">
        <v>2692</v>
      </c>
      <c r="D123" s="3" t="s">
        <v>2689</v>
      </c>
      <c r="E123" s="3" t="s">
        <v>538</v>
      </c>
      <c r="F123" s="3">
        <v>50.99</v>
      </c>
      <c r="G123" s="3" t="s">
        <v>2454</v>
      </c>
      <c r="H123" s="3"/>
      <c r="I123" s="3" t="s">
        <v>2455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0.36</v>
      </c>
      <c r="P123" s="3">
        <v>0</v>
      </c>
      <c r="Q123" s="3">
        <v>0</v>
      </c>
      <c r="R123" s="3">
        <v>0</v>
      </c>
    </row>
    <row r="124" spans="1:18">
      <c r="A124" s="3" t="s">
        <v>2693</v>
      </c>
      <c r="B124" s="3" t="s">
        <v>2694</v>
      </c>
      <c r="C124" s="3" t="s">
        <v>2695</v>
      </c>
      <c r="D124" s="3" t="s">
        <v>2696</v>
      </c>
      <c r="E124" s="3" t="s">
        <v>538</v>
      </c>
      <c r="F124" s="3">
        <v>50.99</v>
      </c>
      <c r="G124" s="3" t="s">
        <v>2454</v>
      </c>
      <c r="H124" s="3"/>
      <c r="I124" s="3" t="s">
        <v>2455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0.41</v>
      </c>
      <c r="P124" s="3">
        <v>0</v>
      </c>
      <c r="Q124" s="3">
        <v>0</v>
      </c>
      <c r="R124" s="3">
        <v>0</v>
      </c>
    </row>
    <row r="125" spans="1:18">
      <c r="A125" s="3" t="s">
        <v>2697</v>
      </c>
      <c r="B125" s="3" t="s">
        <v>2698</v>
      </c>
      <c r="C125" s="3" t="s">
        <v>2699</v>
      </c>
      <c r="D125" s="3" t="s">
        <v>2700</v>
      </c>
      <c r="E125" s="3" t="s">
        <v>538</v>
      </c>
      <c r="F125" s="3">
        <v>16.99</v>
      </c>
      <c r="G125" s="3" t="s">
        <v>2454</v>
      </c>
      <c r="H125" s="3"/>
      <c r="I125" s="3" t="s">
        <v>2455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</row>
    <row r="126" spans="1:18">
      <c r="A126" s="3" t="s">
        <v>23</v>
      </c>
      <c r="B126" s="3" t="s">
        <v>24</v>
      </c>
      <c r="C126" s="3" t="s">
        <v>25</v>
      </c>
      <c r="D126" s="3" t="s">
        <v>19</v>
      </c>
      <c r="E126" s="3" t="s">
        <v>538</v>
      </c>
      <c r="F126" s="3">
        <v>20.99</v>
      </c>
      <c r="G126" s="3" t="s">
        <v>2454</v>
      </c>
      <c r="H126" s="3"/>
      <c r="I126" s="3" t="s">
        <v>2455</v>
      </c>
      <c r="J126" s="3">
        <v>55</v>
      </c>
      <c r="K126" s="3">
        <v>54</v>
      </c>
      <c r="L126" s="3">
        <v>0</v>
      </c>
      <c r="M126" s="3">
        <v>1</v>
      </c>
      <c r="N126" s="3">
        <v>55</v>
      </c>
      <c r="O126" s="3">
        <v>0.07</v>
      </c>
      <c r="P126" s="3">
        <v>0</v>
      </c>
      <c r="Q126" s="3">
        <v>0</v>
      </c>
      <c r="R126" s="3">
        <v>0</v>
      </c>
    </row>
    <row r="127" spans="1:18">
      <c r="A127" s="3" t="s">
        <v>2701</v>
      </c>
      <c r="B127" s="3" t="s">
        <v>2702</v>
      </c>
      <c r="C127" s="3" t="s">
        <v>2703</v>
      </c>
      <c r="D127" s="3" t="s">
        <v>19</v>
      </c>
      <c r="E127" s="3" t="s">
        <v>538</v>
      </c>
      <c r="F127" s="3">
        <v>20.99</v>
      </c>
      <c r="G127" s="3" t="s">
        <v>2454</v>
      </c>
      <c r="H127" s="3"/>
      <c r="I127" s="3" t="s">
        <v>2455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0.07</v>
      </c>
      <c r="P127" s="3">
        <v>0</v>
      </c>
      <c r="Q127" s="3">
        <v>0</v>
      </c>
      <c r="R127" s="3">
        <v>0</v>
      </c>
    </row>
    <row r="128" spans="1:18">
      <c r="A128" s="3" t="s">
        <v>20</v>
      </c>
      <c r="B128" s="3" t="s">
        <v>21</v>
      </c>
      <c r="C128" s="3" t="s">
        <v>22</v>
      </c>
      <c r="D128" s="3" t="s">
        <v>19</v>
      </c>
      <c r="E128" s="3" t="s">
        <v>538</v>
      </c>
      <c r="F128" s="3">
        <v>15.99</v>
      </c>
      <c r="G128" s="3" t="s">
        <v>2454</v>
      </c>
      <c r="H128" s="3"/>
      <c r="I128" s="3" t="s">
        <v>2455</v>
      </c>
      <c r="J128" s="3">
        <v>19</v>
      </c>
      <c r="K128" s="3">
        <v>13</v>
      </c>
      <c r="L128" s="3">
        <v>0</v>
      </c>
      <c r="M128" s="3">
        <v>6</v>
      </c>
      <c r="N128" s="3">
        <v>19</v>
      </c>
      <c r="O128" s="3">
        <v>0.07</v>
      </c>
      <c r="P128" s="3">
        <v>0</v>
      </c>
      <c r="Q128" s="3">
        <v>0</v>
      </c>
      <c r="R128" s="3">
        <v>0</v>
      </c>
    </row>
    <row r="129" spans="1:18">
      <c r="A129" s="3" t="s">
        <v>2704</v>
      </c>
      <c r="B129" s="3" t="s">
        <v>2705</v>
      </c>
      <c r="C129" s="3" t="s">
        <v>2706</v>
      </c>
      <c r="D129" s="3" t="s">
        <v>19</v>
      </c>
      <c r="E129" s="3" t="s">
        <v>538</v>
      </c>
      <c r="F129" s="3">
        <v>20.99</v>
      </c>
      <c r="G129" s="3" t="s">
        <v>2454</v>
      </c>
      <c r="H129" s="3"/>
      <c r="I129" s="3" t="s">
        <v>2455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0.07</v>
      </c>
      <c r="P129" s="3">
        <v>0</v>
      </c>
      <c r="Q129" s="3">
        <v>0</v>
      </c>
      <c r="R129" s="3">
        <v>0</v>
      </c>
    </row>
    <row r="130" spans="1:18">
      <c r="A130" s="3" t="s">
        <v>1285</v>
      </c>
      <c r="B130" s="3" t="s">
        <v>1286</v>
      </c>
      <c r="C130" s="3" t="s">
        <v>1287</v>
      </c>
      <c r="D130" s="3" t="s">
        <v>19</v>
      </c>
      <c r="E130" s="3" t="s">
        <v>538</v>
      </c>
      <c r="F130" s="3">
        <v>15.99</v>
      </c>
      <c r="G130" s="3" t="s">
        <v>2454</v>
      </c>
      <c r="H130" s="3"/>
      <c r="I130" s="3" t="s">
        <v>2455</v>
      </c>
      <c r="J130" s="3">
        <v>22</v>
      </c>
      <c r="K130" s="3">
        <v>22</v>
      </c>
      <c r="L130" s="3">
        <v>0</v>
      </c>
      <c r="M130" s="3">
        <v>0</v>
      </c>
      <c r="N130" s="3">
        <v>22</v>
      </c>
      <c r="O130" s="3">
        <v>0.07</v>
      </c>
      <c r="P130" s="3">
        <v>0</v>
      </c>
      <c r="Q130" s="3">
        <v>0</v>
      </c>
      <c r="R130" s="3">
        <v>0</v>
      </c>
    </row>
    <row r="131" spans="1:18">
      <c r="A131" s="3" t="s">
        <v>1652</v>
      </c>
      <c r="B131" s="3" t="s">
        <v>1653</v>
      </c>
      <c r="C131" s="3" t="s">
        <v>1654</v>
      </c>
      <c r="D131" s="3" t="s">
        <v>19</v>
      </c>
      <c r="E131" s="3" t="s">
        <v>538</v>
      </c>
      <c r="F131" s="3">
        <v>20.99</v>
      </c>
      <c r="G131" s="3" t="s">
        <v>2454</v>
      </c>
      <c r="H131" s="3"/>
      <c r="I131" s="3" t="s">
        <v>2455</v>
      </c>
      <c r="J131" s="3">
        <v>23</v>
      </c>
      <c r="K131" s="3">
        <v>23</v>
      </c>
      <c r="L131" s="3">
        <v>0</v>
      </c>
      <c r="M131" s="3">
        <v>0</v>
      </c>
      <c r="N131" s="3">
        <v>23</v>
      </c>
      <c r="O131" s="3">
        <v>0.07</v>
      </c>
      <c r="P131" s="3">
        <v>0</v>
      </c>
      <c r="Q131" s="3">
        <v>0</v>
      </c>
      <c r="R131" s="3">
        <v>0</v>
      </c>
    </row>
    <row r="132" spans="1:18">
      <c r="A132" s="3" t="s">
        <v>1479</v>
      </c>
      <c r="B132" s="3" t="s">
        <v>1480</v>
      </c>
      <c r="C132" s="3" t="s">
        <v>1481</v>
      </c>
      <c r="D132" s="3" t="s">
        <v>19</v>
      </c>
      <c r="E132" s="3" t="s">
        <v>538</v>
      </c>
      <c r="F132" s="3">
        <v>20.99</v>
      </c>
      <c r="G132" s="3" t="s">
        <v>2454</v>
      </c>
      <c r="H132" s="3"/>
      <c r="I132" s="3" t="s">
        <v>2455</v>
      </c>
      <c r="J132" s="3">
        <v>39</v>
      </c>
      <c r="K132" s="3">
        <v>39</v>
      </c>
      <c r="L132" s="3">
        <v>0</v>
      </c>
      <c r="M132" s="3">
        <v>0</v>
      </c>
      <c r="N132" s="3">
        <v>39</v>
      </c>
      <c r="O132" s="3">
        <v>0.07</v>
      </c>
      <c r="P132" s="3">
        <v>0</v>
      </c>
      <c r="Q132" s="3">
        <v>0</v>
      </c>
      <c r="R132" s="3">
        <v>0</v>
      </c>
    </row>
    <row r="133" spans="1:18">
      <c r="A133" s="3" t="s">
        <v>2707</v>
      </c>
      <c r="B133" s="3" t="s">
        <v>2708</v>
      </c>
      <c r="C133" s="3" t="s">
        <v>2709</v>
      </c>
      <c r="D133" s="3" t="s">
        <v>19</v>
      </c>
      <c r="E133" s="3" t="s">
        <v>538</v>
      </c>
      <c r="F133" s="3">
        <v>20.99</v>
      </c>
      <c r="G133" s="3" t="s">
        <v>2454</v>
      </c>
      <c r="H133" s="3"/>
      <c r="I133" s="3" t="s">
        <v>2455</v>
      </c>
      <c r="J133" s="3">
        <v>1</v>
      </c>
      <c r="K133" s="3">
        <v>0</v>
      </c>
      <c r="L133" s="3">
        <v>1</v>
      </c>
      <c r="M133" s="3">
        <v>0</v>
      </c>
      <c r="N133" s="3">
        <v>1</v>
      </c>
      <c r="O133" s="3">
        <v>0.07</v>
      </c>
      <c r="P133" s="3">
        <v>0</v>
      </c>
      <c r="Q133" s="3">
        <v>0</v>
      </c>
      <c r="R133" s="3">
        <v>0</v>
      </c>
    </row>
    <row r="134" spans="1:18">
      <c r="A134" s="3" t="s">
        <v>1867</v>
      </c>
      <c r="B134" s="3" t="s">
        <v>1868</v>
      </c>
      <c r="C134" s="3" t="s">
        <v>1869</v>
      </c>
      <c r="D134" s="3"/>
      <c r="E134" s="3" t="s">
        <v>2459</v>
      </c>
      <c r="F134" s="3"/>
      <c r="G134" s="3"/>
      <c r="H134" s="3"/>
      <c r="I134" s="3"/>
      <c r="J134" s="3">
        <v>6</v>
      </c>
      <c r="K134" s="3">
        <v>5</v>
      </c>
      <c r="L134" s="3">
        <v>1</v>
      </c>
      <c r="M134" s="3">
        <v>0</v>
      </c>
      <c r="N134" s="3">
        <v>6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16</v>
      </c>
      <c r="B135" s="3" t="s">
        <v>17</v>
      </c>
      <c r="C135" s="3" t="s">
        <v>18</v>
      </c>
      <c r="D135" s="3" t="s">
        <v>19</v>
      </c>
      <c r="E135" s="3" t="s">
        <v>538</v>
      </c>
      <c r="F135" s="3">
        <v>15.99</v>
      </c>
      <c r="G135" s="3" t="s">
        <v>2454</v>
      </c>
      <c r="H135" s="3"/>
      <c r="I135" s="3" t="s">
        <v>2455</v>
      </c>
      <c r="J135" s="3">
        <v>36</v>
      </c>
      <c r="K135" s="3">
        <v>35</v>
      </c>
      <c r="L135" s="3">
        <v>0</v>
      </c>
      <c r="M135" s="3">
        <v>1</v>
      </c>
      <c r="N135" s="3">
        <v>36</v>
      </c>
      <c r="O135" s="3">
        <v>0.07</v>
      </c>
      <c r="P135" s="3">
        <v>0</v>
      </c>
      <c r="Q135" s="3">
        <v>0</v>
      </c>
      <c r="R135" s="3">
        <v>0</v>
      </c>
    </row>
    <row r="136" spans="1:18">
      <c r="A136" s="3" t="s">
        <v>2710</v>
      </c>
      <c r="B136" s="3" t="s">
        <v>2711</v>
      </c>
      <c r="C136" s="3" t="s">
        <v>2712</v>
      </c>
      <c r="D136" s="3" t="s">
        <v>19</v>
      </c>
      <c r="E136" s="3" t="s">
        <v>538</v>
      </c>
      <c r="F136" s="3">
        <v>20.99</v>
      </c>
      <c r="G136" s="3" t="s">
        <v>2454</v>
      </c>
      <c r="H136" s="3"/>
      <c r="I136" s="3" t="s">
        <v>2455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0.07</v>
      </c>
      <c r="P136" s="3">
        <v>0</v>
      </c>
      <c r="Q136" s="3">
        <v>0</v>
      </c>
      <c r="R136" s="3">
        <v>0</v>
      </c>
    </row>
    <row r="137" spans="1:18">
      <c r="A137" s="3" t="s">
        <v>38</v>
      </c>
      <c r="B137" s="3" t="s">
        <v>39</v>
      </c>
      <c r="C137" s="3" t="s">
        <v>40</v>
      </c>
      <c r="D137" s="3" t="s">
        <v>19</v>
      </c>
      <c r="E137" s="3" t="s">
        <v>538</v>
      </c>
      <c r="F137" s="3">
        <v>20.99</v>
      </c>
      <c r="G137" s="3" t="s">
        <v>2454</v>
      </c>
      <c r="H137" s="3"/>
      <c r="I137" s="3" t="s">
        <v>2455</v>
      </c>
      <c r="J137" s="3">
        <v>22</v>
      </c>
      <c r="K137" s="3">
        <v>21</v>
      </c>
      <c r="L137" s="3">
        <v>0</v>
      </c>
      <c r="M137" s="3">
        <v>1</v>
      </c>
      <c r="N137" s="3">
        <v>22</v>
      </c>
      <c r="O137" s="3">
        <v>0.07</v>
      </c>
      <c r="P137" s="3">
        <v>0</v>
      </c>
      <c r="Q137" s="3">
        <v>0</v>
      </c>
      <c r="R137" s="3">
        <v>0</v>
      </c>
    </row>
    <row r="138" spans="1:18">
      <c r="A138" s="3" t="s">
        <v>2713</v>
      </c>
      <c r="B138" s="3" t="s">
        <v>2714</v>
      </c>
      <c r="C138" s="3" t="s">
        <v>2715</v>
      </c>
      <c r="D138" s="3" t="s">
        <v>19</v>
      </c>
      <c r="E138" s="3" t="s">
        <v>538</v>
      </c>
      <c r="F138" s="3">
        <v>20.99</v>
      </c>
      <c r="G138" s="3" t="s">
        <v>2454</v>
      </c>
      <c r="H138" s="3"/>
      <c r="I138" s="3" t="s">
        <v>2455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0.07</v>
      </c>
      <c r="P138" s="3">
        <v>0</v>
      </c>
      <c r="Q138" s="3">
        <v>0</v>
      </c>
      <c r="R138" s="3">
        <v>0</v>
      </c>
    </row>
    <row r="139" spans="1:18">
      <c r="A139" s="3" t="s">
        <v>48</v>
      </c>
      <c r="B139" s="3" t="s">
        <v>49</v>
      </c>
      <c r="C139" s="3" t="s">
        <v>50</v>
      </c>
      <c r="D139" s="3" t="s">
        <v>19</v>
      </c>
      <c r="E139" s="3" t="s">
        <v>538</v>
      </c>
      <c r="F139" s="3">
        <v>15.99</v>
      </c>
      <c r="G139" s="3" t="s">
        <v>2454</v>
      </c>
      <c r="H139" s="3"/>
      <c r="I139" s="3" t="s">
        <v>2455</v>
      </c>
      <c r="J139" s="3">
        <v>48</v>
      </c>
      <c r="K139" s="3">
        <v>47</v>
      </c>
      <c r="L139" s="3">
        <v>0</v>
      </c>
      <c r="M139" s="3">
        <v>1</v>
      </c>
      <c r="N139" s="3">
        <v>48</v>
      </c>
      <c r="O139" s="3">
        <v>0.07</v>
      </c>
      <c r="P139" s="3">
        <v>0</v>
      </c>
      <c r="Q139" s="3">
        <v>0</v>
      </c>
      <c r="R139" s="3">
        <v>0</v>
      </c>
    </row>
    <row r="140" spans="1:18">
      <c r="A140" s="3" t="s">
        <v>29</v>
      </c>
      <c r="B140" s="3" t="s">
        <v>30</v>
      </c>
      <c r="C140" s="3" t="s">
        <v>31</v>
      </c>
      <c r="D140" s="3" t="s">
        <v>19</v>
      </c>
      <c r="E140" s="3" t="s">
        <v>538</v>
      </c>
      <c r="F140" s="3">
        <v>20.99</v>
      </c>
      <c r="G140" s="3" t="s">
        <v>2454</v>
      </c>
      <c r="H140" s="3"/>
      <c r="I140" s="3" t="s">
        <v>2455</v>
      </c>
      <c r="J140" s="3">
        <v>30</v>
      </c>
      <c r="K140" s="3">
        <v>27</v>
      </c>
      <c r="L140" s="3">
        <v>0</v>
      </c>
      <c r="M140" s="3">
        <v>3</v>
      </c>
      <c r="N140" s="3">
        <v>30</v>
      </c>
      <c r="O140" s="3">
        <v>0.07</v>
      </c>
      <c r="P140" s="3">
        <v>0</v>
      </c>
      <c r="Q140" s="3">
        <v>0</v>
      </c>
      <c r="R140" s="3">
        <v>0</v>
      </c>
    </row>
    <row r="141" spans="1:18">
      <c r="A141" s="3" t="s">
        <v>26</v>
      </c>
      <c r="B141" s="3" t="s">
        <v>27</v>
      </c>
      <c r="C141" s="3" t="s">
        <v>28</v>
      </c>
      <c r="D141" s="3" t="s">
        <v>19</v>
      </c>
      <c r="E141" s="3" t="s">
        <v>538</v>
      </c>
      <c r="F141" s="3">
        <v>20.99</v>
      </c>
      <c r="G141" s="3" t="s">
        <v>2454</v>
      </c>
      <c r="H141" s="3"/>
      <c r="I141" s="3" t="s">
        <v>2455</v>
      </c>
      <c r="J141" s="3">
        <v>29</v>
      </c>
      <c r="K141" s="3">
        <v>27</v>
      </c>
      <c r="L141" s="3">
        <v>0</v>
      </c>
      <c r="M141" s="3">
        <v>2</v>
      </c>
      <c r="N141" s="3">
        <v>29</v>
      </c>
      <c r="O141" s="3">
        <v>0.07</v>
      </c>
      <c r="P141" s="3">
        <v>0</v>
      </c>
      <c r="Q141" s="3">
        <v>0</v>
      </c>
      <c r="R141" s="3">
        <v>0</v>
      </c>
    </row>
    <row r="142" spans="1:18">
      <c r="A142" s="3" t="s">
        <v>2716</v>
      </c>
      <c r="B142" s="3" t="s">
        <v>2717</v>
      </c>
      <c r="C142" s="3" t="s">
        <v>2718</v>
      </c>
      <c r="D142" s="3" t="s">
        <v>19</v>
      </c>
      <c r="E142" s="3" t="s">
        <v>538</v>
      </c>
      <c r="F142" s="3">
        <v>20.99</v>
      </c>
      <c r="G142" s="3" t="s">
        <v>2454</v>
      </c>
      <c r="H142" s="3"/>
      <c r="I142" s="3" t="s">
        <v>2455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0.07</v>
      </c>
      <c r="P142" s="3">
        <v>0</v>
      </c>
      <c r="Q142" s="3">
        <v>0</v>
      </c>
      <c r="R142" s="3">
        <v>0</v>
      </c>
    </row>
    <row r="143" spans="1:18">
      <c r="A143" s="3" t="s">
        <v>1815</v>
      </c>
      <c r="B143" s="3" t="s">
        <v>1816</v>
      </c>
      <c r="C143" s="3" t="s">
        <v>1817</v>
      </c>
      <c r="D143" s="3" t="s">
        <v>19</v>
      </c>
      <c r="E143" s="3" t="s">
        <v>538</v>
      </c>
      <c r="F143" s="3">
        <v>15.99</v>
      </c>
      <c r="G143" s="3" t="s">
        <v>2454</v>
      </c>
      <c r="H143" s="3"/>
      <c r="I143" s="3" t="s">
        <v>2455</v>
      </c>
      <c r="J143" s="3">
        <v>44</v>
      </c>
      <c r="K143" s="3">
        <v>44</v>
      </c>
      <c r="L143" s="3">
        <v>0</v>
      </c>
      <c r="M143" s="3">
        <v>0</v>
      </c>
      <c r="N143" s="3">
        <v>44</v>
      </c>
      <c r="O143" s="3">
        <v>0.07</v>
      </c>
      <c r="P143" s="3">
        <v>0</v>
      </c>
      <c r="Q143" s="3">
        <v>0</v>
      </c>
      <c r="R143" s="3">
        <v>0</v>
      </c>
    </row>
    <row r="144" spans="1:18">
      <c r="A144" s="3" t="s">
        <v>41</v>
      </c>
      <c r="B144" s="3" t="s">
        <v>42</v>
      </c>
      <c r="C144" s="3" t="s">
        <v>43</v>
      </c>
      <c r="D144" s="3" t="s">
        <v>19</v>
      </c>
      <c r="E144" s="3" t="s">
        <v>538</v>
      </c>
      <c r="F144" s="3">
        <v>20.99</v>
      </c>
      <c r="G144" s="3" t="s">
        <v>2454</v>
      </c>
      <c r="H144" s="3"/>
      <c r="I144" s="3" t="s">
        <v>2455</v>
      </c>
      <c r="J144" s="3">
        <v>33</v>
      </c>
      <c r="K144" s="3">
        <v>30</v>
      </c>
      <c r="L144" s="3">
        <v>0</v>
      </c>
      <c r="M144" s="3">
        <v>3</v>
      </c>
      <c r="N144" s="3">
        <v>33</v>
      </c>
      <c r="O144" s="3">
        <v>0.07</v>
      </c>
      <c r="P144" s="3">
        <v>0</v>
      </c>
      <c r="Q144" s="3">
        <v>0</v>
      </c>
      <c r="R144" s="3">
        <v>0</v>
      </c>
    </row>
    <row r="145" spans="1:18">
      <c r="A145" s="3" t="s">
        <v>989</v>
      </c>
      <c r="B145" s="3" t="s">
        <v>990</v>
      </c>
      <c r="C145" s="3" t="s">
        <v>991</v>
      </c>
      <c r="D145" s="3" t="s">
        <v>19</v>
      </c>
      <c r="E145" s="3" t="s">
        <v>538</v>
      </c>
      <c r="F145" s="3">
        <v>20.99</v>
      </c>
      <c r="G145" s="3" t="s">
        <v>2454</v>
      </c>
      <c r="H145" s="3"/>
      <c r="I145" s="3" t="s">
        <v>2455</v>
      </c>
      <c r="J145" s="3">
        <v>43</v>
      </c>
      <c r="K145" s="3">
        <v>43</v>
      </c>
      <c r="L145" s="3">
        <v>0</v>
      </c>
      <c r="M145" s="3">
        <v>0</v>
      </c>
      <c r="N145" s="3">
        <v>43</v>
      </c>
      <c r="O145" s="3">
        <v>0.07</v>
      </c>
      <c r="P145" s="3">
        <v>0</v>
      </c>
      <c r="Q145" s="3">
        <v>0</v>
      </c>
      <c r="R145" s="3">
        <v>0</v>
      </c>
    </row>
    <row r="146" spans="1:18">
      <c r="A146" s="3" t="s">
        <v>32</v>
      </c>
      <c r="B146" s="3" t="s">
        <v>33</v>
      </c>
      <c r="C146" s="3" t="s">
        <v>34</v>
      </c>
      <c r="D146" s="3" t="s">
        <v>19</v>
      </c>
      <c r="E146" s="3" t="s">
        <v>538</v>
      </c>
      <c r="F146" s="3">
        <v>20.99</v>
      </c>
      <c r="G146" s="3" t="s">
        <v>2454</v>
      </c>
      <c r="H146" s="3"/>
      <c r="I146" s="3" t="s">
        <v>2455</v>
      </c>
      <c r="J146" s="3">
        <v>30</v>
      </c>
      <c r="K146" s="3">
        <v>27</v>
      </c>
      <c r="L146" s="3">
        <v>0</v>
      </c>
      <c r="M146" s="3">
        <v>3</v>
      </c>
      <c r="N146" s="3">
        <v>30</v>
      </c>
      <c r="O146" s="3">
        <v>0.07</v>
      </c>
      <c r="P146" s="3">
        <v>0</v>
      </c>
      <c r="Q146" s="3">
        <v>0</v>
      </c>
      <c r="R146" s="3">
        <v>0</v>
      </c>
    </row>
    <row r="147" spans="1:18">
      <c r="A147" s="3" t="s">
        <v>1507</v>
      </c>
      <c r="B147" s="3" t="s">
        <v>1508</v>
      </c>
      <c r="C147" s="3" t="s">
        <v>1509</v>
      </c>
      <c r="D147" s="3" t="s">
        <v>19</v>
      </c>
      <c r="E147" s="3" t="s">
        <v>538</v>
      </c>
      <c r="F147" s="3">
        <v>20.99</v>
      </c>
      <c r="G147" s="3" t="s">
        <v>2454</v>
      </c>
      <c r="H147" s="3"/>
      <c r="I147" s="3" t="s">
        <v>2455</v>
      </c>
      <c r="J147" s="3">
        <v>10</v>
      </c>
      <c r="K147" s="3">
        <v>10</v>
      </c>
      <c r="L147" s="3">
        <v>0</v>
      </c>
      <c r="M147" s="3">
        <v>0</v>
      </c>
      <c r="N147" s="3">
        <v>10</v>
      </c>
      <c r="O147" s="3">
        <v>0.07</v>
      </c>
      <c r="P147" s="3">
        <v>0</v>
      </c>
      <c r="Q147" s="3">
        <v>0</v>
      </c>
      <c r="R147" s="3">
        <v>0</v>
      </c>
    </row>
    <row r="148" spans="1:18">
      <c r="A148" s="3" t="s">
        <v>35</v>
      </c>
      <c r="B148" s="3" t="s">
        <v>36</v>
      </c>
      <c r="C148" s="3" t="s">
        <v>37</v>
      </c>
      <c r="D148" s="3" t="s">
        <v>19</v>
      </c>
      <c r="E148" s="3" t="s">
        <v>538</v>
      </c>
      <c r="F148" s="3">
        <v>15.99</v>
      </c>
      <c r="G148" s="3" t="s">
        <v>2454</v>
      </c>
      <c r="H148" s="3"/>
      <c r="I148" s="3" t="s">
        <v>2455</v>
      </c>
      <c r="J148" s="3">
        <v>9</v>
      </c>
      <c r="K148" s="3">
        <v>7</v>
      </c>
      <c r="L148" s="3">
        <v>0</v>
      </c>
      <c r="M148" s="3">
        <v>2</v>
      </c>
      <c r="N148" s="3">
        <v>9</v>
      </c>
      <c r="O148" s="3">
        <v>0.07</v>
      </c>
      <c r="P148" s="3">
        <v>0</v>
      </c>
      <c r="Q148" s="3">
        <v>0</v>
      </c>
      <c r="R148" s="3">
        <v>0</v>
      </c>
    </row>
    <row r="149" spans="1:18">
      <c r="A149" s="3" t="s">
        <v>2183</v>
      </c>
      <c r="B149" s="3" t="s">
        <v>2184</v>
      </c>
      <c r="C149" s="3" t="s">
        <v>2185</v>
      </c>
      <c r="D149" s="3" t="s">
        <v>19</v>
      </c>
      <c r="E149" s="3" t="s">
        <v>538</v>
      </c>
      <c r="F149" s="3">
        <v>20.99</v>
      </c>
      <c r="G149" s="3" t="s">
        <v>2454</v>
      </c>
      <c r="H149" s="3"/>
      <c r="I149" s="3" t="s">
        <v>2455</v>
      </c>
      <c r="J149" s="3">
        <v>40</v>
      </c>
      <c r="K149" s="3">
        <v>40</v>
      </c>
      <c r="L149" s="3">
        <v>0</v>
      </c>
      <c r="M149" s="3">
        <v>0</v>
      </c>
      <c r="N149" s="3">
        <v>40</v>
      </c>
      <c r="O149" s="3">
        <v>0.07</v>
      </c>
      <c r="P149" s="3">
        <v>0</v>
      </c>
      <c r="Q149" s="3">
        <v>0</v>
      </c>
      <c r="R149" s="3">
        <v>0</v>
      </c>
    </row>
    <row r="150" spans="1:18">
      <c r="A150" s="3" t="s">
        <v>2719</v>
      </c>
      <c r="B150" s="3" t="s">
        <v>2720</v>
      </c>
      <c r="C150" s="3" t="s">
        <v>2721</v>
      </c>
      <c r="D150" s="3" t="s">
        <v>2700</v>
      </c>
      <c r="E150" s="3" t="s">
        <v>538</v>
      </c>
      <c r="F150" s="3">
        <v>16.99</v>
      </c>
      <c r="G150" s="3" t="s">
        <v>2454</v>
      </c>
      <c r="H150" s="3"/>
      <c r="I150" s="3" t="s">
        <v>2455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</row>
    <row r="151" spans="1:18">
      <c r="A151" s="3" t="s">
        <v>2722</v>
      </c>
      <c r="B151" s="3" t="s">
        <v>2723</v>
      </c>
      <c r="C151" s="3" t="s">
        <v>2724</v>
      </c>
      <c r="D151" s="3" t="s">
        <v>2700</v>
      </c>
      <c r="E151" s="3" t="s">
        <v>538</v>
      </c>
      <c r="F151" s="3">
        <v>16.99</v>
      </c>
      <c r="G151" s="3" t="s">
        <v>2454</v>
      </c>
      <c r="H151" s="3"/>
      <c r="I151" s="3" t="s">
        <v>2455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</row>
    <row r="152" spans="1:18">
      <c r="A152" s="3" t="s">
        <v>2725</v>
      </c>
      <c r="B152" s="3" t="s">
        <v>2726</v>
      </c>
      <c r="C152" s="3" t="s">
        <v>2727</v>
      </c>
      <c r="D152" s="3" t="s">
        <v>2700</v>
      </c>
      <c r="E152" s="3" t="s">
        <v>538</v>
      </c>
      <c r="F152" s="3">
        <v>16.99</v>
      </c>
      <c r="G152" s="3" t="s">
        <v>2454</v>
      </c>
      <c r="H152" s="3"/>
      <c r="I152" s="3" t="s">
        <v>2455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</row>
    <row r="153" spans="1:18">
      <c r="A153" s="3" t="s">
        <v>2728</v>
      </c>
      <c r="B153" s="3" t="s">
        <v>2729</v>
      </c>
      <c r="C153" s="3" t="s">
        <v>2730</v>
      </c>
      <c r="D153" s="3" t="s">
        <v>2700</v>
      </c>
      <c r="E153" s="3" t="s">
        <v>538</v>
      </c>
      <c r="F153" s="3">
        <v>16.99</v>
      </c>
      <c r="G153" s="3" t="s">
        <v>2454</v>
      </c>
      <c r="H153" s="3"/>
      <c r="I153" s="3" t="s">
        <v>2455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</row>
    <row r="154" spans="1:18">
      <c r="A154" s="3" t="s">
        <v>2731</v>
      </c>
      <c r="B154" s="3" t="s">
        <v>2732</v>
      </c>
      <c r="C154" s="3" t="s">
        <v>2733</v>
      </c>
      <c r="D154" s="3" t="s">
        <v>2700</v>
      </c>
      <c r="E154" s="3" t="s">
        <v>538</v>
      </c>
      <c r="F154" s="3">
        <v>16.99</v>
      </c>
      <c r="G154" s="3" t="s">
        <v>2454</v>
      </c>
      <c r="H154" s="3"/>
      <c r="I154" s="3" t="s">
        <v>2455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</row>
    <row r="155" spans="1:18">
      <c r="A155" s="3" t="s">
        <v>2734</v>
      </c>
      <c r="B155" s="3" t="s">
        <v>2735</v>
      </c>
      <c r="C155" s="3" t="s">
        <v>2736</v>
      </c>
      <c r="D155" s="3" t="s">
        <v>2700</v>
      </c>
      <c r="E155" s="3" t="s">
        <v>538</v>
      </c>
      <c r="F155" s="3">
        <v>16.99</v>
      </c>
      <c r="G155" s="3" t="s">
        <v>2454</v>
      </c>
      <c r="H155" s="3"/>
      <c r="I155" s="3" t="s">
        <v>2455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2737</v>
      </c>
      <c r="B156" s="3" t="s">
        <v>2738</v>
      </c>
      <c r="C156" s="3" t="s">
        <v>2739</v>
      </c>
      <c r="D156" s="3" t="s">
        <v>2700</v>
      </c>
      <c r="E156" s="3" t="s">
        <v>538</v>
      </c>
      <c r="F156" s="3">
        <v>16.99</v>
      </c>
      <c r="G156" s="3" t="s">
        <v>2454</v>
      </c>
      <c r="H156" s="3"/>
      <c r="I156" s="3" t="s">
        <v>2455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</row>
    <row r="157" spans="1:18">
      <c r="A157" s="3" t="s">
        <v>2740</v>
      </c>
      <c r="B157" s="3" t="s">
        <v>2741</v>
      </c>
      <c r="C157" s="3" t="s">
        <v>2742</v>
      </c>
      <c r="D157" s="3" t="s">
        <v>2700</v>
      </c>
      <c r="E157" s="3" t="s">
        <v>538</v>
      </c>
      <c r="F157" s="3">
        <v>16.99</v>
      </c>
      <c r="G157" s="3" t="s">
        <v>2454</v>
      </c>
      <c r="H157" s="3"/>
      <c r="I157" s="3" t="s">
        <v>2455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</row>
    <row r="158" spans="1:18">
      <c r="A158" s="3" t="s">
        <v>2743</v>
      </c>
      <c r="B158" s="3" t="s">
        <v>2744</v>
      </c>
      <c r="C158" s="3" t="s">
        <v>2745</v>
      </c>
      <c r="D158" s="3" t="s">
        <v>2700</v>
      </c>
      <c r="E158" s="3" t="s">
        <v>538</v>
      </c>
      <c r="F158" s="3">
        <v>16.99</v>
      </c>
      <c r="G158" s="3" t="s">
        <v>2454</v>
      </c>
      <c r="H158" s="3"/>
      <c r="I158" s="3" t="s">
        <v>2455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</row>
    <row r="159" spans="1:18">
      <c r="A159" s="3" t="s">
        <v>2746</v>
      </c>
      <c r="B159" s="3" t="s">
        <v>2747</v>
      </c>
      <c r="C159" s="3" t="s">
        <v>2748</v>
      </c>
      <c r="D159" s="3" t="s">
        <v>2700</v>
      </c>
      <c r="E159" s="3" t="s">
        <v>538</v>
      </c>
      <c r="F159" s="3">
        <v>16.99</v>
      </c>
      <c r="G159" s="3" t="s">
        <v>2454</v>
      </c>
      <c r="H159" s="3"/>
      <c r="I159" s="3" t="s">
        <v>2455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</row>
    <row r="160" spans="1:18">
      <c r="A160" s="3" t="s">
        <v>2749</v>
      </c>
      <c r="B160" s="3" t="s">
        <v>2750</v>
      </c>
      <c r="C160" s="3" t="s">
        <v>2751</v>
      </c>
      <c r="D160" s="3" t="s">
        <v>2700</v>
      </c>
      <c r="E160" s="3" t="s">
        <v>538</v>
      </c>
      <c r="F160" s="3">
        <v>16.99</v>
      </c>
      <c r="G160" s="3" t="s">
        <v>2454</v>
      </c>
      <c r="H160" s="3"/>
      <c r="I160" s="3" t="s">
        <v>2455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</row>
    <row r="161" spans="1:18">
      <c r="A161" s="3" t="s">
        <v>2752</v>
      </c>
      <c r="B161" s="3" t="s">
        <v>2753</v>
      </c>
      <c r="C161" s="3" t="s">
        <v>2754</v>
      </c>
      <c r="D161" s="3" t="s">
        <v>2700</v>
      </c>
      <c r="E161" s="3" t="s">
        <v>538</v>
      </c>
      <c r="F161" s="3">
        <v>16.99</v>
      </c>
      <c r="G161" s="3" t="s">
        <v>2454</v>
      </c>
      <c r="H161" s="3"/>
      <c r="I161" s="3" t="s">
        <v>2455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</row>
    <row r="162" spans="1:18">
      <c r="A162" s="3" t="s">
        <v>2755</v>
      </c>
      <c r="B162" s="3" t="s">
        <v>2756</v>
      </c>
      <c r="C162" s="3" t="s">
        <v>2757</v>
      </c>
      <c r="D162" s="3" t="s">
        <v>2700</v>
      </c>
      <c r="E162" s="3" t="s">
        <v>538</v>
      </c>
      <c r="F162" s="3">
        <v>16.99</v>
      </c>
      <c r="G162" s="3" t="s">
        <v>2454</v>
      </c>
      <c r="H162" s="3"/>
      <c r="I162" s="3" t="s">
        <v>2455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</row>
    <row r="163" spans="1:18">
      <c r="A163" s="3" t="s">
        <v>2758</v>
      </c>
      <c r="B163" s="3" t="s">
        <v>2759</v>
      </c>
      <c r="C163" s="3" t="s">
        <v>2760</v>
      </c>
      <c r="D163" s="3" t="s">
        <v>2700</v>
      </c>
      <c r="E163" s="3" t="s">
        <v>538</v>
      </c>
      <c r="F163" s="3">
        <v>16.99</v>
      </c>
      <c r="G163" s="3" t="s">
        <v>2454</v>
      </c>
      <c r="H163" s="3"/>
      <c r="I163" s="3" t="s">
        <v>2455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</row>
    <row r="164" spans="1:18">
      <c r="A164" s="3" t="s">
        <v>2761</v>
      </c>
      <c r="B164" s="3" t="s">
        <v>2762</v>
      </c>
      <c r="C164" s="3" t="s">
        <v>2763</v>
      </c>
      <c r="D164" s="3" t="s">
        <v>2700</v>
      </c>
      <c r="E164" s="3" t="s">
        <v>538</v>
      </c>
      <c r="F164" s="3">
        <v>16.99</v>
      </c>
      <c r="G164" s="3" t="s">
        <v>2454</v>
      </c>
      <c r="H164" s="3"/>
      <c r="I164" s="3" t="s">
        <v>2455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</row>
    <row r="165" spans="1:18">
      <c r="A165" s="3" t="s">
        <v>2764</v>
      </c>
      <c r="B165" s="3" t="s">
        <v>2765</v>
      </c>
      <c r="C165" s="3" t="s">
        <v>2766</v>
      </c>
      <c r="D165" s="3" t="s">
        <v>2700</v>
      </c>
      <c r="E165" s="3" t="s">
        <v>538</v>
      </c>
      <c r="F165" s="3">
        <v>16.99</v>
      </c>
      <c r="G165" s="3" t="s">
        <v>2454</v>
      </c>
      <c r="H165" s="3"/>
      <c r="I165" s="3" t="s">
        <v>2455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</row>
    <row r="166" spans="1:18">
      <c r="A166" s="3" t="s">
        <v>2767</v>
      </c>
      <c r="B166" s="3" t="s">
        <v>2768</v>
      </c>
      <c r="C166" s="3" t="s">
        <v>2769</v>
      </c>
      <c r="D166" s="3" t="s">
        <v>2700</v>
      </c>
      <c r="E166" s="3" t="s">
        <v>538</v>
      </c>
      <c r="F166" s="3">
        <v>16.99</v>
      </c>
      <c r="G166" s="3" t="s">
        <v>2454</v>
      </c>
      <c r="H166" s="3"/>
      <c r="I166" s="3" t="s">
        <v>2455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</row>
    <row r="167" spans="1:18">
      <c r="A167" s="3" t="s">
        <v>2770</v>
      </c>
      <c r="B167" s="3" t="s">
        <v>2771</v>
      </c>
      <c r="C167" s="3" t="s">
        <v>2772</v>
      </c>
      <c r="D167" s="3" t="s">
        <v>2700</v>
      </c>
      <c r="E167" s="3" t="s">
        <v>538</v>
      </c>
      <c r="F167" s="3">
        <v>16.99</v>
      </c>
      <c r="G167" s="3" t="s">
        <v>2454</v>
      </c>
      <c r="H167" s="3"/>
      <c r="I167" s="3" t="s">
        <v>2455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</row>
    <row r="168" spans="1:18">
      <c r="A168" s="3" t="s">
        <v>2773</v>
      </c>
      <c r="B168" s="3" t="s">
        <v>2774</v>
      </c>
      <c r="C168" s="3" t="s">
        <v>2775</v>
      </c>
      <c r="D168" s="3" t="s">
        <v>2700</v>
      </c>
      <c r="E168" s="3" t="s">
        <v>538</v>
      </c>
      <c r="F168" s="3">
        <v>16.99</v>
      </c>
      <c r="G168" s="3" t="s">
        <v>2454</v>
      </c>
      <c r="H168" s="3"/>
      <c r="I168" s="3" t="s">
        <v>2455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</row>
    <row r="169" spans="1:18">
      <c r="A169" s="3" t="s">
        <v>2776</v>
      </c>
      <c r="B169" s="3" t="s">
        <v>2777</v>
      </c>
      <c r="C169" s="3" t="s">
        <v>2778</v>
      </c>
      <c r="D169" s="3" t="s">
        <v>2700</v>
      </c>
      <c r="E169" s="3" t="s">
        <v>538</v>
      </c>
      <c r="F169" s="3">
        <v>16.99</v>
      </c>
      <c r="G169" s="3" t="s">
        <v>2454</v>
      </c>
      <c r="H169" s="3"/>
      <c r="I169" s="3" t="s">
        <v>2455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</row>
    <row r="170" spans="1:18">
      <c r="A170" s="3" t="s">
        <v>2779</v>
      </c>
      <c r="B170" s="3" t="s">
        <v>2780</v>
      </c>
      <c r="C170" s="3" t="s">
        <v>2781</v>
      </c>
      <c r="D170" s="3" t="s">
        <v>2700</v>
      </c>
      <c r="E170" s="3" t="s">
        <v>538</v>
      </c>
      <c r="F170" s="3">
        <v>16.99</v>
      </c>
      <c r="G170" s="3" t="s">
        <v>2454</v>
      </c>
      <c r="H170" s="3"/>
      <c r="I170" s="3" t="s">
        <v>2455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</row>
    <row r="171" spans="1:18">
      <c r="A171" s="3" t="s">
        <v>2782</v>
      </c>
      <c r="B171" s="3" t="s">
        <v>2783</v>
      </c>
      <c r="C171" s="3" t="s">
        <v>2784</v>
      </c>
      <c r="D171" s="3" t="s">
        <v>2700</v>
      </c>
      <c r="E171" s="3" t="s">
        <v>538</v>
      </c>
      <c r="F171" s="3">
        <v>16.99</v>
      </c>
      <c r="G171" s="3" t="s">
        <v>2454</v>
      </c>
      <c r="H171" s="3"/>
      <c r="I171" s="3" t="s">
        <v>2455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</row>
    <row r="172" spans="1:18">
      <c r="A172" s="3" t="s">
        <v>2785</v>
      </c>
      <c r="B172" s="3" t="s">
        <v>2786</v>
      </c>
      <c r="C172" s="3" t="s">
        <v>2787</v>
      </c>
      <c r="D172" s="3" t="s">
        <v>2700</v>
      </c>
      <c r="E172" s="3" t="s">
        <v>538</v>
      </c>
      <c r="F172" s="3">
        <v>16.99</v>
      </c>
      <c r="G172" s="3" t="s">
        <v>2454</v>
      </c>
      <c r="H172" s="3"/>
      <c r="I172" s="3" t="s">
        <v>2455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</row>
    <row r="173" spans="1:18">
      <c r="A173" s="3" t="s">
        <v>2788</v>
      </c>
      <c r="B173" s="3" t="s">
        <v>2789</v>
      </c>
      <c r="C173" s="3" t="s">
        <v>2790</v>
      </c>
      <c r="D173" s="3" t="s">
        <v>2700</v>
      </c>
      <c r="E173" s="3" t="s">
        <v>538</v>
      </c>
      <c r="F173" s="3">
        <v>16.99</v>
      </c>
      <c r="G173" s="3" t="s">
        <v>2454</v>
      </c>
      <c r="H173" s="3"/>
      <c r="I173" s="3" t="s">
        <v>2455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</row>
    <row r="174" spans="1:18">
      <c r="A174" s="3" t="s">
        <v>2791</v>
      </c>
      <c r="B174" s="3" t="s">
        <v>2792</v>
      </c>
      <c r="C174" s="3" t="s">
        <v>2793</v>
      </c>
      <c r="D174" s="3" t="s">
        <v>2700</v>
      </c>
      <c r="E174" s="3" t="s">
        <v>538</v>
      </c>
      <c r="F174" s="3">
        <v>16.99</v>
      </c>
      <c r="G174" s="3" t="s">
        <v>2454</v>
      </c>
      <c r="H174" s="3"/>
      <c r="I174" s="3" t="s">
        <v>2455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</row>
    <row r="175" spans="1:18">
      <c r="A175" s="3" t="s">
        <v>2794</v>
      </c>
      <c r="B175" s="3" t="s">
        <v>2795</v>
      </c>
      <c r="C175" s="3" t="s">
        <v>2796</v>
      </c>
      <c r="D175" s="3" t="s">
        <v>2700</v>
      </c>
      <c r="E175" s="3" t="s">
        <v>538</v>
      </c>
      <c r="F175" s="3">
        <v>16.99</v>
      </c>
      <c r="G175" s="3" t="s">
        <v>2454</v>
      </c>
      <c r="H175" s="3"/>
      <c r="I175" s="3" t="s">
        <v>2455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</row>
    <row r="176" spans="1:18">
      <c r="A176" s="3" t="s">
        <v>2797</v>
      </c>
      <c r="B176" s="3" t="s">
        <v>2798</v>
      </c>
      <c r="C176" s="3" t="s">
        <v>2799</v>
      </c>
      <c r="D176" s="3" t="s">
        <v>2700</v>
      </c>
      <c r="E176" s="3" t="s">
        <v>538</v>
      </c>
      <c r="F176" s="3">
        <v>16.99</v>
      </c>
      <c r="G176" s="3" t="s">
        <v>2454</v>
      </c>
      <c r="H176" s="3"/>
      <c r="I176" s="3" t="s">
        <v>2455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</row>
    <row r="177" spans="1:18">
      <c r="A177" s="3" t="s">
        <v>2800</v>
      </c>
      <c r="B177" s="3" t="s">
        <v>2801</v>
      </c>
      <c r="C177" s="3" t="s">
        <v>2802</v>
      </c>
      <c r="D177" s="3" t="s">
        <v>2700</v>
      </c>
      <c r="E177" s="3" t="s">
        <v>538</v>
      </c>
      <c r="F177" s="3">
        <v>16.99</v>
      </c>
      <c r="G177" s="3" t="s">
        <v>2454</v>
      </c>
      <c r="H177" s="3"/>
      <c r="I177" s="3" t="s">
        <v>2455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</row>
    <row r="178" spans="1:18">
      <c r="A178" s="3" t="s">
        <v>1719</v>
      </c>
      <c r="B178" s="3" t="s">
        <v>1720</v>
      </c>
      <c r="C178" s="3" t="s">
        <v>1721</v>
      </c>
      <c r="D178" s="3" t="s">
        <v>1722</v>
      </c>
      <c r="E178" s="3" t="s">
        <v>538</v>
      </c>
      <c r="F178" s="3">
        <v>24.99</v>
      </c>
      <c r="G178" s="3" t="s">
        <v>2454</v>
      </c>
      <c r="H178" s="3"/>
      <c r="I178" s="3" t="s">
        <v>2455</v>
      </c>
      <c r="J178" s="3">
        <v>11</v>
      </c>
      <c r="K178" s="3">
        <v>10</v>
      </c>
      <c r="L178" s="3">
        <v>1</v>
      </c>
      <c r="M178" s="3">
        <v>0</v>
      </c>
      <c r="N178" s="3">
        <v>11</v>
      </c>
      <c r="O178" s="3">
        <v>0.09</v>
      </c>
      <c r="P178" s="3">
        <v>0</v>
      </c>
      <c r="Q178" s="3">
        <v>0</v>
      </c>
      <c r="R178" s="3">
        <v>0</v>
      </c>
    </row>
    <row r="179" spans="1:18">
      <c r="A179" s="3" t="s">
        <v>2803</v>
      </c>
      <c r="B179" s="3" t="s">
        <v>2804</v>
      </c>
      <c r="C179" s="3" t="s">
        <v>2805</v>
      </c>
      <c r="D179" s="3" t="s">
        <v>2806</v>
      </c>
      <c r="E179" s="3" t="s">
        <v>538</v>
      </c>
      <c r="F179" s="3">
        <v>31.9</v>
      </c>
      <c r="G179" s="3" t="s">
        <v>2454</v>
      </c>
      <c r="H179" s="3"/>
      <c r="I179" s="3" t="s">
        <v>2455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</row>
    <row r="180" spans="1:18">
      <c r="A180" s="3" t="s">
        <v>831</v>
      </c>
      <c r="B180" s="3" t="s">
        <v>832</v>
      </c>
      <c r="C180" s="3" t="s">
        <v>833</v>
      </c>
      <c r="D180" s="3" t="s">
        <v>552</v>
      </c>
      <c r="E180" s="3" t="s">
        <v>538</v>
      </c>
      <c r="F180" s="3">
        <v>17.9</v>
      </c>
      <c r="G180" s="3" t="s">
        <v>2454</v>
      </c>
      <c r="H180" s="3"/>
      <c r="I180" s="3" t="s">
        <v>2455</v>
      </c>
      <c r="J180" s="3">
        <v>3</v>
      </c>
      <c r="K180" s="3">
        <v>3</v>
      </c>
      <c r="L180" s="3">
        <v>0</v>
      </c>
      <c r="M180" s="3">
        <v>0</v>
      </c>
      <c r="N180" s="3">
        <v>3</v>
      </c>
      <c r="O180" s="3">
        <v>0.11</v>
      </c>
      <c r="P180" s="3">
        <v>0</v>
      </c>
      <c r="Q180" s="3">
        <v>0</v>
      </c>
      <c r="R180" s="3">
        <v>0</v>
      </c>
    </row>
    <row r="181" spans="1:18">
      <c r="A181" s="3" t="s">
        <v>2087</v>
      </c>
      <c r="B181" s="3" t="s">
        <v>2088</v>
      </c>
      <c r="C181" s="3" t="s">
        <v>2089</v>
      </c>
      <c r="D181" s="3" t="s">
        <v>552</v>
      </c>
      <c r="E181" s="3" t="s">
        <v>538</v>
      </c>
      <c r="F181" s="3">
        <v>21.9</v>
      </c>
      <c r="G181" s="3" t="s">
        <v>2454</v>
      </c>
      <c r="H181" s="3"/>
      <c r="I181" s="3" t="s">
        <v>2455</v>
      </c>
      <c r="J181" s="3">
        <v>3</v>
      </c>
      <c r="K181" s="3">
        <v>3</v>
      </c>
      <c r="L181" s="3">
        <v>0</v>
      </c>
      <c r="M181" s="3">
        <v>0</v>
      </c>
      <c r="N181" s="3">
        <v>3</v>
      </c>
      <c r="O181" s="3">
        <v>0.17</v>
      </c>
      <c r="P181" s="3">
        <v>0</v>
      </c>
      <c r="Q181" s="3">
        <v>0</v>
      </c>
      <c r="R181" s="3">
        <v>0</v>
      </c>
    </row>
    <row r="182" spans="1:18">
      <c r="A182" s="3" t="s">
        <v>1975</v>
      </c>
      <c r="B182" s="3" t="s">
        <v>1976</v>
      </c>
      <c r="C182" s="3" t="s">
        <v>1977</v>
      </c>
      <c r="D182" s="3" t="s">
        <v>552</v>
      </c>
      <c r="E182" s="3" t="s">
        <v>538</v>
      </c>
      <c r="F182" s="3">
        <v>24.9</v>
      </c>
      <c r="G182" s="3" t="s">
        <v>2454</v>
      </c>
      <c r="H182" s="3"/>
      <c r="I182" s="3" t="s">
        <v>2455</v>
      </c>
      <c r="J182" s="3">
        <v>3</v>
      </c>
      <c r="K182" s="3">
        <v>3</v>
      </c>
      <c r="L182" s="3">
        <v>0</v>
      </c>
      <c r="M182" s="3">
        <v>0</v>
      </c>
      <c r="N182" s="3">
        <v>3</v>
      </c>
      <c r="O182" s="3">
        <v>0.17</v>
      </c>
      <c r="P182" s="3">
        <v>0</v>
      </c>
      <c r="Q182" s="3">
        <v>0</v>
      </c>
      <c r="R182" s="3">
        <v>0</v>
      </c>
    </row>
    <row r="183" spans="1:18">
      <c r="A183" s="3" t="s">
        <v>1655</v>
      </c>
      <c r="B183" s="3" t="s">
        <v>1656</v>
      </c>
      <c r="C183" s="3" t="s">
        <v>1657</v>
      </c>
      <c r="D183" s="3" t="s">
        <v>552</v>
      </c>
      <c r="E183" s="3" t="s">
        <v>538</v>
      </c>
      <c r="F183" s="3">
        <v>31.9</v>
      </c>
      <c r="G183" s="3" t="s">
        <v>2454</v>
      </c>
      <c r="H183" s="3"/>
      <c r="I183" s="3" t="s">
        <v>2455</v>
      </c>
      <c r="J183" s="3">
        <v>3</v>
      </c>
      <c r="K183" s="3">
        <v>3</v>
      </c>
      <c r="L183" s="3">
        <v>0</v>
      </c>
      <c r="M183" s="3">
        <v>0</v>
      </c>
      <c r="N183" s="3">
        <v>3</v>
      </c>
      <c r="O183" s="3">
        <v>0.19</v>
      </c>
      <c r="P183" s="3">
        <v>0</v>
      </c>
      <c r="Q183" s="3">
        <v>0</v>
      </c>
      <c r="R183" s="3">
        <v>0</v>
      </c>
    </row>
    <row r="184" spans="1:18">
      <c r="A184" s="3" t="s">
        <v>689</v>
      </c>
      <c r="B184" s="3" t="s">
        <v>690</v>
      </c>
      <c r="C184" s="3" t="s">
        <v>691</v>
      </c>
      <c r="D184" s="3" t="s">
        <v>552</v>
      </c>
      <c r="E184" s="3" t="s">
        <v>538</v>
      </c>
      <c r="F184" s="3">
        <v>17.9</v>
      </c>
      <c r="G184" s="3" t="s">
        <v>2454</v>
      </c>
      <c r="H184" s="3"/>
      <c r="I184" s="3" t="s">
        <v>2455</v>
      </c>
      <c r="J184" s="3">
        <v>2</v>
      </c>
      <c r="K184" s="3">
        <v>2</v>
      </c>
      <c r="L184" s="3">
        <v>0</v>
      </c>
      <c r="M184" s="3">
        <v>0</v>
      </c>
      <c r="N184" s="3">
        <v>2</v>
      </c>
      <c r="O184" s="3">
        <v>0.07</v>
      </c>
      <c r="P184" s="3">
        <v>0</v>
      </c>
      <c r="Q184" s="3">
        <v>0</v>
      </c>
      <c r="R184" s="3">
        <v>0</v>
      </c>
    </row>
    <row r="185" spans="1:18">
      <c r="A185" s="3" t="s">
        <v>1594</v>
      </c>
      <c r="B185" s="3" t="s">
        <v>1595</v>
      </c>
      <c r="C185" s="3" t="s">
        <v>1596</v>
      </c>
      <c r="D185" s="3" t="s">
        <v>552</v>
      </c>
      <c r="E185" s="3" t="s">
        <v>538</v>
      </c>
      <c r="F185" s="3">
        <v>21.9</v>
      </c>
      <c r="G185" s="3" t="s">
        <v>2454</v>
      </c>
      <c r="H185" s="3"/>
      <c r="I185" s="3" t="s">
        <v>2455</v>
      </c>
      <c r="J185" s="3">
        <v>4</v>
      </c>
      <c r="K185" s="3">
        <v>4</v>
      </c>
      <c r="L185" s="3">
        <v>0</v>
      </c>
      <c r="M185" s="3">
        <v>0</v>
      </c>
      <c r="N185" s="3">
        <v>4</v>
      </c>
      <c r="O185" s="3">
        <v>0.12</v>
      </c>
      <c r="P185" s="3">
        <v>0</v>
      </c>
      <c r="Q185" s="3">
        <v>0</v>
      </c>
      <c r="R185" s="3">
        <v>0</v>
      </c>
    </row>
    <row r="186" spans="1:18">
      <c r="A186" s="3" t="s">
        <v>2170</v>
      </c>
      <c r="B186" s="3" t="s">
        <v>2171</v>
      </c>
      <c r="C186" s="3" t="s">
        <v>2172</v>
      </c>
      <c r="D186" s="3" t="s">
        <v>552</v>
      </c>
      <c r="E186" s="3" t="s">
        <v>538</v>
      </c>
      <c r="F186" s="3">
        <v>26.9</v>
      </c>
      <c r="G186" s="3" t="s">
        <v>2454</v>
      </c>
      <c r="H186" s="3"/>
      <c r="I186" s="3" t="s">
        <v>2455</v>
      </c>
      <c r="J186" s="3">
        <v>5</v>
      </c>
      <c r="K186" s="3">
        <v>5</v>
      </c>
      <c r="L186" s="3">
        <v>0</v>
      </c>
      <c r="M186" s="3">
        <v>0</v>
      </c>
      <c r="N186" s="3">
        <v>5</v>
      </c>
      <c r="O186" s="3">
        <v>0</v>
      </c>
      <c r="P186" s="3">
        <v>0</v>
      </c>
      <c r="Q186" s="3">
        <v>0</v>
      </c>
      <c r="R186" s="3">
        <v>0</v>
      </c>
    </row>
    <row r="187" spans="1:18">
      <c r="A187" s="3" t="s">
        <v>2301</v>
      </c>
      <c r="B187" s="3" t="s">
        <v>2302</v>
      </c>
      <c r="C187" s="3" t="s">
        <v>2303</v>
      </c>
      <c r="D187" s="3" t="s">
        <v>552</v>
      </c>
      <c r="E187" s="3" t="s">
        <v>538</v>
      </c>
      <c r="F187" s="3">
        <v>31.9</v>
      </c>
      <c r="G187" s="3" t="s">
        <v>2454</v>
      </c>
      <c r="H187" s="3"/>
      <c r="I187" s="3" t="s">
        <v>2455</v>
      </c>
      <c r="J187" s="3">
        <v>3</v>
      </c>
      <c r="K187" s="3">
        <v>3</v>
      </c>
      <c r="L187" s="3">
        <v>0</v>
      </c>
      <c r="M187" s="3">
        <v>0</v>
      </c>
      <c r="N187" s="3">
        <v>3</v>
      </c>
      <c r="O187" s="3">
        <v>0.15</v>
      </c>
      <c r="P187" s="3">
        <v>0</v>
      </c>
      <c r="Q187" s="3">
        <v>0</v>
      </c>
      <c r="R187" s="3">
        <v>0</v>
      </c>
    </row>
    <row r="188" spans="1:18">
      <c r="A188" s="3" t="s">
        <v>1601</v>
      </c>
      <c r="B188" s="3" t="s">
        <v>1602</v>
      </c>
      <c r="C188" s="3" t="s">
        <v>1603</v>
      </c>
      <c r="D188" s="3" t="s">
        <v>552</v>
      </c>
      <c r="E188" s="3" t="s">
        <v>538</v>
      </c>
      <c r="F188" s="3">
        <v>17.9</v>
      </c>
      <c r="G188" s="3" t="s">
        <v>2454</v>
      </c>
      <c r="H188" s="3"/>
      <c r="I188" s="3" t="s">
        <v>2455</v>
      </c>
      <c r="J188" s="3">
        <v>3</v>
      </c>
      <c r="K188" s="3">
        <v>3</v>
      </c>
      <c r="L188" s="3">
        <v>0</v>
      </c>
      <c r="M188" s="3">
        <v>0</v>
      </c>
      <c r="N188" s="3">
        <v>3</v>
      </c>
      <c r="O188" s="3">
        <v>0.03</v>
      </c>
      <c r="P188" s="3">
        <v>0</v>
      </c>
      <c r="Q188" s="3">
        <v>0</v>
      </c>
      <c r="R188" s="3">
        <v>0</v>
      </c>
    </row>
    <row r="189" spans="1:18">
      <c r="A189" s="3" t="s">
        <v>1580</v>
      </c>
      <c r="B189" s="3" t="s">
        <v>1581</v>
      </c>
      <c r="C189" s="3" t="s">
        <v>1582</v>
      </c>
      <c r="D189" s="3" t="s">
        <v>552</v>
      </c>
      <c r="E189" s="3" t="s">
        <v>538</v>
      </c>
      <c r="F189" s="3">
        <v>21.9</v>
      </c>
      <c r="G189" s="3" t="s">
        <v>2454</v>
      </c>
      <c r="H189" s="3"/>
      <c r="I189" s="3" t="s">
        <v>2455</v>
      </c>
      <c r="J189" s="3">
        <v>7</v>
      </c>
      <c r="K189" s="3">
        <v>7</v>
      </c>
      <c r="L189" s="3">
        <v>0</v>
      </c>
      <c r="M189" s="3">
        <v>0</v>
      </c>
      <c r="N189" s="3">
        <v>7</v>
      </c>
      <c r="O189" s="3">
        <v>0.08</v>
      </c>
      <c r="P189" s="3">
        <v>0</v>
      </c>
      <c r="Q189" s="3">
        <v>0</v>
      </c>
      <c r="R189" s="3">
        <v>0</v>
      </c>
    </row>
    <row r="190" spans="1:18">
      <c r="A190" s="3" t="s">
        <v>739</v>
      </c>
      <c r="B190" s="3" t="s">
        <v>740</v>
      </c>
      <c r="C190" s="3" t="s">
        <v>741</v>
      </c>
      <c r="D190" s="3" t="s">
        <v>552</v>
      </c>
      <c r="E190" s="3" t="s">
        <v>538</v>
      </c>
      <c r="F190" s="3">
        <v>26.9</v>
      </c>
      <c r="G190" s="3" t="s">
        <v>2454</v>
      </c>
      <c r="H190" s="3"/>
      <c r="I190" s="3" t="s">
        <v>2455</v>
      </c>
      <c r="J190" s="3">
        <v>3</v>
      </c>
      <c r="K190" s="3">
        <v>3</v>
      </c>
      <c r="L190" s="3">
        <v>0</v>
      </c>
      <c r="M190" s="3">
        <v>0</v>
      </c>
      <c r="N190" s="3">
        <v>4</v>
      </c>
      <c r="O190" s="3">
        <v>0.16</v>
      </c>
      <c r="P190" s="3">
        <v>0</v>
      </c>
      <c r="Q190" s="3">
        <v>0</v>
      </c>
      <c r="R190" s="3">
        <v>1</v>
      </c>
    </row>
    <row r="191" spans="1:18">
      <c r="A191" s="3" t="s">
        <v>645</v>
      </c>
      <c r="B191" s="3" t="s">
        <v>646</v>
      </c>
      <c r="C191" s="3" t="s">
        <v>647</v>
      </c>
      <c r="D191" s="3" t="s">
        <v>552</v>
      </c>
      <c r="E191" s="3" t="s">
        <v>538</v>
      </c>
      <c r="F191" s="3">
        <v>31.9</v>
      </c>
      <c r="G191" s="3" t="s">
        <v>2454</v>
      </c>
      <c r="H191" s="3"/>
      <c r="I191" s="3" t="s">
        <v>2455</v>
      </c>
      <c r="J191" s="3">
        <v>3</v>
      </c>
      <c r="K191" s="3">
        <v>3</v>
      </c>
      <c r="L191" s="3">
        <v>0</v>
      </c>
      <c r="M191" s="3">
        <v>0</v>
      </c>
      <c r="N191" s="3">
        <v>3</v>
      </c>
      <c r="O191" s="3">
        <v>0.21</v>
      </c>
      <c r="P191" s="3">
        <v>0</v>
      </c>
      <c r="Q191" s="3">
        <v>0</v>
      </c>
      <c r="R191" s="3">
        <v>0</v>
      </c>
    </row>
    <row r="192" spans="1:18">
      <c r="A192" s="3" t="s">
        <v>1982</v>
      </c>
      <c r="B192" s="3" t="s">
        <v>1983</v>
      </c>
      <c r="C192" s="3" t="s">
        <v>1984</v>
      </c>
      <c r="D192" s="3" t="s">
        <v>552</v>
      </c>
      <c r="E192" s="3" t="s">
        <v>538</v>
      </c>
      <c r="F192" s="3">
        <v>17.9</v>
      </c>
      <c r="G192" s="3" t="s">
        <v>2454</v>
      </c>
      <c r="H192" s="3"/>
      <c r="I192" s="3" t="s">
        <v>2455</v>
      </c>
      <c r="J192" s="3">
        <v>3</v>
      </c>
      <c r="K192" s="3">
        <v>3</v>
      </c>
      <c r="L192" s="3">
        <v>0</v>
      </c>
      <c r="M192" s="3">
        <v>0</v>
      </c>
      <c r="N192" s="3">
        <v>3</v>
      </c>
      <c r="O192" s="3">
        <v>0.08</v>
      </c>
      <c r="P192" s="3">
        <v>0</v>
      </c>
      <c r="Q192" s="3">
        <v>0</v>
      </c>
      <c r="R192" s="3">
        <v>0</v>
      </c>
    </row>
    <row r="193" spans="1:18">
      <c r="A193" s="3" t="s">
        <v>671</v>
      </c>
      <c r="B193" s="3" t="s">
        <v>672</v>
      </c>
      <c r="C193" s="3" t="s">
        <v>673</v>
      </c>
      <c r="D193" s="3" t="s">
        <v>552</v>
      </c>
      <c r="E193" s="3" t="s">
        <v>538</v>
      </c>
      <c r="F193" s="3">
        <v>23.9</v>
      </c>
      <c r="G193" s="3" t="s">
        <v>2454</v>
      </c>
      <c r="H193" s="3"/>
      <c r="I193" s="3" t="s">
        <v>2455</v>
      </c>
      <c r="J193" s="3">
        <v>1</v>
      </c>
      <c r="K193" s="3">
        <v>1</v>
      </c>
      <c r="L193" s="3">
        <v>0</v>
      </c>
      <c r="M193" s="3">
        <v>0</v>
      </c>
      <c r="N193" s="3">
        <v>1</v>
      </c>
      <c r="O193" s="3">
        <v>0.1</v>
      </c>
      <c r="P193" s="3">
        <v>0</v>
      </c>
      <c r="Q193" s="3">
        <v>0</v>
      </c>
      <c r="R193" s="3">
        <v>0</v>
      </c>
    </row>
    <row r="194" spans="1:18">
      <c r="A194" s="3" t="s">
        <v>549</v>
      </c>
      <c r="B194" s="3" t="s">
        <v>550</v>
      </c>
      <c r="C194" s="3" t="s">
        <v>551</v>
      </c>
      <c r="D194" s="3" t="s">
        <v>552</v>
      </c>
      <c r="E194" s="3" t="s">
        <v>538</v>
      </c>
      <c r="F194" s="3">
        <v>32.9</v>
      </c>
      <c r="G194" s="3" t="s">
        <v>2454</v>
      </c>
      <c r="H194" s="3"/>
      <c r="I194" s="3" t="s">
        <v>2455</v>
      </c>
      <c r="J194" s="3">
        <v>3</v>
      </c>
      <c r="K194" s="3">
        <v>3</v>
      </c>
      <c r="L194" s="3">
        <v>0</v>
      </c>
      <c r="M194" s="3">
        <v>0</v>
      </c>
      <c r="N194" s="3">
        <v>3</v>
      </c>
      <c r="O194" s="3">
        <v>0.17</v>
      </c>
      <c r="P194" s="3">
        <v>0</v>
      </c>
      <c r="Q194" s="3">
        <v>0</v>
      </c>
      <c r="R194" s="3">
        <v>0</v>
      </c>
    </row>
    <row r="195" spans="1:18">
      <c r="A195" s="3" t="s">
        <v>1668</v>
      </c>
      <c r="B195" s="3" t="s">
        <v>1669</v>
      </c>
      <c r="C195" s="3" t="s">
        <v>1670</v>
      </c>
      <c r="D195" s="3" t="s">
        <v>552</v>
      </c>
      <c r="E195" s="3" t="s">
        <v>538</v>
      </c>
      <c r="F195" s="3">
        <v>48.9</v>
      </c>
      <c r="G195" s="3" t="s">
        <v>2454</v>
      </c>
      <c r="H195" s="3"/>
      <c r="I195" s="3" t="s">
        <v>2455</v>
      </c>
      <c r="J195" s="3">
        <v>2</v>
      </c>
      <c r="K195" s="3">
        <v>2</v>
      </c>
      <c r="L195" s="3">
        <v>0</v>
      </c>
      <c r="M195" s="3">
        <v>0</v>
      </c>
      <c r="N195" s="3">
        <v>2</v>
      </c>
      <c r="O195" s="3">
        <v>0.23</v>
      </c>
      <c r="P195" s="3">
        <v>0</v>
      </c>
      <c r="Q195" s="3">
        <v>0</v>
      </c>
      <c r="R195" s="3">
        <v>0</v>
      </c>
    </row>
    <row r="196" spans="1:18">
      <c r="A196" s="3" t="s">
        <v>1194</v>
      </c>
      <c r="B196" s="3" t="s">
        <v>1195</v>
      </c>
      <c r="C196" s="3" t="s">
        <v>1196</v>
      </c>
      <c r="D196" s="3" t="s">
        <v>552</v>
      </c>
      <c r="E196" s="3" t="s">
        <v>538</v>
      </c>
      <c r="F196" s="3">
        <v>59.9</v>
      </c>
      <c r="G196" s="3" t="s">
        <v>2454</v>
      </c>
      <c r="H196" s="3"/>
      <c r="I196" s="3" t="s">
        <v>2455</v>
      </c>
      <c r="J196" s="3">
        <v>1</v>
      </c>
      <c r="K196" s="3">
        <v>1</v>
      </c>
      <c r="L196" s="3">
        <v>0</v>
      </c>
      <c r="M196" s="3">
        <v>0</v>
      </c>
      <c r="N196" s="3">
        <v>1</v>
      </c>
      <c r="O196" s="3">
        <v>0.27</v>
      </c>
      <c r="P196" s="3">
        <v>0</v>
      </c>
      <c r="Q196" s="3">
        <v>0</v>
      </c>
      <c r="R196" s="3">
        <v>0</v>
      </c>
    </row>
    <row r="197" spans="1:18">
      <c r="A197" s="3" t="s">
        <v>2084</v>
      </c>
      <c r="B197" s="3" t="s">
        <v>2085</v>
      </c>
      <c r="C197" s="3" t="s">
        <v>2086</v>
      </c>
      <c r="D197" s="3" t="s">
        <v>552</v>
      </c>
      <c r="E197" s="3" t="s">
        <v>538</v>
      </c>
      <c r="F197" s="3">
        <v>17.9</v>
      </c>
      <c r="G197" s="3" t="s">
        <v>2454</v>
      </c>
      <c r="H197" s="3"/>
      <c r="I197" s="3" t="s">
        <v>2455</v>
      </c>
      <c r="J197" s="3">
        <v>3</v>
      </c>
      <c r="K197" s="3">
        <v>3</v>
      </c>
      <c r="L197" s="3">
        <v>0</v>
      </c>
      <c r="M197" s="3">
        <v>0</v>
      </c>
      <c r="N197" s="3">
        <v>3</v>
      </c>
      <c r="O197" s="3">
        <v>0.08</v>
      </c>
      <c r="P197" s="3">
        <v>0</v>
      </c>
      <c r="Q197" s="3">
        <v>0</v>
      </c>
      <c r="R197" s="3">
        <v>0</v>
      </c>
    </row>
    <row r="198" spans="1:18">
      <c r="A198" s="3" t="s">
        <v>1513</v>
      </c>
      <c r="B198" s="3" t="s">
        <v>1514</v>
      </c>
      <c r="C198" s="3" t="s">
        <v>1515</v>
      </c>
      <c r="D198" s="3" t="s">
        <v>552</v>
      </c>
      <c r="E198" s="3" t="s">
        <v>538</v>
      </c>
      <c r="F198" s="3">
        <v>23.9</v>
      </c>
      <c r="G198" s="3" t="s">
        <v>2454</v>
      </c>
      <c r="H198" s="3"/>
      <c r="I198" s="3" t="s">
        <v>2455</v>
      </c>
      <c r="J198" s="3">
        <v>3</v>
      </c>
      <c r="K198" s="3">
        <v>3</v>
      </c>
      <c r="L198" s="3">
        <v>0</v>
      </c>
      <c r="M198" s="3">
        <v>0</v>
      </c>
      <c r="N198" s="3">
        <v>3</v>
      </c>
      <c r="O198" s="3">
        <v>0.1</v>
      </c>
      <c r="P198" s="3">
        <v>0</v>
      </c>
      <c r="Q198" s="3">
        <v>0</v>
      </c>
      <c r="R198" s="3">
        <v>0</v>
      </c>
    </row>
    <row r="199" spans="1:18">
      <c r="A199" s="3" t="s">
        <v>1454</v>
      </c>
      <c r="B199" s="3" t="s">
        <v>1455</v>
      </c>
      <c r="C199" s="3" t="s">
        <v>1456</v>
      </c>
      <c r="D199" s="3" t="s">
        <v>552</v>
      </c>
      <c r="E199" s="3" t="s">
        <v>538</v>
      </c>
      <c r="F199" s="3">
        <v>27.9</v>
      </c>
      <c r="G199" s="3" t="s">
        <v>2454</v>
      </c>
      <c r="H199" s="3"/>
      <c r="I199" s="3" t="s">
        <v>2455</v>
      </c>
      <c r="J199" s="3">
        <v>3</v>
      </c>
      <c r="K199" s="3">
        <v>3</v>
      </c>
      <c r="L199" s="3">
        <v>0</v>
      </c>
      <c r="M199" s="3">
        <v>0</v>
      </c>
      <c r="N199" s="3">
        <v>3</v>
      </c>
      <c r="O199" s="3">
        <v>0.21</v>
      </c>
      <c r="P199" s="3">
        <v>0</v>
      </c>
      <c r="Q199" s="3">
        <v>0</v>
      </c>
      <c r="R199" s="3">
        <v>0</v>
      </c>
    </row>
    <row r="200" spans="1:18">
      <c r="A200" s="3" t="s">
        <v>2150</v>
      </c>
      <c r="B200" s="3" t="s">
        <v>2151</v>
      </c>
      <c r="C200" s="3" t="s">
        <v>2152</v>
      </c>
      <c r="D200" s="3" t="s">
        <v>552</v>
      </c>
      <c r="E200" s="3" t="s">
        <v>538</v>
      </c>
      <c r="F200" s="3">
        <v>32.9</v>
      </c>
      <c r="G200" s="3" t="s">
        <v>2454</v>
      </c>
      <c r="H200" s="3"/>
      <c r="I200" s="3" t="s">
        <v>2455</v>
      </c>
      <c r="J200" s="3">
        <v>3</v>
      </c>
      <c r="K200" s="3">
        <v>3</v>
      </c>
      <c r="L200" s="3">
        <v>0</v>
      </c>
      <c r="M200" s="3">
        <v>0</v>
      </c>
      <c r="N200" s="3">
        <v>3</v>
      </c>
      <c r="O200" s="3">
        <v>0.19</v>
      </c>
      <c r="P200" s="3">
        <v>0</v>
      </c>
      <c r="Q200" s="3">
        <v>0</v>
      </c>
      <c r="R200" s="3">
        <v>0</v>
      </c>
    </row>
    <row r="201" spans="1:18">
      <c r="A201" s="3" t="s">
        <v>1572</v>
      </c>
      <c r="B201" s="3" t="s">
        <v>1573</v>
      </c>
      <c r="C201" s="3" t="s">
        <v>1574</v>
      </c>
      <c r="D201" s="3" t="s">
        <v>1575</v>
      </c>
      <c r="E201" s="3" t="s">
        <v>538</v>
      </c>
      <c r="F201" s="3">
        <v>29.9</v>
      </c>
      <c r="G201" s="3" t="s">
        <v>2454</v>
      </c>
      <c r="H201" s="3"/>
      <c r="I201" s="3" t="s">
        <v>2455</v>
      </c>
      <c r="J201" s="3">
        <v>3</v>
      </c>
      <c r="K201" s="3">
        <v>3</v>
      </c>
      <c r="L201" s="3">
        <v>0</v>
      </c>
      <c r="M201" s="3">
        <v>0</v>
      </c>
      <c r="N201" s="3">
        <v>3</v>
      </c>
      <c r="O201" s="3">
        <v>0.1</v>
      </c>
      <c r="P201" s="3">
        <v>0</v>
      </c>
      <c r="Q201" s="3">
        <v>0</v>
      </c>
      <c r="R201" s="3">
        <v>0</v>
      </c>
    </row>
    <row r="202" spans="1:18">
      <c r="A202" s="3" t="s">
        <v>2325</v>
      </c>
      <c r="B202" s="3" t="s">
        <v>2326</v>
      </c>
      <c r="C202" s="3" t="s">
        <v>2327</v>
      </c>
      <c r="D202" s="3" t="s">
        <v>2328</v>
      </c>
      <c r="E202" s="3" t="s">
        <v>538</v>
      </c>
      <c r="F202" s="3">
        <v>29.9</v>
      </c>
      <c r="G202" s="3" t="s">
        <v>2454</v>
      </c>
      <c r="H202" s="3"/>
      <c r="I202" s="3" t="s">
        <v>2455</v>
      </c>
      <c r="J202" s="3">
        <v>3</v>
      </c>
      <c r="K202" s="3">
        <v>3</v>
      </c>
      <c r="L202" s="3">
        <v>0</v>
      </c>
      <c r="M202" s="3">
        <v>0</v>
      </c>
      <c r="N202" s="3">
        <v>3</v>
      </c>
      <c r="O202" s="3">
        <v>0.17</v>
      </c>
      <c r="P202" s="3">
        <v>0</v>
      </c>
      <c r="Q202" s="3">
        <v>0</v>
      </c>
      <c r="R202" s="3">
        <v>0</v>
      </c>
    </row>
    <row r="203" spans="1:18">
      <c r="A203" s="3" t="s">
        <v>1690</v>
      </c>
      <c r="B203" s="3" t="s">
        <v>1691</v>
      </c>
      <c r="C203" s="3" t="s">
        <v>1692</v>
      </c>
      <c r="D203" s="3" t="s">
        <v>1693</v>
      </c>
      <c r="E203" s="3" t="s">
        <v>538</v>
      </c>
      <c r="F203" s="3">
        <v>29.9</v>
      </c>
      <c r="G203" s="3" t="s">
        <v>2454</v>
      </c>
      <c r="H203" s="3"/>
      <c r="I203" s="3" t="s">
        <v>2455</v>
      </c>
      <c r="J203" s="3">
        <v>3</v>
      </c>
      <c r="K203" s="3">
        <v>3</v>
      </c>
      <c r="L203" s="3">
        <v>0</v>
      </c>
      <c r="M203" s="3">
        <v>0</v>
      </c>
      <c r="N203" s="3">
        <v>3</v>
      </c>
      <c r="O203" s="3">
        <v>0.2</v>
      </c>
      <c r="P203" s="3">
        <v>0</v>
      </c>
      <c r="Q203" s="3">
        <v>0</v>
      </c>
      <c r="R203" s="3">
        <v>0</v>
      </c>
    </row>
    <row r="204" spans="1:18">
      <c r="A204" s="3" t="s">
        <v>1835</v>
      </c>
      <c r="B204" s="3" t="s">
        <v>1836</v>
      </c>
      <c r="C204" s="3" t="s">
        <v>1837</v>
      </c>
      <c r="D204" s="3" t="s">
        <v>1838</v>
      </c>
      <c r="E204" s="3" t="s">
        <v>538</v>
      </c>
      <c r="F204" s="3">
        <v>34.9</v>
      </c>
      <c r="G204" s="3" t="s">
        <v>2454</v>
      </c>
      <c r="H204" s="3"/>
      <c r="I204" s="3" t="s">
        <v>2455</v>
      </c>
      <c r="J204" s="3">
        <v>3</v>
      </c>
      <c r="K204" s="3">
        <v>3</v>
      </c>
      <c r="L204" s="3">
        <v>0</v>
      </c>
      <c r="M204" s="3">
        <v>0</v>
      </c>
      <c r="N204" s="3">
        <v>3</v>
      </c>
      <c r="O204" s="3">
        <v>0.19</v>
      </c>
      <c r="P204" s="3">
        <v>0</v>
      </c>
      <c r="Q204" s="3">
        <v>0</v>
      </c>
      <c r="R204" s="3">
        <v>0</v>
      </c>
    </row>
    <row r="205" spans="1:18">
      <c r="A205" s="3" t="s">
        <v>2807</v>
      </c>
      <c r="B205" s="3" t="s">
        <v>2808</v>
      </c>
      <c r="C205" s="3" t="s">
        <v>2809</v>
      </c>
      <c r="D205" s="3" t="s">
        <v>2810</v>
      </c>
      <c r="E205" s="3" t="s">
        <v>538</v>
      </c>
      <c r="F205" s="3">
        <v>30.99</v>
      </c>
      <c r="G205" s="3" t="s">
        <v>2454</v>
      </c>
      <c r="H205" s="3"/>
      <c r="I205" s="3" t="s">
        <v>2455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</row>
    <row r="206" spans="1:18">
      <c r="A206" s="3" t="s">
        <v>2811</v>
      </c>
      <c r="B206" s="3" t="s">
        <v>2812</v>
      </c>
      <c r="C206" s="3" t="s">
        <v>2813</v>
      </c>
      <c r="D206" s="3" t="s">
        <v>2810</v>
      </c>
      <c r="E206" s="3" t="s">
        <v>538</v>
      </c>
      <c r="F206" s="3">
        <v>30.99</v>
      </c>
      <c r="G206" s="3" t="s">
        <v>2454</v>
      </c>
      <c r="H206" s="3"/>
      <c r="I206" s="3" t="s">
        <v>2455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</row>
    <row r="207" spans="1:18">
      <c r="A207" s="3" t="s">
        <v>2814</v>
      </c>
      <c r="B207" s="3" t="s">
        <v>2815</v>
      </c>
      <c r="C207" s="3" t="s">
        <v>2816</v>
      </c>
      <c r="D207" s="3" t="s">
        <v>2810</v>
      </c>
      <c r="E207" s="3" t="s">
        <v>538</v>
      </c>
      <c r="F207" s="3">
        <v>30.99</v>
      </c>
      <c r="G207" s="3" t="s">
        <v>2454</v>
      </c>
      <c r="H207" s="3"/>
      <c r="I207" s="3" t="s">
        <v>2455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</row>
    <row r="208" spans="1:18">
      <c r="A208" s="3" t="s">
        <v>1212</v>
      </c>
      <c r="B208" s="3" t="s">
        <v>1213</v>
      </c>
      <c r="C208" s="3" t="s">
        <v>1214</v>
      </c>
      <c r="D208" s="3" t="s">
        <v>1215</v>
      </c>
      <c r="E208" s="3" t="s">
        <v>538</v>
      </c>
      <c r="F208" s="3">
        <v>8.99</v>
      </c>
      <c r="G208" s="3" t="s">
        <v>2454</v>
      </c>
      <c r="H208" s="3"/>
      <c r="I208" s="3" t="s">
        <v>2455</v>
      </c>
      <c r="J208" s="3">
        <v>1</v>
      </c>
      <c r="K208" s="3">
        <v>1</v>
      </c>
      <c r="L208" s="3">
        <v>0</v>
      </c>
      <c r="M208" s="3">
        <v>0</v>
      </c>
      <c r="N208" s="3">
        <v>1</v>
      </c>
      <c r="O208" s="3">
        <v>0.05</v>
      </c>
      <c r="P208" s="3">
        <v>0</v>
      </c>
      <c r="Q208" s="3">
        <v>0</v>
      </c>
      <c r="R208" s="3">
        <v>0</v>
      </c>
    </row>
    <row r="209" spans="1:18">
      <c r="A209" s="3" t="s">
        <v>1092</v>
      </c>
      <c r="B209" s="3" t="s">
        <v>1093</v>
      </c>
      <c r="C209" s="3" t="s">
        <v>1094</v>
      </c>
      <c r="D209" s="3" t="s">
        <v>1095</v>
      </c>
      <c r="E209" s="3" t="s">
        <v>538</v>
      </c>
      <c r="F209" s="3">
        <v>12.99</v>
      </c>
      <c r="G209" s="3" t="s">
        <v>2454</v>
      </c>
      <c r="H209" s="3"/>
      <c r="I209" s="3" t="s">
        <v>2455</v>
      </c>
      <c r="J209" s="3">
        <v>78</v>
      </c>
      <c r="K209" s="3">
        <v>78</v>
      </c>
      <c r="L209" s="3">
        <v>0</v>
      </c>
      <c r="M209" s="3">
        <v>0</v>
      </c>
      <c r="N209" s="3">
        <v>78</v>
      </c>
      <c r="O209" s="3">
        <v>0.04</v>
      </c>
      <c r="P209" s="3">
        <v>0</v>
      </c>
      <c r="Q209" s="3">
        <v>0</v>
      </c>
      <c r="R209" s="3">
        <v>0</v>
      </c>
    </row>
    <row r="210" spans="1:18">
      <c r="A210" s="3" t="s">
        <v>1353</v>
      </c>
      <c r="B210" s="3" t="s">
        <v>1354</v>
      </c>
      <c r="C210" s="3" t="s">
        <v>1355</v>
      </c>
      <c r="D210" s="3" t="s">
        <v>1356</v>
      </c>
      <c r="E210" s="3" t="s">
        <v>538</v>
      </c>
      <c r="F210" s="3">
        <v>10</v>
      </c>
      <c r="G210" s="3" t="s">
        <v>2454</v>
      </c>
      <c r="H210" s="3"/>
      <c r="I210" s="3" t="s">
        <v>2455</v>
      </c>
      <c r="J210" s="3">
        <v>76</v>
      </c>
      <c r="K210" s="3">
        <v>76</v>
      </c>
      <c r="L210" s="3">
        <v>0</v>
      </c>
      <c r="M210" s="3">
        <v>0</v>
      </c>
      <c r="N210" s="3">
        <v>76</v>
      </c>
      <c r="O210" s="3">
        <v>0.03</v>
      </c>
      <c r="P210" s="3">
        <v>0</v>
      </c>
      <c r="Q210" s="3">
        <v>0</v>
      </c>
      <c r="R210" s="3">
        <v>0</v>
      </c>
    </row>
    <row r="211" spans="1:18">
      <c r="A211" s="3" t="s">
        <v>1200</v>
      </c>
      <c r="B211" s="3" t="s">
        <v>1201</v>
      </c>
      <c r="C211" s="3" t="s">
        <v>1202</v>
      </c>
      <c r="D211" s="3" t="s">
        <v>1203</v>
      </c>
      <c r="E211" s="3" t="s">
        <v>538</v>
      </c>
      <c r="F211" s="3">
        <v>10</v>
      </c>
      <c r="G211" s="3" t="s">
        <v>2454</v>
      </c>
      <c r="H211" s="3"/>
      <c r="I211" s="3" t="s">
        <v>2455</v>
      </c>
      <c r="J211" s="3">
        <v>14</v>
      </c>
      <c r="K211" s="3">
        <v>14</v>
      </c>
      <c r="L211" s="3">
        <v>0</v>
      </c>
      <c r="M211" s="3">
        <v>0</v>
      </c>
      <c r="N211" s="3">
        <v>14</v>
      </c>
      <c r="O211" s="3">
        <v>0.04</v>
      </c>
      <c r="P211" s="3">
        <v>0</v>
      </c>
      <c r="Q211" s="3">
        <v>0</v>
      </c>
      <c r="R211" s="3">
        <v>0</v>
      </c>
    </row>
    <row r="212" spans="1:18">
      <c r="A212" s="3" t="s">
        <v>1715</v>
      </c>
      <c r="B212" s="3" t="s">
        <v>1716</v>
      </c>
      <c r="C212" s="3" t="s">
        <v>1717</v>
      </c>
      <c r="D212" s="3" t="s">
        <v>1718</v>
      </c>
      <c r="E212" s="3" t="s">
        <v>538</v>
      </c>
      <c r="F212" s="3">
        <v>10</v>
      </c>
      <c r="G212" s="3" t="s">
        <v>2454</v>
      </c>
      <c r="H212" s="3"/>
      <c r="I212" s="3" t="s">
        <v>2455</v>
      </c>
      <c r="J212" s="3">
        <v>13</v>
      </c>
      <c r="K212" s="3">
        <v>13</v>
      </c>
      <c r="L212" s="3">
        <v>0</v>
      </c>
      <c r="M212" s="3">
        <v>0</v>
      </c>
      <c r="N212" s="3">
        <v>13</v>
      </c>
      <c r="O212" s="3">
        <v>0.03</v>
      </c>
      <c r="P212" s="3">
        <v>0</v>
      </c>
      <c r="Q212" s="3">
        <v>0</v>
      </c>
      <c r="R212" s="3">
        <v>0</v>
      </c>
    </row>
    <row r="213" spans="1:18">
      <c r="A213" s="3" t="s">
        <v>44</v>
      </c>
      <c r="B213" s="3" t="s">
        <v>45</v>
      </c>
      <c r="C213" s="3" t="s">
        <v>46</v>
      </c>
      <c r="D213" s="3" t="s">
        <v>47</v>
      </c>
      <c r="E213" s="3" t="s">
        <v>538</v>
      </c>
      <c r="F213" s="3">
        <v>10</v>
      </c>
      <c r="G213" s="3" t="s">
        <v>2454</v>
      </c>
      <c r="H213" s="3"/>
      <c r="I213" s="3" t="s">
        <v>2455</v>
      </c>
      <c r="J213" s="3">
        <v>9</v>
      </c>
      <c r="K213" s="3">
        <v>7</v>
      </c>
      <c r="L213" s="3">
        <v>0</v>
      </c>
      <c r="M213" s="3">
        <v>2</v>
      </c>
      <c r="N213" s="3">
        <v>9</v>
      </c>
      <c r="O213" s="3">
        <v>0.03</v>
      </c>
      <c r="P213" s="3">
        <v>0</v>
      </c>
      <c r="Q213" s="3">
        <v>0</v>
      </c>
      <c r="R213" s="3">
        <v>0</v>
      </c>
    </row>
    <row r="214" spans="1:18">
      <c r="A214" s="3" t="s">
        <v>715</v>
      </c>
      <c r="B214" s="3" t="s">
        <v>716</v>
      </c>
      <c r="C214" s="3" t="s">
        <v>717</v>
      </c>
      <c r="D214" s="3" t="s">
        <v>718</v>
      </c>
      <c r="E214" s="3" t="s">
        <v>538</v>
      </c>
      <c r="F214" s="3">
        <v>14.99</v>
      </c>
      <c r="G214" s="3" t="s">
        <v>2454</v>
      </c>
      <c r="H214" s="3"/>
      <c r="I214" s="3" t="s">
        <v>2455</v>
      </c>
      <c r="J214" s="3">
        <v>5</v>
      </c>
      <c r="K214" s="3">
        <v>5</v>
      </c>
      <c r="L214" s="3">
        <v>0</v>
      </c>
      <c r="M214" s="3">
        <v>0</v>
      </c>
      <c r="N214" s="3">
        <v>5</v>
      </c>
      <c r="O214" s="3">
        <v>0.23</v>
      </c>
      <c r="P214" s="3">
        <v>0</v>
      </c>
      <c r="Q214" s="3">
        <v>0</v>
      </c>
      <c r="R214" s="3">
        <v>0</v>
      </c>
    </row>
    <row r="215" spans="1:18">
      <c r="A215" s="3" t="s">
        <v>1944</v>
      </c>
      <c r="B215" s="3" t="s">
        <v>1945</v>
      </c>
      <c r="C215" s="3" t="s">
        <v>1946</v>
      </c>
      <c r="D215" s="3" t="s">
        <v>1947</v>
      </c>
      <c r="E215" s="3" t="s">
        <v>538</v>
      </c>
      <c r="F215" s="3">
        <v>14.99</v>
      </c>
      <c r="G215" s="3" t="s">
        <v>2454</v>
      </c>
      <c r="H215" s="3"/>
      <c r="I215" s="3" t="s">
        <v>2455</v>
      </c>
      <c r="J215" s="3">
        <v>3</v>
      </c>
      <c r="K215" s="3">
        <v>3</v>
      </c>
      <c r="L215" s="3">
        <v>0</v>
      </c>
      <c r="M215" s="3">
        <v>0</v>
      </c>
      <c r="N215" s="3">
        <v>3</v>
      </c>
      <c r="O215" s="3">
        <v>0.24</v>
      </c>
      <c r="P215" s="3">
        <v>0</v>
      </c>
      <c r="Q215" s="3">
        <v>0</v>
      </c>
      <c r="R215" s="3">
        <v>0</v>
      </c>
    </row>
    <row r="216" spans="1:18">
      <c r="A216" s="3" t="s">
        <v>2817</v>
      </c>
      <c r="B216" s="3" t="s">
        <v>2818</v>
      </c>
      <c r="C216" s="3" t="s">
        <v>2819</v>
      </c>
      <c r="D216" s="3" t="s">
        <v>2820</v>
      </c>
      <c r="E216" s="3" t="s">
        <v>538</v>
      </c>
      <c r="F216" s="3">
        <v>14.99</v>
      </c>
      <c r="G216" s="3" t="s">
        <v>2454</v>
      </c>
      <c r="H216" s="3"/>
      <c r="I216" s="3" t="s">
        <v>2455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0.2</v>
      </c>
      <c r="P216" s="3">
        <v>0</v>
      </c>
      <c r="Q216" s="3">
        <v>0</v>
      </c>
      <c r="R216" s="3">
        <v>0</v>
      </c>
    </row>
    <row r="217" spans="1:18">
      <c r="A217" s="3" t="s">
        <v>1561</v>
      </c>
      <c r="B217" s="3" t="s">
        <v>1562</v>
      </c>
      <c r="C217" s="3" t="s">
        <v>1563</v>
      </c>
      <c r="D217" s="3" t="s">
        <v>1564</v>
      </c>
      <c r="E217" s="3" t="s">
        <v>538</v>
      </c>
      <c r="F217" s="3">
        <v>14.99</v>
      </c>
      <c r="G217" s="3" t="s">
        <v>2454</v>
      </c>
      <c r="H217" s="3"/>
      <c r="I217" s="3" t="s">
        <v>2455</v>
      </c>
      <c r="J217" s="3">
        <v>4</v>
      </c>
      <c r="K217" s="3">
        <v>4</v>
      </c>
      <c r="L217" s="3">
        <v>0</v>
      </c>
      <c r="M217" s="3">
        <v>0</v>
      </c>
      <c r="N217" s="3">
        <v>4</v>
      </c>
      <c r="O217" s="3">
        <v>0.12</v>
      </c>
      <c r="P217" s="3">
        <v>0</v>
      </c>
      <c r="Q217" s="3">
        <v>0</v>
      </c>
      <c r="R217" s="3">
        <v>0</v>
      </c>
    </row>
    <row r="218" spans="1:18">
      <c r="A218" s="3" t="s">
        <v>2321</v>
      </c>
      <c r="B218" s="3" t="s">
        <v>2322</v>
      </c>
      <c r="C218" s="3" t="s">
        <v>2323</v>
      </c>
      <c r="D218" s="3" t="s">
        <v>2324</v>
      </c>
      <c r="E218" s="3" t="s">
        <v>538</v>
      </c>
      <c r="F218" s="3">
        <v>14.99</v>
      </c>
      <c r="G218" s="3" t="s">
        <v>2454</v>
      </c>
      <c r="H218" s="3"/>
      <c r="I218" s="3" t="s">
        <v>2455</v>
      </c>
      <c r="J218" s="3">
        <v>5</v>
      </c>
      <c r="K218" s="3">
        <v>5</v>
      </c>
      <c r="L218" s="3">
        <v>0</v>
      </c>
      <c r="M218" s="3">
        <v>0</v>
      </c>
      <c r="N218" s="3">
        <v>5</v>
      </c>
      <c r="O218" s="3">
        <v>0.24</v>
      </c>
      <c r="P218" s="3">
        <v>0</v>
      </c>
      <c r="Q218" s="3">
        <v>0</v>
      </c>
      <c r="R218" s="3">
        <v>0</v>
      </c>
    </row>
    <row r="219" spans="1:18">
      <c r="A219" s="3" t="s">
        <v>2821</v>
      </c>
      <c r="B219" s="3" t="s">
        <v>2822</v>
      </c>
      <c r="C219" s="3" t="s">
        <v>2823</v>
      </c>
      <c r="D219" s="3" t="s">
        <v>2824</v>
      </c>
      <c r="E219" s="3" t="s">
        <v>538</v>
      </c>
      <c r="F219" s="3">
        <v>14.99</v>
      </c>
      <c r="G219" s="3" t="s">
        <v>2454</v>
      </c>
      <c r="H219" s="3"/>
      <c r="I219" s="3" t="s">
        <v>2455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0.23</v>
      </c>
      <c r="P219" s="3">
        <v>0</v>
      </c>
      <c r="Q219" s="3">
        <v>0</v>
      </c>
      <c r="R219" s="3">
        <v>0</v>
      </c>
    </row>
    <row r="220" spans="1:18">
      <c r="A220" s="3" t="s">
        <v>2825</v>
      </c>
      <c r="B220" s="3" t="s">
        <v>2826</v>
      </c>
      <c r="C220" s="3" t="s">
        <v>2827</v>
      </c>
      <c r="D220" s="3"/>
      <c r="E220" s="3" t="s">
        <v>2459</v>
      </c>
      <c r="F220" s="3"/>
      <c r="G220" s="3"/>
      <c r="H220" s="3"/>
      <c r="I220" s="3"/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/>
      <c r="P220" s="3">
        <v>0</v>
      </c>
      <c r="Q220" s="3">
        <v>0</v>
      </c>
      <c r="R220" s="3">
        <v>0</v>
      </c>
    </row>
    <row r="221" spans="1:18">
      <c r="A221" s="3" t="s">
        <v>2828</v>
      </c>
      <c r="B221" s="3" t="s">
        <v>2829</v>
      </c>
      <c r="C221" s="3" t="s">
        <v>2830</v>
      </c>
      <c r="D221" s="3"/>
      <c r="E221" s="3" t="s">
        <v>2459</v>
      </c>
      <c r="F221" s="3"/>
      <c r="G221" s="3"/>
      <c r="H221" s="3"/>
      <c r="I221" s="3"/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/>
      <c r="P221" s="3">
        <v>0</v>
      </c>
      <c r="Q221" s="3">
        <v>0</v>
      </c>
      <c r="R221" s="3">
        <v>0</v>
      </c>
    </row>
    <row r="222" spans="1:18">
      <c r="A222" s="3" t="s">
        <v>2831</v>
      </c>
      <c r="B222" s="3" t="s">
        <v>2832</v>
      </c>
      <c r="C222" s="3" t="s">
        <v>2833</v>
      </c>
      <c r="D222" s="3"/>
      <c r="E222" s="3" t="s">
        <v>2459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2834</v>
      </c>
      <c r="B223" s="3" t="s">
        <v>2835</v>
      </c>
      <c r="C223" s="3" t="s">
        <v>2836</v>
      </c>
      <c r="D223" s="3"/>
      <c r="E223" s="3" t="s">
        <v>2459</v>
      </c>
      <c r="F223" s="3"/>
      <c r="G223" s="3"/>
      <c r="H223" s="3"/>
      <c r="I223" s="3"/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/>
      <c r="P223" s="3">
        <v>0</v>
      </c>
      <c r="Q223" s="3">
        <v>0</v>
      </c>
      <c r="R223" s="3">
        <v>0</v>
      </c>
    </row>
    <row r="224" spans="1:18">
      <c r="A224" s="3" t="s">
        <v>2837</v>
      </c>
      <c r="B224" s="3" t="s">
        <v>2838</v>
      </c>
      <c r="C224" s="3" t="s">
        <v>2839</v>
      </c>
      <c r="D224" s="3"/>
      <c r="E224" s="3" t="s">
        <v>2459</v>
      </c>
      <c r="F224" s="3"/>
      <c r="G224" s="3"/>
      <c r="H224" s="3"/>
      <c r="I224" s="3"/>
      <c r="J224" s="3">
        <v>0</v>
      </c>
      <c r="K224" s="3">
        <v>0</v>
      </c>
      <c r="L224" s="3">
        <v>0</v>
      </c>
      <c r="M224" s="3">
        <v>0</v>
      </c>
      <c r="N224" s="3">
        <v>0</v>
      </c>
      <c r="O224" s="3"/>
      <c r="P224" s="3">
        <v>0</v>
      </c>
      <c r="Q224" s="3">
        <v>0</v>
      </c>
      <c r="R224" s="3">
        <v>0</v>
      </c>
    </row>
    <row r="225" spans="1:18">
      <c r="A225" s="3" t="s">
        <v>1415</v>
      </c>
      <c r="B225" s="3" t="s">
        <v>1416</v>
      </c>
      <c r="C225" s="3" t="s">
        <v>1417</v>
      </c>
      <c r="D225" s="3" t="s">
        <v>1418</v>
      </c>
      <c r="E225" s="3" t="s">
        <v>538</v>
      </c>
      <c r="F225" s="3">
        <v>18.99</v>
      </c>
      <c r="G225" s="3" t="s">
        <v>2454</v>
      </c>
      <c r="H225" s="3"/>
      <c r="I225" s="3" t="s">
        <v>2455</v>
      </c>
      <c r="J225" s="3">
        <v>4</v>
      </c>
      <c r="K225" s="3">
        <v>4</v>
      </c>
      <c r="L225" s="3">
        <v>0</v>
      </c>
      <c r="M225" s="3">
        <v>0</v>
      </c>
      <c r="N225" s="3">
        <v>4</v>
      </c>
      <c r="O225" s="3">
        <v>0.27</v>
      </c>
      <c r="P225" s="3">
        <v>0</v>
      </c>
      <c r="Q225" s="3">
        <v>0</v>
      </c>
      <c r="R225" s="3">
        <v>0</v>
      </c>
    </row>
    <row r="226" spans="1:18">
      <c r="A226" s="3" t="s">
        <v>2840</v>
      </c>
      <c r="B226" s="3" t="s">
        <v>2841</v>
      </c>
      <c r="C226" s="3" t="s">
        <v>2842</v>
      </c>
      <c r="D226" s="3" t="s">
        <v>2843</v>
      </c>
      <c r="E226" s="3" t="s">
        <v>538</v>
      </c>
      <c r="F226" s="3">
        <v>15.99</v>
      </c>
      <c r="G226" s="3" t="s">
        <v>2454</v>
      </c>
      <c r="H226" s="3"/>
      <c r="I226" s="3" t="s">
        <v>2455</v>
      </c>
      <c r="J226" s="3">
        <v>0</v>
      </c>
      <c r="K226" s="3">
        <v>0</v>
      </c>
      <c r="L226" s="3">
        <v>0</v>
      </c>
      <c r="M226" s="3">
        <v>0</v>
      </c>
      <c r="N226" s="3">
        <v>0</v>
      </c>
      <c r="O226" s="3">
        <v>0.36</v>
      </c>
      <c r="P226" s="3">
        <v>0</v>
      </c>
      <c r="Q226" s="3">
        <v>0</v>
      </c>
      <c r="R226" s="3">
        <v>0</v>
      </c>
    </row>
    <row r="227" spans="1:18">
      <c r="A227" s="3" t="s">
        <v>1895</v>
      </c>
      <c r="B227" s="3" t="s">
        <v>1896</v>
      </c>
      <c r="C227" s="3" t="s">
        <v>1897</v>
      </c>
      <c r="D227" s="3" t="s">
        <v>1898</v>
      </c>
      <c r="E227" s="3" t="s">
        <v>538</v>
      </c>
      <c r="F227" s="3">
        <v>15.99</v>
      </c>
      <c r="G227" s="3" t="s">
        <v>2454</v>
      </c>
      <c r="H227" s="3"/>
      <c r="I227" s="3" t="s">
        <v>2455</v>
      </c>
      <c r="J227" s="3">
        <v>5</v>
      </c>
      <c r="K227" s="3">
        <v>5</v>
      </c>
      <c r="L227" s="3">
        <v>0</v>
      </c>
      <c r="M227" s="3">
        <v>0</v>
      </c>
      <c r="N227" s="3">
        <v>5</v>
      </c>
      <c r="O227" s="3">
        <v>0.31</v>
      </c>
      <c r="P227" s="3">
        <v>0</v>
      </c>
      <c r="Q227" s="3">
        <v>0</v>
      </c>
      <c r="R227" s="3">
        <v>0</v>
      </c>
    </row>
    <row r="228" spans="1:18">
      <c r="A228" s="3" t="s">
        <v>55</v>
      </c>
      <c r="B228" s="3" t="s">
        <v>56</v>
      </c>
      <c r="C228" s="3" t="s">
        <v>57</v>
      </c>
      <c r="D228" s="3" t="s">
        <v>58</v>
      </c>
      <c r="E228" s="3" t="s">
        <v>538</v>
      </c>
      <c r="F228" s="3">
        <v>15.99</v>
      </c>
      <c r="G228" s="3" t="s">
        <v>2454</v>
      </c>
      <c r="H228" s="3"/>
      <c r="I228" s="3" t="s">
        <v>2455</v>
      </c>
      <c r="J228" s="3">
        <v>98</v>
      </c>
      <c r="K228" s="3">
        <v>88</v>
      </c>
      <c r="L228" s="3">
        <v>0</v>
      </c>
      <c r="M228" s="3">
        <v>10</v>
      </c>
      <c r="N228" s="3">
        <v>98</v>
      </c>
      <c r="O228" s="3">
        <v>0.19</v>
      </c>
      <c r="P228" s="3">
        <v>0</v>
      </c>
      <c r="Q228" s="3">
        <v>0</v>
      </c>
      <c r="R228" s="3">
        <v>0</v>
      </c>
    </row>
    <row r="229" spans="1:18">
      <c r="A229" s="3" t="s">
        <v>2844</v>
      </c>
      <c r="B229" s="3" t="s">
        <v>2845</v>
      </c>
      <c r="C229" s="3" t="s">
        <v>1417</v>
      </c>
      <c r="D229" s="3" t="s">
        <v>1418</v>
      </c>
      <c r="E229" s="3" t="s">
        <v>538</v>
      </c>
      <c r="F229" s="3">
        <v>18.99</v>
      </c>
      <c r="G229" s="3" t="s">
        <v>2454</v>
      </c>
      <c r="H229" s="3"/>
      <c r="I229" s="3" t="s">
        <v>2455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0.27</v>
      </c>
      <c r="P229" s="3">
        <v>0</v>
      </c>
      <c r="Q229" s="3">
        <v>0</v>
      </c>
      <c r="R229" s="3">
        <v>0</v>
      </c>
    </row>
    <row r="230" spans="1:18">
      <c r="A230" s="3" t="s">
        <v>867</v>
      </c>
      <c r="B230" s="3" t="s">
        <v>868</v>
      </c>
      <c r="C230" s="3" t="s">
        <v>869</v>
      </c>
      <c r="D230" s="3" t="s">
        <v>870</v>
      </c>
      <c r="E230" s="3" t="s">
        <v>538</v>
      </c>
      <c r="F230" s="3">
        <v>18.99</v>
      </c>
      <c r="G230" s="3" t="s">
        <v>2454</v>
      </c>
      <c r="H230" s="3"/>
      <c r="I230" s="3" t="s">
        <v>2455</v>
      </c>
      <c r="J230" s="3">
        <v>3</v>
      </c>
      <c r="K230" s="3">
        <v>3</v>
      </c>
      <c r="L230" s="3">
        <v>0</v>
      </c>
      <c r="M230" s="3">
        <v>0</v>
      </c>
      <c r="N230" s="3">
        <v>3</v>
      </c>
      <c r="O230" s="3">
        <v>0.19</v>
      </c>
      <c r="P230" s="3">
        <v>0</v>
      </c>
      <c r="Q230" s="3">
        <v>0</v>
      </c>
      <c r="R230" s="3">
        <v>0</v>
      </c>
    </row>
    <row r="231" spans="1:18">
      <c r="A231" s="3" t="s">
        <v>681</v>
      </c>
      <c r="B231" s="3" t="s">
        <v>682</v>
      </c>
      <c r="C231" s="3" t="s">
        <v>683</v>
      </c>
      <c r="D231" s="3" t="s">
        <v>684</v>
      </c>
      <c r="E231" s="3" t="s">
        <v>538</v>
      </c>
      <c r="F231" s="3">
        <v>14.99</v>
      </c>
      <c r="G231" s="3" t="s">
        <v>2454</v>
      </c>
      <c r="H231" s="3"/>
      <c r="I231" s="3" t="s">
        <v>2455</v>
      </c>
      <c r="J231" s="3">
        <v>3</v>
      </c>
      <c r="K231" s="3">
        <v>3</v>
      </c>
      <c r="L231" s="3">
        <v>0</v>
      </c>
      <c r="M231" s="3">
        <v>0</v>
      </c>
      <c r="N231" s="3">
        <v>3</v>
      </c>
      <c r="O231" s="3">
        <v>0.19</v>
      </c>
      <c r="P231" s="3">
        <v>0</v>
      </c>
      <c r="Q231" s="3">
        <v>0</v>
      </c>
      <c r="R231" s="3">
        <v>0</v>
      </c>
    </row>
    <row r="232" spans="1:18">
      <c r="A232" s="3" t="s">
        <v>1042</v>
      </c>
      <c r="B232" s="3" t="s">
        <v>1043</v>
      </c>
      <c r="C232" s="3" t="s">
        <v>1044</v>
      </c>
      <c r="D232" s="3" t="s">
        <v>1045</v>
      </c>
      <c r="E232" s="3" t="s">
        <v>538</v>
      </c>
      <c r="F232" s="3">
        <v>14.99</v>
      </c>
      <c r="G232" s="3" t="s">
        <v>2454</v>
      </c>
      <c r="H232" s="3"/>
      <c r="I232" s="3" t="s">
        <v>2455</v>
      </c>
      <c r="J232" s="3">
        <v>4</v>
      </c>
      <c r="K232" s="3">
        <v>4</v>
      </c>
      <c r="L232" s="3">
        <v>0</v>
      </c>
      <c r="M232" s="3">
        <v>0</v>
      </c>
      <c r="N232" s="3">
        <v>4</v>
      </c>
      <c r="O232" s="3">
        <v>0.34</v>
      </c>
      <c r="P232" s="3">
        <v>0</v>
      </c>
      <c r="Q232" s="3">
        <v>0</v>
      </c>
      <c r="R232" s="3">
        <v>0</v>
      </c>
    </row>
    <row r="233" spans="1:18">
      <c r="A233" s="3" t="s">
        <v>1804</v>
      </c>
      <c r="B233" s="3" t="s">
        <v>1805</v>
      </c>
      <c r="C233" s="3" t="s">
        <v>1806</v>
      </c>
      <c r="D233" s="3" t="s">
        <v>1807</v>
      </c>
      <c r="E233" s="3" t="s">
        <v>538</v>
      </c>
      <c r="F233" s="3">
        <v>14.99</v>
      </c>
      <c r="G233" s="3" t="s">
        <v>2454</v>
      </c>
      <c r="H233" s="3"/>
      <c r="I233" s="3" t="s">
        <v>2455</v>
      </c>
      <c r="J233" s="3">
        <v>9</v>
      </c>
      <c r="K233" s="3">
        <v>9</v>
      </c>
      <c r="L233" s="3">
        <v>0</v>
      </c>
      <c r="M233" s="3">
        <v>0</v>
      </c>
      <c r="N233" s="3">
        <v>9</v>
      </c>
      <c r="O233" s="3">
        <v>0.36</v>
      </c>
      <c r="P233" s="3">
        <v>0</v>
      </c>
      <c r="Q233" s="3">
        <v>0</v>
      </c>
      <c r="R233" s="3">
        <v>0</v>
      </c>
    </row>
    <row r="234" spans="1:18">
      <c r="A234" s="3" t="s">
        <v>974</v>
      </c>
      <c r="B234" s="3" t="s">
        <v>975</v>
      </c>
      <c r="C234" s="3" t="s">
        <v>976</v>
      </c>
      <c r="D234" s="3" t="s">
        <v>977</v>
      </c>
      <c r="E234" s="3" t="s">
        <v>538</v>
      </c>
      <c r="F234" s="3">
        <v>14.99</v>
      </c>
      <c r="G234" s="3" t="s">
        <v>2454</v>
      </c>
      <c r="H234" s="3"/>
      <c r="I234" s="3" t="s">
        <v>2455</v>
      </c>
      <c r="J234" s="3">
        <v>9</v>
      </c>
      <c r="K234" s="3">
        <v>9</v>
      </c>
      <c r="L234" s="3">
        <v>0</v>
      </c>
      <c r="M234" s="3">
        <v>0</v>
      </c>
      <c r="N234" s="3">
        <v>9</v>
      </c>
      <c r="O234" s="3">
        <v>0.44</v>
      </c>
      <c r="P234" s="3">
        <v>0</v>
      </c>
      <c r="Q234" s="3">
        <v>0</v>
      </c>
      <c r="R234" s="3">
        <v>0</v>
      </c>
    </row>
    <row r="235" spans="1:18">
      <c r="A235" s="3" t="s">
        <v>936</v>
      </c>
      <c r="B235" s="3" t="s">
        <v>937</v>
      </c>
      <c r="C235" s="3" t="s">
        <v>938</v>
      </c>
      <c r="D235" s="3" t="s">
        <v>939</v>
      </c>
      <c r="E235" s="3" t="s">
        <v>538</v>
      </c>
      <c r="F235" s="3">
        <v>14.99</v>
      </c>
      <c r="G235" s="3" t="s">
        <v>2454</v>
      </c>
      <c r="H235" s="3"/>
      <c r="I235" s="3" t="s">
        <v>2455</v>
      </c>
      <c r="J235" s="3">
        <v>30</v>
      </c>
      <c r="K235" s="3">
        <v>30</v>
      </c>
      <c r="L235" s="3">
        <v>0</v>
      </c>
      <c r="M235" s="3">
        <v>0</v>
      </c>
      <c r="N235" s="3">
        <v>30</v>
      </c>
      <c r="O235" s="3">
        <v>0.21</v>
      </c>
      <c r="P235" s="3">
        <v>0</v>
      </c>
      <c r="Q235" s="3">
        <v>0</v>
      </c>
      <c r="R235" s="3">
        <v>0</v>
      </c>
    </row>
    <row r="236" spans="1:18">
      <c r="A236" s="3" t="s">
        <v>2846</v>
      </c>
      <c r="B236" s="3" t="s">
        <v>2847</v>
      </c>
      <c r="C236" s="3" t="s">
        <v>2848</v>
      </c>
      <c r="D236" s="3" t="s">
        <v>2849</v>
      </c>
      <c r="E236" s="3" t="s">
        <v>538</v>
      </c>
      <c r="F236" s="3">
        <v>9.99</v>
      </c>
      <c r="G236" s="3" t="s">
        <v>2454</v>
      </c>
      <c r="H236" s="3"/>
      <c r="I236" s="3" t="s">
        <v>2455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0.12</v>
      </c>
      <c r="P236" s="3">
        <v>0</v>
      </c>
      <c r="Q236" s="3">
        <v>0</v>
      </c>
      <c r="R236" s="3">
        <v>0</v>
      </c>
    </row>
    <row r="237" spans="1:18">
      <c r="A237" s="3" t="s">
        <v>2850</v>
      </c>
      <c r="B237" s="3" t="s">
        <v>2851</v>
      </c>
      <c r="C237" s="3" t="s">
        <v>2852</v>
      </c>
      <c r="D237" s="3" t="s">
        <v>2853</v>
      </c>
      <c r="E237" s="3" t="s">
        <v>538</v>
      </c>
      <c r="F237" s="3">
        <v>13.99</v>
      </c>
      <c r="G237" s="3" t="s">
        <v>2454</v>
      </c>
      <c r="H237" s="3"/>
      <c r="I237" s="3" t="s">
        <v>2455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0.16</v>
      </c>
      <c r="P237" s="3">
        <v>0</v>
      </c>
      <c r="Q237" s="3">
        <v>0</v>
      </c>
      <c r="R237" s="3">
        <v>0</v>
      </c>
    </row>
    <row r="238" spans="1:18">
      <c r="A238" s="3" t="s">
        <v>2854</v>
      </c>
      <c r="B238" s="3" t="s">
        <v>2855</v>
      </c>
      <c r="C238" s="3" t="s">
        <v>2856</v>
      </c>
      <c r="D238" s="3" t="s">
        <v>2857</v>
      </c>
      <c r="E238" s="3" t="s">
        <v>538</v>
      </c>
      <c r="F238" s="3">
        <v>14.99</v>
      </c>
      <c r="G238" s="3" t="s">
        <v>2454</v>
      </c>
      <c r="H238" s="3"/>
      <c r="I238" s="3" t="s">
        <v>2455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0.12</v>
      </c>
      <c r="P238" s="3">
        <v>0</v>
      </c>
      <c r="Q238" s="3">
        <v>0</v>
      </c>
      <c r="R238" s="3">
        <v>0</v>
      </c>
    </row>
    <row r="239" spans="1:18">
      <c r="A239" s="3" t="s">
        <v>2858</v>
      </c>
      <c r="B239" s="3" t="s">
        <v>2859</v>
      </c>
      <c r="C239" s="3" t="s">
        <v>2860</v>
      </c>
      <c r="D239" s="3" t="s">
        <v>2861</v>
      </c>
      <c r="E239" s="3" t="s">
        <v>538</v>
      </c>
      <c r="F239" s="3">
        <v>10.99</v>
      </c>
      <c r="G239" s="3" t="s">
        <v>2454</v>
      </c>
      <c r="H239" s="3"/>
      <c r="I239" s="3" t="s">
        <v>2455</v>
      </c>
      <c r="J239" s="3">
        <v>0</v>
      </c>
      <c r="K239" s="3">
        <v>0</v>
      </c>
      <c r="L239" s="3">
        <v>0</v>
      </c>
      <c r="M239" s="3">
        <v>0</v>
      </c>
      <c r="N239" s="3">
        <v>0</v>
      </c>
      <c r="O239" s="3">
        <v>0.21</v>
      </c>
      <c r="P239" s="3">
        <v>0</v>
      </c>
      <c r="Q239" s="3">
        <v>0</v>
      </c>
      <c r="R239" s="3">
        <v>0</v>
      </c>
    </row>
    <row r="240" spans="1:18">
      <c r="A240" s="3" t="s">
        <v>2862</v>
      </c>
      <c r="B240" s="3" t="s">
        <v>2863</v>
      </c>
      <c r="C240" s="3" t="s">
        <v>2864</v>
      </c>
      <c r="D240" s="3" t="s">
        <v>2865</v>
      </c>
      <c r="E240" s="3" t="s">
        <v>538</v>
      </c>
      <c r="F240" s="3">
        <v>55.99</v>
      </c>
      <c r="G240" s="3" t="s">
        <v>2454</v>
      </c>
      <c r="H240" s="3"/>
      <c r="I240" s="3" t="s">
        <v>2455</v>
      </c>
      <c r="J240" s="3">
        <v>0</v>
      </c>
      <c r="K240" s="3">
        <v>0</v>
      </c>
      <c r="L240" s="3">
        <v>0</v>
      </c>
      <c r="M240" s="3">
        <v>0</v>
      </c>
      <c r="N240" s="3">
        <v>0</v>
      </c>
      <c r="O240" s="3">
        <v>0.06</v>
      </c>
      <c r="P240" s="3">
        <v>0</v>
      </c>
      <c r="Q240" s="3">
        <v>0</v>
      </c>
      <c r="R240" s="3">
        <v>0</v>
      </c>
    </row>
    <row r="241" spans="1:18">
      <c r="A241" s="3" t="s">
        <v>2866</v>
      </c>
      <c r="B241" s="3" t="s">
        <v>2867</v>
      </c>
      <c r="C241" s="3" t="s">
        <v>2868</v>
      </c>
      <c r="D241" s="3" t="s">
        <v>1689</v>
      </c>
      <c r="E241" s="3" t="s">
        <v>538</v>
      </c>
      <c r="F241" s="3">
        <v>22.99</v>
      </c>
      <c r="G241" s="3" t="s">
        <v>2454</v>
      </c>
      <c r="H241" s="3"/>
      <c r="I241" s="3" t="s">
        <v>2455</v>
      </c>
      <c r="J241" s="3">
        <v>0</v>
      </c>
      <c r="K241" s="3">
        <v>0</v>
      </c>
      <c r="L241" s="3">
        <v>0</v>
      </c>
      <c r="M241" s="3">
        <v>0</v>
      </c>
      <c r="N241" s="3">
        <v>0</v>
      </c>
      <c r="O241" s="3">
        <v>0.06</v>
      </c>
      <c r="P241" s="3">
        <v>0</v>
      </c>
      <c r="Q241" s="3">
        <v>0</v>
      </c>
      <c r="R241" s="3">
        <v>0</v>
      </c>
    </row>
    <row r="242" spans="1:18">
      <c r="A242" s="3" t="s">
        <v>1686</v>
      </c>
      <c r="B242" s="3" t="s">
        <v>1687</v>
      </c>
      <c r="C242" s="3" t="s">
        <v>1688</v>
      </c>
      <c r="D242" s="3" t="s">
        <v>1689</v>
      </c>
      <c r="E242" s="3" t="s">
        <v>538</v>
      </c>
      <c r="F242" s="3">
        <v>25.99</v>
      </c>
      <c r="G242" s="3" t="s">
        <v>2454</v>
      </c>
      <c r="H242" s="3"/>
      <c r="I242" s="3" t="s">
        <v>2455</v>
      </c>
      <c r="J242" s="3">
        <v>1</v>
      </c>
      <c r="K242" s="3">
        <v>1</v>
      </c>
      <c r="L242" s="3">
        <v>0</v>
      </c>
      <c r="M242" s="3">
        <v>0</v>
      </c>
      <c r="N242" s="3">
        <v>1</v>
      </c>
      <c r="O242" s="3">
        <v>0.06</v>
      </c>
      <c r="P242" s="3">
        <v>0</v>
      </c>
      <c r="Q242" s="3">
        <v>0</v>
      </c>
      <c r="R242" s="3">
        <v>0</v>
      </c>
    </row>
    <row r="243" spans="1:18">
      <c r="A243" s="3" t="s">
        <v>2869</v>
      </c>
      <c r="B243" s="3" t="s">
        <v>2870</v>
      </c>
      <c r="C243" s="3" t="s">
        <v>2871</v>
      </c>
      <c r="D243" s="3" t="s">
        <v>1689</v>
      </c>
      <c r="E243" s="3" t="s">
        <v>538</v>
      </c>
      <c r="F243" s="3">
        <v>30.99</v>
      </c>
      <c r="G243" s="3" t="s">
        <v>2454</v>
      </c>
      <c r="H243" s="3"/>
      <c r="I243" s="3" t="s">
        <v>2455</v>
      </c>
      <c r="J243" s="3">
        <v>0</v>
      </c>
      <c r="K243" s="3">
        <v>0</v>
      </c>
      <c r="L243" s="3">
        <v>0</v>
      </c>
      <c r="M243" s="3">
        <v>0</v>
      </c>
      <c r="N243" s="3">
        <v>0</v>
      </c>
      <c r="O243" s="3">
        <v>0.06</v>
      </c>
      <c r="P243" s="3">
        <v>0</v>
      </c>
      <c r="Q243" s="3">
        <v>0</v>
      </c>
      <c r="R243" s="3">
        <v>0</v>
      </c>
    </row>
    <row r="244" spans="1:18">
      <c r="A244" s="3" t="s">
        <v>881</v>
      </c>
      <c r="B244" s="3" t="s">
        <v>882</v>
      </c>
      <c r="C244" s="3" t="s">
        <v>883</v>
      </c>
      <c r="D244" s="3" t="s">
        <v>884</v>
      </c>
      <c r="E244" s="3" t="s">
        <v>538</v>
      </c>
      <c r="F244" s="3">
        <v>14.7</v>
      </c>
      <c r="G244" s="3" t="s">
        <v>2454</v>
      </c>
      <c r="H244" s="3"/>
      <c r="I244" s="3" t="s">
        <v>2455</v>
      </c>
      <c r="J244" s="3">
        <v>5</v>
      </c>
      <c r="K244" s="3">
        <v>4</v>
      </c>
      <c r="L244" s="3">
        <v>1</v>
      </c>
      <c r="M244" s="3">
        <v>0</v>
      </c>
      <c r="N244" s="3">
        <v>5</v>
      </c>
      <c r="O244" s="3">
        <v>0.03</v>
      </c>
      <c r="P244" s="3">
        <v>0</v>
      </c>
      <c r="Q244" s="3">
        <v>0</v>
      </c>
      <c r="R244" s="3">
        <v>0</v>
      </c>
    </row>
    <row r="245" spans="1:18">
      <c r="A245" s="3" t="s">
        <v>2872</v>
      </c>
      <c r="B245" s="3" t="s">
        <v>2873</v>
      </c>
      <c r="C245" s="3" t="s">
        <v>2874</v>
      </c>
      <c r="D245" s="3" t="s">
        <v>2627</v>
      </c>
      <c r="E245" s="3" t="s">
        <v>538</v>
      </c>
      <c r="F245" s="3">
        <v>9.99</v>
      </c>
      <c r="G245" s="3" t="s">
        <v>2454</v>
      </c>
      <c r="H245" s="3"/>
      <c r="I245" s="3" t="s">
        <v>2455</v>
      </c>
      <c r="J245" s="3">
        <v>0</v>
      </c>
      <c r="K245" s="3">
        <v>0</v>
      </c>
      <c r="L245" s="3">
        <v>0</v>
      </c>
      <c r="M245" s="3">
        <v>0</v>
      </c>
      <c r="N245" s="3">
        <v>0</v>
      </c>
      <c r="O245" s="3">
        <v>0.11</v>
      </c>
      <c r="P245" s="3">
        <v>0</v>
      </c>
      <c r="Q245" s="3">
        <v>0</v>
      </c>
      <c r="R245" s="3">
        <v>0</v>
      </c>
    </row>
    <row r="246" spans="1:18">
      <c r="A246" s="3" t="s">
        <v>1271</v>
      </c>
      <c r="B246" s="3" t="s">
        <v>1272</v>
      </c>
      <c r="C246" s="3" t="s">
        <v>1273</v>
      </c>
      <c r="D246" s="3" t="s">
        <v>1274</v>
      </c>
      <c r="E246" s="3" t="s">
        <v>538</v>
      </c>
      <c r="F246" s="3">
        <v>14.7</v>
      </c>
      <c r="G246" s="3" t="s">
        <v>2454</v>
      </c>
      <c r="H246" s="3"/>
      <c r="I246" s="3" t="s">
        <v>2455</v>
      </c>
      <c r="J246" s="3">
        <v>32</v>
      </c>
      <c r="K246" s="3">
        <v>32</v>
      </c>
      <c r="L246" s="3">
        <v>0</v>
      </c>
      <c r="M246" s="3">
        <v>0</v>
      </c>
      <c r="N246" s="3">
        <v>32</v>
      </c>
      <c r="O246" s="3">
        <v>0.01</v>
      </c>
      <c r="P246" s="3">
        <v>0</v>
      </c>
      <c r="Q246" s="3">
        <v>0</v>
      </c>
      <c r="R246" s="3">
        <v>0</v>
      </c>
    </row>
    <row r="247" spans="1:18">
      <c r="A247" s="3" t="s">
        <v>2875</v>
      </c>
      <c r="B247" s="3" t="s">
        <v>2876</v>
      </c>
      <c r="C247" s="3" t="s">
        <v>2877</v>
      </c>
      <c r="D247" s="3" t="s">
        <v>2878</v>
      </c>
      <c r="E247" s="3" t="s">
        <v>538</v>
      </c>
      <c r="F247" s="3">
        <v>14.7</v>
      </c>
      <c r="G247" s="3" t="s">
        <v>2454</v>
      </c>
      <c r="H247" s="3"/>
      <c r="I247" s="3" t="s">
        <v>2455</v>
      </c>
      <c r="J247" s="3">
        <v>0</v>
      </c>
      <c r="K247" s="3">
        <v>0</v>
      </c>
      <c r="L247" s="3">
        <v>0</v>
      </c>
      <c r="M247" s="3">
        <v>0</v>
      </c>
      <c r="N247" s="3">
        <v>0</v>
      </c>
      <c r="O247" s="3">
        <v>0.01</v>
      </c>
      <c r="P247" s="3">
        <v>0</v>
      </c>
      <c r="Q247" s="3">
        <v>0</v>
      </c>
      <c r="R247" s="3">
        <v>0</v>
      </c>
    </row>
    <row r="248" spans="1:18">
      <c r="A248" s="3" t="s">
        <v>850</v>
      </c>
      <c r="B248" s="3" t="s">
        <v>851</v>
      </c>
      <c r="C248" s="3" t="s">
        <v>852</v>
      </c>
      <c r="D248" s="3"/>
      <c r="E248" s="3" t="s">
        <v>2459</v>
      </c>
      <c r="F248" s="3"/>
      <c r="G248" s="3"/>
      <c r="H248" s="3"/>
      <c r="I248" s="3"/>
      <c r="J248" s="3">
        <v>1</v>
      </c>
      <c r="K248" s="3">
        <v>1</v>
      </c>
      <c r="L248" s="3">
        <v>0</v>
      </c>
      <c r="M248" s="3">
        <v>0</v>
      </c>
      <c r="N248" s="3">
        <v>1</v>
      </c>
      <c r="O248" s="3"/>
      <c r="P248" s="3">
        <v>0</v>
      </c>
      <c r="Q248" s="3">
        <v>0</v>
      </c>
      <c r="R248" s="3">
        <v>0</v>
      </c>
    </row>
    <row r="249" spans="1:18">
      <c r="A249" s="3" t="s">
        <v>1658</v>
      </c>
      <c r="B249" s="3" t="s">
        <v>1659</v>
      </c>
      <c r="C249" s="3" t="s">
        <v>1660</v>
      </c>
      <c r="D249" s="3" t="s">
        <v>1661</v>
      </c>
      <c r="E249" s="3" t="s">
        <v>538</v>
      </c>
      <c r="F249" s="3">
        <v>15.7</v>
      </c>
      <c r="G249" s="3" t="s">
        <v>2454</v>
      </c>
      <c r="H249" s="3"/>
      <c r="I249" s="3" t="s">
        <v>2455</v>
      </c>
      <c r="J249" s="3">
        <v>18</v>
      </c>
      <c r="K249" s="3">
        <v>18</v>
      </c>
      <c r="L249" s="3">
        <v>0</v>
      </c>
      <c r="M249" s="3">
        <v>0</v>
      </c>
      <c r="N249" s="3">
        <v>18</v>
      </c>
      <c r="O249" s="3">
        <v>0.04</v>
      </c>
      <c r="P249" s="3">
        <v>0</v>
      </c>
      <c r="Q249" s="3">
        <v>0</v>
      </c>
      <c r="R249" s="3">
        <v>0</v>
      </c>
    </row>
    <row r="250" spans="1:18">
      <c r="A250" s="3" t="s">
        <v>2401</v>
      </c>
      <c r="B250" s="3" t="s">
        <v>2402</v>
      </c>
      <c r="C250" s="3" t="s">
        <v>2403</v>
      </c>
      <c r="D250" s="3" t="s">
        <v>2404</v>
      </c>
      <c r="E250" s="3" t="s">
        <v>538</v>
      </c>
      <c r="F250" s="3">
        <v>9.99</v>
      </c>
      <c r="G250" s="3" t="s">
        <v>2454</v>
      </c>
      <c r="H250" s="3"/>
      <c r="I250" s="3" t="s">
        <v>2455</v>
      </c>
      <c r="J250" s="3">
        <v>1</v>
      </c>
      <c r="K250" s="3">
        <v>1</v>
      </c>
      <c r="L250" s="3">
        <v>0</v>
      </c>
      <c r="M250" s="3">
        <v>0</v>
      </c>
      <c r="N250" s="3">
        <v>1</v>
      </c>
      <c r="O250" s="3">
        <v>0.02</v>
      </c>
      <c r="P250" s="3">
        <v>0</v>
      </c>
      <c r="Q250" s="3">
        <v>0</v>
      </c>
      <c r="R250" s="3">
        <v>0</v>
      </c>
    </row>
    <row r="251" spans="1:18">
      <c r="A251" s="3" t="s">
        <v>2879</v>
      </c>
      <c r="B251" s="3" t="s">
        <v>2880</v>
      </c>
      <c r="C251" s="3" t="s">
        <v>2881</v>
      </c>
      <c r="D251" s="3" t="s">
        <v>2882</v>
      </c>
      <c r="E251" s="3" t="s">
        <v>538</v>
      </c>
      <c r="F251" s="3">
        <v>14.7</v>
      </c>
      <c r="G251" s="3" t="s">
        <v>2454</v>
      </c>
      <c r="H251" s="3"/>
      <c r="I251" s="3" t="s">
        <v>2455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0.02</v>
      </c>
      <c r="P251" s="3">
        <v>0</v>
      </c>
      <c r="Q251" s="3">
        <v>0</v>
      </c>
      <c r="R251" s="3">
        <v>0</v>
      </c>
    </row>
    <row r="252" spans="1:18">
      <c r="A252" s="3" t="s">
        <v>1629</v>
      </c>
      <c r="B252" s="3" t="s">
        <v>1630</v>
      </c>
      <c r="C252" s="3" t="s">
        <v>1631</v>
      </c>
      <c r="D252" s="3" t="s">
        <v>1632</v>
      </c>
      <c r="E252" s="3" t="s">
        <v>538</v>
      </c>
      <c r="F252" s="3">
        <v>15.7</v>
      </c>
      <c r="G252" s="3" t="s">
        <v>2454</v>
      </c>
      <c r="H252" s="3"/>
      <c r="I252" s="3" t="s">
        <v>2455</v>
      </c>
      <c r="J252" s="3">
        <v>5</v>
      </c>
      <c r="K252" s="3">
        <v>5</v>
      </c>
      <c r="L252" s="3">
        <v>0</v>
      </c>
      <c r="M252" s="3">
        <v>0</v>
      </c>
      <c r="N252" s="3">
        <v>5</v>
      </c>
      <c r="O252" s="3">
        <v>0.02</v>
      </c>
      <c r="P252" s="3">
        <v>0</v>
      </c>
      <c r="Q252" s="3">
        <v>0</v>
      </c>
      <c r="R252" s="3">
        <v>0</v>
      </c>
    </row>
    <row r="253" spans="1:18">
      <c r="A253" s="3" t="s">
        <v>1130</v>
      </c>
      <c r="B253" s="3" t="s">
        <v>1131</v>
      </c>
      <c r="C253" s="3" t="s">
        <v>1132</v>
      </c>
      <c r="D253" s="3" t="s">
        <v>1133</v>
      </c>
      <c r="E253" s="3" t="s">
        <v>538</v>
      </c>
      <c r="F253" s="3">
        <v>14.7</v>
      </c>
      <c r="G253" s="3" t="s">
        <v>2454</v>
      </c>
      <c r="H253" s="3"/>
      <c r="I253" s="3" t="s">
        <v>2455</v>
      </c>
      <c r="J253" s="3">
        <v>5</v>
      </c>
      <c r="K253" s="3">
        <v>5</v>
      </c>
      <c r="L253" s="3">
        <v>0</v>
      </c>
      <c r="M253" s="3">
        <v>0</v>
      </c>
      <c r="N253" s="3">
        <v>5</v>
      </c>
      <c r="O253" s="3">
        <v>0.02</v>
      </c>
      <c r="P253" s="3">
        <v>0</v>
      </c>
      <c r="Q253" s="3">
        <v>0</v>
      </c>
      <c r="R253" s="3">
        <v>0</v>
      </c>
    </row>
    <row r="254" spans="1:18">
      <c r="A254" s="3" t="s">
        <v>1899</v>
      </c>
      <c r="B254" s="3" t="s">
        <v>1900</v>
      </c>
      <c r="C254" s="3" t="s">
        <v>1901</v>
      </c>
      <c r="D254" s="3" t="s">
        <v>1902</v>
      </c>
      <c r="E254" s="3" t="s">
        <v>538</v>
      </c>
      <c r="F254" s="3">
        <v>14.7</v>
      </c>
      <c r="G254" s="3" t="s">
        <v>2454</v>
      </c>
      <c r="H254" s="3"/>
      <c r="I254" s="3" t="s">
        <v>2455</v>
      </c>
      <c r="J254" s="3">
        <v>4</v>
      </c>
      <c r="K254" s="3">
        <v>4</v>
      </c>
      <c r="L254" s="3">
        <v>0</v>
      </c>
      <c r="M254" s="3">
        <v>0</v>
      </c>
      <c r="N254" s="3">
        <v>4</v>
      </c>
      <c r="O254" s="3">
        <v>0.02</v>
      </c>
      <c r="P254" s="3">
        <v>0</v>
      </c>
      <c r="Q254" s="3">
        <v>0</v>
      </c>
      <c r="R254" s="3">
        <v>0</v>
      </c>
    </row>
    <row r="255" spans="1:18">
      <c r="A255" s="3" t="s">
        <v>2883</v>
      </c>
      <c r="B255" s="3" t="s">
        <v>2884</v>
      </c>
      <c r="C255" s="3" t="s">
        <v>2885</v>
      </c>
      <c r="D255" s="3"/>
      <c r="E255" s="3" t="s">
        <v>2459</v>
      </c>
      <c r="F255" s="3"/>
      <c r="G255" s="3"/>
      <c r="H255" s="3"/>
      <c r="I255" s="3"/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/>
      <c r="P255" s="3">
        <v>0</v>
      </c>
      <c r="Q255" s="3">
        <v>0</v>
      </c>
      <c r="R255" s="3">
        <v>0</v>
      </c>
    </row>
    <row r="256" spans="1:18">
      <c r="A256" s="3" t="s">
        <v>1960</v>
      </c>
      <c r="B256" s="3" t="s">
        <v>1961</v>
      </c>
      <c r="C256" s="3" t="s">
        <v>1962</v>
      </c>
      <c r="D256" s="3" t="s">
        <v>1963</v>
      </c>
      <c r="E256" s="3" t="s">
        <v>538</v>
      </c>
      <c r="F256" s="3">
        <v>15.7</v>
      </c>
      <c r="G256" s="3" t="s">
        <v>2454</v>
      </c>
      <c r="H256" s="3"/>
      <c r="I256" s="3" t="s">
        <v>2455</v>
      </c>
      <c r="J256" s="3">
        <v>9</v>
      </c>
      <c r="K256" s="3">
        <v>9</v>
      </c>
      <c r="L256" s="3">
        <v>0</v>
      </c>
      <c r="M256" s="3">
        <v>0</v>
      </c>
      <c r="N256" s="3">
        <v>9</v>
      </c>
      <c r="O256" s="3">
        <v>0.03</v>
      </c>
      <c r="P256" s="3">
        <v>0</v>
      </c>
      <c r="Q256" s="3">
        <v>0</v>
      </c>
      <c r="R256" s="3">
        <v>0</v>
      </c>
    </row>
    <row r="257" spans="1:18">
      <c r="A257" s="3" t="s">
        <v>1166</v>
      </c>
      <c r="B257" s="3" t="s">
        <v>1167</v>
      </c>
      <c r="C257" s="3" t="s">
        <v>1168</v>
      </c>
      <c r="D257" s="3" t="s">
        <v>1169</v>
      </c>
      <c r="E257" s="3" t="s">
        <v>538</v>
      </c>
      <c r="F257" s="3">
        <v>15.7</v>
      </c>
      <c r="G257" s="3" t="s">
        <v>2454</v>
      </c>
      <c r="H257" s="3"/>
      <c r="I257" s="3" t="s">
        <v>2455</v>
      </c>
      <c r="J257" s="3">
        <v>10</v>
      </c>
      <c r="K257" s="3">
        <v>10</v>
      </c>
      <c r="L257" s="3">
        <v>0</v>
      </c>
      <c r="M257" s="3">
        <v>0</v>
      </c>
      <c r="N257" s="3">
        <v>10</v>
      </c>
      <c r="O257" s="3">
        <v>0.02</v>
      </c>
      <c r="P257" s="3">
        <v>0</v>
      </c>
      <c r="Q257" s="3">
        <v>0</v>
      </c>
      <c r="R257" s="3">
        <v>0</v>
      </c>
    </row>
    <row r="258" spans="1:18">
      <c r="A258" s="3" t="s">
        <v>2058</v>
      </c>
      <c r="B258" s="3" t="s">
        <v>2059</v>
      </c>
      <c r="C258" s="3" t="s">
        <v>2060</v>
      </c>
      <c r="D258" s="3" t="s">
        <v>2061</v>
      </c>
      <c r="E258" s="3" t="s">
        <v>538</v>
      </c>
      <c r="F258" s="3">
        <v>12</v>
      </c>
      <c r="G258" s="3" t="s">
        <v>2454</v>
      </c>
      <c r="H258" s="3"/>
      <c r="I258" s="3" t="s">
        <v>2455</v>
      </c>
      <c r="J258" s="3">
        <v>3</v>
      </c>
      <c r="K258" s="3">
        <v>3</v>
      </c>
      <c r="L258" s="3">
        <v>0</v>
      </c>
      <c r="M258" s="3">
        <v>0</v>
      </c>
      <c r="N258" s="3">
        <v>3</v>
      </c>
      <c r="O258" s="3">
        <v>0.02</v>
      </c>
      <c r="P258" s="3">
        <v>0</v>
      </c>
      <c r="Q258" s="3">
        <v>0</v>
      </c>
      <c r="R258" s="3">
        <v>0</v>
      </c>
    </row>
    <row r="259" spans="1:18">
      <c r="A259" s="3" t="s">
        <v>1472</v>
      </c>
      <c r="B259" s="3" t="s">
        <v>1473</v>
      </c>
      <c r="C259" s="3" t="s">
        <v>1474</v>
      </c>
      <c r="D259" s="3" t="s">
        <v>1475</v>
      </c>
      <c r="E259" s="3" t="s">
        <v>538</v>
      </c>
      <c r="F259" s="3">
        <v>12</v>
      </c>
      <c r="G259" s="3" t="s">
        <v>2454</v>
      </c>
      <c r="H259" s="3"/>
      <c r="I259" s="3" t="s">
        <v>2455</v>
      </c>
      <c r="J259" s="3">
        <v>2</v>
      </c>
      <c r="K259" s="3">
        <v>2</v>
      </c>
      <c r="L259" s="3">
        <v>0</v>
      </c>
      <c r="M259" s="3">
        <v>0</v>
      </c>
      <c r="N259" s="3">
        <v>2</v>
      </c>
      <c r="O259" s="3">
        <v>0.02</v>
      </c>
      <c r="P259" s="3">
        <v>0</v>
      </c>
      <c r="Q259" s="3">
        <v>0</v>
      </c>
      <c r="R259" s="3">
        <v>0</v>
      </c>
    </row>
    <row r="260" spans="1:18">
      <c r="A260" s="3" t="s">
        <v>703</v>
      </c>
      <c r="B260" s="3" t="s">
        <v>704</v>
      </c>
      <c r="C260" s="3" t="s">
        <v>705</v>
      </c>
      <c r="D260" s="3" t="s">
        <v>706</v>
      </c>
      <c r="E260" s="3" t="s">
        <v>538</v>
      </c>
      <c r="F260" s="3">
        <v>12</v>
      </c>
      <c r="G260" s="3" t="s">
        <v>2454</v>
      </c>
      <c r="H260" s="3"/>
      <c r="I260" s="3" t="s">
        <v>2455</v>
      </c>
      <c r="J260" s="3">
        <v>3</v>
      </c>
      <c r="K260" s="3">
        <v>3</v>
      </c>
      <c r="L260" s="3">
        <v>0</v>
      </c>
      <c r="M260" s="3">
        <v>0</v>
      </c>
      <c r="N260" s="3">
        <v>3</v>
      </c>
      <c r="O260" s="3">
        <v>0.02</v>
      </c>
      <c r="P260" s="3">
        <v>0</v>
      </c>
      <c r="Q260" s="3">
        <v>0</v>
      </c>
      <c r="R260" s="3">
        <v>0</v>
      </c>
    </row>
    <row r="261" spans="1:18">
      <c r="A261" s="3" t="s">
        <v>1062</v>
      </c>
      <c r="B261" s="3" t="s">
        <v>1063</v>
      </c>
      <c r="C261" s="3" t="s">
        <v>1064</v>
      </c>
      <c r="D261" s="3" t="s">
        <v>1065</v>
      </c>
      <c r="E261" s="3" t="s">
        <v>538</v>
      </c>
      <c r="F261" s="3">
        <v>12</v>
      </c>
      <c r="G261" s="3" t="s">
        <v>2454</v>
      </c>
      <c r="H261" s="3"/>
      <c r="I261" s="3" t="s">
        <v>2455</v>
      </c>
      <c r="J261" s="3">
        <v>3</v>
      </c>
      <c r="K261" s="3">
        <v>3</v>
      </c>
      <c r="L261" s="3">
        <v>0</v>
      </c>
      <c r="M261" s="3">
        <v>0</v>
      </c>
      <c r="N261" s="3">
        <v>3</v>
      </c>
      <c r="O261" s="3">
        <v>0.02</v>
      </c>
      <c r="P261" s="3">
        <v>0</v>
      </c>
      <c r="Q261" s="3">
        <v>0</v>
      </c>
      <c r="R261" s="3">
        <v>0</v>
      </c>
    </row>
    <row r="262" spans="1:18">
      <c r="A262" s="3" t="s">
        <v>1184</v>
      </c>
      <c r="B262" s="3" t="s">
        <v>1185</v>
      </c>
      <c r="C262" s="3" t="s">
        <v>1186</v>
      </c>
      <c r="D262" s="3" t="s">
        <v>1187</v>
      </c>
      <c r="E262" s="3" t="s">
        <v>538</v>
      </c>
      <c r="F262" s="3">
        <v>12</v>
      </c>
      <c r="G262" s="3" t="s">
        <v>2454</v>
      </c>
      <c r="H262" s="3"/>
      <c r="I262" s="3" t="s">
        <v>2455</v>
      </c>
      <c r="J262" s="3">
        <v>3</v>
      </c>
      <c r="K262" s="3">
        <v>3</v>
      </c>
      <c r="L262" s="3">
        <v>0</v>
      </c>
      <c r="M262" s="3">
        <v>0</v>
      </c>
      <c r="N262" s="3">
        <v>3</v>
      </c>
      <c r="O262" s="3">
        <v>0.02</v>
      </c>
      <c r="P262" s="3">
        <v>0</v>
      </c>
      <c r="Q262" s="3">
        <v>0</v>
      </c>
      <c r="R262" s="3">
        <v>0</v>
      </c>
    </row>
    <row r="263" spans="1:18">
      <c r="A263" s="3" t="s">
        <v>727</v>
      </c>
      <c r="B263" s="3" t="s">
        <v>728</v>
      </c>
      <c r="C263" s="3" t="s">
        <v>729</v>
      </c>
      <c r="D263" s="3" t="s">
        <v>730</v>
      </c>
      <c r="E263" s="3" t="s">
        <v>538</v>
      </c>
      <c r="F263" s="3">
        <v>12</v>
      </c>
      <c r="G263" s="3" t="s">
        <v>2454</v>
      </c>
      <c r="H263" s="3"/>
      <c r="I263" s="3" t="s">
        <v>2455</v>
      </c>
      <c r="J263" s="3">
        <v>1</v>
      </c>
      <c r="K263" s="3">
        <v>1</v>
      </c>
      <c r="L263" s="3">
        <v>0</v>
      </c>
      <c r="M263" s="3">
        <v>0</v>
      </c>
      <c r="N263" s="3">
        <v>1</v>
      </c>
      <c r="O263" s="3">
        <v>0.02</v>
      </c>
      <c r="P263" s="3">
        <v>0</v>
      </c>
      <c r="Q263" s="3">
        <v>0</v>
      </c>
      <c r="R263" s="3">
        <v>0</v>
      </c>
    </row>
    <row r="264" spans="1:18">
      <c r="A264" s="3" t="s">
        <v>2266</v>
      </c>
      <c r="B264" s="3" t="s">
        <v>2267</v>
      </c>
      <c r="C264" s="3" t="s">
        <v>2268</v>
      </c>
      <c r="D264" s="3" t="s">
        <v>2269</v>
      </c>
      <c r="E264" s="3" t="s">
        <v>538</v>
      </c>
      <c r="F264" s="3">
        <v>12</v>
      </c>
      <c r="G264" s="3" t="s">
        <v>2454</v>
      </c>
      <c r="H264" s="3"/>
      <c r="I264" s="3" t="s">
        <v>2455</v>
      </c>
      <c r="J264" s="3">
        <v>3</v>
      </c>
      <c r="K264" s="3">
        <v>3</v>
      </c>
      <c r="L264" s="3">
        <v>0</v>
      </c>
      <c r="M264" s="3">
        <v>0</v>
      </c>
      <c r="N264" s="3">
        <v>3</v>
      </c>
      <c r="O264" s="3">
        <v>0.02</v>
      </c>
      <c r="P264" s="3">
        <v>0</v>
      </c>
      <c r="Q264" s="3">
        <v>0</v>
      </c>
      <c r="R264" s="3">
        <v>0</v>
      </c>
    </row>
    <row r="265" spans="1:18">
      <c r="A265" s="3" t="s">
        <v>783</v>
      </c>
      <c r="B265" s="3" t="s">
        <v>784</v>
      </c>
      <c r="C265" s="3" t="s">
        <v>785</v>
      </c>
      <c r="D265" s="3" t="s">
        <v>786</v>
      </c>
      <c r="E265" s="3" t="s">
        <v>538</v>
      </c>
      <c r="F265" s="3">
        <v>12</v>
      </c>
      <c r="G265" s="3" t="s">
        <v>2454</v>
      </c>
      <c r="H265" s="3"/>
      <c r="I265" s="3" t="s">
        <v>2455</v>
      </c>
      <c r="J265" s="3">
        <v>3</v>
      </c>
      <c r="K265" s="3">
        <v>3</v>
      </c>
      <c r="L265" s="3">
        <v>0</v>
      </c>
      <c r="M265" s="3">
        <v>0</v>
      </c>
      <c r="N265" s="3">
        <v>3</v>
      </c>
      <c r="O265" s="3">
        <v>0.02</v>
      </c>
      <c r="P265" s="3">
        <v>0</v>
      </c>
      <c r="Q265" s="3">
        <v>0</v>
      </c>
      <c r="R265" s="3">
        <v>0</v>
      </c>
    </row>
    <row r="266" spans="1:18">
      <c r="A266" s="3" t="s">
        <v>1576</v>
      </c>
      <c r="B266" s="3" t="s">
        <v>1577</v>
      </c>
      <c r="C266" s="3" t="s">
        <v>1578</v>
      </c>
      <c r="D266" s="3" t="s">
        <v>1579</v>
      </c>
      <c r="E266" s="3" t="s">
        <v>538</v>
      </c>
      <c r="F266" s="3">
        <v>12</v>
      </c>
      <c r="G266" s="3" t="s">
        <v>2454</v>
      </c>
      <c r="H266" s="3"/>
      <c r="I266" s="3" t="s">
        <v>2455</v>
      </c>
      <c r="J266" s="3">
        <v>3</v>
      </c>
      <c r="K266" s="3">
        <v>3</v>
      </c>
      <c r="L266" s="3">
        <v>0</v>
      </c>
      <c r="M266" s="3">
        <v>0</v>
      </c>
      <c r="N266" s="3">
        <v>3</v>
      </c>
      <c r="O266" s="3">
        <v>0.02</v>
      </c>
      <c r="P266" s="3">
        <v>0</v>
      </c>
      <c r="Q266" s="3">
        <v>0</v>
      </c>
      <c r="R266" s="3">
        <v>0</v>
      </c>
    </row>
    <row r="267" spans="1:18">
      <c r="A267" s="3" t="s">
        <v>666</v>
      </c>
      <c r="B267" s="3" t="s">
        <v>667</v>
      </c>
      <c r="C267" s="3" t="s">
        <v>668</v>
      </c>
      <c r="D267" s="3" t="s">
        <v>669</v>
      </c>
      <c r="E267" s="3" t="s">
        <v>538</v>
      </c>
      <c r="F267" s="3">
        <v>12</v>
      </c>
      <c r="G267" s="3" t="s">
        <v>2454</v>
      </c>
      <c r="H267" s="3"/>
      <c r="I267" s="3" t="s">
        <v>2455</v>
      </c>
      <c r="J267" s="3">
        <v>2</v>
      </c>
      <c r="K267" s="3">
        <v>2</v>
      </c>
      <c r="L267" s="3">
        <v>0</v>
      </c>
      <c r="M267" s="3">
        <v>0</v>
      </c>
      <c r="N267" s="3">
        <v>2</v>
      </c>
      <c r="O267" s="3">
        <v>0.02</v>
      </c>
      <c r="P267" s="3">
        <v>0</v>
      </c>
      <c r="Q267" s="3">
        <v>0</v>
      </c>
      <c r="R267" s="3">
        <v>0</v>
      </c>
    </row>
    <row r="268" spans="1:18">
      <c r="A268" s="3" t="s">
        <v>2886</v>
      </c>
      <c r="B268" s="3" t="s">
        <v>2887</v>
      </c>
      <c r="C268" s="3" t="s">
        <v>2888</v>
      </c>
      <c r="D268" s="3" t="s">
        <v>2889</v>
      </c>
      <c r="E268" s="3" t="s">
        <v>538</v>
      </c>
      <c r="F268" s="3">
        <v>12</v>
      </c>
      <c r="G268" s="3" t="s">
        <v>2454</v>
      </c>
      <c r="H268" s="3"/>
      <c r="I268" s="3" t="s">
        <v>2455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0.02</v>
      </c>
      <c r="P268" s="3">
        <v>0</v>
      </c>
      <c r="Q268" s="3">
        <v>0</v>
      </c>
      <c r="R268" s="3">
        <v>0</v>
      </c>
    </row>
    <row r="269" spans="1:18">
      <c r="A269" s="3" t="s">
        <v>1162</v>
      </c>
      <c r="B269" s="3" t="s">
        <v>1163</v>
      </c>
      <c r="C269" s="3" t="s">
        <v>1164</v>
      </c>
      <c r="D269" s="3" t="s">
        <v>1165</v>
      </c>
      <c r="E269" s="3" t="s">
        <v>538</v>
      </c>
      <c r="F269" s="3">
        <v>12</v>
      </c>
      <c r="G269" s="3" t="s">
        <v>2454</v>
      </c>
      <c r="H269" s="3"/>
      <c r="I269" s="3" t="s">
        <v>2455</v>
      </c>
      <c r="J269" s="3">
        <v>2</v>
      </c>
      <c r="K269" s="3">
        <v>2</v>
      </c>
      <c r="L269" s="3">
        <v>0</v>
      </c>
      <c r="M269" s="3">
        <v>0</v>
      </c>
      <c r="N269" s="3">
        <v>2</v>
      </c>
      <c r="O269" s="3">
        <v>0.02</v>
      </c>
      <c r="P269" s="3">
        <v>0</v>
      </c>
      <c r="Q269" s="3">
        <v>0</v>
      </c>
      <c r="R269" s="3">
        <v>0</v>
      </c>
    </row>
    <row r="270" spans="1:18">
      <c r="A270" s="3" t="s">
        <v>1013</v>
      </c>
      <c r="B270" s="3" t="s">
        <v>1014</v>
      </c>
      <c r="C270" s="3" t="s">
        <v>1015</v>
      </c>
      <c r="D270" s="3" t="s">
        <v>1016</v>
      </c>
      <c r="E270" s="3" t="s">
        <v>538</v>
      </c>
      <c r="F270" s="3">
        <v>12</v>
      </c>
      <c r="G270" s="3" t="s">
        <v>2454</v>
      </c>
      <c r="H270" s="3"/>
      <c r="I270" s="3" t="s">
        <v>2455</v>
      </c>
      <c r="J270" s="3">
        <v>3</v>
      </c>
      <c r="K270" s="3">
        <v>3</v>
      </c>
      <c r="L270" s="3">
        <v>0</v>
      </c>
      <c r="M270" s="3">
        <v>0</v>
      </c>
      <c r="N270" s="3">
        <v>3</v>
      </c>
      <c r="O270" s="3">
        <v>0.02</v>
      </c>
      <c r="P270" s="3">
        <v>0</v>
      </c>
      <c r="Q270" s="3">
        <v>0</v>
      </c>
      <c r="R270" s="3">
        <v>0</v>
      </c>
    </row>
    <row r="271" spans="1:18">
      <c r="A271" s="3" t="s">
        <v>2890</v>
      </c>
      <c r="B271" s="3" t="s">
        <v>2891</v>
      </c>
      <c r="C271" s="3" t="s">
        <v>2892</v>
      </c>
      <c r="D271" s="3" t="s">
        <v>2893</v>
      </c>
      <c r="E271" s="3" t="s">
        <v>538</v>
      </c>
      <c r="F271" s="3">
        <v>12</v>
      </c>
      <c r="G271" s="3" t="s">
        <v>2454</v>
      </c>
      <c r="H271" s="3"/>
      <c r="I271" s="3" t="s">
        <v>2455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0.02</v>
      </c>
      <c r="P271" s="3">
        <v>0</v>
      </c>
      <c r="Q271" s="3">
        <v>0</v>
      </c>
      <c r="R271" s="3">
        <v>0</v>
      </c>
    </row>
    <row r="272" spans="1:18">
      <c r="A272" s="3" t="s">
        <v>1855</v>
      </c>
      <c r="B272" s="3" t="s">
        <v>1856</v>
      </c>
      <c r="C272" s="3" t="s">
        <v>1857</v>
      </c>
      <c r="D272" s="3" t="s">
        <v>1858</v>
      </c>
      <c r="E272" s="3" t="s">
        <v>538</v>
      </c>
      <c r="F272" s="3">
        <v>12</v>
      </c>
      <c r="G272" s="3" t="s">
        <v>2454</v>
      </c>
      <c r="H272" s="3"/>
      <c r="I272" s="3" t="s">
        <v>2455</v>
      </c>
      <c r="J272" s="3">
        <v>1</v>
      </c>
      <c r="K272" s="3">
        <v>1</v>
      </c>
      <c r="L272" s="3">
        <v>0</v>
      </c>
      <c r="M272" s="3">
        <v>0</v>
      </c>
      <c r="N272" s="3">
        <v>1</v>
      </c>
      <c r="O272" s="3">
        <v>0.02</v>
      </c>
      <c r="P272" s="3">
        <v>0</v>
      </c>
      <c r="Q272" s="3">
        <v>0</v>
      </c>
      <c r="R272" s="3">
        <v>0</v>
      </c>
    </row>
    <row r="273" spans="1:18">
      <c r="A273" s="3" t="s">
        <v>2894</v>
      </c>
      <c r="B273" s="3" t="s">
        <v>2895</v>
      </c>
      <c r="C273" s="3" t="s">
        <v>2896</v>
      </c>
      <c r="D273" s="3" t="s">
        <v>2897</v>
      </c>
      <c r="E273" s="3" t="s">
        <v>538</v>
      </c>
      <c r="F273" s="3">
        <v>12</v>
      </c>
      <c r="G273" s="3" t="s">
        <v>2454</v>
      </c>
      <c r="H273" s="3"/>
      <c r="I273" s="3" t="s">
        <v>2455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0.02</v>
      </c>
      <c r="P273" s="3">
        <v>0</v>
      </c>
      <c r="Q273" s="3">
        <v>0</v>
      </c>
      <c r="R273" s="3">
        <v>0</v>
      </c>
    </row>
    <row r="274" spans="1:18">
      <c r="A274" s="3" t="s">
        <v>1496</v>
      </c>
      <c r="B274" s="3" t="s">
        <v>1497</v>
      </c>
      <c r="C274" s="3" t="s">
        <v>1498</v>
      </c>
      <c r="D274" s="3" t="s">
        <v>1499</v>
      </c>
      <c r="E274" s="3" t="s">
        <v>538</v>
      </c>
      <c r="F274" s="3">
        <v>12</v>
      </c>
      <c r="G274" s="3" t="s">
        <v>2454</v>
      </c>
      <c r="H274" s="3"/>
      <c r="I274" s="3" t="s">
        <v>2455</v>
      </c>
      <c r="J274" s="3">
        <v>1</v>
      </c>
      <c r="K274" s="3">
        <v>1</v>
      </c>
      <c r="L274" s="3">
        <v>0</v>
      </c>
      <c r="M274" s="3">
        <v>0</v>
      </c>
      <c r="N274" s="3">
        <v>1</v>
      </c>
      <c r="O274" s="3">
        <v>0.08</v>
      </c>
      <c r="P274" s="3">
        <v>0</v>
      </c>
      <c r="Q274" s="3">
        <v>0</v>
      </c>
      <c r="R274" s="3">
        <v>0</v>
      </c>
    </row>
    <row r="275" spans="1:18">
      <c r="A275" s="3" t="s">
        <v>571</v>
      </c>
      <c r="B275" s="3" t="s">
        <v>572</v>
      </c>
      <c r="C275" s="3" t="s">
        <v>573</v>
      </c>
      <c r="D275" s="3" t="s">
        <v>574</v>
      </c>
      <c r="E275" s="3" t="s">
        <v>538</v>
      </c>
      <c r="F275" s="3">
        <v>12</v>
      </c>
      <c r="G275" s="3" t="s">
        <v>2454</v>
      </c>
      <c r="H275" s="3"/>
      <c r="I275" s="3" t="s">
        <v>2455</v>
      </c>
      <c r="J275" s="3">
        <v>2</v>
      </c>
      <c r="K275" s="3">
        <v>2</v>
      </c>
      <c r="L275" s="3">
        <v>0</v>
      </c>
      <c r="M275" s="3">
        <v>0</v>
      </c>
      <c r="N275" s="3">
        <v>2</v>
      </c>
      <c r="O275" s="3">
        <v>0.02</v>
      </c>
      <c r="P275" s="3">
        <v>0</v>
      </c>
      <c r="Q275" s="3">
        <v>0</v>
      </c>
      <c r="R275" s="3">
        <v>0</v>
      </c>
    </row>
    <row r="276" spans="1:18">
      <c r="A276" s="3" t="s">
        <v>2222</v>
      </c>
      <c r="B276" s="3" t="s">
        <v>2223</v>
      </c>
      <c r="C276" s="3" t="s">
        <v>2224</v>
      </c>
      <c r="D276" s="3" t="s">
        <v>2225</v>
      </c>
      <c r="E276" s="3" t="s">
        <v>538</v>
      </c>
      <c r="F276" s="3">
        <v>12</v>
      </c>
      <c r="G276" s="3" t="s">
        <v>2454</v>
      </c>
      <c r="H276" s="3"/>
      <c r="I276" s="3" t="s">
        <v>2455</v>
      </c>
      <c r="J276" s="3">
        <v>3</v>
      </c>
      <c r="K276" s="3">
        <v>3</v>
      </c>
      <c r="L276" s="3">
        <v>0</v>
      </c>
      <c r="M276" s="3">
        <v>0</v>
      </c>
      <c r="N276" s="3">
        <v>3</v>
      </c>
      <c r="O276" s="3">
        <v>0.02</v>
      </c>
      <c r="P276" s="3">
        <v>0</v>
      </c>
      <c r="Q276" s="3">
        <v>0</v>
      </c>
      <c r="R276" s="3">
        <v>0</v>
      </c>
    </row>
    <row r="277" spans="1:18">
      <c r="A277" s="3" t="s">
        <v>2179</v>
      </c>
      <c r="B277" s="3" t="s">
        <v>2180</v>
      </c>
      <c r="C277" s="3" t="s">
        <v>2181</v>
      </c>
      <c r="D277" s="3" t="s">
        <v>2182</v>
      </c>
      <c r="E277" s="3" t="s">
        <v>538</v>
      </c>
      <c r="F277" s="3">
        <v>12</v>
      </c>
      <c r="G277" s="3" t="s">
        <v>2454</v>
      </c>
      <c r="H277" s="3"/>
      <c r="I277" s="3" t="s">
        <v>2455</v>
      </c>
      <c r="J277" s="3">
        <v>2</v>
      </c>
      <c r="K277" s="3">
        <v>2</v>
      </c>
      <c r="L277" s="3">
        <v>0</v>
      </c>
      <c r="M277" s="3">
        <v>0</v>
      </c>
      <c r="N277" s="3">
        <v>2</v>
      </c>
      <c r="O277" s="3">
        <v>0.02</v>
      </c>
      <c r="P277" s="3">
        <v>0</v>
      </c>
      <c r="Q277" s="3">
        <v>0</v>
      </c>
      <c r="R277" s="3">
        <v>0</v>
      </c>
    </row>
    <row r="278" spans="1:18">
      <c r="A278" s="3" t="s">
        <v>1446</v>
      </c>
      <c r="B278" s="3" t="s">
        <v>1447</v>
      </c>
      <c r="C278" s="3" t="s">
        <v>1448</v>
      </c>
      <c r="D278" s="3" t="s">
        <v>1449</v>
      </c>
      <c r="E278" s="3" t="s">
        <v>538</v>
      </c>
      <c r="F278" s="3">
        <v>12</v>
      </c>
      <c r="G278" s="3" t="s">
        <v>2454</v>
      </c>
      <c r="H278" s="3"/>
      <c r="I278" s="3" t="s">
        <v>2455</v>
      </c>
      <c r="J278" s="3">
        <v>2</v>
      </c>
      <c r="K278" s="3">
        <v>2</v>
      </c>
      <c r="L278" s="3">
        <v>0</v>
      </c>
      <c r="M278" s="3">
        <v>0</v>
      </c>
      <c r="N278" s="3">
        <v>2</v>
      </c>
      <c r="O278" s="3">
        <v>0.15</v>
      </c>
      <c r="P278" s="3">
        <v>0</v>
      </c>
      <c r="Q278" s="3">
        <v>0</v>
      </c>
      <c r="R278" s="3">
        <v>0</v>
      </c>
    </row>
    <row r="279" spans="1:18">
      <c r="A279" s="3" t="s">
        <v>51</v>
      </c>
      <c r="B279" s="3" t="s">
        <v>52</v>
      </c>
      <c r="C279" s="3" t="s">
        <v>53</v>
      </c>
      <c r="D279" s="3" t="s">
        <v>54</v>
      </c>
      <c r="E279" s="3" t="s">
        <v>538</v>
      </c>
      <c r="F279" s="3">
        <v>12</v>
      </c>
      <c r="G279" s="3" t="s">
        <v>2454</v>
      </c>
      <c r="H279" s="3"/>
      <c r="I279" s="3" t="s">
        <v>2455</v>
      </c>
      <c r="J279" s="3">
        <v>1</v>
      </c>
      <c r="K279" s="3">
        <v>0</v>
      </c>
      <c r="L279" s="3">
        <v>0</v>
      </c>
      <c r="M279" s="3">
        <v>1</v>
      </c>
      <c r="N279" s="3">
        <v>1</v>
      </c>
      <c r="O279" s="3">
        <v>0.09</v>
      </c>
      <c r="P279" s="3">
        <v>0</v>
      </c>
      <c r="Q279" s="3">
        <v>0</v>
      </c>
      <c r="R279" s="3">
        <v>0</v>
      </c>
    </row>
    <row r="280" spans="1:18">
      <c r="A280" s="3" t="s">
        <v>2898</v>
      </c>
      <c r="B280" s="3" t="s">
        <v>2899</v>
      </c>
      <c r="C280" s="3" t="s">
        <v>2900</v>
      </c>
      <c r="D280" s="3" t="s">
        <v>2901</v>
      </c>
      <c r="E280" s="3" t="s">
        <v>538</v>
      </c>
      <c r="F280" s="3">
        <v>12</v>
      </c>
      <c r="G280" s="3" t="s">
        <v>2454</v>
      </c>
      <c r="H280" s="3"/>
      <c r="I280" s="3" t="s">
        <v>2455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0.02</v>
      </c>
      <c r="P280" s="3">
        <v>0</v>
      </c>
      <c r="Q280" s="3">
        <v>0</v>
      </c>
      <c r="R280" s="3">
        <v>0</v>
      </c>
    </row>
    <row r="281" spans="1:18">
      <c r="A281" s="3" t="s">
        <v>2902</v>
      </c>
      <c r="B281" s="3" t="s">
        <v>2903</v>
      </c>
      <c r="C281" s="3" t="s">
        <v>2904</v>
      </c>
      <c r="D281" s="3" t="s">
        <v>2905</v>
      </c>
      <c r="E281" s="3" t="s">
        <v>538</v>
      </c>
      <c r="F281" s="3">
        <v>12</v>
      </c>
      <c r="G281" s="3" t="s">
        <v>2454</v>
      </c>
      <c r="H281" s="3"/>
      <c r="I281" s="3" t="s">
        <v>2455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0.02</v>
      </c>
      <c r="P281" s="3">
        <v>0</v>
      </c>
      <c r="Q281" s="3">
        <v>0</v>
      </c>
      <c r="R281" s="3">
        <v>0</v>
      </c>
    </row>
    <row r="282" spans="1:18">
      <c r="A282" s="3" t="s">
        <v>2906</v>
      </c>
      <c r="B282" s="3" t="s">
        <v>2907</v>
      </c>
      <c r="C282" s="3" t="s">
        <v>2908</v>
      </c>
      <c r="D282" s="3" t="s">
        <v>2909</v>
      </c>
      <c r="E282" s="3" t="s">
        <v>538</v>
      </c>
      <c r="F282" s="3">
        <v>12</v>
      </c>
      <c r="G282" s="3" t="s">
        <v>2454</v>
      </c>
      <c r="H282" s="3"/>
      <c r="I282" s="3" t="s">
        <v>2455</v>
      </c>
      <c r="J282" s="3">
        <v>0</v>
      </c>
      <c r="K282" s="3">
        <v>0</v>
      </c>
      <c r="L282" s="3">
        <v>0</v>
      </c>
      <c r="M282" s="3">
        <v>0</v>
      </c>
      <c r="N282" s="3">
        <v>0</v>
      </c>
      <c r="O282" s="3">
        <v>0.02</v>
      </c>
      <c r="P282" s="3">
        <v>0</v>
      </c>
      <c r="Q282" s="3">
        <v>0</v>
      </c>
      <c r="R282" s="3">
        <v>0</v>
      </c>
    </row>
    <row r="283" spans="1:18">
      <c r="A283" s="3" t="s">
        <v>2910</v>
      </c>
      <c r="B283" s="3" t="s">
        <v>2911</v>
      </c>
      <c r="C283" s="3" t="s">
        <v>2912</v>
      </c>
      <c r="D283" s="3" t="s">
        <v>2913</v>
      </c>
      <c r="E283" s="3" t="s">
        <v>538</v>
      </c>
      <c r="F283" s="3">
        <v>12</v>
      </c>
      <c r="G283" s="3" t="s">
        <v>2454</v>
      </c>
      <c r="H283" s="3"/>
      <c r="I283" s="3" t="s">
        <v>2455</v>
      </c>
      <c r="J283" s="3">
        <v>0</v>
      </c>
      <c r="K283" s="3">
        <v>0</v>
      </c>
      <c r="L283" s="3">
        <v>0</v>
      </c>
      <c r="M283" s="3">
        <v>0</v>
      </c>
      <c r="N283" s="3">
        <v>0</v>
      </c>
      <c r="O283" s="3">
        <v>0.22</v>
      </c>
      <c r="P283" s="3">
        <v>0</v>
      </c>
      <c r="Q283" s="3">
        <v>0</v>
      </c>
      <c r="R283" s="3">
        <v>0</v>
      </c>
    </row>
    <row r="284" spans="1:18">
      <c r="A284" s="3" t="s">
        <v>731</v>
      </c>
      <c r="B284" s="3" t="s">
        <v>732</v>
      </c>
      <c r="C284" s="3" t="s">
        <v>733</v>
      </c>
      <c r="D284" s="3" t="s">
        <v>734</v>
      </c>
      <c r="E284" s="3" t="s">
        <v>538</v>
      </c>
      <c r="F284" s="3">
        <v>13.99</v>
      </c>
      <c r="G284" s="3" t="s">
        <v>2454</v>
      </c>
      <c r="H284" s="3"/>
      <c r="I284" s="3" t="s">
        <v>2455</v>
      </c>
      <c r="J284" s="3">
        <v>13</v>
      </c>
      <c r="K284" s="3">
        <v>13</v>
      </c>
      <c r="L284" s="3">
        <v>0</v>
      </c>
      <c r="M284" s="3">
        <v>0</v>
      </c>
      <c r="N284" s="3">
        <v>13</v>
      </c>
      <c r="O284" s="3">
        <v>0.11</v>
      </c>
      <c r="P284" s="3">
        <v>0</v>
      </c>
      <c r="Q284" s="3">
        <v>0</v>
      </c>
      <c r="R284" s="3">
        <v>0</v>
      </c>
    </row>
    <row r="285" spans="1:18">
      <c r="A285" s="3" t="s">
        <v>2914</v>
      </c>
      <c r="B285" s="3" t="s">
        <v>2915</v>
      </c>
      <c r="C285" s="3" t="s">
        <v>2916</v>
      </c>
      <c r="D285" s="3" t="s">
        <v>2917</v>
      </c>
      <c r="E285" s="3" t="s">
        <v>538</v>
      </c>
      <c r="F285" s="3">
        <v>25.99</v>
      </c>
      <c r="G285" s="3" t="s">
        <v>2454</v>
      </c>
      <c r="H285" s="3"/>
      <c r="I285" s="3" t="s">
        <v>2455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</row>
    <row r="286" spans="1:18">
      <c r="A286" s="3" t="s">
        <v>838</v>
      </c>
      <c r="B286" s="3" t="s">
        <v>839</v>
      </c>
      <c r="C286" s="3" t="s">
        <v>840</v>
      </c>
      <c r="D286" s="3" t="s">
        <v>841</v>
      </c>
      <c r="E286" s="3" t="s">
        <v>538</v>
      </c>
      <c r="F286" s="3">
        <v>43.99</v>
      </c>
      <c r="G286" s="3" t="s">
        <v>2454</v>
      </c>
      <c r="H286" s="3"/>
      <c r="I286" s="3" t="s">
        <v>2455</v>
      </c>
      <c r="J286" s="3">
        <v>3</v>
      </c>
      <c r="K286" s="3">
        <v>3</v>
      </c>
      <c r="L286" s="3">
        <v>0</v>
      </c>
      <c r="M286" s="3">
        <v>0</v>
      </c>
      <c r="N286" s="3">
        <v>3</v>
      </c>
      <c r="O286" s="3">
        <v>0</v>
      </c>
      <c r="P286" s="3">
        <v>0</v>
      </c>
      <c r="Q286" s="3">
        <v>0</v>
      </c>
      <c r="R286" s="3">
        <v>0</v>
      </c>
    </row>
    <row r="287" spans="1:18">
      <c r="A287" s="3" t="s">
        <v>898</v>
      </c>
      <c r="B287" s="3" t="s">
        <v>899</v>
      </c>
      <c r="C287" s="3" t="s">
        <v>900</v>
      </c>
      <c r="D287" s="3" t="s">
        <v>901</v>
      </c>
      <c r="E287" s="3" t="s">
        <v>538</v>
      </c>
      <c r="F287" s="3">
        <v>49.99</v>
      </c>
      <c r="G287" s="3" t="s">
        <v>2454</v>
      </c>
      <c r="H287" s="3"/>
      <c r="I287" s="3" t="s">
        <v>2455</v>
      </c>
      <c r="J287" s="3">
        <v>1</v>
      </c>
      <c r="K287" s="3">
        <v>1</v>
      </c>
      <c r="L287" s="3">
        <v>0</v>
      </c>
      <c r="M287" s="3">
        <v>0</v>
      </c>
      <c r="N287" s="3">
        <v>1</v>
      </c>
      <c r="O287" s="3">
        <v>0</v>
      </c>
      <c r="P287" s="3">
        <v>0</v>
      </c>
      <c r="Q287" s="3">
        <v>0</v>
      </c>
      <c r="R287" s="3">
        <v>0</v>
      </c>
    </row>
    <row r="288" spans="1:18">
      <c r="A288" s="3" t="s">
        <v>2918</v>
      </c>
      <c r="B288" s="3" t="s">
        <v>2919</v>
      </c>
      <c r="C288" s="3" t="s">
        <v>2920</v>
      </c>
      <c r="D288" s="3" t="s">
        <v>2921</v>
      </c>
      <c r="E288" s="3" t="s">
        <v>538</v>
      </c>
      <c r="F288" s="3">
        <v>22.99</v>
      </c>
      <c r="G288" s="3" t="s">
        <v>2454</v>
      </c>
      <c r="H288" s="3"/>
      <c r="I288" s="3" t="s">
        <v>2455</v>
      </c>
      <c r="J288" s="3">
        <v>0</v>
      </c>
      <c r="K288" s="3">
        <v>0</v>
      </c>
      <c r="L288" s="3">
        <v>0</v>
      </c>
      <c r="M288" s="3">
        <v>0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</row>
    <row r="289" spans="1:18">
      <c r="A289" s="3" t="s">
        <v>2922</v>
      </c>
      <c r="B289" s="3" t="s">
        <v>2923</v>
      </c>
      <c r="C289" s="3" t="s">
        <v>2924</v>
      </c>
      <c r="D289" s="3" t="s">
        <v>2925</v>
      </c>
      <c r="E289" s="3" t="s">
        <v>538</v>
      </c>
      <c r="F289" s="3">
        <v>22.99</v>
      </c>
      <c r="G289" s="3" t="s">
        <v>2454</v>
      </c>
      <c r="H289" s="3"/>
      <c r="I289" s="3" t="s">
        <v>2455</v>
      </c>
      <c r="J289" s="3">
        <v>0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</row>
    <row r="290" spans="1:18">
      <c r="A290" s="3" t="s">
        <v>2926</v>
      </c>
      <c r="B290" s="3" t="s">
        <v>2927</v>
      </c>
      <c r="C290" s="3" t="s">
        <v>2928</v>
      </c>
      <c r="D290" s="3" t="s">
        <v>2929</v>
      </c>
      <c r="E290" s="3" t="s">
        <v>538</v>
      </c>
      <c r="F290" s="3">
        <v>22.99</v>
      </c>
      <c r="G290" s="3" t="s">
        <v>2454</v>
      </c>
      <c r="H290" s="3"/>
      <c r="I290" s="3" t="s">
        <v>2455</v>
      </c>
      <c r="J290" s="3">
        <v>0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</row>
    <row r="291" spans="1:18">
      <c r="A291" s="3" t="s">
        <v>2930</v>
      </c>
      <c r="B291" s="3" t="s">
        <v>2931</v>
      </c>
      <c r="C291" s="3" t="s">
        <v>2932</v>
      </c>
      <c r="D291" s="3" t="s">
        <v>2933</v>
      </c>
      <c r="E291" s="3" t="s">
        <v>538</v>
      </c>
      <c r="F291" s="3">
        <v>22.99</v>
      </c>
      <c r="G291" s="3" t="s">
        <v>2454</v>
      </c>
      <c r="H291" s="3"/>
      <c r="I291" s="3" t="s">
        <v>2455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</row>
    <row r="292" spans="1:18">
      <c r="A292" s="3" t="s">
        <v>2934</v>
      </c>
      <c r="B292" s="3" t="s">
        <v>2935</v>
      </c>
      <c r="C292" s="3" t="s">
        <v>2936</v>
      </c>
      <c r="D292" s="3" t="s">
        <v>2937</v>
      </c>
      <c r="E292" s="3" t="s">
        <v>538</v>
      </c>
      <c r="F292" s="3">
        <v>22.99</v>
      </c>
      <c r="G292" s="3" t="s">
        <v>2454</v>
      </c>
      <c r="H292" s="3"/>
      <c r="I292" s="3" t="s">
        <v>2455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</row>
    <row r="293" spans="1:18">
      <c r="A293" s="3" t="s">
        <v>2938</v>
      </c>
      <c r="B293" s="3" t="s">
        <v>2939</v>
      </c>
      <c r="C293" s="3" t="s">
        <v>2940</v>
      </c>
      <c r="D293" s="3" t="s">
        <v>2941</v>
      </c>
      <c r="E293" s="3" t="s">
        <v>538</v>
      </c>
      <c r="F293" s="3">
        <v>22.99</v>
      </c>
      <c r="G293" s="3" t="s">
        <v>2454</v>
      </c>
      <c r="H293" s="3"/>
      <c r="I293" s="3" t="s">
        <v>2455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0.02</v>
      </c>
      <c r="P293" s="3">
        <v>0</v>
      </c>
      <c r="Q293" s="3">
        <v>0</v>
      </c>
      <c r="R293" s="3">
        <v>0</v>
      </c>
    </row>
    <row r="294" spans="1:18">
      <c r="A294" s="3" t="s">
        <v>1711</v>
      </c>
      <c r="B294" s="3" t="s">
        <v>1712</v>
      </c>
      <c r="C294" s="3" t="s">
        <v>1713</v>
      </c>
      <c r="D294" s="3" t="s">
        <v>1714</v>
      </c>
      <c r="E294" s="3" t="s">
        <v>538</v>
      </c>
      <c r="F294" s="3">
        <v>22.99</v>
      </c>
      <c r="G294" s="3" t="s">
        <v>2454</v>
      </c>
      <c r="H294" s="3"/>
      <c r="I294" s="3" t="s">
        <v>2455</v>
      </c>
      <c r="J294" s="3">
        <v>1</v>
      </c>
      <c r="K294" s="3">
        <v>1</v>
      </c>
      <c r="L294" s="3">
        <v>0</v>
      </c>
      <c r="M294" s="3">
        <v>0</v>
      </c>
      <c r="N294" s="3">
        <v>1</v>
      </c>
      <c r="O294" s="3">
        <v>0.02</v>
      </c>
      <c r="P294" s="3">
        <v>0</v>
      </c>
      <c r="Q294" s="3">
        <v>0</v>
      </c>
      <c r="R294" s="3">
        <v>0</v>
      </c>
    </row>
    <row r="295" spans="1:18">
      <c r="A295" s="3" t="s">
        <v>2942</v>
      </c>
      <c r="B295" s="3" t="s">
        <v>2943</v>
      </c>
      <c r="C295" s="3" t="s">
        <v>2944</v>
      </c>
      <c r="D295" s="3" t="s">
        <v>2945</v>
      </c>
      <c r="E295" s="3" t="s">
        <v>538</v>
      </c>
      <c r="F295" s="3">
        <v>22.99</v>
      </c>
      <c r="G295" s="3" t="s">
        <v>2454</v>
      </c>
      <c r="H295" s="3"/>
      <c r="I295" s="3" t="s">
        <v>2455</v>
      </c>
      <c r="J295" s="3">
        <v>0</v>
      </c>
      <c r="K295" s="3">
        <v>0</v>
      </c>
      <c r="L295" s="3">
        <v>0</v>
      </c>
      <c r="M295" s="3">
        <v>0</v>
      </c>
      <c r="N295" s="3">
        <v>0</v>
      </c>
      <c r="O295" s="3">
        <v>0.02</v>
      </c>
      <c r="P295" s="3">
        <v>0</v>
      </c>
      <c r="Q295" s="3">
        <v>0</v>
      </c>
      <c r="R295" s="3">
        <v>0</v>
      </c>
    </row>
    <row r="296" spans="1:18">
      <c r="A296" s="3" t="s">
        <v>2946</v>
      </c>
      <c r="B296" s="3" t="s">
        <v>2947</v>
      </c>
      <c r="C296" s="3" t="s">
        <v>2948</v>
      </c>
      <c r="D296" s="3" t="s">
        <v>2949</v>
      </c>
      <c r="E296" s="3" t="s">
        <v>538</v>
      </c>
      <c r="F296" s="3">
        <v>9.99</v>
      </c>
      <c r="G296" s="3" t="s">
        <v>2454</v>
      </c>
      <c r="H296" s="3"/>
      <c r="I296" s="3" t="s">
        <v>2455</v>
      </c>
      <c r="J296" s="3">
        <v>0</v>
      </c>
      <c r="K296" s="3">
        <v>0</v>
      </c>
      <c r="L296" s="3">
        <v>0</v>
      </c>
      <c r="M296" s="3">
        <v>0</v>
      </c>
      <c r="N296" s="3">
        <v>0</v>
      </c>
      <c r="O296" s="3">
        <v>0.02</v>
      </c>
      <c r="P296" s="3">
        <v>0</v>
      </c>
      <c r="Q296" s="3">
        <v>0</v>
      </c>
      <c r="R296" s="3">
        <v>0</v>
      </c>
    </row>
    <row r="297" spans="1:18">
      <c r="A297" s="3" t="s">
        <v>2950</v>
      </c>
      <c r="B297" s="3" t="s">
        <v>2951</v>
      </c>
      <c r="C297" s="3" t="s">
        <v>2952</v>
      </c>
      <c r="D297" s="3" t="s">
        <v>2953</v>
      </c>
      <c r="E297" s="3" t="s">
        <v>538</v>
      </c>
      <c r="F297" s="3">
        <v>22.99</v>
      </c>
      <c r="G297" s="3" t="s">
        <v>2454</v>
      </c>
      <c r="H297" s="3"/>
      <c r="I297" s="3" t="s">
        <v>2455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0.02</v>
      </c>
      <c r="P297" s="3">
        <v>0</v>
      </c>
      <c r="Q297" s="3">
        <v>0</v>
      </c>
      <c r="R297" s="3">
        <v>0</v>
      </c>
    </row>
    <row r="298" spans="1:18">
      <c r="A298" s="3" t="s">
        <v>2954</v>
      </c>
      <c r="B298" s="3" t="s">
        <v>2955</v>
      </c>
      <c r="C298" s="3" t="s">
        <v>2956</v>
      </c>
      <c r="D298" s="3" t="s">
        <v>2957</v>
      </c>
      <c r="E298" s="3" t="s">
        <v>538</v>
      </c>
      <c r="F298" s="3">
        <v>22.99</v>
      </c>
      <c r="G298" s="3" t="s">
        <v>2454</v>
      </c>
      <c r="H298" s="3"/>
      <c r="I298" s="3" t="s">
        <v>2455</v>
      </c>
      <c r="J298" s="3">
        <v>0</v>
      </c>
      <c r="K298" s="3">
        <v>0</v>
      </c>
      <c r="L298" s="3">
        <v>0</v>
      </c>
      <c r="M298" s="3">
        <v>0</v>
      </c>
      <c r="N298" s="3">
        <v>0</v>
      </c>
      <c r="O298" s="3">
        <v>0.02</v>
      </c>
      <c r="P298" s="3">
        <v>0</v>
      </c>
      <c r="Q298" s="3">
        <v>0</v>
      </c>
      <c r="R298" s="3">
        <v>0</v>
      </c>
    </row>
    <row r="299" spans="1:18">
      <c r="A299" s="3" t="s">
        <v>2958</v>
      </c>
      <c r="B299" s="3" t="s">
        <v>2959</v>
      </c>
      <c r="C299" s="3" t="s">
        <v>2960</v>
      </c>
      <c r="D299" s="3" t="s">
        <v>2961</v>
      </c>
      <c r="E299" s="3" t="s">
        <v>538</v>
      </c>
      <c r="F299" s="3">
        <v>22.99</v>
      </c>
      <c r="G299" s="3" t="s">
        <v>2454</v>
      </c>
      <c r="H299" s="3"/>
      <c r="I299" s="3" t="s">
        <v>2455</v>
      </c>
      <c r="J299" s="3">
        <v>0</v>
      </c>
      <c r="K299" s="3">
        <v>0</v>
      </c>
      <c r="L299" s="3">
        <v>0</v>
      </c>
      <c r="M299" s="3">
        <v>0</v>
      </c>
      <c r="N299" s="3">
        <v>0</v>
      </c>
      <c r="O299" s="3">
        <v>0.02</v>
      </c>
      <c r="P299" s="3">
        <v>0</v>
      </c>
      <c r="Q299" s="3">
        <v>0</v>
      </c>
      <c r="R299" s="3">
        <v>0</v>
      </c>
    </row>
    <row r="300" spans="1:18">
      <c r="A300" s="3" t="s">
        <v>2962</v>
      </c>
      <c r="B300" s="3" t="s">
        <v>2963</v>
      </c>
      <c r="C300" s="3" t="s">
        <v>2964</v>
      </c>
      <c r="D300" s="3" t="s">
        <v>2965</v>
      </c>
      <c r="E300" s="3" t="s">
        <v>538</v>
      </c>
      <c r="F300" s="3">
        <v>22.99</v>
      </c>
      <c r="G300" s="3" t="s">
        <v>2454</v>
      </c>
      <c r="H300" s="3"/>
      <c r="I300" s="3" t="s">
        <v>2455</v>
      </c>
      <c r="J300" s="3">
        <v>0</v>
      </c>
      <c r="K300" s="3">
        <v>0</v>
      </c>
      <c r="L300" s="3">
        <v>0</v>
      </c>
      <c r="M300" s="3">
        <v>0</v>
      </c>
      <c r="N300" s="3">
        <v>0</v>
      </c>
      <c r="O300" s="3">
        <v>0.02</v>
      </c>
      <c r="P300" s="3">
        <v>0</v>
      </c>
      <c r="Q300" s="3">
        <v>0</v>
      </c>
      <c r="R300" s="3">
        <v>0</v>
      </c>
    </row>
    <row r="301" spans="1:18">
      <c r="A301" s="3" t="s">
        <v>2966</v>
      </c>
      <c r="B301" s="3" t="s">
        <v>2967</v>
      </c>
      <c r="C301" s="3" t="s">
        <v>2968</v>
      </c>
      <c r="D301" s="3" t="s">
        <v>2969</v>
      </c>
      <c r="E301" s="3" t="s">
        <v>538</v>
      </c>
      <c r="F301" s="3">
        <v>22.99</v>
      </c>
      <c r="G301" s="3" t="s">
        <v>2454</v>
      </c>
      <c r="H301" s="3"/>
      <c r="I301" s="3" t="s">
        <v>2455</v>
      </c>
      <c r="J301" s="3">
        <v>0</v>
      </c>
      <c r="K301" s="3">
        <v>0</v>
      </c>
      <c r="L301" s="3">
        <v>0</v>
      </c>
      <c r="M301" s="3">
        <v>0</v>
      </c>
      <c r="N301" s="3">
        <v>0</v>
      </c>
      <c r="O301" s="3">
        <v>0.02</v>
      </c>
      <c r="P301" s="3">
        <v>0</v>
      </c>
      <c r="Q301" s="3">
        <v>0</v>
      </c>
      <c r="R301" s="3">
        <v>0</v>
      </c>
    </row>
    <row r="302" spans="1:18">
      <c r="A302" s="3" t="s">
        <v>2970</v>
      </c>
      <c r="B302" s="3" t="s">
        <v>2971</v>
      </c>
      <c r="C302" s="3" t="s">
        <v>2972</v>
      </c>
      <c r="D302" s="3" t="s">
        <v>2973</v>
      </c>
      <c r="E302" s="3" t="s">
        <v>538</v>
      </c>
      <c r="F302" s="3">
        <v>29.99</v>
      </c>
      <c r="G302" s="3" t="s">
        <v>2454</v>
      </c>
      <c r="H302" s="3"/>
      <c r="I302" s="3" t="s">
        <v>2455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</row>
    <row r="303" spans="1:18">
      <c r="A303" s="3" t="s">
        <v>2974</v>
      </c>
      <c r="B303" s="3" t="s">
        <v>2975</v>
      </c>
      <c r="C303" s="3" t="s">
        <v>2976</v>
      </c>
      <c r="D303" s="3" t="s">
        <v>2977</v>
      </c>
      <c r="E303" s="3" t="s">
        <v>538</v>
      </c>
      <c r="F303" s="3">
        <v>29.99</v>
      </c>
      <c r="G303" s="3" t="s">
        <v>2454</v>
      </c>
      <c r="H303" s="3"/>
      <c r="I303" s="3" t="s">
        <v>2455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</row>
    <row r="304" spans="1:18">
      <c r="A304" s="3" t="s">
        <v>2021</v>
      </c>
      <c r="B304" s="3" t="s">
        <v>2022</v>
      </c>
      <c r="C304" s="3" t="s">
        <v>2023</v>
      </c>
      <c r="D304" s="3" t="s">
        <v>2024</v>
      </c>
      <c r="E304" s="3" t="s">
        <v>538</v>
      </c>
      <c r="F304" s="3">
        <v>29.99</v>
      </c>
      <c r="G304" s="3" t="s">
        <v>2454</v>
      </c>
      <c r="H304" s="3"/>
      <c r="I304" s="3" t="s">
        <v>2455</v>
      </c>
      <c r="J304" s="3">
        <v>1</v>
      </c>
      <c r="K304" s="3">
        <v>1</v>
      </c>
      <c r="L304" s="3">
        <v>0</v>
      </c>
      <c r="M304" s="3">
        <v>0</v>
      </c>
      <c r="N304" s="3">
        <v>1</v>
      </c>
      <c r="O304" s="3">
        <v>0</v>
      </c>
      <c r="P304" s="3">
        <v>0</v>
      </c>
      <c r="Q304" s="3">
        <v>0</v>
      </c>
      <c r="R304" s="3">
        <v>0</v>
      </c>
    </row>
    <row r="305" spans="1:18">
      <c r="A305" s="3" t="s">
        <v>797</v>
      </c>
      <c r="B305" s="3" t="s">
        <v>798</v>
      </c>
      <c r="C305" s="3" t="s">
        <v>799</v>
      </c>
      <c r="D305" s="3" t="s">
        <v>800</v>
      </c>
      <c r="E305" s="3" t="s">
        <v>538</v>
      </c>
      <c r="F305" s="3">
        <v>29.99</v>
      </c>
      <c r="G305" s="3" t="s">
        <v>2454</v>
      </c>
      <c r="H305" s="3"/>
      <c r="I305" s="3" t="s">
        <v>2455</v>
      </c>
      <c r="J305" s="3">
        <v>3</v>
      </c>
      <c r="K305" s="3">
        <v>3</v>
      </c>
      <c r="L305" s="3">
        <v>0</v>
      </c>
      <c r="M305" s="3">
        <v>0</v>
      </c>
      <c r="N305" s="3">
        <v>3</v>
      </c>
      <c r="O305" s="3">
        <v>0</v>
      </c>
      <c r="P305" s="3">
        <v>0</v>
      </c>
      <c r="Q305" s="3">
        <v>0</v>
      </c>
      <c r="R305" s="3">
        <v>0</v>
      </c>
    </row>
    <row r="306" spans="1:18">
      <c r="A306" s="3" t="s">
        <v>2978</v>
      </c>
      <c r="B306" s="3" t="s">
        <v>2979</v>
      </c>
      <c r="C306" s="3" t="s">
        <v>2980</v>
      </c>
      <c r="D306" s="3" t="s">
        <v>2981</v>
      </c>
      <c r="E306" s="3" t="s">
        <v>538</v>
      </c>
      <c r="F306" s="3">
        <v>29.99</v>
      </c>
      <c r="G306" s="3" t="s">
        <v>2454</v>
      </c>
      <c r="H306" s="3"/>
      <c r="I306" s="3" t="s">
        <v>2455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</row>
    <row r="307" spans="1:18">
      <c r="A307" s="3" t="s">
        <v>2982</v>
      </c>
      <c r="B307" s="3" t="s">
        <v>2983</v>
      </c>
      <c r="C307" s="3" t="s">
        <v>2984</v>
      </c>
      <c r="D307" s="3" t="s">
        <v>2985</v>
      </c>
      <c r="E307" s="3" t="s">
        <v>538</v>
      </c>
      <c r="F307" s="3">
        <v>29.99</v>
      </c>
      <c r="G307" s="3" t="s">
        <v>2454</v>
      </c>
      <c r="H307" s="3"/>
      <c r="I307" s="3" t="s">
        <v>2455</v>
      </c>
      <c r="J307" s="3">
        <v>0</v>
      </c>
      <c r="K307" s="3">
        <v>0</v>
      </c>
      <c r="L307" s="3">
        <v>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</row>
    <row r="308" spans="1:18">
      <c r="A308" s="3" t="s">
        <v>2986</v>
      </c>
      <c r="B308" s="3" t="s">
        <v>2987</v>
      </c>
      <c r="C308" s="3" t="s">
        <v>2988</v>
      </c>
      <c r="D308" s="3" t="s">
        <v>2989</v>
      </c>
      <c r="E308" s="3" t="s">
        <v>538</v>
      </c>
      <c r="F308" s="3">
        <v>61.7</v>
      </c>
      <c r="G308" s="3" t="s">
        <v>2454</v>
      </c>
      <c r="H308" s="3"/>
      <c r="I308" s="3" t="s">
        <v>2455</v>
      </c>
      <c r="J308" s="3">
        <v>0</v>
      </c>
      <c r="K308" s="3">
        <v>0</v>
      </c>
      <c r="L308" s="3">
        <v>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</row>
    <row r="309" spans="1:18">
      <c r="A309" s="3" t="s">
        <v>2990</v>
      </c>
      <c r="B309" s="3" t="s">
        <v>2991</v>
      </c>
      <c r="C309" s="3" t="s">
        <v>2992</v>
      </c>
      <c r="D309" s="3" t="s">
        <v>2993</v>
      </c>
      <c r="E309" s="3" t="s">
        <v>538</v>
      </c>
      <c r="F309" s="3">
        <v>15.99</v>
      </c>
      <c r="G309" s="3" t="s">
        <v>2454</v>
      </c>
      <c r="H309" s="3"/>
      <c r="I309" s="3" t="s">
        <v>2455</v>
      </c>
      <c r="J309" s="3">
        <v>0</v>
      </c>
      <c r="K309" s="3">
        <v>0</v>
      </c>
      <c r="L309" s="3">
        <v>0</v>
      </c>
      <c r="M309" s="3">
        <v>0</v>
      </c>
      <c r="N309" s="3">
        <v>0</v>
      </c>
      <c r="O309" s="3">
        <v>0.21</v>
      </c>
      <c r="P309" s="3">
        <v>0</v>
      </c>
      <c r="Q309" s="3">
        <v>0</v>
      </c>
      <c r="R309" s="3">
        <v>0</v>
      </c>
    </row>
    <row r="310" spans="1:18">
      <c r="A310" s="3" t="s">
        <v>59</v>
      </c>
      <c r="B310" s="3" t="s">
        <v>60</v>
      </c>
      <c r="C310" s="3" t="s">
        <v>61</v>
      </c>
      <c r="D310" s="3" t="s">
        <v>62</v>
      </c>
      <c r="E310" s="3" t="s">
        <v>538</v>
      </c>
      <c r="F310" s="3">
        <v>69.9</v>
      </c>
      <c r="G310" s="3" t="s">
        <v>2454</v>
      </c>
      <c r="H310" s="3"/>
      <c r="I310" s="3" t="s">
        <v>2455</v>
      </c>
      <c r="J310" s="3">
        <v>12</v>
      </c>
      <c r="K310" s="3">
        <v>11</v>
      </c>
      <c r="L310" s="3">
        <v>0</v>
      </c>
      <c r="M310" s="3">
        <v>1</v>
      </c>
      <c r="N310" s="3">
        <v>17</v>
      </c>
      <c r="O310" s="3">
        <v>0.02</v>
      </c>
      <c r="P310" s="3">
        <v>0</v>
      </c>
      <c r="Q310" s="3">
        <v>5</v>
      </c>
      <c r="R310" s="3">
        <v>0</v>
      </c>
    </row>
    <row r="311" spans="1:18">
      <c r="A311" s="3" t="s">
        <v>2994</v>
      </c>
      <c r="B311" s="3" t="s">
        <v>2995</v>
      </c>
      <c r="C311" s="3" t="s">
        <v>2996</v>
      </c>
      <c r="D311" s="3" t="s">
        <v>2997</v>
      </c>
      <c r="E311" s="3" t="s">
        <v>538</v>
      </c>
      <c r="F311" s="3">
        <v>62</v>
      </c>
      <c r="G311" s="3" t="s">
        <v>2454</v>
      </c>
      <c r="H311" s="3"/>
      <c r="I311" s="3" t="s">
        <v>2455</v>
      </c>
      <c r="J311" s="3">
        <v>0</v>
      </c>
      <c r="K311" s="3">
        <v>0</v>
      </c>
      <c r="L311" s="3">
        <v>0</v>
      </c>
      <c r="M311" s="3">
        <v>0</v>
      </c>
      <c r="N311" s="3">
        <v>0</v>
      </c>
      <c r="O311" s="3">
        <v>0.04</v>
      </c>
      <c r="P311" s="3">
        <v>0</v>
      </c>
      <c r="Q311" s="3">
        <v>0</v>
      </c>
      <c r="R311" s="3">
        <v>0</v>
      </c>
    </row>
    <row r="312" spans="1:18">
      <c r="A312" s="3" t="s">
        <v>1937</v>
      </c>
      <c r="B312" s="3" t="s">
        <v>1938</v>
      </c>
      <c r="C312" s="3" t="s">
        <v>1939</v>
      </c>
      <c r="D312" s="3" t="s">
        <v>863</v>
      </c>
      <c r="E312" s="3" t="s">
        <v>538</v>
      </c>
      <c r="F312" s="3">
        <v>23.99</v>
      </c>
      <c r="G312" s="3" t="s">
        <v>2454</v>
      </c>
      <c r="H312" s="3"/>
      <c r="I312" s="3" t="s">
        <v>2455</v>
      </c>
      <c r="J312" s="3">
        <v>3</v>
      </c>
      <c r="K312" s="3">
        <v>3</v>
      </c>
      <c r="L312" s="3">
        <v>0</v>
      </c>
      <c r="M312" s="3">
        <v>0</v>
      </c>
      <c r="N312" s="3">
        <v>3</v>
      </c>
      <c r="O312" s="3">
        <v>0.05</v>
      </c>
      <c r="P312" s="3">
        <v>0</v>
      </c>
      <c r="Q312" s="3">
        <v>0</v>
      </c>
      <c r="R312" s="3">
        <v>0</v>
      </c>
    </row>
    <row r="313" spans="1:18">
      <c r="A313" s="3" t="s">
        <v>1527</v>
      </c>
      <c r="B313" s="3" t="s">
        <v>1528</v>
      </c>
      <c r="C313" s="3" t="s">
        <v>1529</v>
      </c>
      <c r="D313" s="3" t="s">
        <v>863</v>
      </c>
      <c r="E313" s="3" t="s">
        <v>538</v>
      </c>
      <c r="F313" s="3">
        <v>35.99</v>
      </c>
      <c r="G313" s="3" t="s">
        <v>2454</v>
      </c>
      <c r="H313" s="3"/>
      <c r="I313" s="3" t="s">
        <v>2455</v>
      </c>
      <c r="J313" s="3">
        <v>1</v>
      </c>
      <c r="K313" s="3">
        <v>1</v>
      </c>
      <c r="L313" s="3">
        <v>0</v>
      </c>
      <c r="M313" s="3">
        <v>0</v>
      </c>
      <c r="N313" s="3">
        <v>1</v>
      </c>
      <c r="O313" s="3">
        <v>0.21</v>
      </c>
      <c r="P313" s="3">
        <v>0</v>
      </c>
      <c r="Q313" s="3">
        <v>0</v>
      </c>
      <c r="R313" s="3">
        <v>0</v>
      </c>
    </row>
    <row r="314" spans="1:18">
      <c r="A314" s="3" t="s">
        <v>842</v>
      </c>
      <c r="B314" s="3" t="s">
        <v>843</v>
      </c>
      <c r="C314" s="3" t="s">
        <v>844</v>
      </c>
      <c r="D314" s="3" t="s">
        <v>845</v>
      </c>
      <c r="E314" s="3" t="s">
        <v>538</v>
      </c>
      <c r="F314" s="3">
        <v>12.99</v>
      </c>
      <c r="G314" s="3" t="s">
        <v>2454</v>
      </c>
      <c r="H314" s="3"/>
      <c r="I314" s="3" t="s">
        <v>2455</v>
      </c>
      <c r="J314" s="3">
        <v>6</v>
      </c>
      <c r="K314" s="3">
        <v>6</v>
      </c>
      <c r="L314" s="3">
        <v>0</v>
      </c>
      <c r="M314" s="3">
        <v>0</v>
      </c>
      <c r="N314" s="3">
        <v>6</v>
      </c>
      <c r="O314" s="3">
        <v>0</v>
      </c>
      <c r="P314" s="3">
        <v>0</v>
      </c>
      <c r="Q314" s="3">
        <v>0</v>
      </c>
      <c r="R314" s="3">
        <v>0</v>
      </c>
    </row>
    <row r="315" spans="1:18">
      <c r="A315" s="3" t="s">
        <v>2298</v>
      </c>
      <c r="B315" s="3" t="s">
        <v>2299</v>
      </c>
      <c r="C315" s="3" t="s">
        <v>2300</v>
      </c>
      <c r="D315" s="3" t="s">
        <v>845</v>
      </c>
      <c r="E315" s="3" t="s">
        <v>538</v>
      </c>
      <c r="F315" s="3">
        <v>19.99</v>
      </c>
      <c r="G315" s="3" t="s">
        <v>2454</v>
      </c>
      <c r="H315" s="3"/>
      <c r="I315" s="3" t="s">
        <v>2455</v>
      </c>
      <c r="J315" s="3">
        <v>1</v>
      </c>
      <c r="K315" s="3">
        <v>1</v>
      </c>
      <c r="L315" s="3">
        <v>0</v>
      </c>
      <c r="M315" s="3">
        <v>0</v>
      </c>
      <c r="N315" s="3">
        <v>1</v>
      </c>
      <c r="O315" s="3">
        <v>0.14</v>
      </c>
      <c r="P315" s="3">
        <v>0</v>
      </c>
      <c r="Q315" s="3">
        <v>0</v>
      </c>
      <c r="R315" s="3">
        <v>0</v>
      </c>
    </row>
    <row r="316" spans="1:18">
      <c r="A316" s="3" t="s">
        <v>860</v>
      </c>
      <c r="B316" s="3" t="s">
        <v>861</v>
      </c>
      <c r="C316" s="3" t="s">
        <v>862</v>
      </c>
      <c r="D316" s="3" t="s">
        <v>863</v>
      </c>
      <c r="E316" s="3" t="s">
        <v>538</v>
      </c>
      <c r="F316" s="3">
        <v>35.99</v>
      </c>
      <c r="G316" s="3" t="s">
        <v>2454</v>
      </c>
      <c r="H316" s="3"/>
      <c r="I316" s="3" t="s">
        <v>2455</v>
      </c>
      <c r="J316" s="3">
        <v>7</v>
      </c>
      <c r="K316" s="3">
        <v>7</v>
      </c>
      <c r="L316" s="3">
        <v>0</v>
      </c>
      <c r="M316" s="3">
        <v>0</v>
      </c>
      <c r="N316" s="3">
        <v>7</v>
      </c>
      <c r="O316" s="3">
        <v>0.01</v>
      </c>
      <c r="P316" s="3">
        <v>0</v>
      </c>
      <c r="Q316" s="3">
        <v>0</v>
      </c>
      <c r="R316" s="3">
        <v>0</v>
      </c>
    </row>
    <row r="317" spans="1:18">
      <c r="A317" s="3" t="s">
        <v>2998</v>
      </c>
      <c r="B317" s="3" t="s">
        <v>2999</v>
      </c>
      <c r="C317" s="3" t="s">
        <v>3000</v>
      </c>
      <c r="D317" s="3" t="s">
        <v>863</v>
      </c>
      <c r="E317" s="3" t="s">
        <v>538</v>
      </c>
      <c r="F317" s="3">
        <v>39.99</v>
      </c>
      <c r="G317" s="3" t="s">
        <v>2454</v>
      </c>
      <c r="H317" s="3"/>
      <c r="I317" s="3" t="s">
        <v>2455</v>
      </c>
      <c r="J317" s="3">
        <v>0</v>
      </c>
      <c r="K317" s="3">
        <v>0</v>
      </c>
      <c r="L317" s="3">
        <v>0</v>
      </c>
      <c r="M317" s="3">
        <v>0</v>
      </c>
      <c r="N317" s="3">
        <v>0</v>
      </c>
      <c r="O317" s="3">
        <v>0.47</v>
      </c>
      <c r="P317" s="3">
        <v>0</v>
      </c>
      <c r="Q317" s="3">
        <v>0</v>
      </c>
      <c r="R317" s="3">
        <v>0</v>
      </c>
    </row>
    <row r="318" spans="1:18">
      <c r="A318" s="3" t="s">
        <v>3001</v>
      </c>
      <c r="B318" s="3" t="s">
        <v>3002</v>
      </c>
      <c r="C318" s="3" t="s">
        <v>3003</v>
      </c>
      <c r="D318" s="3"/>
      <c r="E318" s="3" t="s">
        <v>2459</v>
      </c>
      <c r="F318" s="3"/>
      <c r="G318" s="3"/>
      <c r="H318" s="3"/>
      <c r="I318" s="3"/>
      <c r="J318" s="3">
        <v>0</v>
      </c>
      <c r="K318" s="3">
        <v>0</v>
      </c>
      <c r="L318" s="3">
        <v>0</v>
      </c>
      <c r="M318" s="3">
        <v>0</v>
      </c>
      <c r="N318" s="3">
        <v>0</v>
      </c>
      <c r="O318" s="3"/>
      <c r="P318" s="3">
        <v>0</v>
      </c>
      <c r="Q318" s="3">
        <v>0</v>
      </c>
      <c r="R318" s="3">
        <v>0</v>
      </c>
    </row>
    <row r="319" spans="1:18">
      <c r="A319" s="3" t="s">
        <v>1144</v>
      </c>
      <c r="B319" s="3" t="s">
        <v>1145</v>
      </c>
      <c r="C319" s="3" t="s">
        <v>1146</v>
      </c>
      <c r="D319" s="3" t="s">
        <v>1147</v>
      </c>
      <c r="E319" s="3" t="s">
        <v>538</v>
      </c>
      <c r="F319" s="3">
        <v>22.7</v>
      </c>
      <c r="G319" s="3" t="s">
        <v>2454</v>
      </c>
      <c r="H319" s="3"/>
      <c r="I319" s="3" t="s">
        <v>2455</v>
      </c>
      <c r="J319" s="3">
        <v>2</v>
      </c>
      <c r="K319" s="3">
        <v>2</v>
      </c>
      <c r="L319" s="3">
        <v>0</v>
      </c>
      <c r="M319" s="3">
        <v>0</v>
      </c>
      <c r="N319" s="3">
        <v>2</v>
      </c>
      <c r="O319" s="3">
        <v>0.02</v>
      </c>
      <c r="P319" s="3">
        <v>0</v>
      </c>
      <c r="Q319" s="3">
        <v>0</v>
      </c>
      <c r="R319" s="3">
        <v>0</v>
      </c>
    </row>
    <row r="320" spans="1:18">
      <c r="A320" s="3" t="s">
        <v>3004</v>
      </c>
      <c r="B320" s="3" t="s">
        <v>3005</v>
      </c>
      <c r="C320" s="3" t="s">
        <v>3006</v>
      </c>
      <c r="D320" s="3" t="s">
        <v>3007</v>
      </c>
      <c r="E320" s="3" t="s">
        <v>538</v>
      </c>
      <c r="F320" s="3">
        <v>22.7</v>
      </c>
      <c r="G320" s="3" t="s">
        <v>2454</v>
      </c>
      <c r="H320" s="3"/>
      <c r="I320" s="3" t="s">
        <v>2455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0.02</v>
      </c>
      <c r="P320" s="3">
        <v>0</v>
      </c>
      <c r="Q320" s="3">
        <v>0</v>
      </c>
      <c r="R320" s="3">
        <v>0</v>
      </c>
    </row>
    <row r="321" spans="1:18">
      <c r="A321" s="3" t="s">
        <v>3008</v>
      </c>
      <c r="B321" s="3" t="s">
        <v>3009</v>
      </c>
      <c r="C321" s="3" t="s">
        <v>3010</v>
      </c>
      <c r="D321" s="3" t="s">
        <v>3011</v>
      </c>
      <c r="E321" s="3" t="s">
        <v>538</v>
      </c>
      <c r="F321" s="3">
        <v>71.5</v>
      </c>
      <c r="G321" s="3" t="s">
        <v>2454</v>
      </c>
      <c r="H321" s="3"/>
      <c r="I321" s="3" t="s">
        <v>2455</v>
      </c>
      <c r="J321" s="3">
        <v>0</v>
      </c>
      <c r="K321" s="3">
        <v>0</v>
      </c>
      <c r="L321" s="3">
        <v>0</v>
      </c>
      <c r="M321" s="3">
        <v>0</v>
      </c>
      <c r="N321" s="3">
        <v>0</v>
      </c>
      <c r="O321" s="3">
        <v>0.02</v>
      </c>
      <c r="P321" s="3">
        <v>0</v>
      </c>
      <c r="Q321" s="3">
        <v>0</v>
      </c>
      <c r="R321" s="3">
        <v>0</v>
      </c>
    </row>
    <row r="322" spans="1:18">
      <c r="A322" s="3" t="s">
        <v>1827</v>
      </c>
      <c r="B322" s="3" t="s">
        <v>1828</v>
      </c>
      <c r="C322" s="3" t="s">
        <v>1829</v>
      </c>
      <c r="D322" s="3" t="s">
        <v>1830</v>
      </c>
      <c r="E322" s="3" t="s">
        <v>538</v>
      </c>
      <c r="F322" s="3">
        <v>71.5</v>
      </c>
      <c r="G322" s="3" t="s">
        <v>2454</v>
      </c>
      <c r="H322" s="3"/>
      <c r="I322" s="3" t="s">
        <v>2455</v>
      </c>
      <c r="J322" s="3">
        <v>5</v>
      </c>
      <c r="K322" s="3">
        <v>5</v>
      </c>
      <c r="L322" s="3">
        <v>0</v>
      </c>
      <c r="M322" s="3">
        <v>0</v>
      </c>
      <c r="N322" s="3">
        <v>5</v>
      </c>
      <c r="O322" s="3">
        <v>0.04</v>
      </c>
      <c r="P322" s="3">
        <v>0</v>
      </c>
      <c r="Q322" s="3">
        <v>0</v>
      </c>
      <c r="R322" s="3">
        <v>0</v>
      </c>
    </row>
    <row r="323" spans="1:18">
      <c r="A323" s="3" t="s">
        <v>3012</v>
      </c>
      <c r="B323" s="3" t="s">
        <v>3013</v>
      </c>
      <c r="C323" s="3" t="s">
        <v>3014</v>
      </c>
      <c r="D323" s="3" t="s">
        <v>3015</v>
      </c>
      <c r="E323" s="3" t="s">
        <v>538</v>
      </c>
      <c r="F323" s="3">
        <v>71.5</v>
      </c>
      <c r="G323" s="3" t="s">
        <v>2454</v>
      </c>
      <c r="H323" s="3"/>
      <c r="I323" s="3" t="s">
        <v>2455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0.04</v>
      </c>
      <c r="P323" s="3">
        <v>0</v>
      </c>
      <c r="Q323" s="3">
        <v>0</v>
      </c>
      <c r="R323" s="3">
        <v>0</v>
      </c>
    </row>
    <row r="324" spans="1:18">
      <c r="A324" s="3" t="s">
        <v>3016</v>
      </c>
      <c r="B324" s="3" t="s">
        <v>3017</v>
      </c>
      <c r="C324" s="3" t="s">
        <v>3018</v>
      </c>
      <c r="D324" s="3" t="s">
        <v>3019</v>
      </c>
      <c r="E324" s="3" t="s">
        <v>538</v>
      </c>
      <c r="F324" s="3">
        <v>71.5</v>
      </c>
      <c r="G324" s="3" t="s">
        <v>2454</v>
      </c>
      <c r="H324" s="3"/>
      <c r="I324" s="3" t="s">
        <v>2455</v>
      </c>
      <c r="J324" s="3">
        <v>0</v>
      </c>
      <c r="K324" s="3">
        <v>0</v>
      </c>
      <c r="L324" s="3">
        <v>0</v>
      </c>
      <c r="M324" s="3">
        <v>0</v>
      </c>
      <c r="N324" s="3">
        <v>0</v>
      </c>
      <c r="O324" s="3">
        <v>0.04</v>
      </c>
      <c r="P324" s="3">
        <v>0</v>
      </c>
      <c r="Q324" s="3">
        <v>0</v>
      </c>
      <c r="R324" s="3">
        <v>0</v>
      </c>
    </row>
    <row r="325" spans="1:18">
      <c r="A325" s="3" t="s">
        <v>685</v>
      </c>
      <c r="B325" s="3" t="s">
        <v>686</v>
      </c>
      <c r="C325" s="3" t="s">
        <v>687</v>
      </c>
      <c r="D325" s="3" t="s">
        <v>688</v>
      </c>
      <c r="E325" s="3" t="s">
        <v>538</v>
      </c>
      <c r="F325" s="3">
        <v>19.99</v>
      </c>
      <c r="G325" s="3" t="s">
        <v>2454</v>
      </c>
      <c r="H325" s="3"/>
      <c r="I325" s="3" t="s">
        <v>2455</v>
      </c>
      <c r="J325" s="3">
        <v>4</v>
      </c>
      <c r="K325" s="3">
        <v>4</v>
      </c>
      <c r="L325" s="3">
        <v>0</v>
      </c>
      <c r="M325" s="3">
        <v>0</v>
      </c>
      <c r="N325" s="3">
        <v>4</v>
      </c>
      <c r="O325" s="3">
        <v>0.05</v>
      </c>
      <c r="P325" s="3">
        <v>0</v>
      </c>
      <c r="Q325" s="3">
        <v>0</v>
      </c>
      <c r="R325" s="3">
        <v>0</v>
      </c>
    </row>
    <row r="326" spans="1:18">
      <c r="A326" s="3" t="s">
        <v>3020</v>
      </c>
      <c r="B326" s="3" t="s">
        <v>3021</v>
      </c>
      <c r="C326" s="3" t="s">
        <v>3022</v>
      </c>
      <c r="D326" s="3" t="s">
        <v>3023</v>
      </c>
      <c r="E326" s="3" t="s">
        <v>538</v>
      </c>
      <c r="F326" s="3">
        <v>19.99</v>
      </c>
      <c r="G326" s="3" t="s">
        <v>2454</v>
      </c>
      <c r="H326" s="3"/>
      <c r="I326" s="3" t="s">
        <v>2455</v>
      </c>
      <c r="J326" s="3">
        <v>0</v>
      </c>
      <c r="K326" s="3">
        <v>0</v>
      </c>
      <c r="L326" s="3">
        <v>0</v>
      </c>
      <c r="M326" s="3">
        <v>0</v>
      </c>
      <c r="N326" s="3">
        <v>0</v>
      </c>
      <c r="O326" s="3">
        <v>0.05</v>
      </c>
      <c r="P326" s="3">
        <v>0</v>
      </c>
      <c r="Q326" s="3">
        <v>0</v>
      </c>
      <c r="R326" s="3">
        <v>0</v>
      </c>
    </row>
    <row r="327" spans="1:18">
      <c r="A327" s="3" t="s">
        <v>3024</v>
      </c>
      <c r="B327" s="3" t="s">
        <v>3025</v>
      </c>
      <c r="C327" s="3" t="s">
        <v>3026</v>
      </c>
      <c r="D327" s="3" t="s">
        <v>3027</v>
      </c>
      <c r="E327" s="3" t="s">
        <v>538</v>
      </c>
      <c r="F327" s="3">
        <v>19.99</v>
      </c>
      <c r="G327" s="3" t="s">
        <v>2454</v>
      </c>
      <c r="H327" s="3"/>
      <c r="I327" s="3" t="s">
        <v>2455</v>
      </c>
      <c r="J327" s="3">
        <v>0</v>
      </c>
      <c r="K327" s="3">
        <v>0</v>
      </c>
      <c r="L327" s="3">
        <v>0</v>
      </c>
      <c r="M327" s="3">
        <v>0</v>
      </c>
      <c r="N327" s="3">
        <v>0</v>
      </c>
      <c r="O327" s="3">
        <v>0.05</v>
      </c>
      <c r="P327" s="3">
        <v>0</v>
      </c>
      <c r="Q327" s="3">
        <v>0</v>
      </c>
      <c r="R327" s="3">
        <v>0</v>
      </c>
    </row>
    <row r="328" spans="1:18">
      <c r="A328" s="3" t="s">
        <v>1847</v>
      </c>
      <c r="B328" s="3" t="s">
        <v>1848</v>
      </c>
      <c r="C328" s="3" t="s">
        <v>1849</v>
      </c>
      <c r="D328" s="3" t="s">
        <v>1850</v>
      </c>
      <c r="E328" s="3" t="s">
        <v>538</v>
      </c>
      <c r="F328" s="3">
        <v>22.7</v>
      </c>
      <c r="G328" s="3" t="s">
        <v>2454</v>
      </c>
      <c r="H328" s="3"/>
      <c r="I328" s="3" t="s">
        <v>2455</v>
      </c>
      <c r="J328" s="3">
        <v>7</v>
      </c>
      <c r="K328" s="3">
        <v>7</v>
      </c>
      <c r="L328" s="3">
        <v>0</v>
      </c>
      <c r="M328" s="3">
        <v>0</v>
      </c>
      <c r="N328" s="3">
        <v>7</v>
      </c>
      <c r="O328" s="3">
        <v>0.02</v>
      </c>
      <c r="P328" s="3">
        <v>0</v>
      </c>
      <c r="Q328" s="3">
        <v>0</v>
      </c>
      <c r="R328" s="3">
        <v>0</v>
      </c>
    </row>
    <row r="329" spans="1:18">
      <c r="A329" s="3" t="s">
        <v>3028</v>
      </c>
      <c r="B329" s="3" t="s">
        <v>3029</v>
      </c>
      <c r="C329" s="3" t="s">
        <v>3030</v>
      </c>
      <c r="D329" s="3" t="s">
        <v>3031</v>
      </c>
      <c r="E329" s="3" t="s">
        <v>538</v>
      </c>
      <c r="F329" s="3">
        <v>22.7</v>
      </c>
      <c r="G329" s="3" t="s">
        <v>2454</v>
      </c>
      <c r="H329" s="3"/>
      <c r="I329" s="3" t="s">
        <v>2455</v>
      </c>
      <c r="J329" s="3">
        <v>0</v>
      </c>
      <c r="K329" s="3">
        <v>0</v>
      </c>
      <c r="L329" s="3">
        <v>0</v>
      </c>
      <c r="M329" s="3">
        <v>0</v>
      </c>
      <c r="N329" s="3">
        <v>0</v>
      </c>
      <c r="O329" s="3">
        <v>0.02</v>
      </c>
      <c r="P329" s="3">
        <v>0</v>
      </c>
      <c r="Q329" s="3">
        <v>0</v>
      </c>
      <c r="R329" s="3">
        <v>0</v>
      </c>
    </row>
    <row r="330" spans="1:18">
      <c r="A330" s="3" t="s">
        <v>1100</v>
      </c>
      <c r="B330" s="3" t="s">
        <v>1101</v>
      </c>
      <c r="C330" s="3" t="s">
        <v>1102</v>
      </c>
      <c r="D330" s="3" t="s">
        <v>1103</v>
      </c>
      <c r="E330" s="3" t="s">
        <v>538</v>
      </c>
      <c r="F330" s="3">
        <v>77.9</v>
      </c>
      <c r="G330" s="3" t="s">
        <v>2454</v>
      </c>
      <c r="H330" s="3"/>
      <c r="I330" s="3" t="s">
        <v>2455</v>
      </c>
      <c r="J330" s="3">
        <v>28</v>
      </c>
      <c r="K330" s="3">
        <v>28</v>
      </c>
      <c r="L330" s="3">
        <v>0</v>
      </c>
      <c r="M330" s="3">
        <v>0</v>
      </c>
      <c r="N330" s="3">
        <v>28</v>
      </c>
      <c r="O330" s="3">
        <v>0.04</v>
      </c>
      <c r="P330" s="3">
        <v>0</v>
      </c>
      <c r="Q330" s="3">
        <v>0</v>
      </c>
      <c r="R330" s="3">
        <v>0</v>
      </c>
    </row>
    <row r="331" spans="1:18">
      <c r="A331" s="3" t="s">
        <v>1152</v>
      </c>
      <c r="B331" s="3" t="s">
        <v>1153</v>
      </c>
      <c r="C331" s="3" t="s">
        <v>1154</v>
      </c>
      <c r="D331" s="3" t="s">
        <v>1155</v>
      </c>
      <c r="E331" s="3" t="s">
        <v>538</v>
      </c>
      <c r="F331" s="3">
        <v>17.99</v>
      </c>
      <c r="G331" s="3" t="s">
        <v>2454</v>
      </c>
      <c r="H331" s="3"/>
      <c r="I331" s="3" t="s">
        <v>2455</v>
      </c>
      <c r="J331" s="3">
        <v>2</v>
      </c>
      <c r="K331" s="3">
        <v>2</v>
      </c>
      <c r="L331" s="3">
        <v>0</v>
      </c>
      <c r="M331" s="3">
        <v>0</v>
      </c>
      <c r="N331" s="3">
        <v>2</v>
      </c>
      <c r="O331" s="3">
        <v>0.04</v>
      </c>
      <c r="P331" s="3">
        <v>0</v>
      </c>
      <c r="Q331" s="3">
        <v>0</v>
      </c>
      <c r="R331" s="3">
        <v>0</v>
      </c>
    </row>
    <row r="332" spans="1:18">
      <c r="A332" s="3" t="s">
        <v>1843</v>
      </c>
      <c r="B332" s="3" t="s">
        <v>1844</v>
      </c>
      <c r="C332" s="3" t="s">
        <v>1845</v>
      </c>
      <c r="D332" s="3" t="s">
        <v>3032</v>
      </c>
      <c r="E332" s="3" t="s">
        <v>538</v>
      </c>
      <c r="F332" s="3">
        <v>77.9</v>
      </c>
      <c r="G332" s="3" t="s">
        <v>2454</v>
      </c>
      <c r="H332" s="3"/>
      <c r="I332" s="3" t="s">
        <v>2455</v>
      </c>
      <c r="J332" s="3">
        <v>26</v>
      </c>
      <c r="K332" s="3">
        <v>26</v>
      </c>
      <c r="L332" s="3">
        <v>0</v>
      </c>
      <c r="M332" s="3">
        <v>0</v>
      </c>
      <c r="N332" s="3">
        <v>26</v>
      </c>
      <c r="O332" s="3">
        <v>0.04</v>
      </c>
      <c r="P332" s="3">
        <v>0</v>
      </c>
      <c r="Q332" s="3">
        <v>0</v>
      </c>
      <c r="R332" s="3">
        <v>0</v>
      </c>
    </row>
    <row r="333" spans="1:18">
      <c r="A333" s="3" t="s">
        <v>1761</v>
      </c>
      <c r="B333" s="3" t="s">
        <v>1762</v>
      </c>
      <c r="C333" s="3" t="s">
        <v>1763</v>
      </c>
      <c r="D333" s="3" t="s">
        <v>1764</v>
      </c>
      <c r="E333" s="3" t="s">
        <v>538</v>
      </c>
      <c r="F333" s="3">
        <v>77.9</v>
      </c>
      <c r="G333" s="3" t="s">
        <v>2454</v>
      </c>
      <c r="H333" s="3"/>
      <c r="I333" s="3" t="s">
        <v>2455</v>
      </c>
      <c r="J333" s="3">
        <v>19</v>
      </c>
      <c r="K333" s="3">
        <v>19</v>
      </c>
      <c r="L333" s="3">
        <v>0</v>
      </c>
      <c r="M333" s="3">
        <v>0</v>
      </c>
      <c r="N333" s="3">
        <v>19</v>
      </c>
      <c r="O333" s="3">
        <v>0.04</v>
      </c>
      <c r="P333" s="3">
        <v>0</v>
      </c>
      <c r="Q333" s="3">
        <v>0</v>
      </c>
      <c r="R333" s="3">
        <v>0</v>
      </c>
    </row>
    <row r="334" spans="1:18">
      <c r="A334" s="3" t="s">
        <v>1978</v>
      </c>
      <c r="B334" s="3" t="s">
        <v>1979</v>
      </c>
      <c r="C334" s="3" t="s">
        <v>1980</v>
      </c>
      <c r="D334" s="3" t="s">
        <v>1981</v>
      </c>
      <c r="E334" s="3" t="s">
        <v>538</v>
      </c>
      <c r="F334" s="3">
        <v>77.9</v>
      </c>
      <c r="G334" s="3" t="s">
        <v>2454</v>
      </c>
      <c r="H334" s="3"/>
      <c r="I334" s="3" t="s">
        <v>2455</v>
      </c>
      <c r="J334" s="3">
        <v>14</v>
      </c>
      <c r="K334" s="3">
        <v>14</v>
      </c>
      <c r="L334" s="3">
        <v>0</v>
      </c>
      <c r="M334" s="3">
        <v>0</v>
      </c>
      <c r="N334" s="3">
        <v>14</v>
      </c>
      <c r="O334" s="3">
        <v>0.04</v>
      </c>
      <c r="P334" s="3">
        <v>0</v>
      </c>
      <c r="Q334" s="3">
        <v>0</v>
      </c>
      <c r="R334" s="3">
        <v>0</v>
      </c>
    </row>
    <row r="335" spans="1:18">
      <c r="A335" s="3" t="s">
        <v>1309</v>
      </c>
      <c r="B335" s="3" t="s">
        <v>1310</v>
      </c>
      <c r="C335" s="3" t="s">
        <v>1311</v>
      </c>
      <c r="D335" s="3" t="s">
        <v>1312</v>
      </c>
      <c r="E335" s="3" t="s">
        <v>538</v>
      </c>
      <c r="F335" s="3">
        <v>19.99</v>
      </c>
      <c r="G335" s="3" t="s">
        <v>2454</v>
      </c>
      <c r="H335" s="3"/>
      <c r="I335" s="3" t="s">
        <v>2455</v>
      </c>
      <c r="J335" s="3">
        <v>8</v>
      </c>
      <c r="K335" s="3">
        <v>8</v>
      </c>
      <c r="L335" s="3">
        <v>0</v>
      </c>
      <c r="M335" s="3">
        <v>0</v>
      </c>
      <c r="N335" s="3">
        <v>8</v>
      </c>
      <c r="O335" s="3">
        <v>0.07</v>
      </c>
      <c r="P335" s="3">
        <v>0</v>
      </c>
      <c r="Q335" s="3">
        <v>0</v>
      </c>
      <c r="R335" s="3">
        <v>0</v>
      </c>
    </row>
    <row r="336" spans="1:18">
      <c r="A336" s="3" t="s">
        <v>3033</v>
      </c>
      <c r="B336" s="3" t="s">
        <v>3034</v>
      </c>
      <c r="C336" s="3" t="s">
        <v>3035</v>
      </c>
      <c r="D336" s="3" t="s">
        <v>3036</v>
      </c>
      <c r="E336" s="3" t="s">
        <v>538</v>
      </c>
      <c r="F336" s="3">
        <v>25.99</v>
      </c>
      <c r="G336" s="3" t="s">
        <v>2454</v>
      </c>
      <c r="H336" s="3"/>
      <c r="I336" s="3" t="s">
        <v>2455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0.28</v>
      </c>
      <c r="P336" s="3">
        <v>0</v>
      </c>
      <c r="Q336" s="3">
        <v>0</v>
      </c>
      <c r="R336" s="3">
        <v>0</v>
      </c>
    </row>
    <row r="337" spans="1:18">
      <c r="A337" s="3" t="s">
        <v>3037</v>
      </c>
      <c r="B337" s="3" t="s">
        <v>3038</v>
      </c>
      <c r="C337" s="3" t="s">
        <v>3039</v>
      </c>
      <c r="D337" s="3" t="s">
        <v>3040</v>
      </c>
      <c r="E337" s="3" t="s">
        <v>538</v>
      </c>
      <c r="F337" s="3">
        <v>18.99</v>
      </c>
      <c r="G337" s="3" t="s">
        <v>2454</v>
      </c>
      <c r="H337" s="3"/>
      <c r="I337" s="3" t="s">
        <v>2455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</row>
    <row r="338" spans="1:18">
      <c r="A338" s="3" t="s">
        <v>3041</v>
      </c>
      <c r="B338" s="3" t="s">
        <v>3042</v>
      </c>
      <c r="C338" s="3" t="s">
        <v>3043</v>
      </c>
      <c r="D338" s="3" t="s">
        <v>3044</v>
      </c>
      <c r="E338" s="3" t="s">
        <v>538</v>
      </c>
      <c r="F338" s="3">
        <v>25.99</v>
      </c>
      <c r="G338" s="3" t="s">
        <v>2454</v>
      </c>
      <c r="H338" s="3"/>
      <c r="I338" s="3" t="s">
        <v>2455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0.26</v>
      </c>
      <c r="P338" s="3">
        <v>0</v>
      </c>
      <c r="Q338" s="3">
        <v>0</v>
      </c>
      <c r="R338" s="3">
        <v>0</v>
      </c>
    </row>
    <row r="339" spans="1:18">
      <c r="A339" s="3" t="s">
        <v>3045</v>
      </c>
      <c r="B339" s="3" t="s">
        <v>3046</v>
      </c>
      <c r="C339" s="3" t="s">
        <v>3047</v>
      </c>
      <c r="D339" s="3" t="s">
        <v>3048</v>
      </c>
      <c r="E339" s="3" t="s">
        <v>538</v>
      </c>
      <c r="F339" s="3">
        <v>8.99</v>
      </c>
      <c r="G339" s="3" t="s">
        <v>2454</v>
      </c>
      <c r="H339" s="3"/>
      <c r="I339" s="3" t="s">
        <v>2455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0.16</v>
      </c>
      <c r="P339" s="3">
        <v>0</v>
      </c>
      <c r="Q339" s="3">
        <v>0</v>
      </c>
      <c r="R339" s="3">
        <v>0</v>
      </c>
    </row>
    <row r="340" spans="1:18">
      <c r="A340" s="3" t="s">
        <v>3049</v>
      </c>
      <c r="B340" s="3" t="s">
        <v>3050</v>
      </c>
      <c r="C340" s="3" t="s">
        <v>3051</v>
      </c>
      <c r="D340" s="3" t="s">
        <v>3052</v>
      </c>
      <c r="E340" s="3" t="s">
        <v>538</v>
      </c>
      <c r="F340" s="3">
        <v>18.99</v>
      </c>
      <c r="G340" s="3" t="s">
        <v>2454</v>
      </c>
      <c r="H340" s="3"/>
      <c r="I340" s="3" t="s">
        <v>2455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0.18</v>
      </c>
      <c r="P340" s="3">
        <v>0</v>
      </c>
      <c r="Q340" s="3">
        <v>0</v>
      </c>
      <c r="R340" s="3">
        <v>0</v>
      </c>
    </row>
    <row r="341" spans="1:18">
      <c r="A341" s="3" t="s">
        <v>534</v>
      </c>
      <c r="B341" s="3" t="s">
        <v>535</v>
      </c>
      <c r="C341" s="3" t="s">
        <v>536</v>
      </c>
      <c r="D341" s="3" t="s">
        <v>537</v>
      </c>
      <c r="E341" s="3" t="s">
        <v>538</v>
      </c>
      <c r="F341" s="3">
        <v>19.99</v>
      </c>
      <c r="G341" s="3" t="s">
        <v>2454</v>
      </c>
      <c r="H341" s="3"/>
      <c r="I341" s="3" t="s">
        <v>2455</v>
      </c>
      <c r="J341" s="3">
        <v>6</v>
      </c>
      <c r="K341" s="3">
        <v>6</v>
      </c>
      <c r="L341" s="3">
        <v>0</v>
      </c>
      <c r="M341" s="3">
        <v>0</v>
      </c>
      <c r="N341" s="3">
        <v>6</v>
      </c>
      <c r="O341" s="3">
        <v>0.12</v>
      </c>
      <c r="P341" s="3">
        <v>0</v>
      </c>
      <c r="Q341" s="3">
        <v>0</v>
      </c>
      <c r="R341" s="3">
        <v>0</v>
      </c>
    </row>
    <row r="342" spans="1:18">
      <c r="A342" s="3" t="s">
        <v>762</v>
      </c>
      <c r="B342" s="3" t="s">
        <v>763</v>
      </c>
      <c r="C342" s="3" t="s">
        <v>764</v>
      </c>
      <c r="D342" s="3" t="s">
        <v>537</v>
      </c>
      <c r="E342" s="3" t="s">
        <v>538</v>
      </c>
      <c r="F342" s="3">
        <v>19.99</v>
      </c>
      <c r="G342" s="3" t="s">
        <v>2454</v>
      </c>
      <c r="H342" s="3"/>
      <c r="I342" s="3" t="s">
        <v>2455</v>
      </c>
      <c r="J342" s="3">
        <v>6</v>
      </c>
      <c r="K342" s="3">
        <v>6</v>
      </c>
      <c r="L342" s="3">
        <v>0</v>
      </c>
      <c r="M342" s="3">
        <v>0</v>
      </c>
      <c r="N342" s="3">
        <v>6</v>
      </c>
      <c r="O342" s="3">
        <v>0.16</v>
      </c>
      <c r="P342" s="3">
        <v>0</v>
      </c>
      <c r="Q342" s="3">
        <v>0</v>
      </c>
      <c r="R342" s="3">
        <v>0</v>
      </c>
    </row>
    <row r="343" spans="1:18">
      <c r="A343" s="3" t="s">
        <v>2383</v>
      </c>
      <c r="B343" s="3" t="s">
        <v>2384</v>
      </c>
      <c r="C343" s="3" t="s">
        <v>2385</v>
      </c>
      <c r="D343" s="3" t="s">
        <v>537</v>
      </c>
      <c r="E343" s="3" t="s">
        <v>538</v>
      </c>
      <c r="F343" s="3">
        <v>19.99</v>
      </c>
      <c r="G343" s="3" t="s">
        <v>2454</v>
      </c>
      <c r="H343" s="3"/>
      <c r="I343" s="3" t="s">
        <v>2455</v>
      </c>
      <c r="J343" s="3">
        <v>6</v>
      </c>
      <c r="K343" s="3">
        <v>6</v>
      </c>
      <c r="L343" s="3">
        <v>0</v>
      </c>
      <c r="M343" s="3">
        <v>0</v>
      </c>
      <c r="N343" s="3">
        <v>6</v>
      </c>
      <c r="O343" s="3">
        <v>0.22</v>
      </c>
      <c r="P343" s="3">
        <v>0</v>
      </c>
      <c r="Q343" s="3">
        <v>0</v>
      </c>
      <c r="R343" s="3">
        <v>0</v>
      </c>
    </row>
    <row r="344" spans="1:18">
      <c r="A344" s="3" t="s">
        <v>1733</v>
      </c>
      <c r="B344" s="3" t="s">
        <v>1734</v>
      </c>
      <c r="C344" s="3" t="s">
        <v>1735</v>
      </c>
      <c r="D344" s="3" t="s">
        <v>537</v>
      </c>
      <c r="E344" s="3" t="s">
        <v>538</v>
      </c>
      <c r="F344" s="3">
        <v>19.99</v>
      </c>
      <c r="G344" s="3" t="s">
        <v>2454</v>
      </c>
      <c r="H344" s="3"/>
      <c r="I344" s="3" t="s">
        <v>2455</v>
      </c>
      <c r="J344" s="3">
        <v>6</v>
      </c>
      <c r="K344" s="3">
        <v>6</v>
      </c>
      <c r="L344" s="3">
        <v>0</v>
      </c>
      <c r="M344" s="3">
        <v>0</v>
      </c>
      <c r="N344" s="3">
        <v>6</v>
      </c>
      <c r="O344" s="3">
        <v>0.15</v>
      </c>
      <c r="P344" s="3">
        <v>0</v>
      </c>
      <c r="Q344" s="3">
        <v>0</v>
      </c>
      <c r="R344" s="3">
        <v>0</v>
      </c>
    </row>
    <row r="345" spans="1:18">
      <c r="A345" s="3" t="s">
        <v>747</v>
      </c>
      <c r="B345" s="3" t="s">
        <v>748</v>
      </c>
      <c r="C345" s="3" t="s">
        <v>749</v>
      </c>
      <c r="D345" s="3" t="s">
        <v>537</v>
      </c>
      <c r="E345" s="3" t="s">
        <v>538</v>
      </c>
      <c r="F345" s="3">
        <v>19.99</v>
      </c>
      <c r="G345" s="3" t="s">
        <v>2454</v>
      </c>
      <c r="H345" s="3"/>
      <c r="I345" s="3" t="s">
        <v>2455</v>
      </c>
      <c r="J345" s="3">
        <v>6</v>
      </c>
      <c r="K345" s="3">
        <v>6</v>
      </c>
      <c r="L345" s="3">
        <v>0</v>
      </c>
      <c r="M345" s="3">
        <v>0</v>
      </c>
      <c r="N345" s="3">
        <v>6</v>
      </c>
      <c r="O345" s="3">
        <v>0.16</v>
      </c>
      <c r="P345" s="3">
        <v>0</v>
      </c>
      <c r="Q345" s="3">
        <v>0</v>
      </c>
      <c r="R345" s="3">
        <v>0</v>
      </c>
    </row>
    <row r="346" spans="1:18">
      <c r="A346" s="3" t="s">
        <v>1542</v>
      </c>
      <c r="B346" s="3" t="s">
        <v>1543</v>
      </c>
      <c r="C346" s="3" t="s">
        <v>1544</v>
      </c>
      <c r="D346" s="3" t="s">
        <v>537</v>
      </c>
      <c r="E346" s="3" t="s">
        <v>538</v>
      </c>
      <c r="F346" s="3">
        <v>19.99</v>
      </c>
      <c r="G346" s="3" t="s">
        <v>2454</v>
      </c>
      <c r="H346" s="3"/>
      <c r="I346" s="3" t="s">
        <v>2455</v>
      </c>
      <c r="J346" s="3">
        <v>6</v>
      </c>
      <c r="K346" s="3">
        <v>6</v>
      </c>
      <c r="L346" s="3">
        <v>0</v>
      </c>
      <c r="M346" s="3">
        <v>0</v>
      </c>
      <c r="N346" s="3">
        <v>6</v>
      </c>
      <c r="O346" s="3">
        <v>0.22</v>
      </c>
      <c r="P346" s="3">
        <v>0</v>
      </c>
      <c r="Q346" s="3">
        <v>0</v>
      </c>
      <c r="R346" s="3">
        <v>0</v>
      </c>
    </row>
    <row r="347" spans="1:18">
      <c r="A347" s="3" t="s">
        <v>956</v>
      </c>
      <c r="B347" s="3" t="s">
        <v>957</v>
      </c>
      <c r="C347" s="3" t="s">
        <v>958</v>
      </c>
      <c r="D347" s="3" t="s">
        <v>537</v>
      </c>
      <c r="E347" s="3" t="s">
        <v>538</v>
      </c>
      <c r="F347" s="3">
        <v>19.99</v>
      </c>
      <c r="G347" s="3" t="s">
        <v>2454</v>
      </c>
      <c r="H347" s="3"/>
      <c r="I347" s="3" t="s">
        <v>2455</v>
      </c>
      <c r="J347" s="3">
        <v>6</v>
      </c>
      <c r="K347" s="3">
        <v>6</v>
      </c>
      <c r="L347" s="3">
        <v>0</v>
      </c>
      <c r="M347" s="3">
        <v>0</v>
      </c>
      <c r="N347" s="3">
        <v>6</v>
      </c>
      <c r="O347" s="3">
        <v>0.12</v>
      </c>
      <c r="P347" s="3">
        <v>0</v>
      </c>
      <c r="Q347" s="3">
        <v>0</v>
      </c>
      <c r="R347" s="3">
        <v>0</v>
      </c>
    </row>
    <row r="348" spans="1:18">
      <c r="A348" s="3" t="s">
        <v>1335</v>
      </c>
      <c r="B348" s="3" t="s">
        <v>1336</v>
      </c>
      <c r="C348" s="3" t="s">
        <v>1337</v>
      </c>
      <c r="D348" s="3" t="s">
        <v>537</v>
      </c>
      <c r="E348" s="3" t="s">
        <v>538</v>
      </c>
      <c r="F348" s="3">
        <v>19.99</v>
      </c>
      <c r="G348" s="3" t="s">
        <v>2454</v>
      </c>
      <c r="H348" s="3"/>
      <c r="I348" s="3" t="s">
        <v>2455</v>
      </c>
      <c r="J348" s="3">
        <v>6</v>
      </c>
      <c r="K348" s="3">
        <v>6</v>
      </c>
      <c r="L348" s="3">
        <v>0</v>
      </c>
      <c r="M348" s="3">
        <v>0</v>
      </c>
      <c r="N348" s="3">
        <v>6</v>
      </c>
      <c r="O348" s="3">
        <v>0.13</v>
      </c>
      <c r="P348" s="3">
        <v>0</v>
      </c>
      <c r="Q348" s="3">
        <v>0</v>
      </c>
      <c r="R348" s="3">
        <v>0</v>
      </c>
    </row>
    <row r="349" spans="1:18">
      <c r="A349" s="3" t="s">
        <v>1379</v>
      </c>
      <c r="B349" s="3" t="s">
        <v>1380</v>
      </c>
      <c r="C349" s="3" t="s">
        <v>1381</v>
      </c>
      <c r="D349" s="3" t="s">
        <v>537</v>
      </c>
      <c r="E349" s="3" t="s">
        <v>538</v>
      </c>
      <c r="F349" s="3">
        <v>19.99</v>
      </c>
      <c r="G349" s="3" t="s">
        <v>2454</v>
      </c>
      <c r="H349" s="3"/>
      <c r="I349" s="3" t="s">
        <v>2455</v>
      </c>
      <c r="J349" s="3">
        <v>6</v>
      </c>
      <c r="K349" s="3">
        <v>6</v>
      </c>
      <c r="L349" s="3">
        <v>0</v>
      </c>
      <c r="M349" s="3">
        <v>0</v>
      </c>
      <c r="N349" s="3">
        <v>6</v>
      </c>
      <c r="O349" s="3">
        <v>0.22</v>
      </c>
      <c r="P349" s="3">
        <v>0</v>
      </c>
      <c r="Q349" s="3">
        <v>0</v>
      </c>
      <c r="R349" s="3">
        <v>0</v>
      </c>
    </row>
    <row r="350" spans="1:18">
      <c r="A350" s="3" t="s">
        <v>1025</v>
      </c>
      <c r="B350" s="3" t="s">
        <v>1026</v>
      </c>
      <c r="C350" s="3" t="s">
        <v>1027</v>
      </c>
      <c r="D350" s="3" t="s">
        <v>612</v>
      </c>
      <c r="E350" s="3" t="s">
        <v>538</v>
      </c>
      <c r="F350" s="3">
        <v>19.99</v>
      </c>
      <c r="G350" s="3" t="s">
        <v>2454</v>
      </c>
      <c r="H350" s="3"/>
      <c r="I350" s="3" t="s">
        <v>2455</v>
      </c>
      <c r="J350" s="3">
        <v>6</v>
      </c>
      <c r="K350" s="3">
        <v>6</v>
      </c>
      <c r="L350" s="3">
        <v>0</v>
      </c>
      <c r="M350" s="3">
        <v>0</v>
      </c>
      <c r="N350" s="3">
        <v>6</v>
      </c>
      <c r="O350" s="3">
        <v>0</v>
      </c>
      <c r="P350" s="3">
        <v>0</v>
      </c>
      <c r="Q350" s="3">
        <v>0</v>
      </c>
      <c r="R350" s="3">
        <v>0</v>
      </c>
    </row>
    <row r="351" spans="1:18">
      <c r="A351" s="3" t="s">
        <v>1622</v>
      </c>
      <c r="B351" s="3" t="s">
        <v>1623</v>
      </c>
      <c r="C351" s="3" t="s">
        <v>1624</v>
      </c>
      <c r="D351" s="3" t="s">
        <v>612</v>
      </c>
      <c r="E351" s="3" t="s">
        <v>538</v>
      </c>
      <c r="F351" s="3">
        <v>19.99</v>
      </c>
      <c r="G351" s="3" t="s">
        <v>2454</v>
      </c>
      <c r="H351" s="3"/>
      <c r="I351" s="3" t="s">
        <v>2455</v>
      </c>
      <c r="J351" s="3">
        <v>6</v>
      </c>
      <c r="K351" s="3">
        <v>6</v>
      </c>
      <c r="L351" s="3">
        <v>0</v>
      </c>
      <c r="M351" s="3">
        <v>0</v>
      </c>
      <c r="N351" s="3">
        <v>6</v>
      </c>
      <c r="O351" s="3">
        <v>0</v>
      </c>
      <c r="P351" s="3">
        <v>0</v>
      </c>
      <c r="Q351" s="3">
        <v>0</v>
      </c>
      <c r="R351" s="3">
        <v>0</v>
      </c>
    </row>
    <row r="352" spans="1:18">
      <c r="A352" s="3" t="s">
        <v>1247</v>
      </c>
      <c r="B352" s="3" t="s">
        <v>1248</v>
      </c>
      <c r="C352" s="3" t="s">
        <v>1249</v>
      </c>
      <c r="D352" s="3" t="s">
        <v>612</v>
      </c>
      <c r="E352" s="3" t="s">
        <v>538</v>
      </c>
      <c r="F352" s="3">
        <v>19.99</v>
      </c>
      <c r="G352" s="3" t="s">
        <v>2454</v>
      </c>
      <c r="H352" s="3"/>
      <c r="I352" s="3" t="s">
        <v>2455</v>
      </c>
      <c r="J352" s="3">
        <v>5</v>
      </c>
      <c r="K352" s="3">
        <v>5</v>
      </c>
      <c r="L352" s="3">
        <v>0</v>
      </c>
      <c r="M352" s="3">
        <v>0</v>
      </c>
      <c r="N352" s="3">
        <v>5</v>
      </c>
      <c r="O352" s="3">
        <v>0</v>
      </c>
      <c r="P352" s="3">
        <v>0</v>
      </c>
      <c r="Q352" s="3">
        <v>0</v>
      </c>
      <c r="R352" s="3">
        <v>0</v>
      </c>
    </row>
    <row r="353" spans="1:18">
      <c r="A353" s="3" t="s">
        <v>2423</v>
      </c>
      <c r="B353" s="3" t="s">
        <v>2424</v>
      </c>
      <c r="C353" s="3" t="s">
        <v>2425</v>
      </c>
      <c r="D353" s="3" t="s">
        <v>612</v>
      </c>
      <c r="E353" s="3" t="s">
        <v>538</v>
      </c>
      <c r="F353" s="3">
        <v>19.99</v>
      </c>
      <c r="G353" s="3" t="s">
        <v>2454</v>
      </c>
      <c r="H353" s="3"/>
      <c r="I353" s="3" t="s">
        <v>2455</v>
      </c>
      <c r="J353" s="3">
        <v>6</v>
      </c>
      <c r="K353" s="3">
        <v>6</v>
      </c>
      <c r="L353" s="3">
        <v>0</v>
      </c>
      <c r="M353" s="3">
        <v>0</v>
      </c>
      <c r="N353" s="3">
        <v>6</v>
      </c>
      <c r="O353" s="3">
        <v>0</v>
      </c>
      <c r="P353" s="3">
        <v>0</v>
      </c>
      <c r="Q353" s="3">
        <v>0</v>
      </c>
      <c r="R353" s="3">
        <v>0</v>
      </c>
    </row>
    <row r="354" spans="1:18">
      <c r="A354" s="3" t="s">
        <v>1241</v>
      </c>
      <c r="B354" s="3" t="s">
        <v>1242</v>
      </c>
      <c r="C354" s="3" t="s">
        <v>1243</v>
      </c>
      <c r="D354" s="3" t="s">
        <v>612</v>
      </c>
      <c r="E354" s="3" t="s">
        <v>538</v>
      </c>
      <c r="F354" s="3">
        <v>19.99</v>
      </c>
      <c r="G354" s="3" t="s">
        <v>2454</v>
      </c>
      <c r="H354" s="3"/>
      <c r="I354" s="3" t="s">
        <v>2455</v>
      </c>
      <c r="J354" s="3">
        <v>6</v>
      </c>
      <c r="K354" s="3">
        <v>6</v>
      </c>
      <c r="L354" s="3">
        <v>0</v>
      </c>
      <c r="M354" s="3">
        <v>0</v>
      </c>
      <c r="N354" s="3">
        <v>6</v>
      </c>
      <c r="O354" s="3">
        <v>0</v>
      </c>
      <c r="P354" s="3">
        <v>0</v>
      </c>
      <c r="Q354" s="3">
        <v>0</v>
      </c>
      <c r="R354" s="3">
        <v>0</v>
      </c>
    </row>
    <row r="355" spans="1:18">
      <c r="A355" s="3" t="s">
        <v>700</v>
      </c>
      <c r="B355" s="3" t="s">
        <v>701</v>
      </c>
      <c r="C355" s="3" t="s">
        <v>702</v>
      </c>
      <c r="D355" s="3" t="s">
        <v>612</v>
      </c>
      <c r="E355" s="3" t="s">
        <v>538</v>
      </c>
      <c r="F355" s="3">
        <v>19.99</v>
      </c>
      <c r="G355" s="3" t="s">
        <v>2454</v>
      </c>
      <c r="H355" s="3"/>
      <c r="I355" s="3" t="s">
        <v>2455</v>
      </c>
      <c r="J355" s="3">
        <v>5</v>
      </c>
      <c r="K355" s="3">
        <v>5</v>
      </c>
      <c r="L355" s="3">
        <v>0</v>
      </c>
      <c r="M355" s="3">
        <v>0</v>
      </c>
      <c r="N355" s="3">
        <v>5</v>
      </c>
      <c r="O355" s="3">
        <v>0</v>
      </c>
      <c r="P355" s="3">
        <v>0</v>
      </c>
      <c r="Q355" s="3">
        <v>0</v>
      </c>
      <c r="R355" s="3">
        <v>0</v>
      </c>
    </row>
    <row r="356" spans="1:18">
      <c r="A356" s="3" t="s">
        <v>1791</v>
      </c>
      <c r="B356" s="3" t="s">
        <v>1792</v>
      </c>
      <c r="C356" s="3" t="s">
        <v>1793</v>
      </c>
      <c r="D356" s="3" t="s">
        <v>612</v>
      </c>
      <c r="E356" s="3" t="s">
        <v>538</v>
      </c>
      <c r="F356" s="3">
        <v>19.99</v>
      </c>
      <c r="G356" s="3" t="s">
        <v>2454</v>
      </c>
      <c r="H356" s="3"/>
      <c r="I356" s="3" t="s">
        <v>2455</v>
      </c>
      <c r="J356" s="3">
        <v>6</v>
      </c>
      <c r="K356" s="3">
        <v>6</v>
      </c>
      <c r="L356" s="3">
        <v>0</v>
      </c>
      <c r="M356" s="3">
        <v>0</v>
      </c>
      <c r="N356" s="3">
        <v>6</v>
      </c>
      <c r="O356" s="3">
        <v>0</v>
      </c>
      <c r="P356" s="3">
        <v>0</v>
      </c>
      <c r="Q356" s="3">
        <v>0</v>
      </c>
      <c r="R356" s="3">
        <v>0</v>
      </c>
    </row>
    <row r="357" spans="1:18">
      <c r="A357" s="3" t="s">
        <v>953</v>
      </c>
      <c r="B357" s="3" t="s">
        <v>954</v>
      </c>
      <c r="C357" s="3" t="s">
        <v>955</v>
      </c>
      <c r="D357" s="3" t="s">
        <v>612</v>
      </c>
      <c r="E357" s="3" t="s">
        <v>538</v>
      </c>
      <c r="F357" s="3">
        <v>19.99</v>
      </c>
      <c r="G357" s="3" t="s">
        <v>2454</v>
      </c>
      <c r="H357" s="3"/>
      <c r="I357" s="3" t="s">
        <v>2455</v>
      </c>
      <c r="J357" s="3">
        <v>6</v>
      </c>
      <c r="K357" s="3">
        <v>6</v>
      </c>
      <c r="L357" s="3">
        <v>0</v>
      </c>
      <c r="M357" s="3">
        <v>0</v>
      </c>
      <c r="N357" s="3">
        <v>6</v>
      </c>
      <c r="O357" s="3">
        <v>0</v>
      </c>
      <c r="P357" s="3">
        <v>0</v>
      </c>
      <c r="Q357" s="3">
        <v>0</v>
      </c>
      <c r="R357" s="3">
        <v>0</v>
      </c>
    </row>
    <row r="358" spans="1:18">
      <c r="A358" s="3" t="s">
        <v>776</v>
      </c>
      <c r="B358" s="3" t="s">
        <v>777</v>
      </c>
      <c r="C358" s="3" t="s">
        <v>778</v>
      </c>
      <c r="D358" s="3" t="s">
        <v>612</v>
      </c>
      <c r="E358" s="3" t="s">
        <v>538</v>
      </c>
      <c r="F358" s="3">
        <v>19.99</v>
      </c>
      <c r="G358" s="3" t="s">
        <v>2454</v>
      </c>
      <c r="H358" s="3"/>
      <c r="I358" s="3" t="s">
        <v>2455</v>
      </c>
      <c r="J358" s="3">
        <v>6</v>
      </c>
      <c r="K358" s="3">
        <v>6</v>
      </c>
      <c r="L358" s="3">
        <v>0</v>
      </c>
      <c r="M358" s="3">
        <v>0</v>
      </c>
      <c r="N358" s="3">
        <v>6</v>
      </c>
      <c r="O358" s="3">
        <v>0</v>
      </c>
      <c r="P358" s="3">
        <v>0</v>
      </c>
      <c r="Q358" s="3">
        <v>0</v>
      </c>
      <c r="R358" s="3">
        <v>0</v>
      </c>
    </row>
    <row r="359" spans="1:18">
      <c r="A359" s="3" t="s">
        <v>2360</v>
      </c>
      <c r="B359" s="3" t="s">
        <v>2361</v>
      </c>
      <c r="C359" s="3" t="s">
        <v>2362</v>
      </c>
      <c r="D359" s="3" t="s">
        <v>537</v>
      </c>
      <c r="E359" s="3" t="s">
        <v>538</v>
      </c>
      <c r="F359" s="3">
        <v>22.99</v>
      </c>
      <c r="G359" s="3" t="s">
        <v>2454</v>
      </c>
      <c r="H359" s="3"/>
      <c r="I359" s="3" t="s">
        <v>2455</v>
      </c>
      <c r="J359" s="3">
        <v>6</v>
      </c>
      <c r="K359" s="3">
        <v>6</v>
      </c>
      <c r="L359" s="3">
        <v>0</v>
      </c>
      <c r="M359" s="3">
        <v>0</v>
      </c>
      <c r="N359" s="3">
        <v>6</v>
      </c>
      <c r="O359" s="3">
        <v>0.15</v>
      </c>
      <c r="P359" s="3">
        <v>0</v>
      </c>
      <c r="Q359" s="3">
        <v>0</v>
      </c>
      <c r="R359" s="3">
        <v>0</v>
      </c>
    </row>
    <row r="360" spans="1:18">
      <c r="A360" s="3" t="s">
        <v>1412</v>
      </c>
      <c r="B360" s="3" t="s">
        <v>1413</v>
      </c>
      <c r="C360" s="3" t="s">
        <v>1414</v>
      </c>
      <c r="D360" s="3" t="s">
        <v>537</v>
      </c>
      <c r="E360" s="3" t="s">
        <v>538</v>
      </c>
      <c r="F360" s="3">
        <v>22.99</v>
      </c>
      <c r="G360" s="3" t="s">
        <v>2454</v>
      </c>
      <c r="H360" s="3"/>
      <c r="I360" s="3" t="s">
        <v>2455</v>
      </c>
      <c r="J360" s="3">
        <v>6</v>
      </c>
      <c r="K360" s="3">
        <v>6</v>
      </c>
      <c r="L360" s="3">
        <v>0</v>
      </c>
      <c r="M360" s="3">
        <v>0</v>
      </c>
      <c r="N360" s="3">
        <v>6</v>
      </c>
      <c r="O360" s="3">
        <v>0.16</v>
      </c>
      <c r="P360" s="3">
        <v>0</v>
      </c>
      <c r="Q360" s="3">
        <v>0</v>
      </c>
      <c r="R360" s="3">
        <v>0</v>
      </c>
    </row>
    <row r="361" spans="1:18">
      <c r="A361" s="3" t="s">
        <v>2426</v>
      </c>
      <c r="B361" s="3" t="s">
        <v>2427</v>
      </c>
      <c r="C361" s="3" t="s">
        <v>2428</v>
      </c>
      <c r="D361" s="3" t="s">
        <v>537</v>
      </c>
      <c r="E361" s="3" t="s">
        <v>538</v>
      </c>
      <c r="F361" s="3">
        <v>22.99</v>
      </c>
      <c r="G361" s="3" t="s">
        <v>2454</v>
      </c>
      <c r="H361" s="3"/>
      <c r="I361" s="3" t="s">
        <v>2455</v>
      </c>
      <c r="J361" s="3">
        <v>6</v>
      </c>
      <c r="K361" s="3">
        <v>6</v>
      </c>
      <c r="L361" s="3">
        <v>0</v>
      </c>
      <c r="M361" s="3">
        <v>0</v>
      </c>
      <c r="N361" s="3">
        <v>6</v>
      </c>
      <c r="O361" s="3">
        <v>0.17</v>
      </c>
      <c r="P361" s="3">
        <v>0</v>
      </c>
      <c r="Q361" s="3">
        <v>0</v>
      </c>
      <c r="R361" s="3">
        <v>0</v>
      </c>
    </row>
    <row r="362" spans="1:18">
      <c r="A362" s="3" t="s">
        <v>1821</v>
      </c>
      <c r="B362" s="3" t="s">
        <v>1822</v>
      </c>
      <c r="C362" s="3" t="s">
        <v>1823</v>
      </c>
      <c r="D362" s="3" t="s">
        <v>537</v>
      </c>
      <c r="E362" s="3" t="s">
        <v>538</v>
      </c>
      <c r="F362" s="3">
        <v>22.99</v>
      </c>
      <c r="G362" s="3" t="s">
        <v>2454</v>
      </c>
      <c r="H362" s="3"/>
      <c r="I362" s="3" t="s">
        <v>2455</v>
      </c>
      <c r="J362" s="3">
        <v>5</v>
      </c>
      <c r="K362" s="3">
        <v>5</v>
      </c>
      <c r="L362" s="3">
        <v>0</v>
      </c>
      <c r="M362" s="3">
        <v>0</v>
      </c>
      <c r="N362" s="3">
        <v>6</v>
      </c>
      <c r="O362" s="3">
        <v>0.12</v>
      </c>
      <c r="P362" s="3">
        <v>0</v>
      </c>
      <c r="Q362" s="3">
        <v>0</v>
      </c>
      <c r="R362" s="3">
        <v>1</v>
      </c>
    </row>
    <row r="363" spans="1:18">
      <c r="A363" s="3" t="s">
        <v>2284</v>
      </c>
      <c r="B363" s="3" t="s">
        <v>2285</v>
      </c>
      <c r="C363" s="3" t="s">
        <v>2286</v>
      </c>
      <c r="D363" s="3" t="s">
        <v>537</v>
      </c>
      <c r="E363" s="3" t="s">
        <v>538</v>
      </c>
      <c r="F363" s="3">
        <v>22.99</v>
      </c>
      <c r="G363" s="3" t="s">
        <v>2454</v>
      </c>
      <c r="H363" s="3"/>
      <c r="I363" s="3" t="s">
        <v>2455</v>
      </c>
      <c r="J363" s="3">
        <v>6</v>
      </c>
      <c r="K363" s="3">
        <v>6</v>
      </c>
      <c r="L363" s="3">
        <v>0</v>
      </c>
      <c r="M363" s="3">
        <v>0</v>
      </c>
      <c r="N363" s="3">
        <v>6</v>
      </c>
      <c r="O363" s="3">
        <v>0.13</v>
      </c>
      <c r="P363" s="3">
        <v>0</v>
      </c>
      <c r="Q363" s="3">
        <v>0</v>
      </c>
      <c r="R363" s="3">
        <v>0</v>
      </c>
    </row>
    <row r="364" spans="1:18">
      <c r="A364" s="3" t="s">
        <v>1662</v>
      </c>
      <c r="B364" s="3" t="s">
        <v>1663</v>
      </c>
      <c r="C364" s="3" t="s">
        <v>1664</v>
      </c>
      <c r="D364" s="3" t="s">
        <v>537</v>
      </c>
      <c r="E364" s="3" t="s">
        <v>538</v>
      </c>
      <c r="F364" s="3">
        <v>22.99</v>
      </c>
      <c r="G364" s="3" t="s">
        <v>2454</v>
      </c>
      <c r="H364" s="3"/>
      <c r="I364" s="3" t="s">
        <v>2455</v>
      </c>
      <c r="J364" s="3">
        <v>6</v>
      </c>
      <c r="K364" s="3">
        <v>6</v>
      </c>
      <c r="L364" s="3">
        <v>0</v>
      </c>
      <c r="M364" s="3">
        <v>0</v>
      </c>
      <c r="N364" s="3">
        <v>6</v>
      </c>
      <c r="O364" s="3">
        <v>0.22</v>
      </c>
      <c r="P364" s="3">
        <v>0</v>
      </c>
      <c r="Q364" s="3">
        <v>0</v>
      </c>
      <c r="R364" s="3">
        <v>0</v>
      </c>
    </row>
    <row r="365" spans="1:18">
      <c r="A365" s="3" t="s">
        <v>992</v>
      </c>
      <c r="B365" s="3" t="s">
        <v>993</v>
      </c>
      <c r="C365" s="3" t="s">
        <v>994</v>
      </c>
      <c r="D365" s="3" t="s">
        <v>537</v>
      </c>
      <c r="E365" s="3" t="s">
        <v>538</v>
      </c>
      <c r="F365" s="3">
        <v>22.99</v>
      </c>
      <c r="G365" s="3" t="s">
        <v>2454</v>
      </c>
      <c r="H365" s="3"/>
      <c r="I365" s="3" t="s">
        <v>2455</v>
      </c>
      <c r="J365" s="3">
        <v>6</v>
      </c>
      <c r="K365" s="3">
        <v>6</v>
      </c>
      <c r="L365" s="3">
        <v>0</v>
      </c>
      <c r="M365" s="3">
        <v>0</v>
      </c>
      <c r="N365" s="3">
        <v>6</v>
      </c>
      <c r="O365" s="3">
        <v>0.17</v>
      </c>
      <c r="P365" s="3">
        <v>0</v>
      </c>
      <c r="Q365" s="3">
        <v>0</v>
      </c>
      <c r="R365" s="3">
        <v>0</v>
      </c>
    </row>
    <row r="366" spans="1:18">
      <c r="A366" s="3" t="s">
        <v>1500</v>
      </c>
      <c r="B366" s="3" t="s">
        <v>1501</v>
      </c>
      <c r="C366" s="3" t="s">
        <v>1502</v>
      </c>
      <c r="D366" s="3" t="s">
        <v>537</v>
      </c>
      <c r="E366" s="3" t="s">
        <v>538</v>
      </c>
      <c r="F366" s="3">
        <v>22.99</v>
      </c>
      <c r="G366" s="3" t="s">
        <v>2454</v>
      </c>
      <c r="H366" s="3"/>
      <c r="I366" s="3" t="s">
        <v>2455</v>
      </c>
      <c r="J366" s="3">
        <v>6</v>
      </c>
      <c r="K366" s="3">
        <v>6</v>
      </c>
      <c r="L366" s="3">
        <v>0</v>
      </c>
      <c r="M366" s="3">
        <v>0</v>
      </c>
      <c r="N366" s="3">
        <v>6</v>
      </c>
      <c r="O366" s="3">
        <v>0.19</v>
      </c>
      <c r="P366" s="3">
        <v>0</v>
      </c>
      <c r="Q366" s="3">
        <v>0</v>
      </c>
      <c r="R366" s="3">
        <v>0</v>
      </c>
    </row>
    <row r="367" spans="1:18">
      <c r="A367" s="3" t="s">
        <v>1231</v>
      </c>
      <c r="B367" s="3" t="s">
        <v>1232</v>
      </c>
      <c r="C367" s="3" t="s">
        <v>1233</v>
      </c>
      <c r="D367" s="3" t="s">
        <v>537</v>
      </c>
      <c r="E367" s="3" t="s">
        <v>538</v>
      </c>
      <c r="F367" s="3">
        <v>22.99</v>
      </c>
      <c r="G367" s="3" t="s">
        <v>2454</v>
      </c>
      <c r="H367" s="3"/>
      <c r="I367" s="3" t="s">
        <v>2455</v>
      </c>
      <c r="J367" s="3">
        <v>6</v>
      </c>
      <c r="K367" s="3">
        <v>6</v>
      </c>
      <c r="L367" s="3">
        <v>0</v>
      </c>
      <c r="M367" s="3">
        <v>0</v>
      </c>
      <c r="N367" s="3">
        <v>6</v>
      </c>
      <c r="O367" s="3">
        <v>0.17</v>
      </c>
      <c r="P367" s="3">
        <v>0</v>
      </c>
      <c r="Q367" s="3">
        <v>0</v>
      </c>
      <c r="R367" s="3">
        <v>0</v>
      </c>
    </row>
    <row r="368" spans="1:18">
      <c r="A368" s="3" t="s">
        <v>3053</v>
      </c>
      <c r="B368" s="3" t="s">
        <v>3054</v>
      </c>
      <c r="C368" s="3" t="s">
        <v>3055</v>
      </c>
      <c r="D368" s="3" t="s">
        <v>612</v>
      </c>
      <c r="E368" s="3" t="s">
        <v>538</v>
      </c>
      <c r="F368" s="3">
        <v>21.99</v>
      </c>
      <c r="G368" s="3" t="s">
        <v>2454</v>
      </c>
      <c r="H368" s="3"/>
      <c r="I368" s="3" t="s">
        <v>2455</v>
      </c>
      <c r="J368" s="3">
        <v>0</v>
      </c>
      <c r="K368" s="3">
        <v>0</v>
      </c>
      <c r="L368" s="3">
        <v>0</v>
      </c>
      <c r="M368" s="3">
        <v>0</v>
      </c>
      <c r="N368" s="3">
        <v>6</v>
      </c>
      <c r="O368" s="3">
        <v>0</v>
      </c>
      <c r="P368" s="3">
        <v>0</v>
      </c>
      <c r="Q368" s="3">
        <v>6</v>
      </c>
      <c r="R368" s="3">
        <v>0</v>
      </c>
    </row>
    <row r="369" spans="1:18">
      <c r="A369" s="3" t="s">
        <v>1191</v>
      </c>
      <c r="B369" s="3" t="s">
        <v>1192</v>
      </c>
      <c r="C369" s="3" t="s">
        <v>1193</v>
      </c>
      <c r="D369" s="3" t="s">
        <v>612</v>
      </c>
      <c r="E369" s="3" t="s">
        <v>538</v>
      </c>
      <c r="F369" s="3">
        <v>21.99</v>
      </c>
      <c r="G369" s="3" t="s">
        <v>2454</v>
      </c>
      <c r="H369" s="3"/>
      <c r="I369" s="3" t="s">
        <v>2455</v>
      </c>
      <c r="J369" s="3">
        <v>6</v>
      </c>
      <c r="K369" s="3">
        <v>6</v>
      </c>
      <c r="L369" s="3">
        <v>0</v>
      </c>
      <c r="M369" s="3">
        <v>0</v>
      </c>
      <c r="N369" s="3">
        <v>6</v>
      </c>
      <c r="O369" s="3">
        <v>0</v>
      </c>
      <c r="P369" s="3">
        <v>0</v>
      </c>
      <c r="Q369" s="3">
        <v>0</v>
      </c>
      <c r="R369" s="3">
        <v>0</v>
      </c>
    </row>
    <row r="370" spans="1:18">
      <c r="A370" s="3" t="s">
        <v>2040</v>
      </c>
      <c r="B370" s="3" t="s">
        <v>2041</v>
      </c>
      <c r="C370" s="3" t="s">
        <v>2042</v>
      </c>
      <c r="D370" s="3" t="s">
        <v>612</v>
      </c>
      <c r="E370" s="3" t="s">
        <v>538</v>
      </c>
      <c r="F370" s="3">
        <v>21.99</v>
      </c>
      <c r="G370" s="3" t="s">
        <v>2454</v>
      </c>
      <c r="H370" s="3"/>
      <c r="I370" s="3" t="s">
        <v>2455</v>
      </c>
      <c r="J370" s="3">
        <v>6</v>
      </c>
      <c r="K370" s="3">
        <v>6</v>
      </c>
      <c r="L370" s="3">
        <v>0</v>
      </c>
      <c r="M370" s="3">
        <v>0</v>
      </c>
      <c r="N370" s="3">
        <v>6</v>
      </c>
      <c r="O370" s="3">
        <v>0</v>
      </c>
      <c r="P370" s="3">
        <v>0</v>
      </c>
      <c r="Q370" s="3">
        <v>0</v>
      </c>
      <c r="R370" s="3">
        <v>0</v>
      </c>
    </row>
    <row r="371" spans="1:18">
      <c r="A371" s="3" t="s">
        <v>3056</v>
      </c>
      <c r="B371" s="3" t="s">
        <v>3057</v>
      </c>
      <c r="C371" s="3" t="s">
        <v>3058</v>
      </c>
      <c r="D371" s="3" t="s">
        <v>612</v>
      </c>
      <c r="E371" s="3" t="s">
        <v>538</v>
      </c>
      <c r="F371" s="3">
        <v>21.99</v>
      </c>
      <c r="G371" s="3" t="s">
        <v>2454</v>
      </c>
      <c r="H371" s="3"/>
      <c r="I371" s="3" t="s">
        <v>2455</v>
      </c>
      <c r="J371" s="3">
        <v>0</v>
      </c>
      <c r="K371" s="3">
        <v>0</v>
      </c>
      <c r="L371" s="3">
        <v>0</v>
      </c>
      <c r="M371" s="3">
        <v>0</v>
      </c>
      <c r="N371" s="3">
        <v>6</v>
      </c>
      <c r="O371" s="3">
        <v>0</v>
      </c>
      <c r="P371" s="3">
        <v>0</v>
      </c>
      <c r="Q371" s="3">
        <v>6</v>
      </c>
      <c r="R371" s="3">
        <v>0</v>
      </c>
    </row>
    <row r="372" spans="1:18">
      <c r="A372" s="3" t="s">
        <v>885</v>
      </c>
      <c r="B372" s="3" t="s">
        <v>886</v>
      </c>
      <c r="C372" s="3" t="s">
        <v>887</v>
      </c>
      <c r="D372" s="3" t="s">
        <v>612</v>
      </c>
      <c r="E372" s="3" t="s">
        <v>538</v>
      </c>
      <c r="F372" s="3">
        <v>21.99</v>
      </c>
      <c r="G372" s="3" t="s">
        <v>2454</v>
      </c>
      <c r="H372" s="3"/>
      <c r="I372" s="3" t="s">
        <v>2455</v>
      </c>
      <c r="J372" s="3">
        <v>6</v>
      </c>
      <c r="K372" s="3">
        <v>6</v>
      </c>
      <c r="L372" s="3">
        <v>0</v>
      </c>
      <c r="M372" s="3">
        <v>0</v>
      </c>
      <c r="N372" s="3">
        <v>6</v>
      </c>
      <c r="O372" s="3">
        <v>0</v>
      </c>
      <c r="P372" s="3">
        <v>0</v>
      </c>
      <c r="Q372" s="3">
        <v>0</v>
      </c>
      <c r="R372" s="3">
        <v>0</v>
      </c>
    </row>
    <row r="373" spans="1:18">
      <c r="A373" s="3" t="s">
        <v>963</v>
      </c>
      <c r="B373" s="3" t="s">
        <v>964</v>
      </c>
      <c r="C373" s="3" t="s">
        <v>965</v>
      </c>
      <c r="D373" s="3" t="s">
        <v>612</v>
      </c>
      <c r="E373" s="3" t="s">
        <v>538</v>
      </c>
      <c r="F373" s="3">
        <v>21.99</v>
      </c>
      <c r="G373" s="3" t="s">
        <v>2454</v>
      </c>
      <c r="H373" s="3"/>
      <c r="I373" s="3" t="s">
        <v>2455</v>
      </c>
      <c r="J373" s="3">
        <v>6</v>
      </c>
      <c r="K373" s="3">
        <v>6</v>
      </c>
      <c r="L373" s="3">
        <v>0</v>
      </c>
      <c r="M373" s="3">
        <v>0</v>
      </c>
      <c r="N373" s="3">
        <v>6</v>
      </c>
      <c r="O373" s="3">
        <v>0</v>
      </c>
      <c r="P373" s="3">
        <v>0</v>
      </c>
      <c r="Q373" s="3">
        <v>0</v>
      </c>
      <c r="R373" s="3">
        <v>0</v>
      </c>
    </row>
    <row r="374" spans="1:18">
      <c r="A374" s="3" t="s">
        <v>609</v>
      </c>
      <c r="B374" s="3" t="s">
        <v>610</v>
      </c>
      <c r="C374" s="3" t="s">
        <v>611</v>
      </c>
      <c r="D374" s="3" t="s">
        <v>3059</v>
      </c>
      <c r="E374" s="3" t="s">
        <v>538</v>
      </c>
      <c r="F374" s="3">
        <v>21.99</v>
      </c>
      <c r="G374" s="3" t="s">
        <v>2454</v>
      </c>
      <c r="H374" s="3"/>
      <c r="I374" s="3" t="s">
        <v>2455</v>
      </c>
      <c r="J374" s="3">
        <v>6</v>
      </c>
      <c r="K374" s="3">
        <v>6</v>
      </c>
      <c r="L374" s="3">
        <v>0</v>
      </c>
      <c r="M374" s="3">
        <v>0</v>
      </c>
      <c r="N374" s="3">
        <v>6</v>
      </c>
      <c r="O374" s="3">
        <v>0</v>
      </c>
      <c r="P374" s="3">
        <v>0</v>
      </c>
      <c r="Q374" s="3">
        <v>0</v>
      </c>
      <c r="R374" s="3">
        <v>0</v>
      </c>
    </row>
    <row r="375" spans="1:18">
      <c r="A375" s="3" t="s">
        <v>3060</v>
      </c>
      <c r="B375" s="3" t="s">
        <v>3061</v>
      </c>
      <c r="C375" s="3" t="s">
        <v>3062</v>
      </c>
      <c r="D375" s="3" t="s">
        <v>612</v>
      </c>
      <c r="E375" s="3" t="s">
        <v>538</v>
      </c>
      <c r="F375" s="3">
        <v>21.99</v>
      </c>
      <c r="G375" s="3" t="s">
        <v>2454</v>
      </c>
      <c r="H375" s="3"/>
      <c r="I375" s="3" t="s">
        <v>2455</v>
      </c>
      <c r="J375" s="3">
        <v>0</v>
      </c>
      <c r="K375" s="3">
        <v>0</v>
      </c>
      <c r="L375" s="3">
        <v>0</v>
      </c>
      <c r="M375" s="3">
        <v>0</v>
      </c>
      <c r="N375" s="3">
        <v>6</v>
      </c>
      <c r="O375" s="3">
        <v>0</v>
      </c>
      <c r="P375" s="3">
        <v>0</v>
      </c>
      <c r="Q375" s="3">
        <v>6</v>
      </c>
      <c r="R375" s="3">
        <v>0</v>
      </c>
    </row>
    <row r="376" spans="1:18">
      <c r="A376" s="3" t="s">
        <v>1765</v>
      </c>
      <c r="B376" s="3" t="s">
        <v>1766</v>
      </c>
      <c r="C376" s="3" t="s">
        <v>1767</v>
      </c>
      <c r="D376" s="3" t="s">
        <v>612</v>
      </c>
      <c r="E376" s="3" t="s">
        <v>538</v>
      </c>
      <c r="F376" s="3">
        <v>21.99</v>
      </c>
      <c r="G376" s="3" t="s">
        <v>2454</v>
      </c>
      <c r="H376" s="3"/>
      <c r="I376" s="3" t="s">
        <v>2455</v>
      </c>
      <c r="J376" s="3">
        <v>6</v>
      </c>
      <c r="K376" s="3">
        <v>6</v>
      </c>
      <c r="L376" s="3">
        <v>0</v>
      </c>
      <c r="M376" s="3">
        <v>0</v>
      </c>
      <c r="N376" s="3">
        <v>6</v>
      </c>
      <c r="O376" s="3">
        <v>0</v>
      </c>
      <c r="P376" s="3">
        <v>0</v>
      </c>
      <c r="Q376" s="3">
        <v>0</v>
      </c>
      <c r="R376" s="3">
        <v>0</v>
      </c>
    </row>
    <row r="377" spans="1:18">
      <c r="A377" s="3" t="s">
        <v>1188</v>
      </c>
      <c r="B377" s="3" t="s">
        <v>1189</v>
      </c>
      <c r="C377" s="3" t="s">
        <v>1190</v>
      </c>
      <c r="D377" s="3" t="s">
        <v>66</v>
      </c>
      <c r="E377" s="3" t="s">
        <v>538</v>
      </c>
      <c r="F377" s="3">
        <v>15.99</v>
      </c>
      <c r="G377" s="3" t="s">
        <v>2454</v>
      </c>
      <c r="H377" s="3"/>
      <c r="I377" s="3" t="s">
        <v>2455</v>
      </c>
      <c r="J377" s="3">
        <v>4</v>
      </c>
      <c r="K377" s="3">
        <v>4</v>
      </c>
      <c r="L377" s="3">
        <v>0</v>
      </c>
      <c r="M377" s="3">
        <v>0</v>
      </c>
      <c r="N377" s="3">
        <v>4</v>
      </c>
      <c r="O377" s="3">
        <v>0.11</v>
      </c>
      <c r="P377" s="3">
        <v>0</v>
      </c>
      <c r="Q377" s="3">
        <v>0</v>
      </c>
      <c r="R377" s="3">
        <v>0</v>
      </c>
    </row>
    <row r="378" spans="1:18">
      <c r="A378" s="3" t="s">
        <v>1565</v>
      </c>
      <c r="B378" s="3" t="s">
        <v>1566</v>
      </c>
      <c r="C378" s="3" t="s">
        <v>1567</v>
      </c>
      <c r="D378" s="3" t="s">
        <v>66</v>
      </c>
      <c r="E378" s="3" t="s">
        <v>538</v>
      </c>
      <c r="F378" s="3">
        <v>15.99</v>
      </c>
      <c r="G378" s="3" t="s">
        <v>2454</v>
      </c>
      <c r="H378" s="3"/>
      <c r="I378" s="3" t="s">
        <v>2455</v>
      </c>
      <c r="J378" s="3">
        <v>22</v>
      </c>
      <c r="K378" s="3">
        <v>22</v>
      </c>
      <c r="L378" s="3">
        <v>0</v>
      </c>
      <c r="M378" s="3">
        <v>0</v>
      </c>
      <c r="N378" s="3">
        <v>22</v>
      </c>
      <c r="O378" s="3">
        <v>0.07</v>
      </c>
      <c r="P378" s="3">
        <v>0</v>
      </c>
      <c r="Q378" s="3">
        <v>0</v>
      </c>
      <c r="R378" s="3">
        <v>0</v>
      </c>
    </row>
    <row r="379" spans="1:18">
      <c r="A379" s="3" t="s">
        <v>2201</v>
      </c>
      <c r="B379" s="3" t="s">
        <v>2202</v>
      </c>
      <c r="C379" s="3" t="s">
        <v>2203</v>
      </c>
      <c r="D379" s="3" t="s">
        <v>1207</v>
      </c>
      <c r="E379" s="3" t="s">
        <v>538</v>
      </c>
      <c r="F379" s="3">
        <v>15.99</v>
      </c>
      <c r="G379" s="3" t="s">
        <v>2454</v>
      </c>
      <c r="H379" s="3"/>
      <c r="I379" s="3" t="s">
        <v>2455</v>
      </c>
      <c r="J379" s="3">
        <v>49</v>
      </c>
      <c r="K379" s="3">
        <v>49</v>
      </c>
      <c r="L379" s="3">
        <v>0</v>
      </c>
      <c r="M379" s="3">
        <v>0</v>
      </c>
      <c r="N379" s="3">
        <v>49</v>
      </c>
      <c r="O379" s="3">
        <v>0.1</v>
      </c>
      <c r="P379" s="3">
        <v>0</v>
      </c>
      <c r="Q379" s="3">
        <v>0</v>
      </c>
      <c r="R379" s="3">
        <v>0</v>
      </c>
    </row>
    <row r="380" spans="1:18">
      <c r="A380" s="3" t="s">
        <v>63</v>
      </c>
      <c r="B380" s="3" t="s">
        <v>64</v>
      </c>
      <c r="C380" s="3" t="s">
        <v>65</v>
      </c>
      <c r="D380" s="3" t="s">
        <v>66</v>
      </c>
      <c r="E380" s="3" t="s">
        <v>538</v>
      </c>
      <c r="F380" s="3">
        <v>15.99</v>
      </c>
      <c r="G380" s="3" t="s">
        <v>2454</v>
      </c>
      <c r="H380" s="3"/>
      <c r="I380" s="3" t="s">
        <v>2455</v>
      </c>
      <c r="J380" s="3">
        <v>5</v>
      </c>
      <c r="K380" s="3">
        <v>4</v>
      </c>
      <c r="L380" s="3">
        <v>0</v>
      </c>
      <c r="M380" s="3">
        <v>1</v>
      </c>
      <c r="N380" s="3">
        <v>5</v>
      </c>
      <c r="O380" s="3">
        <v>0.11</v>
      </c>
      <c r="P380" s="3">
        <v>0</v>
      </c>
      <c r="Q380" s="3">
        <v>0</v>
      </c>
      <c r="R380" s="3">
        <v>0</v>
      </c>
    </row>
    <row r="381" spans="1:18">
      <c r="A381" s="3" t="s">
        <v>1395</v>
      </c>
      <c r="B381" s="3" t="s">
        <v>1396</v>
      </c>
      <c r="C381" s="3" t="s">
        <v>1397</v>
      </c>
      <c r="D381" s="3" t="s">
        <v>66</v>
      </c>
      <c r="E381" s="3" t="s">
        <v>538</v>
      </c>
      <c r="F381" s="3">
        <v>15.99</v>
      </c>
      <c r="G381" s="3" t="s">
        <v>2454</v>
      </c>
      <c r="H381" s="3"/>
      <c r="I381" s="3" t="s">
        <v>2455</v>
      </c>
      <c r="J381" s="3">
        <v>2</v>
      </c>
      <c r="K381" s="3">
        <v>2</v>
      </c>
      <c r="L381" s="3">
        <v>0</v>
      </c>
      <c r="M381" s="3">
        <v>0</v>
      </c>
      <c r="N381" s="3">
        <v>12</v>
      </c>
      <c r="O381" s="3">
        <v>0.07</v>
      </c>
      <c r="P381" s="3">
        <v>0</v>
      </c>
      <c r="Q381" s="3">
        <v>10</v>
      </c>
      <c r="R381" s="3">
        <v>0</v>
      </c>
    </row>
    <row r="382" spans="1:18">
      <c r="A382" s="3" t="s">
        <v>1818</v>
      </c>
      <c r="B382" s="3" t="s">
        <v>1819</v>
      </c>
      <c r="C382" s="3" t="s">
        <v>1820</v>
      </c>
      <c r="D382" s="3" t="s">
        <v>66</v>
      </c>
      <c r="E382" s="3" t="s">
        <v>538</v>
      </c>
      <c r="F382" s="3">
        <v>15.99</v>
      </c>
      <c r="G382" s="3" t="s">
        <v>2454</v>
      </c>
      <c r="H382" s="3"/>
      <c r="I382" s="3" t="s">
        <v>2455</v>
      </c>
      <c r="J382" s="3">
        <v>6</v>
      </c>
      <c r="K382" s="3">
        <v>6</v>
      </c>
      <c r="L382" s="3">
        <v>0</v>
      </c>
      <c r="M382" s="3">
        <v>0</v>
      </c>
      <c r="N382" s="3">
        <v>16</v>
      </c>
      <c r="O382" s="3">
        <v>0.1</v>
      </c>
      <c r="P382" s="3">
        <v>0</v>
      </c>
      <c r="Q382" s="3">
        <v>10</v>
      </c>
      <c r="R382" s="3">
        <v>0</v>
      </c>
    </row>
    <row r="383" spans="1:18">
      <c r="A383" s="3" t="s">
        <v>1997</v>
      </c>
      <c r="B383" s="3" t="s">
        <v>1998</v>
      </c>
      <c r="C383" s="3" t="s">
        <v>1999</v>
      </c>
      <c r="D383" s="3" t="s">
        <v>655</v>
      </c>
      <c r="E383" s="3" t="s">
        <v>538</v>
      </c>
      <c r="F383" s="3">
        <v>16.99</v>
      </c>
      <c r="G383" s="3" t="s">
        <v>2454</v>
      </c>
      <c r="H383" s="3"/>
      <c r="I383" s="3" t="s">
        <v>2455</v>
      </c>
      <c r="J383" s="3">
        <v>2</v>
      </c>
      <c r="K383" s="3">
        <v>2</v>
      </c>
      <c r="L383" s="3">
        <v>0</v>
      </c>
      <c r="M383" s="3">
        <v>0</v>
      </c>
      <c r="N383" s="3">
        <v>2</v>
      </c>
      <c r="O383" s="3">
        <v>0.14</v>
      </c>
      <c r="P383" s="3">
        <v>0</v>
      </c>
      <c r="Q383" s="3">
        <v>0</v>
      </c>
      <c r="R383" s="3">
        <v>0</v>
      </c>
    </row>
    <row r="384" spans="1:18">
      <c r="A384" s="3" t="s">
        <v>1409</v>
      </c>
      <c r="B384" s="3" t="s">
        <v>1410</v>
      </c>
      <c r="C384" s="3" t="s">
        <v>1411</v>
      </c>
      <c r="D384" s="3" t="s">
        <v>655</v>
      </c>
      <c r="E384" s="3" t="s">
        <v>538</v>
      </c>
      <c r="F384" s="3">
        <v>16.99</v>
      </c>
      <c r="G384" s="3" t="s">
        <v>2454</v>
      </c>
      <c r="H384" s="3"/>
      <c r="I384" s="3" t="s">
        <v>2455</v>
      </c>
      <c r="J384" s="3">
        <v>6</v>
      </c>
      <c r="K384" s="3">
        <v>6</v>
      </c>
      <c r="L384" s="3">
        <v>0</v>
      </c>
      <c r="M384" s="3">
        <v>0</v>
      </c>
      <c r="N384" s="3">
        <v>6</v>
      </c>
      <c r="O384" s="3">
        <v>0.15</v>
      </c>
      <c r="P384" s="3">
        <v>0</v>
      </c>
      <c r="Q384" s="3">
        <v>0</v>
      </c>
      <c r="R384" s="3">
        <v>0</v>
      </c>
    </row>
    <row r="385" spans="1:18">
      <c r="A385" s="3" t="s">
        <v>921</v>
      </c>
      <c r="B385" s="3" t="s">
        <v>922</v>
      </c>
      <c r="C385" s="3" t="s">
        <v>923</v>
      </c>
      <c r="D385" s="3" t="s">
        <v>655</v>
      </c>
      <c r="E385" s="3" t="s">
        <v>538</v>
      </c>
      <c r="F385" s="3">
        <v>16.99</v>
      </c>
      <c r="G385" s="3" t="s">
        <v>2454</v>
      </c>
      <c r="H385" s="3"/>
      <c r="I385" s="3" t="s">
        <v>2455</v>
      </c>
      <c r="J385" s="3">
        <v>13</v>
      </c>
      <c r="K385" s="3">
        <v>13</v>
      </c>
      <c r="L385" s="3">
        <v>0</v>
      </c>
      <c r="M385" s="3">
        <v>0</v>
      </c>
      <c r="N385" s="3">
        <v>13</v>
      </c>
      <c r="O385" s="3">
        <v>0.15</v>
      </c>
      <c r="P385" s="3">
        <v>0</v>
      </c>
      <c r="Q385" s="3">
        <v>0</v>
      </c>
      <c r="R385" s="3">
        <v>0</v>
      </c>
    </row>
    <row r="386" spans="1:18">
      <c r="A386" s="3" t="s">
        <v>1794</v>
      </c>
      <c r="B386" s="3" t="s">
        <v>1795</v>
      </c>
      <c r="C386" s="3" t="s">
        <v>1796</v>
      </c>
      <c r="D386" s="3" t="s">
        <v>655</v>
      </c>
      <c r="E386" s="3" t="s">
        <v>538</v>
      </c>
      <c r="F386" s="3">
        <v>16.99</v>
      </c>
      <c r="G386" s="3" t="s">
        <v>2454</v>
      </c>
      <c r="H386" s="3"/>
      <c r="I386" s="3" t="s">
        <v>2455</v>
      </c>
      <c r="J386" s="3">
        <v>5</v>
      </c>
      <c r="K386" s="3">
        <v>5</v>
      </c>
      <c r="L386" s="3">
        <v>0</v>
      </c>
      <c r="M386" s="3">
        <v>0</v>
      </c>
      <c r="N386" s="3">
        <v>5</v>
      </c>
      <c r="O386" s="3">
        <v>0.14</v>
      </c>
      <c r="P386" s="3">
        <v>0</v>
      </c>
      <c r="Q386" s="3">
        <v>0</v>
      </c>
      <c r="R386" s="3">
        <v>0</v>
      </c>
    </row>
    <row r="387" spans="1:18">
      <c r="A387" s="3" t="s">
        <v>1197</v>
      </c>
      <c r="B387" s="3" t="s">
        <v>1198</v>
      </c>
      <c r="C387" s="3" t="s">
        <v>1199</v>
      </c>
      <c r="D387" s="3" t="s">
        <v>655</v>
      </c>
      <c r="E387" s="3" t="s">
        <v>538</v>
      </c>
      <c r="F387" s="3">
        <v>16.99</v>
      </c>
      <c r="G387" s="3" t="s">
        <v>2454</v>
      </c>
      <c r="H387" s="3"/>
      <c r="I387" s="3" t="s">
        <v>2455</v>
      </c>
      <c r="J387" s="3">
        <v>17</v>
      </c>
      <c r="K387" s="3">
        <v>17</v>
      </c>
      <c r="L387" s="3">
        <v>0</v>
      </c>
      <c r="M387" s="3">
        <v>0</v>
      </c>
      <c r="N387" s="3">
        <v>17</v>
      </c>
      <c r="O387" s="3">
        <v>0.15</v>
      </c>
      <c r="P387" s="3">
        <v>0</v>
      </c>
      <c r="Q387" s="3">
        <v>0</v>
      </c>
      <c r="R387" s="3">
        <v>0</v>
      </c>
    </row>
    <row r="388" spans="1:18">
      <c r="A388" s="3" t="s">
        <v>1254</v>
      </c>
      <c r="B388" s="3" t="s">
        <v>1255</v>
      </c>
      <c r="C388" s="3" t="s">
        <v>1256</v>
      </c>
      <c r="D388" s="3" t="s">
        <v>655</v>
      </c>
      <c r="E388" s="3" t="s">
        <v>538</v>
      </c>
      <c r="F388" s="3">
        <v>16.99</v>
      </c>
      <c r="G388" s="3" t="s">
        <v>2454</v>
      </c>
      <c r="H388" s="3"/>
      <c r="I388" s="3" t="s">
        <v>2455</v>
      </c>
      <c r="J388" s="3">
        <v>5</v>
      </c>
      <c r="K388" s="3">
        <v>5</v>
      </c>
      <c r="L388" s="3">
        <v>0</v>
      </c>
      <c r="M388" s="3">
        <v>0</v>
      </c>
      <c r="N388" s="3">
        <v>5</v>
      </c>
      <c r="O388" s="3">
        <v>0.15</v>
      </c>
      <c r="P388" s="3">
        <v>0</v>
      </c>
      <c r="Q388" s="3">
        <v>0</v>
      </c>
      <c r="R388" s="3">
        <v>0</v>
      </c>
    </row>
    <row r="389" spans="1:18">
      <c r="A389" s="3" t="s">
        <v>2386</v>
      </c>
      <c r="B389" s="3" t="s">
        <v>2387</v>
      </c>
      <c r="C389" s="3" t="s">
        <v>2388</v>
      </c>
      <c r="D389" s="3" t="s">
        <v>655</v>
      </c>
      <c r="E389" s="3" t="s">
        <v>538</v>
      </c>
      <c r="F389" s="3">
        <v>16.99</v>
      </c>
      <c r="G389" s="3" t="s">
        <v>2454</v>
      </c>
      <c r="H389" s="3"/>
      <c r="I389" s="3" t="s">
        <v>2455</v>
      </c>
      <c r="J389" s="3">
        <v>5</v>
      </c>
      <c r="K389" s="3">
        <v>5</v>
      </c>
      <c r="L389" s="3">
        <v>0</v>
      </c>
      <c r="M389" s="3">
        <v>0</v>
      </c>
      <c r="N389" s="3">
        <v>5</v>
      </c>
      <c r="O389" s="3">
        <v>0.14</v>
      </c>
      <c r="P389" s="3">
        <v>0</v>
      </c>
      <c r="Q389" s="3">
        <v>0</v>
      </c>
      <c r="R389" s="3">
        <v>0</v>
      </c>
    </row>
    <row r="390" spans="1:18">
      <c r="A390" s="3" t="s">
        <v>1170</v>
      </c>
      <c r="B390" s="3" t="s">
        <v>1171</v>
      </c>
      <c r="C390" s="3" t="s">
        <v>1172</v>
      </c>
      <c r="D390" s="3" t="s">
        <v>655</v>
      </c>
      <c r="E390" s="3" t="s">
        <v>538</v>
      </c>
      <c r="F390" s="3">
        <v>16.99</v>
      </c>
      <c r="G390" s="3" t="s">
        <v>2454</v>
      </c>
      <c r="H390" s="3"/>
      <c r="I390" s="3" t="s">
        <v>2455</v>
      </c>
      <c r="J390" s="3">
        <v>5</v>
      </c>
      <c r="K390" s="3">
        <v>5</v>
      </c>
      <c r="L390" s="3">
        <v>0</v>
      </c>
      <c r="M390" s="3">
        <v>0</v>
      </c>
      <c r="N390" s="3">
        <v>5</v>
      </c>
      <c r="O390" s="3">
        <v>0.15</v>
      </c>
      <c r="P390" s="3">
        <v>0</v>
      </c>
      <c r="Q390" s="3">
        <v>0</v>
      </c>
      <c r="R390" s="3">
        <v>0</v>
      </c>
    </row>
    <row r="391" spans="1:18">
      <c r="A391" s="3" t="s">
        <v>652</v>
      </c>
      <c r="B391" s="3" t="s">
        <v>653</v>
      </c>
      <c r="C391" s="3" t="s">
        <v>654</v>
      </c>
      <c r="D391" s="3" t="s">
        <v>655</v>
      </c>
      <c r="E391" s="3" t="s">
        <v>538</v>
      </c>
      <c r="F391" s="3">
        <v>16.99</v>
      </c>
      <c r="G391" s="3" t="s">
        <v>2454</v>
      </c>
      <c r="H391" s="3"/>
      <c r="I391" s="3" t="s">
        <v>2455</v>
      </c>
      <c r="J391" s="3">
        <v>4</v>
      </c>
      <c r="K391" s="3">
        <v>4</v>
      </c>
      <c r="L391" s="3">
        <v>0</v>
      </c>
      <c r="M391" s="3">
        <v>0</v>
      </c>
      <c r="N391" s="3">
        <v>4</v>
      </c>
      <c r="O391" s="3">
        <v>0.15</v>
      </c>
      <c r="P391" s="3">
        <v>0</v>
      </c>
      <c r="Q391" s="3">
        <v>0</v>
      </c>
      <c r="R391" s="3">
        <v>0</v>
      </c>
    </row>
    <row r="392" spans="1:18">
      <c r="A392" s="3" t="s">
        <v>2229</v>
      </c>
      <c r="B392" s="3" t="s">
        <v>2230</v>
      </c>
      <c r="C392" s="3" t="s">
        <v>2231</v>
      </c>
      <c r="D392" s="3" t="s">
        <v>66</v>
      </c>
      <c r="E392" s="3" t="s">
        <v>538</v>
      </c>
      <c r="F392" s="3">
        <v>15.99</v>
      </c>
      <c r="G392" s="3" t="s">
        <v>2454</v>
      </c>
      <c r="H392" s="3"/>
      <c r="I392" s="3" t="s">
        <v>2455</v>
      </c>
      <c r="J392" s="3">
        <v>5</v>
      </c>
      <c r="K392" s="3">
        <v>5</v>
      </c>
      <c r="L392" s="3">
        <v>0</v>
      </c>
      <c r="M392" s="3">
        <v>0</v>
      </c>
      <c r="N392" s="3">
        <v>5</v>
      </c>
      <c r="O392" s="3">
        <v>0.08</v>
      </c>
      <c r="P392" s="3">
        <v>0</v>
      </c>
      <c r="Q392" s="3">
        <v>0</v>
      </c>
      <c r="R392" s="3">
        <v>0</v>
      </c>
    </row>
    <row r="393" spans="1:18">
      <c r="A393" s="3" t="s">
        <v>1406</v>
      </c>
      <c r="B393" s="3" t="s">
        <v>1407</v>
      </c>
      <c r="C393" s="3" t="s">
        <v>1408</v>
      </c>
      <c r="D393" s="3" t="s">
        <v>66</v>
      </c>
      <c r="E393" s="3" t="s">
        <v>538</v>
      </c>
      <c r="F393" s="3">
        <v>15.99</v>
      </c>
      <c r="G393" s="3" t="s">
        <v>2454</v>
      </c>
      <c r="H393" s="3"/>
      <c r="I393" s="3" t="s">
        <v>2455</v>
      </c>
      <c r="J393" s="3">
        <v>3</v>
      </c>
      <c r="K393" s="3">
        <v>3</v>
      </c>
      <c r="L393" s="3">
        <v>0</v>
      </c>
      <c r="M393" s="3">
        <v>0</v>
      </c>
      <c r="N393" s="3">
        <v>11</v>
      </c>
      <c r="O393" s="3">
        <v>0.11</v>
      </c>
      <c r="P393" s="3">
        <v>0</v>
      </c>
      <c r="Q393" s="3">
        <v>8</v>
      </c>
      <c r="R393" s="3">
        <v>0</v>
      </c>
    </row>
    <row r="394" spans="1:18">
      <c r="A394" s="3" t="s">
        <v>1204</v>
      </c>
      <c r="B394" s="3" t="s">
        <v>1205</v>
      </c>
      <c r="C394" s="3" t="s">
        <v>1206</v>
      </c>
      <c r="D394" s="3" t="s">
        <v>1207</v>
      </c>
      <c r="E394" s="3" t="s">
        <v>538</v>
      </c>
      <c r="F394" s="3">
        <v>15.99</v>
      </c>
      <c r="G394" s="3" t="s">
        <v>2454</v>
      </c>
      <c r="H394" s="3"/>
      <c r="I394" s="3" t="s">
        <v>2455</v>
      </c>
      <c r="J394" s="3">
        <v>9</v>
      </c>
      <c r="K394" s="3">
        <v>9</v>
      </c>
      <c r="L394" s="3">
        <v>0</v>
      </c>
      <c r="M394" s="3">
        <v>0</v>
      </c>
      <c r="N394" s="3">
        <v>9</v>
      </c>
      <c r="O394" s="3">
        <v>0.1</v>
      </c>
      <c r="P394" s="3">
        <v>0</v>
      </c>
      <c r="Q394" s="3">
        <v>0</v>
      </c>
      <c r="R394" s="3">
        <v>0</v>
      </c>
    </row>
    <row r="395" spans="1:18">
      <c r="A395" s="3" t="s">
        <v>1516</v>
      </c>
      <c r="B395" s="3" t="s">
        <v>1517</v>
      </c>
      <c r="C395" s="3" t="s">
        <v>1518</v>
      </c>
      <c r="D395" s="3" t="s">
        <v>66</v>
      </c>
      <c r="E395" s="3" t="s">
        <v>538</v>
      </c>
      <c r="F395" s="3">
        <v>15.99</v>
      </c>
      <c r="G395" s="3" t="s">
        <v>2454</v>
      </c>
      <c r="H395" s="3"/>
      <c r="I395" s="3" t="s">
        <v>2455</v>
      </c>
      <c r="J395" s="3">
        <v>5</v>
      </c>
      <c r="K395" s="3">
        <v>5</v>
      </c>
      <c r="L395" s="3">
        <v>0</v>
      </c>
      <c r="M395" s="3">
        <v>0</v>
      </c>
      <c r="N395" s="3">
        <v>5</v>
      </c>
      <c r="O395" s="3">
        <v>0.08</v>
      </c>
      <c r="P395" s="3">
        <v>0</v>
      </c>
      <c r="Q395" s="3">
        <v>0</v>
      </c>
      <c r="R395" s="3">
        <v>0</v>
      </c>
    </row>
    <row r="396" spans="1:18">
      <c r="A396" s="3" t="s">
        <v>1039</v>
      </c>
      <c r="B396" s="3" t="s">
        <v>1040</v>
      </c>
      <c r="C396" s="3" t="s">
        <v>1041</v>
      </c>
      <c r="D396" s="3" t="s">
        <v>66</v>
      </c>
      <c r="E396" s="3" t="s">
        <v>538</v>
      </c>
      <c r="F396" s="3">
        <v>15.99</v>
      </c>
      <c r="G396" s="3" t="s">
        <v>2454</v>
      </c>
      <c r="H396" s="3"/>
      <c r="I396" s="3" t="s">
        <v>2455</v>
      </c>
      <c r="J396" s="3">
        <v>14</v>
      </c>
      <c r="K396" s="3">
        <v>14</v>
      </c>
      <c r="L396" s="3">
        <v>0</v>
      </c>
      <c r="M396" s="3">
        <v>0</v>
      </c>
      <c r="N396" s="3">
        <v>14</v>
      </c>
      <c r="O396" s="3">
        <v>0.11</v>
      </c>
      <c r="P396" s="3">
        <v>0</v>
      </c>
      <c r="Q396" s="3">
        <v>0</v>
      </c>
      <c r="R396" s="3">
        <v>0</v>
      </c>
    </row>
    <row r="397" spans="1:18">
      <c r="A397" s="3" t="s">
        <v>765</v>
      </c>
      <c r="B397" s="3" t="s">
        <v>766</v>
      </c>
      <c r="C397" s="3" t="s">
        <v>767</v>
      </c>
      <c r="D397" s="3" t="s">
        <v>66</v>
      </c>
      <c r="E397" s="3" t="s">
        <v>538</v>
      </c>
      <c r="F397" s="3">
        <v>15.99</v>
      </c>
      <c r="G397" s="3" t="s">
        <v>2454</v>
      </c>
      <c r="H397" s="3"/>
      <c r="I397" s="3" t="s">
        <v>2455</v>
      </c>
      <c r="J397" s="3">
        <v>5</v>
      </c>
      <c r="K397" s="3">
        <v>5</v>
      </c>
      <c r="L397" s="3">
        <v>0</v>
      </c>
      <c r="M397" s="3">
        <v>0</v>
      </c>
      <c r="N397" s="3">
        <v>5</v>
      </c>
      <c r="O397" s="3">
        <v>0.1</v>
      </c>
      <c r="P397" s="3">
        <v>0</v>
      </c>
      <c r="Q397" s="3">
        <v>0</v>
      </c>
      <c r="R397" s="3">
        <v>0</v>
      </c>
    </row>
    <row r="398" spans="1:18">
      <c r="A398" s="3" t="s">
        <v>1389</v>
      </c>
      <c r="B398" s="3" t="s">
        <v>1390</v>
      </c>
      <c r="C398" s="3" t="s">
        <v>1391</v>
      </c>
      <c r="D398" s="3" t="s">
        <v>66</v>
      </c>
      <c r="E398" s="3" t="s">
        <v>538</v>
      </c>
      <c r="F398" s="3">
        <v>15.99</v>
      </c>
      <c r="G398" s="3" t="s">
        <v>2454</v>
      </c>
      <c r="H398" s="3"/>
      <c r="I398" s="3" t="s">
        <v>2455</v>
      </c>
      <c r="J398" s="3">
        <v>5</v>
      </c>
      <c r="K398" s="3">
        <v>5</v>
      </c>
      <c r="L398" s="3">
        <v>0</v>
      </c>
      <c r="M398" s="3">
        <v>0</v>
      </c>
      <c r="N398" s="3">
        <v>5</v>
      </c>
      <c r="O398" s="3">
        <v>0.08</v>
      </c>
      <c r="P398" s="3">
        <v>0</v>
      </c>
      <c r="Q398" s="3">
        <v>0</v>
      </c>
      <c r="R398" s="3">
        <v>0</v>
      </c>
    </row>
    <row r="399" spans="1:18">
      <c r="A399" s="3" t="s">
        <v>2354</v>
      </c>
      <c r="B399" s="3" t="s">
        <v>2355</v>
      </c>
      <c r="C399" s="3" t="s">
        <v>2356</v>
      </c>
      <c r="D399" s="3" t="s">
        <v>66</v>
      </c>
      <c r="E399" s="3" t="s">
        <v>538</v>
      </c>
      <c r="F399" s="3">
        <v>15.99</v>
      </c>
      <c r="G399" s="3" t="s">
        <v>2454</v>
      </c>
      <c r="H399" s="3"/>
      <c r="I399" s="3" t="s">
        <v>2455</v>
      </c>
      <c r="J399" s="3">
        <v>5</v>
      </c>
      <c r="K399" s="3">
        <v>5</v>
      </c>
      <c r="L399" s="3">
        <v>0</v>
      </c>
      <c r="M399" s="3">
        <v>0</v>
      </c>
      <c r="N399" s="3">
        <v>5</v>
      </c>
      <c r="O399" s="3">
        <v>0.11</v>
      </c>
      <c r="P399" s="3">
        <v>0</v>
      </c>
      <c r="Q399" s="3">
        <v>0</v>
      </c>
      <c r="R399" s="3">
        <v>0</v>
      </c>
    </row>
    <row r="400" spans="1:18">
      <c r="A400" s="3" t="s">
        <v>1313</v>
      </c>
      <c r="B400" s="3" t="s">
        <v>1314</v>
      </c>
      <c r="C400" s="3" t="s">
        <v>1315</v>
      </c>
      <c r="D400" s="3" t="s">
        <v>66</v>
      </c>
      <c r="E400" s="3" t="s">
        <v>538</v>
      </c>
      <c r="F400" s="3">
        <v>15.99</v>
      </c>
      <c r="G400" s="3" t="s">
        <v>2454</v>
      </c>
      <c r="H400" s="3"/>
      <c r="I400" s="3" t="s">
        <v>2455</v>
      </c>
      <c r="J400" s="3">
        <v>7</v>
      </c>
      <c r="K400" s="3">
        <v>7</v>
      </c>
      <c r="L400" s="3">
        <v>0</v>
      </c>
      <c r="M400" s="3">
        <v>0</v>
      </c>
      <c r="N400" s="3">
        <v>7</v>
      </c>
      <c r="O400" s="3">
        <v>0.1</v>
      </c>
      <c r="P400" s="3">
        <v>0</v>
      </c>
      <c r="Q400" s="3">
        <v>0</v>
      </c>
      <c r="R400" s="3">
        <v>0</v>
      </c>
    </row>
    <row r="401" spans="1:18">
      <c r="A401" s="3" t="s">
        <v>2186</v>
      </c>
      <c r="B401" s="3" t="s">
        <v>2187</v>
      </c>
      <c r="C401" s="3" t="s">
        <v>2188</v>
      </c>
      <c r="D401" s="3" t="s">
        <v>1073</v>
      </c>
      <c r="E401" s="3" t="s">
        <v>538</v>
      </c>
      <c r="F401" s="3">
        <v>19.99</v>
      </c>
      <c r="G401" s="3" t="s">
        <v>2454</v>
      </c>
      <c r="H401" s="3"/>
      <c r="I401" s="3" t="s">
        <v>2455</v>
      </c>
      <c r="J401" s="3">
        <v>5</v>
      </c>
      <c r="K401" s="3">
        <v>5</v>
      </c>
      <c r="L401" s="3">
        <v>0</v>
      </c>
      <c r="M401" s="3">
        <v>0</v>
      </c>
      <c r="N401" s="3">
        <v>5</v>
      </c>
      <c r="O401" s="3">
        <v>0.14</v>
      </c>
      <c r="P401" s="3">
        <v>0</v>
      </c>
      <c r="Q401" s="3">
        <v>0</v>
      </c>
      <c r="R401" s="3">
        <v>0</v>
      </c>
    </row>
    <row r="402" spans="1:18">
      <c r="A402" s="3" t="s">
        <v>2416</v>
      </c>
      <c r="B402" s="3" t="s">
        <v>2417</v>
      </c>
      <c r="C402" s="3" t="s">
        <v>2418</v>
      </c>
      <c r="D402" s="3" t="s">
        <v>1073</v>
      </c>
      <c r="E402" s="3" t="s">
        <v>538</v>
      </c>
      <c r="F402" s="3">
        <v>19.99</v>
      </c>
      <c r="G402" s="3" t="s">
        <v>2454</v>
      </c>
      <c r="H402" s="3"/>
      <c r="I402" s="3" t="s">
        <v>2455</v>
      </c>
      <c r="J402" s="3">
        <v>5</v>
      </c>
      <c r="K402" s="3">
        <v>5</v>
      </c>
      <c r="L402" s="3">
        <v>0</v>
      </c>
      <c r="M402" s="3">
        <v>0</v>
      </c>
      <c r="N402" s="3">
        <v>5</v>
      </c>
      <c r="O402" s="3">
        <v>0.13</v>
      </c>
      <c r="P402" s="3">
        <v>0</v>
      </c>
      <c r="Q402" s="3">
        <v>0</v>
      </c>
      <c r="R402" s="3">
        <v>0</v>
      </c>
    </row>
    <row r="403" spans="1:18">
      <c r="A403" s="3" t="s">
        <v>2256</v>
      </c>
      <c r="B403" s="3" t="s">
        <v>2257</v>
      </c>
      <c r="C403" s="3" t="s">
        <v>2258</v>
      </c>
      <c r="D403" s="3" t="s">
        <v>1073</v>
      </c>
      <c r="E403" s="3" t="s">
        <v>538</v>
      </c>
      <c r="F403" s="3">
        <v>19.99</v>
      </c>
      <c r="G403" s="3" t="s">
        <v>2454</v>
      </c>
      <c r="H403" s="3"/>
      <c r="I403" s="3" t="s">
        <v>2455</v>
      </c>
      <c r="J403" s="3">
        <v>5</v>
      </c>
      <c r="K403" s="3">
        <v>5</v>
      </c>
      <c r="L403" s="3">
        <v>0</v>
      </c>
      <c r="M403" s="3">
        <v>0</v>
      </c>
      <c r="N403" s="3">
        <v>5</v>
      </c>
      <c r="O403" s="3">
        <v>0.15</v>
      </c>
      <c r="P403" s="3">
        <v>0</v>
      </c>
      <c r="Q403" s="3">
        <v>0</v>
      </c>
      <c r="R403" s="3">
        <v>0</v>
      </c>
    </row>
    <row r="404" spans="1:18">
      <c r="A404" s="3" t="s">
        <v>1238</v>
      </c>
      <c r="B404" s="3" t="s">
        <v>1239</v>
      </c>
      <c r="C404" s="3" t="s">
        <v>1240</v>
      </c>
      <c r="D404" s="3" t="s">
        <v>1073</v>
      </c>
      <c r="E404" s="3" t="s">
        <v>538</v>
      </c>
      <c r="F404" s="3">
        <v>19.99</v>
      </c>
      <c r="G404" s="3" t="s">
        <v>2454</v>
      </c>
      <c r="H404" s="3"/>
      <c r="I404" s="3" t="s">
        <v>2455</v>
      </c>
      <c r="J404" s="3">
        <v>5</v>
      </c>
      <c r="K404" s="3">
        <v>5</v>
      </c>
      <c r="L404" s="3">
        <v>0</v>
      </c>
      <c r="M404" s="3">
        <v>0</v>
      </c>
      <c r="N404" s="3">
        <v>5</v>
      </c>
      <c r="O404" s="3">
        <v>0.14</v>
      </c>
      <c r="P404" s="3">
        <v>0</v>
      </c>
      <c r="Q404" s="3">
        <v>0</v>
      </c>
      <c r="R404" s="3">
        <v>0</v>
      </c>
    </row>
    <row r="405" spans="1:18">
      <c r="A405" s="3" t="s">
        <v>2198</v>
      </c>
      <c r="B405" s="3" t="s">
        <v>2199</v>
      </c>
      <c r="C405" s="3" t="s">
        <v>2200</v>
      </c>
      <c r="D405" s="3" t="s">
        <v>1073</v>
      </c>
      <c r="E405" s="3" t="s">
        <v>538</v>
      </c>
      <c r="F405" s="3">
        <v>19.99</v>
      </c>
      <c r="G405" s="3" t="s">
        <v>2454</v>
      </c>
      <c r="H405" s="3"/>
      <c r="I405" s="3" t="s">
        <v>2455</v>
      </c>
      <c r="J405" s="3">
        <v>5</v>
      </c>
      <c r="K405" s="3">
        <v>5</v>
      </c>
      <c r="L405" s="3">
        <v>0</v>
      </c>
      <c r="M405" s="3">
        <v>0</v>
      </c>
      <c r="N405" s="3">
        <v>5</v>
      </c>
      <c r="O405" s="3">
        <v>0.13</v>
      </c>
      <c r="P405" s="3">
        <v>0</v>
      </c>
      <c r="Q405" s="3">
        <v>0</v>
      </c>
      <c r="R405" s="3">
        <v>0</v>
      </c>
    </row>
    <row r="406" spans="1:18">
      <c r="A406" s="3" t="s">
        <v>1604</v>
      </c>
      <c r="B406" s="3" t="s">
        <v>1605</v>
      </c>
      <c r="C406" s="3" t="s">
        <v>1606</v>
      </c>
      <c r="D406" s="3" t="s">
        <v>1073</v>
      </c>
      <c r="E406" s="3" t="s">
        <v>538</v>
      </c>
      <c r="F406" s="3">
        <v>19.99</v>
      </c>
      <c r="G406" s="3" t="s">
        <v>2454</v>
      </c>
      <c r="H406" s="3"/>
      <c r="I406" s="3" t="s">
        <v>2455</v>
      </c>
      <c r="J406" s="3">
        <v>5</v>
      </c>
      <c r="K406" s="3">
        <v>5</v>
      </c>
      <c r="L406" s="3">
        <v>0</v>
      </c>
      <c r="M406" s="3">
        <v>0</v>
      </c>
      <c r="N406" s="3">
        <v>5</v>
      </c>
      <c r="O406" s="3">
        <v>0.15</v>
      </c>
      <c r="P406" s="3">
        <v>0</v>
      </c>
      <c r="Q406" s="3">
        <v>0</v>
      </c>
      <c r="R406" s="3">
        <v>0</v>
      </c>
    </row>
    <row r="407" spans="1:18">
      <c r="A407" s="3" t="s">
        <v>1070</v>
      </c>
      <c r="B407" s="3" t="s">
        <v>1071</v>
      </c>
      <c r="C407" s="3" t="s">
        <v>1072</v>
      </c>
      <c r="D407" s="3" t="s">
        <v>1073</v>
      </c>
      <c r="E407" s="3" t="s">
        <v>538</v>
      </c>
      <c r="F407" s="3">
        <v>19.99</v>
      </c>
      <c r="G407" s="3" t="s">
        <v>2454</v>
      </c>
      <c r="H407" s="3"/>
      <c r="I407" s="3" t="s">
        <v>2455</v>
      </c>
      <c r="J407" s="3">
        <v>5</v>
      </c>
      <c r="K407" s="3">
        <v>5</v>
      </c>
      <c r="L407" s="3">
        <v>0</v>
      </c>
      <c r="M407" s="3">
        <v>0</v>
      </c>
      <c r="N407" s="3">
        <v>5</v>
      </c>
      <c r="O407" s="3">
        <v>0.14</v>
      </c>
      <c r="P407" s="3">
        <v>0</v>
      </c>
      <c r="Q407" s="3">
        <v>0</v>
      </c>
      <c r="R407" s="3">
        <v>0</v>
      </c>
    </row>
    <row r="408" spans="1:18">
      <c r="A408" s="3" t="s">
        <v>1801</v>
      </c>
      <c r="B408" s="3" t="s">
        <v>1802</v>
      </c>
      <c r="C408" s="3" t="s">
        <v>1803</v>
      </c>
      <c r="D408" s="3" t="s">
        <v>1073</v>
      </c>
      <c r="E408" s="3" t="s">
        <v>538</v>
      </c>
      <c r="F408" s="3">
        <v>19.99</v>
      </c>
      <c r="G408" s="3" t="s">
        <v>2454</v>
      </c>
      <c r="H408" s="3"/>
      <c r="I408" s="3" t="s">
        <v>2455</v>
      </c>
      <c r="J408" s="3">
        <v>5</v>
      </c>
      <c r="K408" s="3">
        <v>5</v>
      </c>
      <c r="L408" s="3">
        <v>0</v>
      </c>
      <c r="M408" s="3">
        <v>0</v>
      </c>
      <c r="N408" s="3">
        <v>5</v>
      </c>
      <c r="O408" s="3">
        <v>0.13</v>
      </c>
      <c r="P408" s="3">
        <v>0</v>
      </c>
      <c r="Q408" s="3">
        <v>0</v>
      </c>
      <c r="R408" s="3">
        <v>0</v>
      </c>
    </row>
    <row r="409" spans="1:18">
      <c r="A409" s="3" t="s">
        <v>2018</v>
      </c>
      <c r="B409" s="3" t="s">
        <v>2019</v>
      </c>
      <c r="C409" s="3" t="s">
        <v>2020</v>
      </c>
      <c r="D409" s="3" t="s">
        <v>1073</v>
      </c>
      <c r="E409" s="3" t="s">
        <v>538</v>
      </c>
      <c r="F409" s="3">
        <v>19.99</v>
      </c>
      <c r="G409" s="3" t="s">
        <v>2454</v>
      </c>
      <c r="H409" s="3"/>
      <c r="I409" s="3" t="s">
        <v>2455</v>
      </c>
      <c r="J409" s="3">
        <v>5</v>
      </c>
      <c r="K409" s="3">
        <v>5</v>
      </c>
      <c r="L409" s="3">
        <v>0</v>
      </c>
      <c r="M409" s="3">
        <v>0</v>
      </c>
      <c r="N409" s="3">
        <v>5</v>
      </c>
      <c r="O409" s="3">
        <v>0.15</v>
      </c>
      <c r="P409" s="3">
        <v>0</v>
      </c>
      <c r="Q409" s="3">
        <v>0</v>
      </c>
      <c r="R409" s="3">
        <v>0</v>
      </c>
    </row>
    <row r="410" spans="1:18">
      <c r="A410" s="3" t="s">
        <v>1726</v>
      </c>
      <c r="B410" s="3" t="s">
        <v>1727</v>
      </c>
      <c r="C410" s="3" t="s">
        <v>1728</v>
      </c>
      <c r="D410" s="3" t="s">
        <v>1073</v>
      </c>
      <c r="E410" s="3" t="s">
        <v>538</v>
      </c>
      <c r="F410" s="3">
        <v>19.99</v>
      </c>
      <c r="G410" s="3" t="s">
        <v>2454</v>
      </c>
      <c r="H410" s="3"/>
      <c r="I410" s="3" t="s">
        <v>2455</v>
      </c>
      <c r="J410" s="3">
        <v>4</v>
      </c>
      <c r="K410" s="3">
        <v>4</v>
      </c>
      <c r="L410" s="3">
        <v>0</v>
      </c>
      <c r="M410" s="3">
        <v>0</v>
      </c>
      <c r="N410" s="3">
        <v>4</v>
      </c>
      <c r="O410" s="3">
        <v>0.14</v>
      </c>
      <c r="P410" s="3">
        <v>0</v>
      </c>
      <c r="Q410" s="3">
        <v>0</v>
      </c>
      <c r="R410" s="3">
        <v>0</v>
      </c>
    </row>
    <row r="411" spans="1:18">
      <c r="A411" s="3" t="s">
        <v>2102</v>
      </c>
      <c r="B411" s="3" t="s">
        <v>2103</v>
      </c>
      <c r="C411" s="3" t="s">
        <v>2104</v>
      </c>
      <c r="D411" s="3" t="s">
        <v>1073</v>
      </c>
      <c r="E411" s="3" t="s">
        <v>538</v>
      </c>
      <c r="F411" s="3">
        <v>19.99</v>
      </c>
      <c r="G411" s="3" t="s">
        <v>2454</v>
      </c>
      <c r="H411" s="3"/>
      <c r="I411" s="3" t="s">
        <v>2455</v>
      </c>
      <c r="J411" s="3">
        <v>5</v>
      </c>
      <c r="K411" s="3">
        <v>5</v>
      </c>
      <c r="L411" s="3">
        <v>0</v>
      </c>
      <c r="M411" s="3">
        <v>0</v>
      </c>
      <c r="N411" s="3">
        <v>5</v>
      </c>
      <c r="O411" s="3">
        <v>0.13</v>
      </c>
      <c r="P411" s="3">
        <v>0</v>
      </c>
      <c r="Q411" s="3">
        <v>0</v>
      </c>
      <c r="R411" s="3">
        <v>0</v>
      </c>
    </row>
    <row r="412" spans="1:18">
      <c r="A412" s="3" t="s">
        <v>1824</v>
      </c>
      <c r="B412" s="3" t="s">
        <v>1825</v>
      </c>
      <c r="C412" s="3" t="s">
        <v>1826</v>
      </c>
      <c r="D412" s="3" t="s">
        <v>1073</v>
      </c>
      <c r="E412" s="3" t="s">
        <v>538</v>
      </c>
      <c r="F412" s="3">
        <v>19.99</v>
      </c>
      <c r="G412" s="3" t="s">
        <v>2454</v>
      </c>
      <c r="H412" s="3"/>
      <c r="I412" s="3" t="s">
        <v>2455</v>
      </c>
      <c r="J412" s="3">
        <v>5</v>
      </c>
      <c r="K412" s="3">
        <v>5</v>
      </c>
      <c r="L412" s="3">
        <v>0</v>
      </c>
      <c r="M412" s="3">
        <v>0</v>
      </c>
      <c r="N412" s="3">
        <v>5</v>
      </c>
      <c r="O412" s="3">
        <v>0.15</v>
      </c>
      <c r="P412" s="3">
        <v>0</v>
      </c>
      <c r="Q412" s="3">
        <v>0</v>
      </c>
      <c r="R412" s="3">
        <v>0</v>
      </c>
    </row>
    <row r="413" spans="1:18">
      <c r="A413" s="3" t="s">
        <v>648</v>
      </c>
      <c r="B413" s="3" t="s">
        <v>649</v>
      </c>
      <c r="C413" s="3" t="s">
        <v>650</v>
      </c>
      <c r="D413" s="3" t="s">
        <v>612</v>
      </c>
      <c r="E413" s="3" t="s">
        <v>538</v>
      </c>
      <c r="F413" s="3">
        <v>15.99</v>
      </c>
      <c r="G413" s="3" t="s">
        <v>2454</v>
      </c>
      <c r="H413" s="3"/>
      <c r="I413" s="3" t="s">
        <v>2455</v>
      </c>
      <c r="J413" s="3">
        <v>5</v>
      </c>
      <c r="K413" s="3">
        <v>5</v>
      </c>
      <c r="L413" s="3">
        <v>0</v>
      </c>
      <c r="M413" s="3">
        <v>0</v>
      </c>
      <c r="N413" s="3">
        <v>5</v>
      </c>
      <c r="O413" s="3">
        <v>0.13</v>
      </c>
      <c r="P413" s="3">
        <v>0</v>
      </c>
      <c r="Q413" s="3">
        <v>0</v>
      </c>
      <c r="R413" s="3">
        <v>0</v>
      </c>
    </row>
    <row r="414" spans="1:18">
      <c r="A414" s="3" t="s">
        <v>1216</v>
      </c>
      <c r="B414" s="3" t="s">
        <v>1217</v>
      </c>
      <c r="C414" s="3" t="s">
        <v>1218</v>
      </c>
      <c r="D414" s="3" t="s">
        <v>612</v>
      </c>
      <c r="E414" s="3" t="s">
        <v>538</v>
      </c>
      <c r="F414" s="3">
        <v>15.99</v>
      </c>
      <c r="G414" s="3" t="s">
        <v>2454</v>
      </c>
      <c r="H414" s="3"/>
      <c r="I414" s="3" t="s">
        <v>2455</v>
      </c>
      <c r="J414" s="3">
        <v>5</v>
      </c>
      <c r="K414" s="3">
        <v>5</v>
      </c>
      <c r="L414" s="3">
        <v>0</v>
      </c>
      <c r="M414" s="3">
        <v>0</v>
      </c>
      <c r="N414" s="3">
        <v>5</v>
      </c>
      <c r="O414" s="3">
        <v>0.17</v>
      </c>
      <c r="P414" s="3">
        <v>0</v>
      </c>
      <c r="Q414" s="3">
        <v>0</v>
      </c>
      <c r="R414" s="3">
        <v>0</v>
      </c>
    </row>
    <row r="415" spans="1:18">
      <c r="A415" s="3" t="s">
        <v>724</v>
      </c>
      <c r="B415" s="3" t="s">
        <v>725</v>
      </c>
      <c r="C415" s="3" t="s">
        <v>726</v>
      </c>
      <c r="D415" s="3" t="s">
        <v>612</v>
      </c>
      <c r="E415" s="3" t="s">
        <v>538</v>
      </c>
      <c r="F415" s="3">
        <v>15.99</v>
      </c>
      <c r="G415" s="3" t="s">
        <v>2454</v>
      </c>
      <c r="H415" s="3"/>
      <c r="I415" s="3" t="s">
        <v>2455</v>
      </c>
      <c r="J415" s="3">
        <v>5</v>
      </c>
      <c r="K415" s="3">
        <v>5</v>
      </c>
      <c r="L415" s="3">
        <v>0</v>
      </c>
      <c r="M415" s="3">
        <v>0</v>
      </c>
      <c r="N415" s="3">
        <v>5</v>
      </c>
      <c r="O415" s="3">
        <v>0.13</v>
      </c>
      <c r="P415" s="3">
        <v>0</v>
      </c>
      <c r="Q415" s="3">
        <v>0</v>
      </c>
      <c r="R415" s="3">
        <v>0</v>
      </c>
    </row>
    <row r="416" spans="1:18">
      <c r="A416" s="3" t="s">
        <v>1107</v>
      </c>
      <c r="B416" s="3" t="s">
        <v>1108</v>
      </c>
      <c r="C416" s="3" t="s">
        <v>1109</v>
      </c>
      <c r="D416" s="3" t="s">
        <v>612</v>
      </c>
      <c r="E416" s="3" t="s">
        <v>538</v>
      </c>
      <c r="F416" s="3">
        <v>15.99</v>
      </c>
      <c r="G416" s="3" t="s">
        <v>2454</v>
      </c>
      <c r="H416" s="3"/>
      <c r="I416" s="3" t="s">
        <v>2455</v>
      </c>
      <c r="J416" s="3">
        <v>4</v>
      </c>
      <c r="K416" s="3">
        <v>4</v>
      </c>
      <c r="L416" s="3">
        <v>0</v>
      </c>
      <c r="M416" s="3">
        <v>0</v>
      </c>
      <c r="N416" s="3">
        <v>4</v>
      </c>
      <c r="O416" s="3">
        <v>0.17</v>
      </c>
      <c r="P416" s="3">
        <v>0</v>
      </c>
      <c r="Q416" s="3">
        <v>0</v>
      </c>
      <c r="R416" s="3">
        <v>0</v>
      </c>
    </row>
    <row r="417" spans="1:18">
      <c r="A417" s="3" t="s">
        <v>1338</v>
      </c>
      <c r="B417" s="3" t="s">
        <v>1339</v>
      </c>
      <c r="C417" s="3" t="s">
        <v>1340</v>
      </c>
      <c r="D417" s="3" t="s">
        <v>612</v>
      </c>
      <c r="E417" s="3" t="s">
        <v>538</v>
      </c>
      <c r="F417" s="3">
        <v>15.99</v>
      </c>
      <c r="G417" s="3" t="s">
        <v>2454</v>
      </c>
      <c r="H417" s="3"/>
      <c r="I417" s="3" t="s">
        <v>2455</v>
      </c>
      <c r="J417" s="3">
        <v>4</v>
      </c>
      <c r="K417" s="3">
        <v>4</v>
      </c>
      <c r="L417" s="3">
        <v>0</v>
      </c>
      <c r="M417" s="3">
        <v>0</v>
      </c>
      <c r="N417" s="3">
        <v>4</v>
      </c>
      <c r="O417" s="3">
        <v>0.13</v>
      </c>
      <c r="P417" s="3">
        <v>0</v>
      </c>
      <c r="Q417" s="3">
        <v>0</v>
      </c>
      <c r="R417" s="3">
        <v>0</v>
      </c>
    </row>
    <row r="418" spans="1:18">
      <c r="A418" s="3" t="s">
        <v>871</v>
      </c>
      <c r="B418" s="3" t="s">
        <v>872</v>
      </c>
      <c r="C418" s="3" t="s">
        <v>873</v>
      </c>
      <c r="D418" s="3" t="s">
        <v>612</v>
      </c>
      <c r="E418" s="3" t="s">
        <v>538</v>
      </c>
      <c r="F418" s="3">
        <v>15.99</v>
      </c>
      <c r="G418" s="3" t="s">
        <v>2454</v>
      </c>
      <c r="H418" s="3"/>
      <c r="I418" s="3" t="s">
        <v>2455</v>
      </c>
      <c r="J418" s="3">
        <v>4</v>
      </c>
      <c r="K418" s="3">
        <v>4</v>
      </c>
      <c r="L418" s="3">
        <v>0</v>
      </c>
      <c r="M418" s="3">
        <v>0</v>
      </c>
      <c r="N418" s="3">
        <v>4</v>
      </c>
      <c r="O418" s="3">
        <v>0.17</v>
      </c>
      <c r="P418" s="3">
        <v>0</v>
      </c>
      <c r="Q418" s="3">
        <v>0</v>
      </c>
      <c r="R418" s="3">
        <v>0</v>
      </c>
    </row>
    <row r="419" spans="1:18">
      <c r="A419" s="3" t="s">
        <v>1104</v>
      </c>
      <c r="B419" s="3" t="s">
        <v>1105</v>
      </c>
      <c r="C419" s="3" t="s">
        <v>1106</v>
      </c>
      <c r="D419" s="3" t="s">
        <v>815</v>
      </c>
      <c r="E419" s="3" t="s">
        <v>538</v>
      </c>
      <c r="F419" s="3">
        <v>22.99</v>
      </c>
      <c r="G419" s="3" t="s">
        <v>2454</v>
      </c>
      <c r="H419" s="3"/>
      <c r="I419" s="3" t="s">
        <v>2455</v>
      </c>
      <c r="J419" s="3">
        <v>6</v>
      </c>
      <c r="K419" s="3">
        <v>6</v>
      </c>
      <c r="L419" s="3">
        <v>0</v>
      </c>
      <c r="M419" s="3">
        <v>0</v>
      </c>
      <c r="N419" s="3">
        <v>6</v>
      </c>
      <c r="O419" s="3">
        <v>0.14</v>
      </c>
      <c r="P419" s="3">
        <v>0</v>
      </c>
      <c r="Q419" s="3">
        <v>0</v>
      </c>
      <c r="R419" s="3">
        <v>0</v>
      </c>
    </row>
    <row r="420" spans="1:18">
      <c r="A420" s="3" t="s">
        <v>2310</v>
      </c>
      <c r="B420" s="3" t="s">
        <v>2311</v>
      </c>
      <c r="C420" s="3" t="s">
        <v>2312</v>
      </c>
      <c r="D420" s="3" t="s">
        <v>815</v>
      </c>
      <c r="E420" s="3" t="s">
        <v>538</v>
      </c>
      <c r="F420" s="3">
        <v>22.99</v>
      </c>
      <c r="G420" s="3" t="s">
        <v>2454</v>
      </c>
      <c r="H420" s="3"/>
      <c r="I420" s="3" t="s">
        <v>2455</v>
      </c>
      <c r="J420" s="3">
        <v>6</v>
      </c>
      <c r="K420" s="3">
        <v>6</v>
      </c>
      <c r="L420" s="3">
        <v>0</v>
      </c>
      <c r="M420" s="3">
        <v>0</v>
      </c>
      <c r="N420" s="3">
        <v>6</v>
      </c>
      <c r="O420" s="3">
        <v>0.15</v>
      </c>
      <c r="P420" s="3">
        <v>0</v>
      </c>
      <c r="Q420" s="3">
        <v>0</v>
      </c>
      <c r="R420" s="3">
        <v>0</v>
      </c>
    </row>
    <row r="421" spans="1:18">
      <c r="A421" s="3" t="s">
        <v>2337</v>
      </c>
      <c r="B421" s="3" t="s">
        <v>2338</v>
      </c>
      <c r="C421" s="3" t="s">
        <v>2339</v>
      </c>
      <c r="D421" s="3" t="s">
        <v>815</v>
      </c>
      <c r="E421" s="3" t="s">
        <v>538</v>
      </c>
      <c r="F421" s="3">
        <v>22.99</v>
      </c>
      <c r="G421" s="3" t="s">
        <v>2454</v>
      </c>
      <c r="H421" s="3"/>
      <c r="I421" s="3" t="s">
        <v>2455</v>
      </c>
      <c r="J421" s="3">
        <v>6</v>
      </c>
      <c r="K421" s="3">
        <v>6</v>
      </c>
      <c r="L421" s="3">
        <v>0</v>
      </c>
      <c r="M421" s="3">
        <v>0</v>
      </c>
      <c r="N421" s="3">
        <v>6</v>
      </c>
      <c r="O421" s="3">
        <v>0.15</v>
      </c>
      <c r="P421" s="3">
        <v>0</v>
      </c>
      <c r="Q421" s="3">
        <v>0</v>
      </c>
      <c r="R421" s="3">
        <v>0</v>
      </c>
    </row>
    <row r="422" spans="1:18">
      <c r="A422" s="3" t="s">
        <v>950</v>
      </c>
      <c r="B422" s="3" t="s">
        <v>951</v>
      </c>
      <c r="C422" s="3" t="s">
        <v>952</v>
      </c>
      <c r="D422" s="3" t="s">
        <v>815</v>
      </c>
      <c r="E422" s="3" t="s">
        <v>538</v>
      </c>
      <c r="F422" s="3">
        <v>22.99</v>
      </c>
      <c r="G422" s="3" t="s">
        <v>2454</v>
      </c>
      <c r="H422" s="3"/>
      <c r="I422" s="3" t="s">
        <v>2455</v>
      </c>
      <c r="J422" s="3">
        <v>7</v>
      </c>
      <c r="K422" s="3">
        <v>7</v>
      </c>
      <c r="L422" s="3">
        <v>0</v>
      </c>
      <c r="M422" s="3">
        <v>0</v>
      </c>
      <c r="N422" s="3">
        <v>7</v>
      </c>
      <c r="O422" s="3">
        <v>0.14</v>
      </c>
      <c r="P422" s="3">
        <v>0</v>
      </c>
      <c r="Q422" s="3">
        <v>0</v>
      </c>
      <c r="R422" s="3">
        <v>0</v>
      </c>
    </row>
    <row r="423" spans="1:18">
      <c r="A423" s="3" t="s">
        <v>1173</v>
      </c>
      <c r="B423" s="3" t="s">
        <v>1174</v>
      </c>
      <c r="C423" s="3" t="s">
        <v>1175</v>
      </c>
      <c r="D423" s="3" t="s">
        <v>815</v>
      </c>
      <c r="E423" s="3" t="s">
        <v>538</v>
      </c>
      <c r="F423" s="3">
        <v>22.99</v>
      </c>
      <c r="G423" s="3" t="s">
        <v>2454</v>
      </c>
      <c r="H423" s="3"/>
      <c r="I423" s="3" t="s">
        <v>2455</v>
      </c>
      <c r="J423" s="3">
        <v>8</v>
      </c>
      <c r="K423" s="3">
        <v>8</v>
      </c>
      <c r="L423" s="3">
        <v>0</v>
      </c>
      <c r="M423" s="3">
        <v>0</v>
      </c>
      <c r="N423" s="3">
        <v>8</v>
      </c>
      <c r="O423" s="3">
        <v>0.15</v>
      </c>
      <c r="P423" s="3">
        <v>0</v>
      </c>
      <c r="Q423" s="3">
        <v>0</v>
      </c>
      <c r="R423" s="3">
        <v>0</v>
      </c>
    </row>
    <row r="424" spans="1:18">
      <c r="A424" s="3" t="s">
        <v>812</v>
      </c>
      <c r="B424" s="3" t="s">
        <v>813</v>
      </c>
      <c r="C424" s="3" t="s">
        <v>814</v>
      </c>
      <c r="D424" s="3" t="s">
        <v>815</v>
      </c>
      <c r="E424" s="3" t="s">
        <v>538</v>
      </c>
      <c r="F424" s="3">
        <v>22.99</v>
      </c>
      <c r="G424" s="3" t="s">
        <v>2454</v>
      </c>
      <c r="H424" s="3"/>
      <c r="I424" s="3" t="s">
        <v>2455</v>
      </c>
      <c r="J424" s="3">
        <v>3</v>
      </c>
      <c r="K424" s="3">
        <v>3</v>
      </c>
      <c r="L424" s="3">
        <v>0</v>
      </c>
      <c r="M424" s="3">
        <v>0</v>
      </c>
      <c r="N424" s="3">
        <v>3</v>
      </c>
      <c r="O424" s="3">
        <v>0.15</v>
      </c>
      <c r="P424" s="3">
        <v>0</v>
      </c>
      <c r="Q424" s="3">
        <v>0</v>
      </c>
      <c r="R424" s="3">
        <v>0</v>
      </c>
    </row>
    <row r="425" spans="1:18">
      <c r="A425" s="3" t="s">
        <v>1345</v>
      </c>
      <c r="B425" s="3" t="s">
        <v>1346</v>
      </c>
      <c r="C425" s="3" t="s">
        <v>1347</v>
      </c>
      <c r="D425" s="3" t="s">
        <v>1348</v>
      </c>
      <c r="E425" s="3" t="s">
        <v>538</v>
      </c>
      <c r="F425" s="3">
        <v>22.99</v>
      </c>
      <c r="G425" s="3" t="s">
        <v>2454</v>
      </c>
      <c r="H425" s="3"/>
      <c r="I425" s="3" t="s">
        <v>2455</v>
      </c>
      <c r="J425" s="3">
        <v>6</v>
      </c>
      <c r="K425" s="3">
        <v>6</v>
      </c>
      <c r="L425" s="3">
        <v>0</v>
      </c>
      <c r="M425" s="3">
        <v>0</v>
      </c>
      <c r="N425" s="3">
        <v>6</v>
      </c>
      <c r="O425" s="3">
        <v>0.14</v>
      </c>
      <c r="P425" s="3">
        <v>0</v>
      </c>
      <c r="Q425" s="3">
        <v>0</v>
      </c>
      <c r="R425" s="3">
        <v>0</v>
      </c>
    </row>
    <row r="426" spans="1:18">
      <c r="A426" s="3" t="s">
        <v>1972</v>
      </c>
      <c r="B426" s="3" t="s">
        <v>1973</v>
      </c>
      <c r="C426" s="3" t="s">
        <v>1974</v>
      </c>
      <c r="D426" s="3" t="s">
        <v>815</v>
      </c>
      <c r="E426" s="3" t="s">
        <v>538</v>
      </c>
      <c r="F426" s="3">
        <v>22.99</v>
      </c>
      <c r="G426" s="3" t="s">
        <v>2454</v>
      </c>
      <c r="H426" s="3"/>
      <c r="I426" s="3" t="s">
        <v>2455</v>
      </c>
      <c r="J426" s="3">
        <v>6</v>
      </c>
      <c r="K426" s="3">
        <v>6</v>
      </c>
      <c r="L426" s="3">
        <v>0</v>
      </c>
      <c r="M426" s="3">
        <v>0</v>
      </c>
      <c r="N426" s="3">
        <v>6</v>
      </c>
      <c r="O426" s="3">
        <v>0.15</v>
      </c>
      <c r="P426" s="3">
        <v>0</v>
      </c>
      <c r="Q426" s="3">
        <v>0</v>
      </c>
      <c r="R426" s="3">
        <v>0</v>
      </c>
    </row>
    <row r="427" spans="1:18">
      <c r="A427" s="3" t="s">
        <v>2073</v>
      </c>
      <c r="B427" s="3" t="s">
        <v>2074</v>
      </c>
      <c r="C427" s="3" t="s">
        <v>2075</v>
      </c>
      <c r="D427" s="3" t="s">
        <v>815</v>
      </c>
      <c r="E427" s="3" t="s">
        <v>538</v>
      </c>
      <c r="F427" s="3">
        <v>22.99</v>
      </c>
      <c r="G427" s="3" t="s">
        <v>2454</v>
      </c>
      <c r="H427" s="3"/>
      <c r="I427" s="3" t="s">
        <v>2455</v>
      </c>
      <c r="J427" s="3">
        <v>6</v>
      </c>
      <c r="K427" s="3">
        <v>6</v>
      </c>
      <c r="L427" s="3">
        <v>0</v>
      </c>
      <c r="M427" s="3">
        <v>0</v>
      </c>
      <c r="N427" s="3">
        <v>6</v>
      </c>
      <c r="O427" s="3">
        <v>0.15</v>
      </c>
      <c r="P427" s="3">
        <v>0</v>
      </c>
      <c r="Q427" s="3">
        <v>0</v>
      </c>
      <c r="R427" s="3">
        <v>0</v>
      </c>
    </row>
    <row r="428" spans="1:18">
      <c r="A428" s="3" t="s">
        <v>794</v>
      </c>
      <c r="B428" s="3" t="s">
        <v>795</v>
      </c>
      <c r="C428" s="3" t="s">
        <v>796</v>
      </c>
      <c r="D428" s="3" t="s">
        <v>757</v>
      </c>
      <c r="E428" s="3" t="s">
        <v>538</v>
      </c>
      <c r="F428" s="3">
        <v>19.99</v>
      </c>
      <c r="G428" s="3" t="s">
        <v>2454</v>
      </c>
      <c r="H428" s="3"/>
      <c r="I428" s="3" t="s">
        <v>2455</v>
      </c>
      <c r="J428" s="3">
        <v>7</v>
      </c>
      <c r="K428" s="3">
        <v>7</v>
      </c>
      <c r="L428" s="3">
        <v>0</v>
      </c>
      <c r="M428" s="3">
        <v>0</v>
      </c>
      <c r="N428" s="3">
        <v>7</v>
      </c>
      <c r="O428" s="3">
        <v>0.14</v>
      </c>
      <c r="P428" s="3">
        <v>0</v>
      </c>
      <c r="Q428" s="3">
        <v>0</v>
      </c>
      <c r="R428" s="3">
        <v>0</v>
      </c>
    </row>
    <row r="429" spans="1:18">
      <c r="A429" s="3" t="s">
        <v>910</v>
      </c>
      <c r="B429" s="3" t="s">
        <v>911</v>
      </c>
      <c r="C429" s="3" t="s">
        <v>912</v>
      </c>
      <c r="D429" s="3" t="s">
        <v>757</v>
      </c>
      <c r="E429" s="3" t="s">
        <v>538</v>
      </c>
      <c r="F429" s="3">
        <v>19.99</v>
      </c>
      <c r="G429" s="3" t="s">
        <v>2454</v>
      </c>
      <c r="H429" s="3"/>
      <c r="I429" s="3" t="s">
        <v>2455</v>
      </c>
      <c r="J429" s="3">
        <v>6</v>
      </c>
      <c r="K429" s="3">
        <v>6</v>
      </c>
      <c r="L429" s="3">
        <v>0</v>
      </c>
      <c r="M429" s="3">
        <v>0</v>
      </c>
      <c r="N429" s="3">
        <v>6</v>
      </c>
      <c r="O429" s="3">
        <v>0.15</v>
      </c>
      <c r="P429" s="3">
        <v>0</v>
      </c>
      <c r="Q429" s="3">
        <v>0</v>
      </c>
      <c r="R429" s="3">
        <v>0</v>
      </c>
    </row>
    <row r="430" spans="1:18">
      <c r="A430" s="3" t="s">
        <v>1282</v>
      </c>
      <c r="B430" s="3" t="s">
        <v>1283</v>
      </c>
      <c r="C430" s="3" t="s">
        <v>1284</v>
      </c>
      <c r="D430" s="3" t="s">
        <v>757</v>
      </c>
      <c r="E430" s="3" t="s">
        <v>538</v>
      </c>
      <c r="F430" s="3">
        <v>19.99</v>
      </c>
      <c r="G430" s="3" t="s">
        <v>2454</v>
      </c>
      <c r="H430" s="3"/>
      <c r="I430" s="3" t="s">
        <v>2455</v>
      </c>
      <c r="J430" s="3">
        <v>5</v>
      </c>
      <c r="K430" s="3">
        <v>5</v>
      </c>
      <c r="L430" s="3">
        <v>0</v>
      </c>
      <c r="M430" s="3">
        <v>0</v>
      </c>
      <c r="N430" s="3">
        <v>5</v>
      </c>
      <c r="O430" s="3">
        <v>0.15</v>
      </c>
      <c r="P430" s="3">
        <v>0</v>
      </c>
      <c r="Q430" s="3">
        <v>0</v>
      </c>
      <c r="R430" s="3">
        <v>0</v>
      </c>
    </row>
    <row r="431" spans="1:18">
      <c r="A431" s="3" t="s">
        <v>2259</v>
      </c>
      <c r="B431" s="3" t="s">
        <v>2260</v>
      </c>
      <c r="C431" s="3" t="s">
        <v>2261</v>
      </c>
      <c r="D431" s="3" t="s">
        <v>757</v>
      </c>
      <c r="E431" s="3" t="s">
        <v>538</v>
      </c>
      <c r="F431" s="3">
        <v>19.99</v>
      </c>
      <c r="G431" s="3" t="s">
        <v>2454</v>
      </c>
      <c r="H431" s="3"/>
      <c r="I431" s="3" t="s">
        <v>2455</v>
      </c>
      <c r="J431" s="3">
        <v>6</v>
      </c>
      <c r="K431" s="3">
        <v>6</v>
      </c>
      <c r="L431" s="3">
        <v>0</v>
      </c>
      <c r="M431" s="3">
        <v>0</v>
      </c>
      <c r="N431" s="3">
        <v>6</v>
      </c>
      <c r="O431" s="3">
        <v>0.14</v>
      </c>
      <c r="P431" s="3">
        <v>0</v>
      </c>
      <c r="Q431" s="3">
        <v>0</v>
      </c>
      <c r="R431" s="3">
        <v>0</v>
      </c>
    </row>
    <row r="432" spans="1:18">
      <c r="A432" s="3" t="s">
        <v>754</v>
      </c>
      <c r="B432" s="3" t="s">
        <v>755</v>
      </c>
      <c r="C432" s="3" t="s">
        <v>756</v>
      </c>
      <c r="D432" s="3" t="s">
        <v>757</v>
      </c>
      <c r="E432" s="3" t="s">
        <v>538</v>
      </c>
      <c r="F432" s="3">
        <v>19.99</v>
      </c>
      <c r="G432" s="3" t="s">
        <v>2454</v>
      </c>
      <c r="H432" s="3"/>
      <c r="I432" s="3" t="s">
        <v>2455</v>
      </c>
      <c r="J432" s="3">
        <v>6</v>
      </c>
      <c r="K432" s="3">
        <v>6</v>
      </c>
      <c r="L432" s="3">
        <v>0</v>
      </c>
      <c r="M432" s="3">
        <v>0</v>
      </c>
      <c r="N432" s="3">
        <v>6</v>
      </c>
      <c r="O432" s="3">
        <v>0.15</v>
      </c>
      <c r="P432" s="3">
        <v>0</v>
      </c>
      <c r="Q432" s="3">
        <v>0</v>
      </c>
      <c r="R432" s="3">
        <v>0</v>
      </c>
    </row>
    <row r="433" spans="1:18">
      <c r="A433" s="3" t="s">
        <v>1637</v>
      </c>
      <c r="B433" s="3" t="s">
        <v>1638</v>
      </c>
      <c r="C433" s="3" t="s">
        <v>1639</v>
      </c>
      <c r="D433" s="3" t="s">
        <v>757</v>
      </c>
      <c r="E433" s="3" t="s">
        <v>538</v>
      </c>
      <c r="F433" s="3">
        <v>19.99</v>
      </c>
      <c r="G433" s="3" t="s">
        <v>2454</v>
      </c>
      <c r="H433" s="3"/>
      <c r="I433" s="3" t="s">
        <v>2455</v>
      </c>
      <c r="J433" s="3">
        <v>6</v>
      </c>
      <c r="K433" s="3">
        <v>6</v>
      </c>
      <c r="L433" s="3">
        <v>0</v>
      </c>
      <c r="M433" s="3">
        <v>0</v>
      </c>
      <c r="N433" s="3">
        <v>6</v>
      </c>
      <c r="O433" s="3">
        <v>0.15</v>
      </c>
      <c r="P433" s="3">
        <v>0</v>
      </c>
      <c r="Q433" s="3">
        <v>0</v>
      </c>
      <c r="R433" s="3">
        <v>0</v>
      </c>
    </row>
    <row r="434" spans="1:18">
      <c r="A434" s="3" t="s">
        <v>791</v>
      </c>
      <c r="B434" s="3" t="s">
        <v>792</v>
      </c>
      <c r="C434" s="3" t="s">
        <v>793</v>
      </c>
      <c r="D434" s="3" t="s">
        <v>3063</v>
      </c>
      <c r="E434" s="3" t="s">
        <v>538</v>
      </c>
      <c r="F434" s="3">
        <v>19.99</v>
      </c>
      <c r="G434" s="3" t="s">
        <v>2454</v>
      </c>
      <c r="H434" s="3"/>
      <c r="I434" s="3" t="s">
        <v>2455</v>
      </c>
      <c r="J434" s="3">
        <v>6</v>
      </c>
      <c r="K434" s="3">
        <v>6</v>
      </c>
      <c r="L434" s="3">
        <v>0</v>
      </c>
      <c r="M434" s="3">
        <v>0</v>
      </c>
      <c r="N434" s="3">
        <v>6</v>
      </c>
      <c r="O434" s="3">
        <v>0.14</v>
      </c>
      <c r="P434" s="3">
        <v>0</v>
      </c>
      <c r="Q434" s="3">
        <v>0</v>
      </c>
      <c r="R434" s="3">
        <v>0</v>
      </c>
    </row>
    <row r="435" spans="1:18">
      <c r="A435" s="3" t="s">
        <v>1082</v>
      </c>
      <c r="B435" s="3" t="s">
        <v>1083</v>
      </c>
      <c r="C435" s="3" t="s">
        <v>1084</v>
      </c>
      <c r="D435" s="3" t="s">
        <v>757</v>
      </c>
      <c r="E435" s="3" t="s">
        <v>538</v>
      </c>
      <c r="F435" s="3">
        <v>19.99</v>
      </c>
      <c r="G435" s="3" t="s">
        <v>2454</v>
      </c>
      <c r="H435" s="3"/>
      <c r="I435" s="3" t="s">
        <v>2455</v>
      </c>
      <c r="J435" s="3">
        <v>6</v>
      </c>
      <c r="K435" s="3">
        <v>6</v>
      </c>
      <c r="L435" s="3">
        <v>0</v>
      </c>
      <c r="M435" s="3">
        <v>0</v>
      </c>
      <c r="N435" s="3">
        <v>6</v>
      </c>
      <c r="O435" s="3">
        <v>0.15</v>
      </c>
      <c r="P435" s="3">
        <v>0</v>
      </c>
      <c r="Q435" s="3">
        <v>0</v>
      </c>
      <c r="R435" s="3">
        <v>0</v>
      </c>
    </row>
    <row r="436" spans="1:18">
      <c r="A436" s="3" t="s">
        <v>1583</v>
      </c>
      <c r="B436" s="3" t="s">
        <v>1584</v>
      </c>
      <c r="C436" s="3" t="s">
        <v>1585</v>
      </c>
      <c r="D436" s="3" t="s">
        <v>757</v>
      </c>
      <c r="E436" s="3" t="s">
        <v>538</v>
      </c>
      <c r="F436" s="3">
        <v>19.99</v>
      </c>
      <c r="G436" s="3" t="s">
        <v>2454</v>
      </c>
      <c r="H436" s="3"/>
      <c r="I436" s="3" t="s">
        <v>2455</v>
      </c>
      <c r="J436" s="3">
        <v>6</v>
      </c>
      <c r="K436" s="3">
        <v>6</v>
      </c>
      <c r="L436" s="3">
        <v>0</v>
      </c>
      <c r="M436" s="3">
        <v>0</v>
      </c>
      <c r="N436" s="3">
        <v>6</v>
      </c>
      <c r="O436" s="3">
        <v>0.15</v>
      </c>
      <c r="P436" s="3">
        <v>0</v>
      </c>
      <c r="Q436" s="3">
        <v>0</v>
      </c>
      <c r="R436" s="3">
        <v>0</v>
      </c>
    </row>
    <row r="437" spans="1:18">
      <c r="A437" s="3" t="s">
        <v>3064</v>
      </c>
      <c r="B437" s="3" t="s">
        <v>3065</v>
      </c>
      <c r="C437" s="3" t="s">
        <v>3066</v>
      </c>
      <c r="D437" s="3" t="s">
        <v>3067</v>
      </c>
      <c r="E437" s="3" t="s">
        <v>538</v>
      </c>
      <c r="F437" s="3">
        <v>17.99</v>
      </c>
      <c r="G437" s="3" t="s">
        <v>2454</v>
      </c>
      <c r="H437" s="3"/>
      <c r="I437" s="3" t="s">
        <v>2455</v>
      </c>
      <c r="J437" s="3">
        <v>0</v>
      </c>
      <c r="K437" s="3">
        <v>0</v>
      </c>
      <c r="L437" s="3">
        <v>0</v>
      </c>
      <c r="M437" s="3">
        <v>0</v>
      </c>
      <c r="N437" s="3">
        <v>6</v>
      </c>
      <c r="O437" s="3">
        <v>0</v>
      </c>
      <c r="P437" s="3">
        <v>0</v>
      </c>
      <c r="Q437" s="3">
        <v>6</v>
      </c>
      <c r="R437" s="3">
        <v>0</v>
      </c>
    </row>
    <row r="438" spans="1:18">
      <c r="A438" s="3" t="s">
        <v>3068</v>
      </c>
      <c r="B438" s="3" t="s">
        <v>3069</v>
      </c>
      <c r="C438" s="3" t="s">
        <v>3070</v>
      </c>
      <c r="D438" s="3" t="s">
        <v>3067</v>
      </c>
      <c r="E438" s="3" t="s">
        <v>538</v>
      </c>
      <c r="F438" s="3">
        <v>17.99</v>
      </c>
      <c r="G438" s="3" t="s">
        <v>2454</v>
      </c>
      <c r="H438" s="3"/>
      <c r="I438" s="3" t="s">
        <v>2455</v>
      </c>
      <c r="J438" s="3">
        <v>0</v>
      </c>
      <c r="K438" s="3">
        <v>0</v>
      </c>
      <c r="L438" s="3">
        <v>0</v>
      </c>
      <c r="M438" s="3">
        <v>0</v>
      </c>
      <c r="N438" s="3">
        <v>6</v>
      </c>
      <c r="O438" s="3">
        <v>0</v>
      </c>
      <c r="P438" s="3">
        <v>0</v>
      </c>
      <c r="Q438" s="3">
        <v>6</v>
      </c>
      <c r="R438" s="3">
        <v>0</v>
      </c>
    </row>
    <row r="439" spans="1:18">
      <c r="A439" s="3" t="s">
        <v>3071</v>
      </c>
      <c r="B439" s="3" t="s">
        <v>3072</v>
      </c>
      <c r="C439" s="3" t="s">
        <v>3073</v>
      </c>
      <c r="D439" s="3" t="s">
        <v>3067</v>
      </c>
      <c r="E439" s="3" t="s">
        <v>538</v>
      </c>
      <c r="F439" s="3">
        <v>17.99</v>
      </c>
      <c r="G439" s="3" t="s">
        <v>2454</v>
      </c>
      <c r="H439" s="3"/>
      <c r="I439" s="3" t="s">
        <v>2455</v>
      </c>
      <c r="J439" s="3">
        <v>0</v>
      </c>
      <c r="K439" s="3">
        <v>0</v>
      </c>
      <c r="L439" s="3">
        <v>0</v>
      </c>
      <c r="M439" s="3">
        <v>0</v>
      </c>
      <c r="N439" s="3">
        <v>6</v>
      </c>
      <c r="O439" s="3">
        <v>0</v>
      </c>
      <c r="P439" s="3">
        <v>0</v>
      </c>
      <c r="Q439" s="3">
        <v>6</v>
      </c>
      <c r="R439" s="3">
        <v>0</v>
      </c>
    </row>
    <row r="440" spans="1:18">
      <c r="A440" s="3" t="s">
        <v>3074</v>
      </c>
      <c r="B440" s="3" t="s">
        <v>3075</v>
      </c>
      <c r="C440" s="3" t="s">
        <v>3076</v>
      </c>
      <c r="D440" s="3" t="s">
        <v>3077</v>
      </c>
      <c r="E440" s="3" t="s">
        <v>538</v>
      </c>
      <c r="F440" s="3">
        <v>17.99</v>
      </c>
      <c r="G440" s="3" t="s">
        <v>2454</v>
      </c>
      <c r="H440" s="3"/>
      <c r="I440" s="3" t="s">
        <v>2455</v>
      </c>
      <c r="J440" s="3">
        <v>0</v>
      </c>
      <c r="K440" s="3">
        <v>0</v>
      </c>
      <c r="L440" s="3">
        <v>0</v>
      </c>
      <c r="M440" s="3">
        <v>0</v>
      </c>
      <c r="N440" s="3">
        <v>6</v>
      </c>
      <c r="O440" s="3">
        <v>0</v>
      </c>
      <c r="P440" s="3">
        <v>0</v>
      </c>
      <c r="Q440" s="3">
        <v>6</v>
      </c>
      <c r="R440" s="3">
        <v>0</v>
      </c>
    </row>
    <row r="441" spans="1:18">
      <c r="A441" s="3" t="s">
        <v>3078</v>
      </c>
      <c r="B441" s="3" t="s">
        <v>3079</v>
      </c>
      <c r="C441" s="3" t="s">
        <v>3080</v>
      </c>
      <c r="D441" s="3" t="s">
        <v>3067</v>
      </c>
      <c r="E441" s="3" t="s">
        <v>538</v>
      </c>
      <c r="F441" s="3">
        <v>17.99</v>
      </c>
      <c r="G441" s="3" t="s">
        <v>2454</v>
      </c>
      <c r="H441" s="3"/>
      <c r="I441" s="3" t="s">
        <v>2455</v>
      </c>
      <c r="J441" s="3">
        <v>0</v>
      </c>
      <c r="K441" s="3">
        <v>0</v>
      </c>
      <c r="L441" s="3">
        <v>0</v>
      </c>
      <c r="M441" s="3">
        <v>0</v>
      </c>
      <c r="N441" s="3">
        <v>6</v>
      </c>
      <c r="O441" s="3">
        <v>0</v>
      </c>
      <c r="P441" s="3">
        <v>0</v>
      </c>
      <c r="Q441" s="3">
        <v>6</v>
      </c>
      <c r="R441" s="3">
        <v>0</v>
      </c>
    </row>
    <row r="442" spans="1:18">
      <c r="A442" s="3" t="s">
        <v>3081</v>
      </c>
      <c r="B442" s="3" t="s">
        <v>3082</v>
      </c>
      <c r="C442" s="3" t="s">
        <v>3083</v>
      </c>
      <c r="D442" s="3" t="s">
        <v>3067</v>
      </c>
      <c r="E442" s="3" t="s">
        <v>538</v>
      </c>
      <c r="F442" s="3">
        <v>17.99</v>
      </c>
      <c r="G442" s="3" t="s">
        <v>2454</v>
      </c>
      <c r="H442" s="3"/>
      <c r="I442" s="3" t="s">
        <v>2455</v>
      </c>
      <c r="J442" s="3">
        <v>0</v>
      </c>
      <c r="K442" s="3">
        <v>0</v>
      </c>
      <c r="L442" s="3">
        <v>0</v>
      </c>
      <c r="M442" s="3">
        <v>0</v>
      </c>
      <c r="N442" s="3">
        <v>6</v>
      </c>
      <c r="O442" s="3">
        <v>0</v>
      </c>
      <c r="P442" s="3">
        <v>0</v>
      </c>
      <c r="Q442" s="3">
        <v>6</v>
      </c>
      <c r="R442" s="3">
        <v>0</v>
      </c>
    </row>
    <row r="443" spans="1:18">
      <c r="A443" s="3" t="s">
        <v>2437</v>
      </c>
      <c r="B443" s="3" t="s">
        <v>2438</v>
      </c>
      <c r="C443" s="3" t="s">
        <v>2439</v>
      </c>
      <c r="D443" s="3" t="s">
        <v>616</v>
      </c>
      <c r="E443" s="3" t="s">
        <v>538</v>
      </c>
      <c r="F443" s="3">
        <v>17.99</v>
      </c>
      <c r="G443" s="3" t="s">
        <v>2454</v>
      </c>
      <c r="H443" s="3"/>
      <c r="I443" s="3" t="s">
        <v>2455</v>
      </c>
      <c r="J443" s="3">
        <v>6</v>
      </c>
      <c r="K443" s="3">
        <v>6</v>
      </c>
      <c r="L443" s="3">
        <v>0</v>
      </c>
      <c r="M443" s="3">
        <v>0</v>
      </c>
      <c r="N443" s="3">
        <v>6</v>
      </c>
      <c r="O443" s="3">
        <v>0.11</v>
      </c>
      <c r="P443" s="3">
        <v>0</v>
      </c>
      <c r="Q443" s="3">
        <v>0</v>
      </c>
      <c r="R443" s="3">
        <v>0</v>
      </c>
    </row>
    <row r="444" spans="1:18">
      <c r="A444" s="3" t="s">
        <v>613</v>
      </c>
      <c r="B444" s="3" t="s">
        <v>614</v>
      </c>
      <c r="C444" s="3" t="s">
        <v>615</v>
      </c>
      <c r="D444" s="3" t="s">
        <v>616</v>
      </c>
      <c r="E444" s="3" t="s">
        <v>538</v>
      </c>
      <c r="F444" s="3">
        <v>17.99</v>
      </c>
      <c r="G444" s="3" t="s">
        <v>2454</v>
      </c>
      <c r="H444" s="3"/>
      <c r="I444" s="3" t="s">
        <v>2455</v>
      </c>
      <c r="J444" s="3">
        <v>6</v>
      </c>
      <c r="K444" s="3">
        <v>6</v>
      </c>
      <c r="L444" s="3">
        <v>0</v>
      </c>
      <c r="M444" s="3">
        <v>0</v>
      </c>
      <c r="N444" s="3">
        <v>6</v>
      </c>
      <c r="O444" s="3">
        <v>0.08</v>
      </c>
      <c r="P444" s="3">
        <v>0</v>
      </c>
      <c r="Q444" s="3">
        <v>0</v>
      </c>
      <c r="R444" s="3">
        <v>0</v>
      </c>
    </row>
    <row r="445" spans="1:18">
      <c r="A445" s="3" t="s">
        <v>1003</v>
      </c>
      <c r="B445" s="3" t="s">
        <v>1004</v>
      </c>
      <c r="C445" s="3" t="s">
        <v>1005</v>
      </c>
      <c r="D445" s="3" t="s">
        <v>616</v>
      </c>
      <c r="E445" s="3" t="s">
        <v>538</v>
      </c>
      <c r="F445" s="3">
        <v>17.99</v>
      </c>
      <c r="G445" s="3" t="s">
        <v>2454</v>
      </c>
      <c r="H445" s="3"/>
      <c r="I445" s="3" t="s">
        <v>2455</v>
      </c>
      <c r="J445" s="3">
        <v>6</v>
      </c>
      <c r="K445" s="3">
        <v>6</v>
      </c>
      <c r="L445" s="3">
        <v>0</v>
      </c>
      <c r="M445" s="3">
        <v>0</v>
      </c>
      <c r="N445" s="3">
        <v>6</v>
      </c>
      <c r="O445" s="3">
        <v>0.11</v>
      </c>
      <c r="P445" s="3">
        <v>0</v>
      </c>
      <c r="Q445" s="3">
        <v>0</v>
      </c>
      <c r="R445" s="3">
        <v>0</v>
      </c>
    </row>
    <row r="446" spans="1:18">
      <c r="A446" s="3" t="s">
        <v>2105</v>
      </c>
      <c r="B446" s="3" t="s">
        <v>2106</v>
      </c>
      <c r="C446" s="3" t="s">
        <v>2107</v>
      </c>
      <c r="D446" s="3" t="s">
        <v>616</v>
      </c>
      <c r="E446" s="3" t="s">
        <v>538</v>
      </c>
      <c r="F446" s="3">
        <v>17.99</v>
      </c>
      <c r="G446" s="3" t="s">
        <v>2454</v>
      </c>
      <c r="H446" s="3"/>
      <c r="I446" s="3" t="s">
        <v>2455</v>
      </c>
      <c r="J446" s="3">
        <v>6</v>
      </c>
      <c r="K446" s="3">
        <v>6</v>
      </c>
      <c r="L446" s="3">
        <v>0</v>
      </c>
      <c r="M446" s="3">
        <v>0</v>
      </c>
      <c r="N446" s="3">
        <v>6</v>
      </c>
      <c r="O446" s="3">
        <v>0.08</v>
      </c>
      <c r="P446" s="3">
        <v>0</v>
      </c>
      <c r="Q446" s="3">
        <v>0</v>
      </c>
      <c r="R446" s="3">
        <v>0</v>
      </c>
    </row>
    <row r="447" spans="1:18">
      <c r="A447" s="3" t="s">
        <v>828</v>
      </c>
      <c r="B447" s="3" t="s">
        <v>829</v>
      </c>
      <c r="C447" s="3" t="s">
        <v>830</v>
      </c>
      <c r="D447" s="3" t="s">
        <v>616</v>
      </c>
      <c r="E447" s="3" t="s">
        <v>538</v>
      </c>
      <c r="F447" s="3">
        <v>17.99</v>
      </c>
      <c r="G447" s="3" t="s">
        <v>2454</v>
      </c>
      <c r="H447" s="3"/>
      <c r="I447" s="3" t="s">
        <v>2455</v>
      </c>
      <c r="J447" s="3">
        <v>6</v>
      </c>
      <c r="K447" s="3">
        <v>6</v>
      </c>
      <c r="L447" s="3">
        <v>0</v>
      </c>
      <c r="M447" s="3">
        <v>0</v>
      </c>
      <c r="N447" s="3">
        <v>6</v>
      </c>
      <c r="O447" s="3">
        <v>0.11</v>
      </c>
      <c r="P447" s="3">
        <v>0</v>
      </c>
      <c r="Q447" s="3">
        <v>0</v>
      </c>
      <c r="R447" s="3">
        <v>0</v>
      </c>
    </row>
    <row r="448" spans="1:18">
      <c r="A448" s="3" t="s">
        <v>1482</v>
      </c>
      <c r="B448" s="3" t="s">
        <v>1483</v>
      </c>
      <c r="C448" s="3" t="s">
        <v>1484</v>
      </c>
      <c r="D448" s="3" t="s">
        <v>616</v>
      </c>
      <c r="E448" s="3" t="s">
        <v>538</v>
      </c>
      <c r="F448" s="3">
        <v>17.99</v>
      </c>
      <c r="G448" s="3" t="s">
        <v>2454</v>
      </c>
      <c r="H448" s="3"/>
      <c r="I448" s="3" t="s">
        <v>2455</v>
      </c>
      <c r="J448" s="3">
        <v>6</v>
      </c>
      <c r="K448" s="3">
        <v>6</v>
      </c>
      <c r="L448" s="3">
        <v>0</v>
      </c>
      <c r="M448" s="3">
        <v>0</v>
      </c>
      <c r="N448" s="3">
        <v>6</v>
      </c>
      <c r="O448" s="3">
        <v>0.08</v>
      </c>
      <c r="P448" s="3">
        <v>0</v>
      </c>
      <c r="Q448" s="3">
        <v>0</v>
      </c>
      <c r="R448" s="3">
        <v>0</v>
      </c>
    </row>
    <row r="449" spans="1:18">
      <c r="A449" s="3" t="s">
        <v>1611</v>
      </c>
      <c r="B449" s="3" t="s">
        <v>1612</v>
      </c>
      <c r="C449" s="3" t="s">
        <v>1613</v>
      </c>
      <c r="D449" s="3" t="s">
        <v>849</v>
      </c>
      <c r="E449" s="3" t="s">
        <v>538</v>
      </c>
      <c r="F449" s="3">
        <v>17.99</v>
      </c>
      <c r="G449" s="3" t="s">
        <v>2454</v>
      </c>
      <c r="H449" s="3"/>
      <c r="I449" s="3" t="s">
        <v>2455</v>
      </c>
      <c r="J449" s="3">
        <v>6</v>
      </c>
      <c r="K449" s="3">
        <v>6</v>
      </c>
      <c r="L449" s="3">
        <v>0</v>
      </c>
      <c r="M449" s="3">
        <v>0</v>
      </c>
      <c r="N449" s="3">
        <v>6</v>
      </c>
      <c r="O449" s="3">
        <v>0.12</v>
      </c>
      <c r="P449" s="3">
        <v>0</v>
      </c>
      <c r="Q449" s="3">
        <v>0</v>
      </c>
      <c r="R449" s="3">
        <v>0</v>
      </c>
    </row>
    <row r="450" spans="1:18">
      <c r="A450" s="3" t="s">
        <v>1159</v>
      </c>
      <c r="B450" s="3" t="s">
        <v>1160</v>
      </c>
      <c r="C450" s="3" t="s">
        <v>1161</v>
      </c>
      <c r="D450" s="3" t="s">
        <v>849</v>
      </c>
      <c r="E450" s="3" t="s">
        <v>538</v>
      </c>
      <c r="F450" s="3">
        <v>17.99</v>
      </c>
      <c r="G450" s="3" t="s">
        <v>2454</v>
      </c>
      <c r="H450" s="3"/>
      <c r="I450" s="3" t="s">
        <v>2455</v>
      </c>
      <c r="J450" s="3">
        <v>6</v>
      </c>
      <c r="K450" s="3">
        <v>6</v>
      </c>
      <c r="L450" s="3">
        <v>0</v>
      </c>
      <c r="M450" s="3">
        <v>0</v>
      </c>
      <c r="N450" s="3">
        <v>6</v>
      </c>
      <c r="O450" s="3">
        <v>0.13</v>
      </c>
      <c r="P450" s="3">
        <v>0</v>
      </c>
      <c r="Q450" s="3">
        <v>0</v>
      </c>
      <c r="R450" s="3">
        <v>0</v>
      </c>
    </row>
    <row r="451" spans="1:18">
      <c r="A451" s="3" t="s">
        <v>2210</v>
      </c>
      <c r="B451" s="3" t="s">
        <v>2211</v>
      </c>
      <c r="C451" s="3" t="s">
        <v>2212</v>
      </c>
      <c r="D451" s="3" t="s">
        <v>849</v>
      </c>
      <c r="E451" s="3" t="s">
        <v>538</v>
      </c>
      <c r="F451" s="3">
        <v>17.99</v>
      </c>
      <c r="G451" s="3" t="s">
        <v>2454</v>
      </c>
      <c r="H451" s="3"/>
      <c r="I451" s="3" t="s">
        <v>2455</v>
      </c>
      <c r="J451" s="3">
        <v>6</v>
      </c>
      <c r="K451" s="3">
        <v>6</v>
      </c>
      <c r="L451" s="3">
        <v>0</v>
      </c>
      <c r="M451" s="3">
        <v>0</v>
      </c>
      <c r="N451" s="3">
        <v>6</v>
      </c>
      <c r="O451" s="3">
        <v>0.12</v>
      </c>
      <c r="P451" s="3">
        <v>0</v>
      </c>
      <c r="Q451" s="3">
        <v>0</v>
      </c>
      <c r="R451" s="3">
        <v>0</v>
      </c>
    </row>
    <row r="452" spans="1:18">
      <c r="A452" s="3" t="s">
        <v>1874</v>
      </c>
      <c r="B452" s="3" t="s">
        <v>1875</v>
      </c>
      <c r="C452" s="3" t="s">
        <v>1876</v>
      </c>
      <c r="D452" s="3" t="s">
        <v>849</v>
      </c>
      <c r="E452" s="3" t="s">
        <v>538</v>
      </c>
      <c r="F452" s="3">
        <v>17.99</v>
      </c>
      <c r="G452" s="3" t="s">
        <v>2454</v>
      </c>
      <c r="H452" s="3"/>
      <c r="I452" s="3" t="s">
        <v>2455</v>
      </c>
      <c r="J452" s="3">
        <v>6</v>
      </c>
      <c r="K452" s="3">
        <v>6</v>
      </c>
      <c r="L452" s="3">
        <v>0</v>
      </c>
      <c r="M452" s="3">
        <v>0</v>
      </c>
      <c r="N452" s="3">
        <v>6</v>
      </c>
      <c r="O452" s="3">
        <v>0.13</v>
      </c>
      <c r="P452" s="3">
        <v>0</v>
      </c>
      <c r="Q452" s="3">
        <v>0</v>
      </c>
      <c r="R452" s="3">
        <v>0</v>
      </c>
    </row>
    <row r="453" spans="1:18">
      <c r="A453" s="3" t="s">
        <v>846</v>
      </c>
      <c r="B453" s="3" t="s">
        <v>847</v>
      </c>
      <c r="C453" s="3" t="s">
        <v>848</v>
      </c>
      <c r="D453" s="3" t="s">
        <v>849</v>
      </c>
      <c r="E453" s="3" t="s">
        <v>538</v>
      </c>
      <c r="F453" s="3">
        <v>17.99</v>
      </c>
      <c r="G453" s="3" t="s">
        <v>2454</v>
      </c>
      <c r="H453" s="3"/>
      <c r="I453" s="3" t="s">
        <v>2455</v>
      </c>
      <c r="J453" s="3">
        <v>6</v>
      </c>
      <c r="K453" s="3">
        <v>6</v>
      </c>
      <c r="L453" s="3">
        <v>0</v>
      </c>
      <c r="M453" s="3">
        <v>0</v>
      </c>
      <c r="N453" s="3">
        <v>6</v>
      </c>
      <c r="O453" s="3">
        <v>0.12</v>
      </c>
      <c r="P453" s="3">
        <v>0</v>
      </c>
      <c r="Q453" s="3">
        <v>0</v>
      </c>
      <c r="R453" s="3">
        <v>0</v>
      </c>
    </row>
    <row r="454" spans="1:18">
      <c r="A454" s="3" t="s">
        <v>888</v>
      </c>
      <c r="B454" s="3" t="s">
        <v>889</v>
      </c>
      <c r="C454" s="3" t="s">
        <v>890</v>
      </c>
      <c r="D454" s="3" t="s">
        <v>849</v>
      </c>
      <c r="E454" s="3" t="s">
        <v>538</v>
      </c>
      <c r="F454" s="3">
        <v>17.99</v>
      </c>
      <c r="G454" s="3" t="s">
        <v>2454</v>
      </c>
      <c r="H454" s="3"/>
      <c r="I454" s="3" t="s">
        <v>2455</v>
      </c>
      <c r="J454" s="3">
        <v>6</v>
      </c>
      <c r="K454" s="3">
        <v>6</v>
      </c>
      <c r="L454" s="3">
        <v>0</v>
      </c>
      <c r="M454" s="3">
        <v>0</v>
      </c>
      <c r="N454" s="3">
        <v>6</v>
      </c>
      <c r="O454" s="3">
        <v>0.13</v>
      </c>
      <c r="P454" s="3">
        <v>0</v>
      </c>
      <c r="Q454" s="3">
        <v>0</v>
      </c>
      <c r="R454" s="3">
        <v>0</v>
      </c>
    </row>
    <row r="455" spans="1:18">
      <c r="A455" s="3" t="s">
        <v>1141</v>
      </c>
      <c r="B455" s="3" t="s">
        <v>1142</v>
      </c>
      <c r="C455" s="3" t="s">
        <v>1143</v>
      </c>
      <c r="D455" s="3" t="s">
        <v>590</v>
      </c>
      <c r="E455" s="3" t="s">
        <v>538</v>
      </c>
      <c r="F455" s="3">
        <v>17.99</v>
      </c>
      <c r="G455" s="3" t="s">
        <v>2454</v>
      </c>
      <c r="H455" s="3"/>
      <c r="I455" s="3" t="s">
        <v>2455</v>
      </c>
      <c r="J455" s="3">
        <v>2</v>
      </c>
      <c r="K455" s="3">
        <v>2</v>
      </c>
      <c r="L455" s="3">
        <v>0</v>
      </c>
      <c r="M455" s="3">
        <v>0</v>
      </c>
      <c r="N455" s="3">
        <v>2</v>
      </c>
      <c r="O455" s="3">
        <v>0.18</v>
      </c>
      <c r="P455" s="3">
        <v>0</v>
      </c>
      <c r="Q455" s="3">
        <v>0</v>
      </c>
      <c r="R455" s="3">
        <v>0</v>
      </c>
    </row>
    <row r="456" spans="1:18">
      <c r="A456" s="3" t="s">
        <v>587</v>
      </c>
      <c r="B456" s="3" t="s">
        <v>588</v>
      </c>
      <c r="C456" s="3" t="s">
        <v>589</v>
      </c>
      <c r="D456" s="3" t="s">
        <v>590</v>
      </c>
      <c r="E456" s="3" t="s">
        <v>538</v>
      </c>
      <c r="F456" s="3">
        <v>17.99</v>
      </c>
      <c r="G456" s="3" t="s">
        <v>2454</v>
      </c>
      <c r="H456" s="3"/>
      <c r="I456" s="3" t="s">
        <v>2455</v>
      </c>
      <c r="J456" s="3">
        <v>6</v>
      </c>
      <c r="K456" s="3">
        <v>6</v>
      </c>
      <c r="L456" s="3">
        <v>0</v>
      </c>
      <c r="M456" s="3">
        <v>0</v>
      </c>
      <c r="N456" s="3">
        <v>6</v>
      </c>
      <c r="O456" s="3">
        <v>0.14</v>
      </c>
      <c r="P456" s="3">
        <v>0</v>
      </c>
      <c r="Q456" s="3">
        <v>0</v>
      </c>
      <c r="R456" s="3">
        <v>0</v>
      </c>
    </row>
    <row r="457" spans="1:18">
      <c r="A457" s="3" t="s">
        <v>656</v>
      </c>
      <c r="B457" s="3" t="s">
        <v>657</v>
      </c>
      <c r="C457" s="3" t="s">
        <v>658</v>
      </c>
      <c r="D457" s="3" t="s">
        <v>590</v>
      </c>
      <c r="E457" s="3" t="s">
        <v>538</v>
      </c>
      <c r="F457" s="3">
        <v>17.99</v>
      </c>
      <c r="G457" s="3" t="s">
        <v>2454</v>
      </c>
      <c r="H457" s="3"/>
      <c r="I457" s="3" t="s">
        <v>2455</v>
      </c>
      <c r="J457" s="3">
        <v>6</v>
      </c>
      <c r="K457" s="3">
        <v>6</v>
      </c>
      <c r="L457" s="3">
        <v>0</v>
      </c>
      <c r="M457" s="3">
        <v>0</v>
      </c>
      <c r="N457" s="3">
        <v>6</v>
      </c>
      <c r="O457" s="3">
        <v>0.17</v>
      </c>
      <c r="P457" s="3">
        <v>0</v>
      </c>
      <c r="Q457" s="3">
        <v>0</v>
      </c>
      <c r="R457" s="3">
        <v>0</v>
      </c>
    </row>
    <row r="458" spans="1:18">
      <c r="A458" s="3" t="s">
        <v>1257</v>
      </c>
      <c r="B458" s="3" t="s">
        <v>1258</v>
      </c>
      <c r="C458" s="3" t="s">
        <v>1259</v>
      </c>
      <c r="D458" s="3" t="s">
        <v>590</v>
      </c>
      <c r="E458" s="3" t="s">
        <v>538</v>
      </c>
      <c r="F458" s="3">
        <v>17.99</v>
      </c>
      <c r="G458" s="3" t="s">
        <v>2454</v>
      </c>
      <c r="H458" s="3"/>
      <c r="I458" s="3" t="s">
        <v>2455</v>
      </c>
      <c r="J458" s="3">
        <v>8</v>
      </c>
      <c r="K458" s="3">
        <v>8</v>
      </c>
      <c r="L458" s="3">
        <v>0</v>
      </c>
      <c r="M458" s="3">
        <v>0</v>
      </c>
      <c r="N458" s="3">
        <v>8</v>
      </c>
      <c r="O458" s="3">
        <v>0.18</v>
      </c>
      <c r="P458" s="3">
        <v>0</v>
      </c>
      <c r="Q458" s="3">
        <v>0</v>
      </c>
      <c r="R458" s="3">
        <v>0</v>
      </c>
    </row>
    <row r="459" spans="1:18">
      <c r="A459" s="3" t="s">
        <v>809</v>
      </c>
      <c r="B459" s="3" t="s">
        <v>810</v>
      </c>
      <c r="C459" s="3" t="s">
        <v>811</v>
      </c>
      <c r="D459" s="3" t="s">
        <v>590</v>
      </c>
      <c r="E459" s="3" t="s">
        <v>538</v>
      </c>
      <c r="F459" s="3">
        <v>17.99</v>
      </c>
      <c r="G459" s="3" t="s">
        <v>2454</v>
      </c>
      <c r="H459" s="3"/>
      <c r="I459" s="3" t="s">
        <v>2455</v>
      </c>
      <c r="J459" s="3">
        <v>6</v>
      </c>
      <c r="K459" s="3">
        <v>6</v>
      </c>
      <c r="L459" s="3">
        <v>0</v>
      </c>
      <c r="M459" s="3">
        <v>0</v>
      </c>
      <c r="N459" s="3">
        <v>6</v>
      </c>
      <c r="O459" s="3">
        <v>0.11</v>
      </c>
      <c r="P459" s="3">
        <v>0</v>
      </c>
      <c r="Q459" s="3">
        <v>0</v>
      </c>
      <c r="R459" s="3">
        <v>0</v>
      </c>
    </row>
    <row r="460" spans="1:18">
      <c r="A460" s="3" t="s">
        <v>2207</v>
      </c>
      <c r="B460" s="3" t="s">
        <v>2208</v>
      </c>
      <c r="C460" s="3" t="s">
        <v>2209</v>
      </c>
      <c r="D460" s="3" t="s">
        <v>590</v>
      </c>
      <c r="E460" s="3" t="s">
        <v>538</v>
      </c>
      <c r="F460" s="3">
        <v>17.99</v>
      </c>
      <c r="G460" s="3" t="s">
        <v>2454</v>
      </c>
      <c r="H460" s="3"/>
      <c r="I460" s="3" t="s">
        <v>2455</v>
      </c>
      <c r="J460" s="3">
        <v>5</v>
      </c>
      <c r="K460" s="3">
        <v>5</v>
      </c>
      <c r="L460" s="3">
        <v>0</v>
      </c>
      <c r="M460" s="3">
        <v>0</v>
      </c>
      <c r="N460" s="3">
        <v>6</v>
      </c>
      <c r="O460" s="3">
        <v>0.17</v>
      </c>
      <c r="P460" s="3">
        <v>0</v>
      </c>
      <c r="Q460" s="3">
        <v>0</v>
      </c>
      <c r="R460" s="3">
        <v>1</v>
      </c>
    </row>
    <row r="461" spans="1:18">
      <c r="A461" s="3" t="s">
        <v>1268</v>
      </c>
      <c r="B461" s="3" t="s">
        <v>1269</v>
      </c>
      <c r="C461" s="3" t="s">
        <v>1270</v>
      </c>
      <c r="D461" s="3" t="s">
        <v>590</v>
      </c>
      <c r="E461" s="3" t="s">
        <v>538</v>
      </c>
      <c r="F461" s="3">
        <v>17.99</v>
      </c>
      <c r="G461" s="3" t="s">
        <v>2454</v>
      </c>
      <c r="H461" s="3"/>
      <c r="I461" s="3" t="s">
        <v>2455</v>
      </c>
      <c r="J461" s="3">
        <v>8</v>
      </c>
      <c r="K461" s="3">
        <v>8</v>
      </c>
      <c r="L461" s="3">
        <v>0</v>
      </c>
      <c r="M461" s="3">
        <v>0</v>
      </c>
      <c r="N461" s="3">
        <v>8</v>
      </c>
      <c r="O461" s="3">
        <v>0.18</v>
      </c>
      <c r="P461" s="3">
        <v>0</v>
      </c>
      <c r="Q461" s="3">
        <v>0</v>
      </c>
      <c r="R461" s="3">
        <v>0</v>
      </c>
    </row>
    <row r="462" spans="1:18">
      <c r="A462" s="3" t="s">
        <v>1382</v>
      </c>
      <c r="B462" s="3" t="s">
        <v>1383</v>
      </c>
      <c r="C462" s="3" t="s">
        <v>1384</v>
      </c>
      <c r="D462" s="3" t="s">
        <v>590</v>
      </c>
      <c r="E462" s="3" t="s">
        <v>538</v>
      </c>
      <c r="F462" s="3">
        <v>17.99</v>
      </c>
      <c r="G462" s="3" t="s">
        <v>2454</v>
      </c>
      <c r="H462" s="3"/>
      <c r="I462" s="3" t="s">
        <v>2455</v>
      </c>
      <c r="J462" s="3">
        <v>6</v>
      </c>
      <c r="K462" s="3">
        <v>6</v>
      </c>
      <c r="L462" s="3">
        <v>0</v>
      </c>
      <c r="M462" s="3">
        <v>0</v>
      </c>
      <c r="N462" s="3">
        <v>6</v>
      </c>
      <c r="O462" s="3">
        <v>0.14</v>
      </c>
      <c r="P462" s="3">
        <v>0</v>
      </c>
      <c r="Q462" s="3">
        <v>0</v>
      </c>
      <c r="R462" s="3">
        <v>0</v>
      </c>
    </row>
    <row r="463" spans="1:18">
      <c r="A463" s="3" t="s">
        <v>2051</v>
      </c>
      <c r="B463" s="3" t="s">
        <v>2052</v>
      </c>
      <c r="C463" s="3" t="s">
        <v>2053</v>
      </c>
      <c r="D463" s="3" t="s">
        <v>590</v>
      </c>
      <c r="E463" s="3" t="s">
        <v>538</v>
      </c>
      <c r="F463" s="3">
        <v>17.99</v>
      </c>
      <c r="G463" s="3" t="s">
        <v>2454</v>
      </c>
      <c r="H463" s="3"/>
      <c r="I463" s="3" t="s">
        <v>2455</v>
      </c>
      <c r="J463" s="3">
        <v>6</v>
      </c>
      <c r="K463" s="3">
        <v>6</v>
      </c>
      <c r="L463" s="3">
        <v>0</v>
      </c>
      <c r="M463" s="3">
        <v>0</v>
      </c>
      <c r="N463" s="3">
        <v>6</v>
      </c>
      <c r="O463" s="3">
        <v>0.1</v>
      </c>
      <c r="P463" s="3">
        <v>0</v>
      </c>
      <c r="Q463" s="3">
        <v>0</v>
      </c>
      <c r="R463" s="3">
        <v>0</v>
      </c>
    </row>
    <row r="464" spans="1:18">
      <c r="A464" s="3" t="s">
        <v>3084</v>
      </c>
      <c r="B464" s="3" t="s">
        <v>3085</v>
      </c>
      <c r="C464" s="3" t="s">
        <v>3086</v>
      </c>
      <c r="D464" s="3"/>
      <c r="E464" s="3" t="s">
        <v>2459</v>
      </c>
      <c r="F464" s="3"/>
      <c r="G464" s="3"/>
      <c r="H464" s="3"/>
      <c r="I464" s="3"/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/>
      <c r="P464" s="3">
        <v>0</v>
      </c>
      <c r="Q464" s="3">
        <v>0</v>
      </c>
      <c r="R464" s="3">
        <v>0</v>
      </c>
    </row>
    <row r="465" spans="1:18">
      <c r="A465" s="3" t="s">
        <v>1088</v>
      </c>
      <c r="B465" s="3" t="s">
        <v>1089</v>
      </c>
      <c r="C465" s="3" t="s">
        <v>1090</v>
      </c>
      <c r="D465" s="3" t="s">
        <v>1091</v>
      </c>
      <c r="E465" s="3" t="s">
        <v>538</v>
      </c>
      <c r="F465" s="3">
        <v>45</v>
      </c>
      <c r="G465" s="3" t="s">
        <v>2454</v>
      </c>
      <c r="H465" s="3"/>
      <c r="I465" s="3" t="s">
        <v>2455</v>
      </c>
      <c r="J465" s="3">
        <v>5</v>
      </c>
      <c r="K465" s="3">
        <v>5</v>
      </c>
      <c r="L465" s="3">
        <v>0</v>
      </c>
      <c r="M465" s="3">
        <v>0</v>
      </c>
      <c r="N465" s="3">
        <v>5</v>
      </c>
      <c r="O465" s="3">
        <v>0.01</v>
      </c>
      <c r="P465" s="3">
        <v>0</v>
      </c>
      <c r="Q465" s="3">
        <v>0</v>
      </c>
      <c r="R465" s="3">
        <v>0</v>
      </c>
    </row>
    <row r="466" spans="1:18">
      <c r="A466" s="3" t="s">
        <v>1538</v>
      </c>
      <c r="B466" s="3" t="s">
        <v>1539</v>
      </c>
      <c r="C466" s="3" t="s">
        <v>1540</v>
      </c>
      <c r="D466" s="3" t="s">
        <v>1541</v>
      </c>
      <c r="E466" s="3" t="s">
        <v>538</v>
      </c>
      <c r="F466" s="3">
        <v>25.8</v>
      </c>
      <c r="G466" s="3" t="s">
        <v>2454</v>
      </c>
      <c r="H466" s="3"/>
      <c r="I466" s="3" t="s">
        <v>2455</v>
      </c>
      <c r="J466" s="3">
        <v>9</v>
      </c>
      <c r="K466" s="3">
        <v>9</v>
      </c>
      <c r="L466" s="3">
        <v>0</v>
      </c>
      <c r="M466" s="3">
        <v>0</v>
      </c>
      <c r="N466" s="3">
        <v>9</v>
      </c>
      <c r="O466" s="3">
        <v>0.07</v>
      </c>
      <c r="P466" s="3">
        <v>0</v>
      </c>
      <c r="Q466" s="3">
        <v>0</v>
      </c>
      <c r="R466" s="3">
        <v>0</v>
      </c>
    </row>
    <row r="467" spans="1:18">
      <c r="A467" s="3" t="s">
        <v>67</v>
      </c>
      <c r="B467" s="3" t="s">
        <v>68</v>
      </c>
      <c r="C467" s="3" t="s">
        <v>69</v>
      </c>
      <c r="D467" s="3" t="s">
        <v>70</v>
      </c>
      <c r="E467" s="3" t="s">
        <v>538</v>
      </c>
      <c r="F467" s="3">
        <v>29.99</v>
      </c>
      <c r="G467" s="3" t="s">
        <v>2454</v>
      </c>
      <c r="H467" s="3"/>
      <c r="I467" s="3" t="s">
        <v>2455</v>
      </c>
      <c r="J467" s="3">
        <v>6</v>
      </c>
      <c r="K467" s="3">
        <v>5</v>
      </c>
      <c r="L467" s="3">
        <v>0</v>
      </c>
      <c r="M467" s="3">
        <v>1</v>
      </c>
      <c r="N467" s="3">
        <v>6</v>
      </c>
      <c r="O467" s="3">
        <v>0.14</v>
      </c>
      <c r="P467" s="3">
        <v>0</v>
      </c>
      <c r="Q467" s="3">
        <v>0</v>
      </c>
      <c r="R467" s="3">
        <v>0</v>
      </c>
    </row>
    <row r="468" spans="1:18">
      <c r="A468" s="3" t="s">
        <v>83</v>
      </c>
      <c r="B468" s="3" t="s">
        <v>84</v>
      </c>
      <c r="C468" s="3" t="s">
        <v>85</v>
      </c>
      <c r="D468" s="3" t="s">
        <v>86</v>
      </c>
      <c r="E468" s="3" t="s">
        <v>538</v>
      </c>
      <c r="F468" s="3">
        <v>20.99</v>
      </c>
      <c r="G468" s="3" t="s">
        <v>2454</v>
      </c>
      <c r="H468" s="3"/>
      <c r="I468" s="3" t="s">
        <v>2455</v>
      </c>
      <c r="J468" s="3">
        <v>15</v>
      </c>
      <c r="K468" s="3">
        <v>13</v>
      </c>
      <c r="L468" s="3">
        <v>0</v>
      </c>
      <c r="M468" s="3">
        <v>2</v>
      </c>
      <c r="N468" s="3">
        <v>15</v>
      </c>
      <c r="O468" s="3">
        <v>0.07</v>
      </c>
      <c r="P468" s="3">
        <v>0</v>
      </c>
      <c r="Q468" s="3">
        <v>0</v>
      </c>
      <c r="R468" s="3">
        <v>0</v>
      </c>
    </row>
    <row r="469" spans="1:18">
      <c r="A469" s="3" t="s">
        <v>1357</v>
      </c>
      <c r="B469" s="3" t="s">
        <v>1358</v>
      </c>
      <c r="C469" s="3" t="s">
        <v>1359</v>
      </c>
      <c r="D469" s="3" t="s">
        <v>1360</v>
      </c>
      <c r="E469" s="3" t="s">
        <v>538</v>
      </c>
      <c r="F469" s="3">
        <v>43</v>
      </c>
      <c r="G469" s="3" t="s">
        <v>2454</v>
      </c>
      <c r="H469" s="3"/>
      <c r="I469" s="3" t="s">
        <v>2455</v>
      </c>
      <c r="J469" s="3">
        <v>11</v>
      </c>
      <c r="K469" s="3">
        <v>11</v>
      </c>
      <c r="L469" s="3">
        <v>0</v>
      </c>
      <c r="M469" s="3">
        <v>0</v>
      </c>
      <c r="N469" s="3">
        <v>11</v>
      </c>
      <c r="O469" s="3">
        <v>0.08</v>
      </c>
      <c r="P469" s="3">
        <v>0</v>
      </c>
      <c r="Q469" s="3">
        <v>0</v>
      </c>
      <c r="R469" s="3">
        <v>0</v>
      </c>
    </row>
    <row r="470" spans="1:18">
      <c r="A470" s="3" t="s">
        <v>3087</v>
      </c>
      <c r="B470" s="3" t="s">
        <v>3088</v>
      </c>
      <c r="C470" s="3" t="s">
        <v>3089</v>
      </c>
      <c r="D470" s="3" t="s">
        <v>3090</v>
      </c>
      <c r="E470" s="3" t="s">
        <v>538</v>
      </c>
      <c r="F470" s="3">
        <v>45</v>
      </c>
      <c r="G470" s="3" t="s">
        <v>2454</v>
      </c>
      <c r="H470" s="3"/>
      <c r="I470" s="3" t="s">
        <v>2455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0.09</v>
      </c>
      <c r="P470" s="3">
        <v>0</v>
      </c>
      <c r="Q470" s="3">
        <v>0</v>
      </c>
      <c r="R470" s="3">
        <v>0</v>
      </c>
    </row>
    <row r="471" spans="1:18">
      <c r="A471" s="3" t="s">
        <v>2248</v>
      </c>
      <c r="B471" s="3" t="s">
        <v>2249</v>
      </c>
      <c r="C471" s="3" t="s">
        <v>2250</v>
      </c>
      <c r="D471" s="3" t="s">
        <v>2251</v>
      </c>
      <c r="E471" s="3" t="s">
        <v>538</v>
      </c>
      <c r="F471" s="3">
        <v>48</v>
      </c>
      <c r="G471" s="3" t="s">
        <v>2454</v>
      </c>
      <c r="H471" s="3"/>
      <c r="I471" s="3" t="s">
        <v>2455</v>
      </c>
      <c r="J471" s="3">
        <v>1</v>
      </c>
      <c r="K471" s="3">
        <v>1</v>
      </c>
      <c r="L471" s="3">
        <v>0</v>
      </c>
      <c r="M471" s="3">
        <v>0</v>
      </c>
      <c r="N471" s="3">
        <v>1</v>
      </c>
      <c r="O471" s="3">
        <v>0.05</v>
      </c>
      <c r="P471" s="3">
        <v>0</v>
      </c>
      <c r="Q471" s="3">
        <v>0</v>
      </c>
      <c r="R471" s="3">
        <v>0</v>
      </c>
    </row>
    <row r="472" spans="1:18">
      <c r="A472" s="3" t="s">
        <v>3091</v>
      </c>
      <c r="B472" s="3" t="s">
        <v>3092</v>
      </c>
      <c r="C472" s="3" t="s">
        <v>3093</v>
      </c>
      <c r="D472" s="3" t="s">
        <v>3094</v>
      </c>
      <c r="E472" s="3" t="s">
        <v>538</v>
      </c>
      <c r="F472" s="3">
        <v>52</v>
      </c>
      <c r="G472" s="3" t="s">
        <v>2454</v>
      </c>
      <c r="H472" s="3"/>
      <c r="I472" s="3" t="s">
        <v>2455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0.12</v>
      </c>
      <c r="P472" s="3">
        <v>0</v>
      </c>
      <c r="Q472" s="3">
        <v>0</v>
      </c>
      <c r="R472" s="3">
        <v>0</v>
      </c>
    </row>
    <row r="473" spans="1:18">
      <c r="A473" s="3" t="s">
        <v>3095</v>
      </c>
      <c r="B473" s="3" t="s">
        <v>3096</v>
      </c>
      <c r="C473" s="3" t="s">
        <v>3097</v>
      </c>
      <c r="D473" s="3" t="s">
        <v>3098</v>
      </c>
      <c r="E473" s="3" t="s">
        <v>538</v>
      </c>
      <c r="F473" s="3">
        <v>22.99</v>
      </c>
      <c r="G473" s="3" t="s">
        <v>2454</v>
      </c>
      <c r="H473" s="3"/>
      <c r="I473" s="3" t="s">
        <v>2455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0.1</v>
      </c>
      <c r="P473" s="3">
        <v>0</v>
      </c>
      <c r="Q473" s="3">
        <v>0</v>
      </c>
      <c r="R473" s="3">
        <v>0</v>
      </c>
    </row>
    <row r="474" spans="1:18">
      <c r="A474" s="3" t="s">
        <v>1597</v>
      </c>
      <c r="B474" s="3" t="s">
        <v>1598</v>
      </c>
      <c r="C474" s="3" t="s">
        <v>1599</v>
      </c>
      <c r="D474" s="3" t="s">
        <v>1600</v>
      </c>
      <c r="E474" s="3" t="s">
        <v>538</v>
      </c>
      <c r="F474" s="3">
        <v>31</v>
      </c>
      <c r="G474" s="3" t="s">
        <v>2454</v>
      </c>
      <c r="H474" s="3"/>
      <c r="I474" s="3" t="s">
        <v>2455</v>
      </c>
      <c r="J474" s="3">
        <v>1</v>
      </c>
      <c r="K474" s="3">
        <v>1</v>
      </c>
      <c r="L474" s="3">
        <v>0</v>
      </c>
      <c r="M474" s="3">
        <v>0</v>
      </c>
      <c r="N474" s="3">
        <v>1</v>
      </c>
      <c r="O474" s="3">
        <v>0.02</v>
      </c>
      <c r="P474" s="3">
        <v>0</v>
      </c>
      <c r="Q474" s="3">
        <v>0</v>
      </c>
      <c r="R474" s="3">
        <v>0</v>
      </c>
    </row>
    <row r="475" spans="1:18">
      <c r="A475" s="3" t="s">
        <v>1736</v>
      </c>
      <c r="B475" s="3" t="s">
        <v>1737</v>
      </c>
      <c r="C475" s="3" t="s">
        <v>1738</v>
      </c>
      <c r="D475" s="3" t="s">
        <v>1739</v>
      </c>
      <c r="E475" s="3" t="s">
        <v>538</v>
      </c>
      <c r="F475" s="3">
        <v>39.9</v>
      </c>
      <c r="G475" s="3" t="s">
        <v>2454</v>
      </c>
      <c r="H475" s="3"/>
      <c r="I475" s="3" t="s">
        <v>2455</v>
      </c>
      <c r="J475" s="3">
        <v>8</v>
      </c>
      <c r="K475" s="3">
        <v>8</v>
      </c>
      <c r="L475" s="3">
        <v>0</v>
      </c>
      <c r="M475" s="3">
        <v>0</v>
      </c>
      <c r="N475" s="3">
        <v>8</v>
      </c>
      <c r="O475" s="3">
        <v>0.06</v>
      </c>
      <c r="P475" s="3">
        <v>0</v>
      </c>
      <c r="Q475" s="3">
        <v>0</v>
      </c>
      <c r="R475" s="3">
        <v>0</v>
      </c>
    </row>
    <row r="476" spans="1:18">
      <c r="A476" s="3" t="s">
        <v>720</v>
      </c>
      <c r="B476" s="3" t="s">
        <v>721</v>
      </c>
      <c r="C476" s="3" t="s">
        <v>722</v>
      </c>
      <c r="D476" s="3" t="s">
        <v>723</v>
      </c>
      <c r="E476" s="3" t="s">
        <v>538</v>
      </c>
      <c r="F476" s="3">
        <v>40</v>
      </c>
      <c r="G476" s="3" t="s">
        <v>2454</v>
      </c>
      <c r="H476" s="3"/>
      <c r="I476" s="3" t="s">
        <v>2455</v>
      </c>
      <c r="J476" s="3">
        <v>2</v>
      </c>
      <c r="K476" s="3">
        <v>2</v>
      </c>
      <c r="L476" s="3">
        <v>0</v>
      </c>
      <c r="M476" s="3">
        <v>0</v>
      </c>
      <c r="N476" s="3">
        <v>2</v>
      </c>
      <c r="O476" s="3">
        <v>0.06</v>
      </c>
      <c r="P476" s="3">
        <v>0</v>
      </c>
      <c r="Q476" s="3">
        <v>0</v>
      </c>
      <c r="R476" s="3">
        <v>0</v>
      </c>
    </row>
    <row r="477" spans="1:18">
      <c r="A477" s="3" t="s">
        <v>91</v>
      </c>
      <c r="B477" s="3" t="s">
        <v>92</v>
      </c>
      <c r="C477" s="3" t="s">
        <v>93</v>
      </c>
      <c r="D477" s="3" t="s">
        <v>94</v>
      </c>
      <c r="E477" s="3" t="s">
        <v>538</v>
      </c>
      <c r="F477" s="3">
        <v>15.9</v>
      </c>
      <c r="G477" s="3" t="s">
        <v>2454</v>
      </c>
      <c r="H477" s="3"/>
      <c r="I477" s="3" t="s">
        <v>2455</v>
      </c>
      <c r="J477" s="3">
        <v>20</v>
      </c>
      <c r="K477" s="3">
        <v>14</v>
      </c>
      <c r="L477" s="3">
        <v>0</v>
      </c>
      <c r="M477" s="3">
        <v>6</v>
      </c>
      <c r="N477" s="3">
        <v>20</v>
      </c>
      <c r="O477" s="3">
        <v>0.16</v>
      </c>
      <c r="P477" s="3">
        <v>0</v>
      </c>
      <c r="Q477" s="3">
        <v>0</v>
      </c>
      <c r="R477" s="3">
        <v>0</v>
      </c>
    </row>
    <row r="478" spans="1:18">
      <c r="A478" s="3" t="s">
        <v>71</v>
      </c>
      <c r="B478" s="3" t="s">
        <v>72</v>
      </c>
      <c r="C478" s="3" t="s">
        <v>73</v>
      </c>
      <c r="D478" s="3" t="s">
        <v>74</v>
      </c>
      <c r="E478" s="3" t="s">
        <v>538</v>
      </c>
      <c r="F478" s="3">
        <v>19</v>
      </c>
      <c r="G478" s="3" t="s">
        <v>2454</v>
      </c>
      <c r="H478" s="3"/>
      <c r="I478" s="3" t="s">
        <v>2455</v>
      </c>
      <c r="J478" s="3">
        <v>6</v>
      </c>
      <c r="K478" s="3">
        <v>5</v>
      </c>
      <c r="L478" s="3">
        <v>0</v>
      </c>
      <c r="M478" s="3">
        <v>1</v>
      </c>
      <c r="N478" s="3">
        <v>6</v>
      </c>
      <c r="O478" s="3">
        <v>0.08</v>
      </c>
      <c r="P478" s="3">
        <v>0</v>
      </c>
      <c r="Q478" s="3">
        <v>0</v>
      </c>
      <c r="R478" s="3">
        <v>0</v>
      </c>
    </row>
    <row r="479" spans="1:18">
      <c r="A479" s="3" t="s">
        <v>2011</v>
      </c>
      <c r="B479" s="3" t="s">
        <v>2012</v>
      </c>
      <c r="C479" s="3" t="s">
        <v>2013</v>
      </c>
      <c r="D479" s="3" t="s">
        <v>2014</v>
      </c>
      <c r="E479" s="3" t="s">
        <v>538</v>
      </c>
      <c r="F479" s="3">
        <v>25.8</v>
      </c>
      <c r="G479" s="3" t="s">
        <v>2454</v>
      </c>
      <c r="H479" s="3"/>
      <c r="I479" s="3" t="s">
        <v>2455</v>
      </c>
      <c r="J479" s="3">
        <v>23</v>
      </c>
      <c r="K479" s="3">
        <v>23</v>
      </c>
      <c r="L479" s="3">
        <v>0</v>
      </c>
      <c r="M479" s="3">
        <v>0</v>
      </c>
      <c r="N479" s="3">
        <v>23</v>
      </c>
      <c r="O479" s="3">
        <v>0.1</v>
      </c>
      <c r="P479" s="3">
        <v>0</v>
      </c>
      <c r="Q479" s="3">
        <v>0</v>
      </c>
      <c r="R479" s="3">
        <v>0</v>
      </c>
    </row>
    <row r="480" spans="1:18">
      <c r="A480" s="3" t="s">
        <v>1933</v>
      </c>
      <c r="B480" s="3" t="s">
        <v>1934</v>
      </c>
      <c r="C480" s="3" t="s">
        <v>1935</v>
      </c>
      <c r="D480" s="3" t="s">
        <v>1936</v>
      </c>
      <c r="E480" s="3" t="s">
        <v>538</v>
      </c>
      <c r="F480" s="3">
        <v>29.3</v>
      </c>
      <c r="G480" s="3" t="s">
        <v>2454</v>
      </c>
      <c r="H480" s="3"/>
      <c r="I480" s="3" t="s">
        <v>2455</v>
      </c>
      <c r="J480" s="3">
        <v>1</v>
      </c>
      <c r="K480" s="3">
        <v>1</v>
      </c>
      <c r="L480" s="3">
        <v>0</v>
      </c>
      <c r="M480" s="3">
        <v>0</v>
      </c>
      <c r="N480" s="3">
        <v>1</v>
      </c>
      <c r="O480" s="3">
        <v>0.25</v>
      </c>
      <c r="P480" s="3">
        <v>0</v>
      </c>
      <c r="Q480" s="3">
        <v>0</v>
      </c>
      <c r="R480" s="3">
        <v>0</v>
      </c>
    </row>
    <row r="481" spans="1:18">
      <c r="A481" s="3" t="s">
        <v>1870</v>
      </c>
      <c r="B481" s="3" t="s">
        <v>1871</v>
      </c>
      <c r="C481" s="3" t="s">
        <v>1872</v>
      </c>
      <c r="D481" s="3" t="s">
        <v>1873</v>
      </c>
      <c r="E481" s="3" t="s">
        <v>538</v>
      </c>
      <c r="F481" s="3">
        <v>29.5</v>
      </c>
      <c r="G481" s="3" t="s">
        <v>2454</v>
      </c>
      <c r="H481" s="3"/>
      <c r="I481" s="3" t="s">
        <v>2455</v>
      </c>
      <c r="J481" s="3">
        <v>4</v>
      </c>
      <c r="K481" s="3">
        <v>4</v>
      </c>
      <c r="L481" s="3">
        <v>0</v>
      </c>
      <c r="M481" s="3">
        <v>0</v>
      </c>
      <c r="N481" s="3">
        <v>4</v>
      </c>
      <c r="O481" s="3">
        <v>0.24</v>
      </c>
      <c r="P481" s="3">
        <v>0</v>
      </c>
      <c r="Q481" s="3">
        <v>0</v>
      </c>
      <c r="R481" s="3">
        <v>0</v>
      </c>
    </row>
    <row r="482" spans="1:18">
      <c r="A482" s="3" t="s">
        <v>99</v>
      </c>
      <c r="B482" s="3" t="s">
        <v>100</v>
      </c>
      <c r="C482" s="3" t="s">
        <v>101</v>
      </c>
      <c r="D482" s="3" t="s">
        <v>102</v>
      </c>
      <c r="E482" s="3" t="s">
        <v>538</v>
      </c>
      <c r="F482" s="3">
        <v>35.99</v>
      </c>
      <c r="G482" s="3" t="s">
        <v>2454</v>
      </c>
      <c r="H482" s="3"/>
      <c r="I482" s="3" t="s">
        <v>2455</v>
      </c>
      <c r="J482" s="3">
        <v>5</v>
      </c>
      <c r="K482" s="3">
        <v>4</v>
      </c>
      <c r="L482" s="3">
        <v>0</v>
      </c>
      <c r="M482" s="3">
        <v>1</v>
      </c>
      <c r="N482" s="3">
        <v>5</v>
      </c>
      <c r="O482" s="3">
        <v>0.13</v>
      </c>
      <c r="P482" s="3">
        <v>0</v>
      </c>
      <c r="Q482" s="3">
        <v>0</v>
      </c>
      <c r="R482" s="3">
        <v>0</v>
      </c>
    </row>
    <row r="483" spans="1:18">
      <c r="A483" s="3" t="s">
        <v>79</v>
      </c>
      <c r="B483" s="3" t="s">
        <v>80</v>
      </c>
      <c r="C483" s="3" t="s">
        <v>81</v>
      </c>
      <c r="D483" s="3" t="s">
        <v>82</v>
      </c>
      <c r="E483" s="3" t="s">
        <v>538</v>
      </c>
      <c r="F483" s="3">
        <v>9.99</v>
      </c>
      <c r="G483" s="3" t="s">
        <v>2454</v>
      </c>
      <c r="H483" s="3"/>
      <c r="I483" s="3" t="s">
        <v>2455</v>
      </c>
      <c r="J483" s="3">
        <v>10</v>
      </c>
      <c r="K483" s="3">
        <v>8</v>
      </c>
      <c r="L483" s="3">
        <v>0</v>
      </c>
      <c r="M483" s="3">
        <v>2</v>
      </c>
      <c r="N483" s="3">
        <v>15</v>
      </c>
      <c r="O483" s="3">
        <v>0.2</v>
      </c>
      <c r="P483" s="3">
        <v>5</v>
      </c>
      <c r="Q483" s="3">
        <v>0</v>
      </c>
      <c r="R483" s="3">
        <v>0</v>
      </c>
    </row>
    <row r="484" spans="1:18">
      <c r="A484" s="3" t="s">
        <v>119</v>
      </c>
      <c r="B484" s="3" t="s">
        <v>120</v>
      </c>
      <c r="C484" s="3" t="s">
        <v>121</v>
      </c>
      <c r="D484" s="3" t="s">
        <v>122</v>
      </c>
      <c r="E484" s="3" t="s">
        <v>538</v>
      </c>
      <c r="F484" s="3">
        <v>12.4</v>
      </c>
      <c r="G484" s="3" t="s">
        <v>2454</v>
      </c>
      <c r="H484" s="3"/>
      <c r="I484" s="3" t="s">
        <v>2455</v>
      </c>
      <c r="J484" s="3">
        <v>7</v>
      </c>
      <c r="K484" s="3">
        <v>3</v>
      </c>
      <c r="L484" s="3">
        <v>0</v>
      </c>
      <c r="M484" s="3">
        <v>4</v>
      </c>
      <c r="N484" s="3">
        <v>11</v>
      </c>
      <c r="O484" s="3">
        <v>0.04</v>
      </c>
      <c r="P484" s="3">
        <v>4</v>
      </c>
      <c r="Q484" s="3">
        <v>0</v>
      </c>
      <c r="R484" s="3">
        <v>0</v>
      </c>
    </row>
    <row r="485" spans="1:18">
      <c r="A485" s="3" t="s">
        <v>87</v>
      </c>
      <c r="B485" s="3" t="s">
        <v>88</v>
      </c>
      <c r="C485" s="3" t="s">
        <v>89</v>
      </c>
      <c r="D485" s="3" t="s">
        <v>90</v>
      </c>
      <c r="E485" s="3" t="s">
        <v>538</v>
      </c>
      <c r="F485" s="3">
        <v>15.99</v>
      </c>
      <c r="G485" s="3" t="s">
        <v>2454</v>
      </c>
      <c r="H485" s="3"/>
      <c r="I485" s="3" t="s">
        <v>2455</v>
      </c>
      <c r="J485" s="3">
        <v>59</v>
      </c>
      <c r="K485" s="3">
        <v>58</v>
      </c>
      <c r="L485" s="3">
        <v>0</v>
      </c>
      <c r="M485" s="3">
        <v>1</v>
      </c>
      <c r="N485" s="3">
        <v>59</v>
      </c>
      <c r="O485" s="3">
        <v>0.07</v>
      </c>
      <c r="P485" s="3">
        <v>0</v>
      </c>
      <c r="Q485" s="3">
        <v>0</v>
      </c>
      <c r="R485" s="3">
        <v>0</v>
      </c>
    </row>
    <row r="486" spans="1:18">
      <c r="A486" s="3" t="s">
        <v>111</v>
      </c>
      <c r="B486" s="3" t="s">
        <v>112</v>
      </c>
      <c r="C486" s="3" t="s">
        <v>113</v>
      </c>
      <c r="D486" s="3" t="s">
        <v>114</v>
      </c>
      <c r="E486" s="3" t="s">
        <v>538</v>
      </c>
      <c r="F486" s="3">
        <v>19.99</v>
      </c>
      <c r="G486" s="3" t="s">
        <v>2454</v>
      </c>
      <c r="H486" s="3"/>
      <c r="I486" s="3" t="s">
        <v>2455</v>
      </c>
      <c r="J486" s="3">
        <v>27</v>
      </c>
      <c r="K486" s="3">
        <v>25</v>
      </c>
      <c r="L486" s="3">
        <v>0</v>
      </c>
      <c r="M486" s="3">
        <v>2</v>
      </c>
      <c r="N486" s="3">
        <v>27</v>
      </c>
      <c r="O486" s="3">
        <v>0.02</v>
      </c>
      <c r="P486" s="3">
        <v>0</v>
      </c>
      <c r="Q486" s="3">
        <v>0</v>
      </c>
      <c r="R486" s="3">
        <v>0</v>
      </c>
    </row>
    <row r="487" spans="1:18">
      <c r="A487" s="3" t="s">
        <v>95</v>
      </c>
      <c r="B487" s="3" t="s">
        <v>96</v>
      </c>
      <c r="C487" s="3" t="s">
        <v>97</v>
      </c>
      <c r="D487" s="3" t="s">
        <v>98</v>
      </c>
      <c r="E487" s="3" t="s">
        <v>538</v>
      </c>
      <c r="F487" s="3">
        <v>24.99</v>
      </c>
      <c r="G487" s="3" t="s">
        <v>2454</v>
      </c>
      <c r="H487" s="3"/>
      <c r="I487" s="3" t="s">
        <v>2455</v>
      </c>
      <c r="J487" s="3">
        <v>5</v>
      </c>
      <c r="K487" s="3">
        <v>1</v>
      </c>
      <c r="L487" s="3">
        <v>0</v>
      </c>
      <c r="M487" s="3">
        <v>4</v>
      </c>
      <c r="N487" s="3">
        <v>19</v>
      </c>
      <c r="O487" s="3">
        <v>0.16</v>
      </c>
      <c r="P487" s="3">
        <v>2</v>
      </c>
      <c r="Q487" s="3">
        <v>12</v>
      </c>
      <c r="R487" s="3">
        <v>0</v>
      </c>
    </row>
    <row r="488" spans="1:18">
      <c r="A488" s="3" t="s">
        <v>1419</v>
      </c>
      <c r="B488" s="3" t="s">
        <v>1420</v>
      </c>
      <c r="C488" s="3" t="s">
        <v>1421</v>
      </c>
      <c r="D488" s="3" t="s">
        <v>1422</v>
      </c>
      <c r="E488" s="3" t="s">
        <v>538</v>
      </c>
      <c r="F488" s="3">
        <v>29.99</v>
      </c>
      <c r="G488" s="3" t="s">
        <v>2454</v>
      </c>
      <c r="H488" s="3"/>
      <c r="I488" s="3" t="s">
        <v>2455</v>
      </c>
      <c r="J488" s="3">
        <v>12</v>
      </c>
      <c r="K488" s="3">
        <v>12</v>
      </c>
      <c r="L488" s="3">
        <v>0</v>
      </c>
      <c r="M488" s="3">
        <v>0</v>
      </c>
      <c r="N488" s="3">
        <v>12</v>
      </c>
      <c r="O488" s="3">
        <v>0.1</v>
      </c>
      <c r="P488" s="3">
        <v>0</v>
      </c>
      <c r="Q488" s="3">
        <v>0</v>
      </c>
      <c r="R488" s="3">
        <v>0</v>
      </c>
    </row>
    <row r="489" spans="1:18">
      <c r="A489" s="3" t="s">
        <v>107</v>
      </c>
      <c r="B489" s="3" t="s">
        <v>108</v>
      </c>
      <c r="C489" s="3" t="s">
        <v>109</v>
      </c>
      <c r="D489" s="3" t="s">
        <v>110</v>
      </c>
      <c r="E489" s="3" t="s">
        <v>538</v>
      </c>
      <c r="F489" s="3">
        <v>32.99</v>
      </c>
      <c r="G489" s="3" t="s">
        <v>2454</v>
      </c>
      <c r="H489" s="3"/>
      <c r="I489" s="3" t="s">
        <v>2455</v>
      </c>
      <c r="J489" s="3">
        <v>15</v>
      </c>
      <c r="K489" s="3">
        <v>0</v>
      </c>
      <c r="L489" s="3">
        <v>0</v>
      </c>
      <c r="M489" s="3">
        <v>15</v>
      </c>
      <c r="N489" s="3">
        <v>36</v>
      </c>
      <c r="O489" s="3">
        <v>0.21</v>
      </c>
      <c r="P489" s="3">
        <v>1</v>
      </c>
      <c r="Q489" s="3">
        <v>20</v>
      </c>
      <c r="R489" s="3">
        <v>0</v>
      </c>
    </row>
    <row r="490" spans="1:18">
      <c r="A490" s="3" t="s">
        <v>75</v>
      </c>
      <c r="B490" s="3" t="s">
        <v>76</v>
      </c>
      <c r="C490" s="3" t="s">
        <v>77</v>
      </c>
      <c r="D490" s="3" t="s">
        <v>78</v>
      </c>
      <c r="E490" s="3" t="s">
        <v>538</v>
      </c>
      <c r="F490" s="3">
        <v>35.99</v>
      </c>
      <c r="G490" s="3" t="s">
        <v>2454</v>
      </c>
      <c r="H490" s="3"/>
      <c r="I490" s="3" t="s">
        <v>2455</v>
      </c>
      <c r="J490" s="3">
        <v>4</v>
      </c>
      <c r="K490" s="3">
        <v>0</v>
      </c>
      <c r="L490" s="3">
        <v>0</v>
      </c>
      <c r="M490" s="3">
        <v>4</v>
      </c>
      <c r="N490" s="3">
        <v>11</v>
      </c>
      <c r="O490" s="3">
        <v>0.24</v>
      </c>
      <c r="P490" s="3">
        <v>1</v>
      </c>
      <c r="Q490" s="3">
        <v>6</v>
      </c>
      <c r="R490" s="3">
        <v>0</v>
      </c>
    </row>
    <row r="491" spans="1:18">
      <c r="A491" s="3" t="s">
        <v>103</v>
      </c>
      <c r="B491" s="3" t="s">
        <v>104</v>
      </c>
      <c r="C491" s="3" t="s">
        <v>105</v>
      </c>
      <c r="D491" s="3" t="s">
        <v>106</v>
      </c>
      <c r="E491" s="3" t="s">
        <v>538</v>
      </c>
      <c r="F491" s="3">
        <v>9.99</v>
      </c>
      <c r="G491" s="3" t="s">
        <v>2454</v>
      </c>
      <c r="H491" s="3"/>
      <c r="I491" s="3" t="s">
        <v>2455</v>
      </c>
      <c r="J491" s="3">
        <v>44</v>
      </c>
      <c r="K491" s="3">
        <v>41</v>
      </c>
      <c r="L491" s="3">
        <v>1</v>
      </c>
      <c r="M491" s="3">
        <v>2</v>
      </c>
      <c r="N491" s="3">
        <v>44</v>
      </c>
      <c r="O491" s="3">
        <v>0.06</v>
      </c>
      <c r="P491" s="3">
        <v>0</v>
      </c>
      <c r="Q491" s="3">
        <v>0</v>
      </c>
      <c r="R491" s="3">
        <v>0</v>
      </c>
    </row>
    <row r="492" spans="1:18">
      <c r="A492" s="3" t="s">
        <v>2116</v>
      </c>
      <c r="B492" s="3" t="s">
        <v>2117</v>
      </c>
      <c r="C492" s="3" t="s">
        <v>2118</v>
      </c>
      <c r="D492" s="3" t="s">
        <v>2119</v>
      </c>
      <c r="E492" s="3" t="s">
        <v>538</v>
      </c>
      <c r="F492" s="3">
        <v>12.99</v>
      </c>
      <c r="G492" s="3" t="s">
        <v>2454</v>
      </c>
      <c r="H492" s="3"/>
      <c r="I492" s="3" t="s">
        <v>2455</v>
      </c>
      <c r="J492" s="3">
        <v>44</v>
      </c>
      <c r="K492" s="3">
        <v>44</v>
      </c>
      <c r="L492" s="3">
        <v>0</v>
      </c>
      <c r="M492" s="3">
        <v>0</v>
      </c>
      <c r="N492" s="3">
        <v>44</v>
      </c>
      <c r="O492" s="3">
        <v>0.05</v>
      </c>
      <c r="P492" s="3">
        <v>0</v>
      </c>
      <c r="Q492" s="3">
        <v>0</v>
      </c>
      <c r="R492" s="3">
        <v>0</v>
      </c>
    </row>
    <row r="493" spans="1:18">
      <c r="A493" s="3" t="s">
        <v>3099</v>
      </c>
      <c r="B493" s="3" t="s">
        <v>3100</v>
      </c>
      <c r="C493" s="3" t="s">
        <v>3101</v>
      </c>
      <c r="D493" s="3" t="s">
        <v>3102</v>
      </c>
      <c r="E493" s="3" t="s">
        <v>538</v>
      </c>
      <c r="F493" s="3">
        <v>10</v>
      </c>
      <c r="G493" s="3" t="s">
        <v>2454</v>
      </c>
      <c r="H493" s="3"/>
      <c r="I493" s="3" t="s">
        <v>2455</v>
      </c>
      <c r="J493" s="3">
        <v>0</v>
      </c>
      <c r="K493" s="3">
        <v>0</v>
      </c>
      <c r="L493" s="3">
        <v>0</v>
      </c>
      <c r="M493" s="3">
        <v>0</v>
      </c>
      <c r="N493" s="3">
        <v>0</v>
      </c>
      <c r="O493" s="3">
        <v>0.15</v>
      </c>
      <c r="P493" s="3">
        <v>0</v>
      </c>
      <c r="Q493" s="3">
        <v>0</v>
      </c>
      <c r="R493" s="3">
        <v>0</v>
      </c>
    </row>
    <row r="494" spans="1:18">
      <c r="A494" s="3" t="s">
        <v>3103</v>
      </c>
      <c r="B494" s="3" t="s">
        <v>3104</v>
      </c>
      <c r="C494" s="3" t="s">
        <v>3105</v>
      </c>
      <c r="D494" s="3" t="s">
        <v>3106</v>
      </c>
      <c r="E494" s="3" t="s">
        <v>538</v>
      </c>
      <c r="F494" s="3">
        <v>13.99</v>
      </c>
      <c r="G494" s="3" t="s">
        <v>2454</v>
      </c>
      <c r="H494" s="3"/>
      <c r="I494" s="3" t="s">
        <v>2455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</row>
    <row r="495" spans="1:18">
      <c r="A495" s="3" t="s">
        <v>3107</v>
      </c>
      <c r="B495" s="3" t="s">
        <v>3108</v>
      </c>
      <c r="C495" s="3" t="s">
        <v>3109</v>
      </c>
      <c r="D495" s="3" t="s">
        <v>3110</v>
      </c>
      <c r="E495" s="3" t="s">
        <v>538</v>
      </c>
      <c r="F495" s="3">
        <v>13.99</v>
      </c>
      <c r="G495" s="3" t="s">
        <v>2454</v>
      </c>
      <c r="H495" s="3"/>
      <c r="I495" s="3" t="s">
        <v>2455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</row>
    <row r="496" spans="1:18">
      <c r="A496" s="3" t="s">
        <v>3111</v>
      </c>
      <c r="B496" s="3" t="s">
        <v>3112</v>
      </c>
      <c r="C496" s="3" t="s">
        <v>3113</v>
      </c>
      <c r="D496" s="3" t="s">
        <v>3114</v>
      </c>
      <c r="E496" s="3" t="s">
        <v>538</v>
      </c>
      <c r="F496" s="3">
        <v>13.99</v>
      </c>
      <c r="G496" s="3" t="s">
        <v>2454</v>
      </c>
      <c r="H496" s="3"/>
      <c r="I496" s="3" t="s">
        <v>2455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</row>
    <row r="497" spans="1:18">
      <c r="A497" s="3" t="s">
        <v>115</v>
      </c>
      <c r="B497" s="3" t="s">
        <v>116</v>
      </c>
      <c r="C497" s="3" t="s">
        <v>117</v>
      </c>
      <c r="D497" s="3" t="s">
        <v>118</v>
      </c>
      <c r="E497" s="3" t="s">
        <v>538</v>
      </c>
      <c r="F497" s="3">
        <v>13.99</v>
      </c>
      <c r="G497" s="3" t="s">
        <v>2454</v>
      </c>
      <c r="H497" s="3"/>
      <c r="I497" s="3" t="s">
        <v>2455</v>
      </c>
      <c r="J497" s="3">
        <v>2</v>
      </c>
      <c r="K497" s="3">
        <v>0</v>
      </c>
      <c r="L497" s="3">
        <v>0</v>
      </c>
      <c r="M497" s="3">
        <v>2</v>
      </c>
      <c r="N497" s="3">
        <v>2</v>
      </c>
      <c r="O497" s="3">
        <v>0</v>
      </c>
      <c r="P497" s="3">
        <v>0</v>
      </c>
      <c r="Q497" s="3">
        <v>0</v>
      </c>
      <c r="R497" s="3">
        <v>0</v>
      </c>
    </row>
    <row r="498" spans="1:18">
      <c r="A498" s="3" t="s">
        <v>3115</v>
      </c>
      <c r="B498" s="3" t="s">
        <v>3116</v>
      </c>
      <c r="C498" s="3" t="s">
        <v>3117</v>
      </c>
      <c r="D498" s="3" t="s">
        <v>753</v>
      </c>
      <c r="E498" s="3" t="s">
        <v>538</v>
      </c>
      <c r="F498" s="3">
        <v>25.99</v>
      </c>
      <c r="G498" s="3" t="s">
        <v>2454</v>
      </c>
      <c r="H498" s="3"/>
      <c r="I498" s="3" t="s">
        <v>2455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</row>
    <row r="499" spans="1:18">
      <c r="A499" s="3" t="s">
        <v>3118</v>
      </c>
      <c r="B499" s="3" t="s">
        <v>3119</v>
      </c>
      <c r="C499" s="3" t="s">
        <v>3120</v>
      </c>
      <c r="D499" s="3" t="s">
        <v>753</v>
      </c>
      <c r="E499" s="3" t="s">
        <v>538</v>
      </c>
      <c r="F499" s="3">
        <v>25.99</v>
      </c>
      <c r="G499" s="3" t="s">
        <v>2454</v>
      </c>
      <c r="H499" s="3"/>
      <c r="I499" s="3" t="s">
        <v>2455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</row>
    <row r="500" spans="1:18">
      <c r="A500" s="3" t="s">
        <v>750</v>
      </c>
      <c r="B500" s="3" t="s">
        <v>751</v>
      </c>
      <c r="C500" s="3" t="s">
        <v>752</v>
      </c>
      <c r="D500" s="3" t="s">
        <v>753</v>
      </c>
      <c r="E500" s="3" t="s">
        <v>538</v>
      </c>
      <c r="F500" s="3">
        <v>25.99</v>
      </c>
      <c r="G500" s="3" t="s">
        <v>2454</v>
      </c>
      <c r="H500" s="3"/>
      <c r="I500" s="3" t="s">
        <v>2455</v>
      </c>
      <c r="J500" s="3">
        <v>9</v>
      </c>
      <c r="K500" s="3">
        <v>9</v>
      </c>
      <c r="L500" s="3">
        <v>0</v>
      </c>
      <c r="M500" s="3">
        <v>0</v>
      </c>
      <c r="N500" s="3">
        <v>9</v>
      </c>
      <c r="O500" s="3">
        <v>0</v>
      </c>
      <c r="P500" s="3">
        <v>0</v>
      </c>
      <c r="Q500" s="3">
        <v>0</v>
      </c>
      <c r="R500" s="3">
        <v>0</v>
      </c>
    </row>
    <row r="501" spans="1:18">
      <c r="A501" s="3" t="s">
        <v>3121</v>
      </c>
      <c r="B501" s="3" t="s">
        <v>3122</v>
      </c>
      <c r="C501" s="3" t="s">
        <v>3123</v>
      </c>
      <c r="D501" s="3" t="s">
        <v>753</v>
      </c>
      <c r="E501" s="3" t="s">
        <v>538</v>
      </c>
      <c r="F501" s="3">
        <v>25.99</v>
      </c>
      <c r="G501" s="3" t="s">
        <v>2454</v>
      </c>
      <c r="H501" s="3"/>
      <c r="I501" s="3" t="s">
        <v>2455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</row>
    <row r="502" spans="1:18">
      <c r="A502" s="3" t="s">
        <v>3124</v>
      </c>
      <c r="B502" s="3" t="s">
        <v>3125</v>
      </c>
      <c r="C502" s="3" t="s">
        <v>3126</v>
      </c>
      <c r="D502" s="3" t="s">
        <v>753</v>
      </c>
      <c r="E502" s="3" t="s">
        <v>538</v>
      </c>
      <c r="F502" s="3">
        <v>25.99</v>
      </c>
      <c r="G502" s="3" t="s">
        <v>2454</v>
      </c>
      <c r="H502" s="3"/>
      <c r="I502" s="3" t="s">
        <v>2455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</row>
    <row r="503" spans="1:18">
      <c r="A503" s="3" t="s">
        <v>3127</v>
      </c>
      <c r="B503" s="3" t="s">
        <v>3128</v>
      </c>
      <c r="C503" s="3" t="s">
        <v>3129</v>
      </c>
      <c r="D503" s="3" t="s">
        <v>753</v>
      </c>
      <c r="E503" s="3" t="s">
        <v>538</v>
      </c>
      <c r="F503" s="3">
        <v>25.99</v>
      </c>
      <c r="G503" s="3" t="s">
        <v>2454</v>
      </c>
      <c r="H503" s="3"/>
      <c r="I503" s="3" t="s">
        <v>2455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</row>
    <row r="504" spans="1:18">
      <c r="A504" s="3" t="s">
        <v>1748</v>
      </c>
      <c r="B504" s="3" t="s">
        <v>1749</v>
      </c>
      <c r="C504" s="3" t="s">
        <v>1750</v>
      </c>
      <c r="D504" s="3" t="s">
        <v>753</v>
      </c>
      <c r="E504" s="3" t="s">
        <v>538</v>
      </c>
      <c r="F504" s="3">
        <v>25.99</v>
      </c>
      <c r="G504" s="3" t="s">
        <v>2454</v>
      </c>
      <c r="H504" s="3"/>
      <c r="I504" s="3" t="s">
        <v>2455</v>
      </c>
      <c r="J504" s="3">
        <v>13</v>
      </c>
      <c r="K504" s="3">
        <v>13</v>
      </c>
      <c r="L504" s="3">
        <v>0</v>
      </c>
      <c r="M504" s="3">
        <v>0</v>
      </c>
      <c r="N504" s="3">
        <v>13</v>
      </c>
      <c r="O504" s="3">
        <v>0</v>
      </c>
      <c r="P504" s="3">
        <v>0</v>
      </c>
      <c r="Q504" s="3">
        <v>0</v>
      </c>
      <c r="R504" s="3">
        <v>0</v>
      </c>
    </row>
    <row r="505" spans="1:18">
      <c r="A505" s="3" t="s">
        <v>1085</v>
      </c>
      <c r="B505" s="3" t="s">
        <v>1086</v>
      </c>
      <c r="C505" s="3" t="s">
        <v>1087</v>
      </c>
      <c r="D505" s="3" t="s">
        <v>753</v>
      </c>
      <c r="E505" s="3" t="s">
        <v>538</v>
      </c>
      <c r="F505" s="3">
        <v>25.99</v>
      </c>
      <c r="G505" s="3" t="s">
        <v>2454</v>
      </c>
      <c r="H505" s="3"/>
      <c r="I505" s="3" t="s">
        <v>2455</v>
      </c>
      <c r="J505" s="3">
        <v>13</v>
      </c>
      <c r="K505" s="3">
        <v>13</v>
      </c>
      <c r="L505" s="3">
        <v>0</v>
      </c>
      <c r="M505" s="3">
        <v>0</v>
      </c>
      <c r="N505" s="3">
        <v>13</v>
      </c>
      <c r="O505" s="3">
        <v>0</v>
      </c>
      <c r="P505" s="3">
        <v>0</v>
      </c>
      <c r="Q505" s="3">
        <v>0</v>
      </c>
      <c r="R505" s="3">
        <v>0</v>
      </c>
    </row>
    <row r="506" spans="1:18">
      <c r="A506" s="3" t="s">
        <v>3130</v>
      </c>
      <c r="B506" s="3" t="s">
        <v>3131</v>
      </c>
      <c r="C506" s="3" t="s">
        <v>3132</v>
      </c>
      <c r="D506" s="3" t="s">
        <v>753</v>
      </c>
      <c r="E506" s="3" t="s">
        <v>538</v>
      </c>
      <c r="F506" s="3">
        <v>25.99</v>
      </c>
      <c r="G506" s="3" t="s">
        <v>2454</v>
      </c>
      <c r="H506" s="3"/>
      <c r="I506" s="3" t="s">
        <v>2455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</row>
    <row r="507" spans="1:18">
      <c r="A507" s="3" t="s">
        <v>1032</v>
      </c>
      <c r="B507" s="3" t="s">
        <v>1033</v>
      </c>
      <c r="C507" s="3" t="s">
        <v>1034</v>
      </c>
      <c r="D507" s="3" t="s">
        <v>753</v>
      </c>
      <c r="E507" s="3" t="s">
        <v>538</v>
      </c>
      <c r="F507" s="3">
        <v>25.99</v>
      </c>
      <c r="G507" s="3" t="s">
        <v>2454</v>
      </c>
      <c r="H507" s="3"/>
      <c r="I507" s="3" t="s">
        <v>2455</v>
      </c>
      <c r="J507" s="3">
        <v>2</v>
      </c>
      <c r="K507" s="3">
        <v>2</v>
      </c>
      <c r="L507" s="3">
        <v>0</v>
      </c>
      <c r="M507" s="3">
        <v>0</v>
      </c>
      <c r="N507" s="3">
        <v>2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3133</v>
      </c>
      <c r="B508" s="3" t="s">
        <v>3134</v>
      </c>
      <c r="C508" s="3" t="s">
        <v>3135</v>
      </c>
      <c r="D508" s="3" t="s">
        <v>753</v>
      </c>
      <c r="E508" s="3" t="s">
        <v>538</v>
      </c>
      <c r="F508" s="3">
        <v>25.99</v>
      </c>
      <c r="G508" s="3" t="s">
        <v>2454</v>
      </c>
      <c r="H508" s="3"/>
      <c r="I508" s="3" t="s">
        <v>2455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</row>
    <row r="509" spans="1:18">
      <c r="A509" s="3" t="s">
        <v>3136</v>
      </c>
      <c r="B509" s="3" t="s">
        <v>3137</v>
      </c>
      <c r="C509" s="3" t="s">
        <v>3138</v>
      </c>
      <c r="D509" s="3" t="s">
        <v>753</v>
      </c>
      <c r="E509" s="3" t="s">
        <v>538</v>
      </c>
      <c r="F509" s="3">
        <v>25.99</v>
      </c>
      <c r="G509" s="3" t="s">
        <v>2454</v>
      </c>
      <c r="H509" s="3"/>
      <c r="I509" s="3" t="s">
        <v>2455</v>
      </c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</row>
    <row r="510" spans="1:18">
      <c r="A510" s="3" t="s">
        <v>3139</v>
      </c>
      <c r="B510" s="3" t="s">
        <v>3140</v>
      </c>
      <c r="C510" s="3" t="s">
        <v>3141</v>
      </c>
      <c r="D510" s="3" t="s">
        <v>753</v>
      </c>
      <c r="E510" s="3" t="s">
        <v>538</v>
      </c>
      <c r="F510" s="3">
        <v>25.99</v>
      </c>
      <c r="G510" s="3" t="s">
        <v>2454</v>
      </c>
      <c r="H510" s="3"/>
      <c r="I510" s="3" t="s">
        <v>2455</v>
      </c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</row>
    <row r="511" spans="1:18">
      <c r="A511" s="3" t="s">
        <v>933</v>
      </c>
      <c r="B511" s="3" t="s">
        <v>934</v>
      </c>
      <c r="C511" s="3" t="s">
        <v>935</v>
      </c>
      <c r="D511" s="3" t="s">
        <v>753</v>
      </c>
      <c r="E511" s="3" t="s">
        <v>538</v>
      </c>
      <c r="F511" s="3">
        <v>25.99</v>
      </c>
      <c r="G511" s="3" t="s">
        <v>2454</v>
      </c>
      <c r="H511" s="3"/>
      <c r="I511" s="3" t="s">
        <v>2455</v>
      </c>
      <c r="J511" s="3">
        <v>13</v>
      </c>
      <c r="K511" s="3">
        <v>13</v>
      </c>
      <c r="L511" s="3">
        <v>0</v>
      </c>
      <c r="M511" s="3">
        <v>0</v>
      </c>
      <c r="N511" s="3">
        <v>13</v>
      </c>
      <c r="O511" s="3">
        <v>0</v>
      </c>
      <c r="P511" s="3">
        <v>0</v>
      </c>
      <c r="Q511" s="3">
        <v>0</v>
      </c>
      <c r="R511" s="3">
        <v>0</v>
      </c>
    </row>
    <row r="512" spans="1:18">
      <c r="A512" s="3" t="s">
        <v>2070</v>
      </c>
      <c r="B512" s="3" t="s">
        <v>2071</v>
      </c>
      <c r="C512" s="3" t="s">
        <v>2072</v>
      </c>
      <c r="D512" s="3" t="s">
        <v>753</v>
      </c>
      <c r="E512" s="3" t="s">
        <v>538</v>
      </c>
      <c r="F512" s="3">
        <v>25.99</v>
      </c>
      <c r="G512" s="3" t="s">
        <v>2454</v>
      </c>
      <c r="H512" s="3"/>
      <c r="I512" s="3" t="s">
        <v>2455</v>
      </c>
      <c r="J512" s="3">
        <v>12</v>
      </c>
      <c r="K512" s="3">
        <v>12</v>
      </c>
      <c r="L512" s="3">
        <v>0</v>
      </c>
      <c r="M512" s="3">
        <v>0</v>
      </c>
      <c r="N512" s="3">
        <v>12</v>
      </c>
      <c r="O512" s="3">
        <v>0</v>
      </c>
      <c r="P512" s="3">
        <v>0</v>
      </c>
      <c r="Q512" s="3">
        <v>0</v>
      </c>
      <c r="R512" s="3">
        <v>0</v>
      </c>
    </row>
    <row r="513" spans="1:18">
      <c r="A513" s="3" t="s">
        <v>3142</v>
      </c>
      <c r="B513" s="3" t="s">
        <v>3143</v>
      </c>
      <c r="C513" s="3" t="s">
        <v>3144</v>
      </c>
      <c r="D513" s="3" t="s">
        <v>753</v>
      </c>
      <c r="E513" s="3" t="s">
        <v>538</v>
      </c>
      <c r="F513" s="3">
        <v>25.99</v>
      </c>
      <c r="G513" s="3" t="s">
        <v>2454</v>
      </c>
      <c r="H513" s="3"/>
      <c r="I513" s="3" t="s">
        <v>2455</v>
      </c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</row>
    <row r="514" spans="1:18">
      <c r="A514" s="3" t="s">
        <v>621</v>
      </c>
      <c r="B514" s="3" t="s">
        <v>622</v>
      </c>
      <c r="C514" s="3" t="s">
        <v>623</v>
      </c>
      <c r="D514" s="3"/>
      <c r="E514" s="3" t="s">
        <v>2459</v>
      </c>
      <c r="F514" s="3"/>
      <c r="G514" s="3"/>
      <c r="H514" s="3"/>
      <c r="I514" s="3"/>
      <c r="J514" s="3">
        <v>2</v>
      </c>
      <c r="K514" s="3">
        <v>2</v>
      </c>
      <c r="L514" s="3">
        <v>0</v>
      </c>
      <c r="M514" s="3">
        <v>0</v>
      </c>
      <c r="N514" s="3">
        <v>2</v>
      </c>
      <c r="O514" s="3"/>
      <c r="P514" s="3">
        <v>0</v>
      </c>
      <c r="Q514" s="3">
        <v>0</v>
      </c>
      <c r="R514" s="3">
        <v>0</v>
      </c>
    </row>
    <row r="515" spans="1:18">
      <c r="A515" s="3" t="s">
        <v>3145</v>
      </c>
      <c r="B515" s="3" t="s">
        <v>3146</v>
      </c>
      <c r="C515" s="3" t="s">
        <v>3147</v>
      </c>
      <c r="D515" s="3" t="s">
        <v>3148</v>
      </c>
      <c r="E515" s="3" t="s">
        <v>538</v>
      </c>
      <c r="F515" s="3">
        <v>11.99</v>
      </c>
      <c r="G515" s="3" t="s">
        <v>2454</v>
      </c>
      <c r="H515" s="3"/>
      <c r="I515" s="3" t="s">
        <v>2455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0.13</v>
      </c>
      <c r="P515" s="3">
        <v>0</v>
      </c>
      <c r="Q515" s="3">
        <v>0</v>
      </c>
      <c r="R515" s="3">
        <v>0</v>
      </c>
    </row>
    <row r="516" spans="1:18">
      <c r="A516" s="3" t="s">
        <v>3149</v>
      </c>
      <c r="B516" s="3" t="s">
        <v>3150</v>
      </c>
      <c r="C516" s="3" t="s">
        <v>3151</v>
      </c>
      <c r="D516" s="3"/>
      <c r="E516" s="3" t="s">
        <v>2459</v>
      </c>
      <c r="F516" s="3"/>
      <c r="G516" s="3"/>
      <c r="H516" s="3"/>
      <c r="I516" s="3"/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/>
      <c r="P516" s="3">
        <v>0</v>
      </c>
      <c r="Q516" s="3">
        <v>0</v>
      </c>
      <c r="R516" s="3">
        <v>0</v>
      </c>
    </row>
    <row r="517" spans="1:18">
      <c r="A517" s="3" t="s">
        <v>3152</v>
      </c>
      <c r="B517" s="3" t="s">
        <v>3153</v>
      </c>
      <c r="C517" s="3" t="s">
        <v>3154</v>
      </c>
      <c r="D517" s="3"/>
      <c r="E517" s="3" t="s">
        <v>2459</v>
      </c>
      <c r="F517" s="3"/>
      <c r="G517" s="3"/>
      <c r="H517" s="3"/>
      <c r="I517" s="3"/>
      <c r="J517" s="3">
        <v>6</v>
      </c>
      <c r="K517" s="3">
        <v>0</v>
      </c>
      <c r="L517" s="3">
        <v>6</v>
      </c>
      <c r="M517" s="3">
        <v>0</v>
      </c>
      <c r="N517" s="3">
        <v>6</v>
      </c>
      <c r="O517" s="3"/>
      <c r="P517" s="3">
        <v>0</v>
      </c>
      <c r="Q517" s="3">
        <v>0</v>
      </c>
      <c r="R517" s="3">
        <v>0</v>
      </c>
    </row>
    <row r="518" spans="1:18">
      <c r="A518" s="3" t="s">
        <v>3155</v>
      </c>
      <c r="B518" s="3" t="s">
        <v>3156</v>
      </c>
      <c r="C518" s="3" t="s">
        <v>3157</v>
      </c>
      <c r="D518" s="3"/>
      <c r="E518" s="3" t="s">
        <v>2459</v>
      </c>
      <c r="F518" s="3"/>
      <c r="G518" s="3"/>
      <c r="H518" s="3"/>
      <c r="I518" s="3"/>
      <c r="J518" s="3">
        <v>5</v>
      </c>
      <c r="K518" s="3">
        <v>0</v>
      </c>
      <c r="L518" s="3">
        <v>5</v>
      </c>
      <c r="M518" s="3">
        <v>0</v>
      </c>
      <c r="N518" s="3">
        <v>5</v>
      </c>
      <c r="O518" s="3"/>
      <c r="P518" s="3">
        <v>0</v>
      </c>
      <c r="Q518" s="3">
        <v>0</v>
      </c>
      <c r="R518" s="3">
        <v>0</v>
      </c>
    </row>
    <row r="519" spans="1:18">
      <c r="A519" s="3" t="s">
        <v>3158</v>
      </c>
      <c r="B519" s="3" t="s">
        <v>3159</v>
      </c>
      <c r="C519" s="3" t="s">
        <v>3160</v>
      </c>
      <c r="D519" s="3"/>
      <c r="E519" s="3" t="s">
        <v>2459</v>
      </c>
      <c r="F519" s="3"/>
      <c r="G519" s="3"/>
      <c r="H519" s="3"/>
      <c r="I519" s="3"/>
      <c r="J519" s="3">
        <v>15</v>
      </c>
      <c r="K519" s="3">
        <v>0</v>
      </c>
      <c r="L519" s="3">
        <v>15</v>
      </c>
      <c r="M519" s="3">
        <v>0</v>
      </c>
      <c r="N519" s="3">
        <v>15</v>
      </c>
      <c r="O519" s="3"/>
      <c r="P519" s="3">
        <v>0</v>
      </c>
      <c r="Q519" s="3">
        <v>0</v>
      </c>
      <c r="R519" s="3">
        <v>0</v>
      </c>
    </row>
    <row r="520" spans="1:18">
      <c r="A520" s="3" t="s">
        <v>3161</v>
      </c>
      <c r="B520" s="3" t="s">
        <v>3162</v>
      </c>
      <c r="C520" s="3" t="s">
        <v>3163</v>
      </c>
      <c r="D520" s="3"/>
      <c r="E520" s="3" t="s">
        <v>2459</v>
      </c>
      <c r="F520" s="3"/>
      <c r="G520" s="3"/>
      <c r="H520" s="3"/>
      <c r="I520" s="3"/>
      <c r="J520" s="3">
        <v>14</v>
      </c>
      <c r="K520" s="3">
        <v>0</v>
      </c>
      <c r="L520" s="3">
        <v>14</v>
      </c>
      <c r="M520" s="3">
        <v>0</v>
      </c>
      <c r="N520" s="3">
        <v>14</v>
      </c>
      <c r="O520" s="3"/>
      <c r="P520" s="3">
        <v>0</v>
      </c>
      <c r="Q520" s="3">
        <v>0</v>
      </c>
      <c r="R520" s="3">
        <v>0</v>
      </c>
    </row>
    <row r="521" spans="1:18">
      <c r="A521" s="3" t="s">
        <v>3164</v>
      </c>
      <c r="B521" s="3" t="s">
        <v>3165</v>
      </c>
      <c r="C521" s="3" t="s">
        <v>3166</v>
      </c>
      <c r="D521" s="3"/>
      <c r="E521" s="3" t="s">
        <v>2459</v>
      </c>
      <c r="F521" s="3"/>
      <c r="G521" s="3"/>
      <c r="H521" s="3"/>
      <c r="I521" s="3"/>
      <c r="J521" s="3">
        <v>11</v>
      </c>
      <c r="K521" s="3">
        <v>0</v>
      </c>
      <c r="L521" s="3">
        <v>11</v>
      </c>
      <c r="M521" s="3">
        <v>0</v>
      </c>
      <c r="N521" s="3">
        <v>11</v>
      </c>
      <c r="O521" s="3"/>
      <c r="P521" s="3">
        <v>0</v>
      </c>
      <c r="Q521" s="3">
        <v>0</v>
      </c>
      <c r="R521" s="3">
        <v>0</v>
      </c>
    </row>
    <row r="522" spans="1:18">
      <c r="A522" s="3" t="s">
        <v>3167</v>
      </c>
      <c r="B522" s="3" t="s">
        <v>3168</v>
      </c>
      <c r="C522" s="3" t="s">
        <v>3169</v>
      </c>
      <c r="D522" s="3" t="s">
        <v>3170</v>
      </c>
      <c r="E522" s="3" t="s">
        <v>538</v>
      </c>
      <c r="F522" s="3">
        <v>5.9</v>
      </c>
      <c r="G522" s="3" t="s">
        <v>2454</v>
      </c>
      <c r="H522" s="3"/>
      <c r="I522" s="3" t="s">
        <v>2455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0.01</v>
      </c>
      <c r="P522" s="3">
        <v>0</v>
      </c>
      <c r="Q522" s="3">
        <v>0</v>
      </c>
      <c r="R522" s="3">
        <v>0</v>
      </c>
    </row>
    <row r="523" spans="1:18">
      <c r="A523" s="3" t="s">
        <v>1028</v>
      </c>
      <c r="B523" s="3" t="s">
        <v>1029</v>
      </c>
      <c r="C523" s="3" t="s">
        <v>1030</v>
      </c>
      <c r="D523" s="3" t="s">
        <v>1031</v>
      </c>
      <c r="E523" s="3" t="s">
        <v>538</v>
      </c>
      <c r="F523" s="3">
        <v>22.99</v>
      </c>
      <c r="G523" s="3" t="s">
        <v>2454</v>
      </c>
      <c r="H523" s="3"/>
      <c r="I523" s="3" t="s">
        <v>2455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0.68</v>
      </c>
      <c r="P523" s="3">
        <v>0</v>
      </c>
      <c r="Q523" s="3">
        <v>0</v>
      </c>
      <c r="R523" s="3">
        <v>0</v>
      </c>
    </row>
    <row r="524" spans="1:18">
      <c r="A524" s="3" t="s">
        <v>131</v>
      </c>
      <c r="B524" s="3" t="s">
        <v>132</v>
      </c>
      <c r="C524" s="3" t="s">
        <v>133</v>
      </c>
      <c r="D524" s="3" t="s">
        <v>134</v>
      </c>
      <c r="E524" s="3" t="s">
        <v>538</v>
      </c>
      <c r="F524" s="3">
        <v>20.99</v>
      </c>
      <c r="G524" s="3" t="s">
        <v>2454</v>
      </c>
      <c r="H524" s="3"/>
      <c r="I524" s="3" t="s">
        <v>2455</v>
      </c>
      <c r="J524" s="3">
        <v>15</v>
      </c>
      <c r="K524" s="3">
        <v>4</v>
      </c>
      <c r="L524" s="3">
        <v>0</v>
      </c>
      <c r="M524" s="3">
        <v>11</v>
      </c>
      <c r="N524" s="3">
        <v>15</v>
      </c>
      <c r="O524" s="3">
        <v>0.2</v>
      </c>
      <c r="P524" s="3">
        <v>0</v>
      </c>
      <c r="Q524" s="3">
        <v>0</v>
      </c>
      <c r="R524" s="3">
        <v>0</v>
      </c>
    </row>
    <row r="525" spans="1:18">
      <c r="A525" s="3" t="s">
        <v>123</v>
      </c>
      <c r="B525" s="3" t="s">
        <v>124</v>
      </c>
      <c r="C525" s="3" t="s">
        <v>125</v>
      </c>
      <c r="D525" s="3" t="s">
        <v>126</v>
      </c>
      <c r="E525" s="3" t="s">
        <v>538</v>
      </c>
      <c r="F525" s="3">
        <v>20.99</v>
      </c>
      <c r="G525" s="3" t="s">
        <v>2454</v>
      </c>
      <c r="H525" s="3"/>
      <c r="I525" s="3" t="s">
        <v>2455</v>
      </c>
      <c r="J525" s="3">
        <v>11</v>
      </c>
      <c r="K525" s="3">
        <v>6</v>
      </c>
      <c r="L525" s="3">
        <v>0</v>
      </c>
      <c r="M525" s="3">
        <v>5</v>
      </c>
      <c r="N525" s="3">
        <v>11</v>
      </c>
      <c r="O525" s="3">
        <v>0.12</v>
      </c>
      <c r="P525" s="3">
        <v>0</v>
      </c>
      <c r="Q525" s="3">
        <v>0</v>
      </c>
      <c r="R525" s="3">
        <v>0</v>
      </c>
    </row>
    <row r="526" spans="1:18">
      <c r="A526" s="3" t="s">
        <v>135</v>
      </c>
      <c r="B526" s="3" t="s">
        <v>136</v>
      </c>
      <c r="C526" s="3" t="s">
        <v>137</v>
      </c>
      <c r="D526" s="3" t="s">
        <v>138</v>
      </c>
      <c r="E526" s="3" t="s">
        <v>538</v>
      </c>
      <c r="F526" s="3">
        <v>20.99</v>
      </c>
      <c r="G526" s="3" t="s">
        <v>2454</v>
      </c>
      <c r="H526" s="3"/>
      <c r="I526" s="3" t="s">
        <v>2455</v>
      </c>
      <c r="J526" s="3">
        <v>9</v>
      </c>
      <c r="K526" s="3">
        <v>8</v>
      </c>
      <c r="L526" s="3">
        <v>0</v>
      </c>
      <c r="M526" s="3">
        <v>1</v>
      </c>
      <c r="N526" s="3">
        <v>9</v>
      </c>
      <c r="O526" s="3">
        <v>0.15</v>
      </c>
      <c r="P526" s="3">
        <v>0</v>
      </c>
      <c r="Q526" s="3">
        <v>0</v>
      </c>
      <c r="R526" s="3">
        <v>0</v>
      </c>
    </row>
    <row r="527" spans="1:18">
      <c r="A527" s="3" t="s">
        <v>127</v>
      </c>
      <c r="B527" s="3" t="s">
        <v>128</v>
      </c>
      <c r="C527" s="3" t="s">
        <v>129</v>
      </c>
      <c r="D527" s="3" t="s">
        <v>130</v>
      </c>
      <c r="E527" s="3" t="s">
        <v>538</v>
      </c>
      <c r="F527" s="3">
        <v>20.99</v>
      </c>
      <c r="G527" s="3" t="s">
        <v>2454</v>
      </c>
      <c r="H527" s="3"/>
      <c r="I527" s="3" t="s">
        <v>2455</v>
      </c>
      <c r="J527" s="3">
        <v>6</v>
      </c>
      <c r="K527" s="3">
        <v>5</v>
      </c>
      <c r="L527" s="3">
        <v>0</v>
      </c>
      <c r="M527" s="3">
        <v>1</v>
      </c>
      <c r="N527" s="3">
        <v>6</v>
      </c>
      <c r="O527" s="3">
        <v>0.12</v>
      </c>
      <c r="P527" s="3">
        <v>0</v>
      </c>
      <c r="Q527" s="3">
        <v>0</v>
      </c>
      <c r="R527" s="3">
        <v>0</v>
      </c>
    </row>
    <row r="528" spans="1:18">
      <c r="A528" s="3" t="s">
        <v>3171</v>
      </c>
      <c r="B528" s="3" t="s">
        <v>3172</v>
      </c>
      <c r="C528" s="3" t="s">
        <v>3173</v>
      </c>
      <c r="D528" s="3" t="s">
        <v>3174</v>
      </c>
      <c r="E528" s="3" t="s">
        <v>538</v>
      </c>
      <c r="F528" s="3">
        <v>65.99</v>
      </c>
      <c r="G528" s="3" t="s">
        <v>2454</v>
      </c>
      <c r="H528" s="3"/>
      <c r="I528" s="3" t="s">
        <v>2455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0.16</v>
      </c>
      <c r="P528" s="3">
        <v>0</v>
      </c>
      <c r="Q528" s="3">
        <v>0</v>
      </c>
      <c r="R528" s="3">
        <v>0</v>
      </c>
    </row>
    <row r="529" spans="1:18">
      <c r="A529" s="3" t="s">
        <v>3175</v>
      </c>
      <c r="B529" s="3" t="s">
        <v>3176</v>
      </c>
      <c r="C529" s="3" t="s">
        <v>3177</v>
      </c>
      <c r="D529" s="3" t="s">
        <v>3178</v>
      </c>
      <c r="E529" s="3" t="s">
        <v>538</v>
      </c>
      <c r="F529" s="3">
        <v>66.99</v>
      </c>
      <c r="G529" s="3" t="s">
        <v>2454</v>
      </c>
      <c r="H529" s="3"/>
      <c r="I529" s="3" t="s">
        <v>2455</v>
      </c>
      <c r="J529" s="3">
        <v>0</v>
      </c>
      <c r="K529" s="3">
        <v>0</v>
      </c>
      <c r="L529" s="3">
        <v>0</v>
      </c>
      <c r="M529" s="3">
        <v>0</v>
      </c>
      <c r="N529" s="3">
        <v>0</v>
      </c>
      <c r="O529" s="3">
        <v>0.3</v>
      </c>
      <c r="P529" s="3">
        <v>0</v>
      </c>
      <c r="Q529" s="3">
        <v>0</v>
      </c>
      <c r="R529" s="3">
        <v>0</v>
      </c>
    </row>
    <row r="530" spans="1:18">
      <c r="A530" s="3" t="s">
        <v>1364</v>
      </c>
      <c r="B530" s="3" t="s">
        <v>1365</v>
      </c>
      <c r="C530" s="3" t="s">
        <v>1366</v>
      </c>
      <c r="D530" s="3" t="s">
        <v>1367</v>
      </c>
      <c r="E530" s="3" t="s">
        <v>538</v>
      </c>
      <c r="F530" s="3">
        <v>24.99</v>
      </c>
      <c r="G530" s="3" t="s">
        <v>2454</v>
      </c>
      <c r="H530" s="3"/>
      <c r="I530" s="3" t="s">
        <v>2455</v>
      </c>
      <c r="J530" s="3">
        <v>11</v>
      </c>
      <c r="K530" s="3">
        <v>11</v>
      </c>
      <c r="L530" s="3">
        <v>0</v>
      </c>
      <c r="M530" s="3">
        <v>0</v>
      </c>
      <c r="N530" s="3">
        <v>11</v>
      </c>
      <c r="O530" s="3">
        <v>0.07</v>
      </c>
      <c r="P530" s="3">
        <v>0</v>
      </c>
      <c r="Q530" s="3">
        <v>0</v>
      </c>
      <c r="R530" s="3">
        <v>0</v>
      </c>
    </row>
    <row r="531" spans="1:18">
      <c r="A531" s="3" t="s">
        <v>3179</v>
      </c>
      <c r="B531" s="3" t="s">
        <v>3180</v>
      </c>
      <c r="C531" s="3" t="s">
        <v>3181</v>
      </c>
      <c r="D531" s="3" t="s">
        <v>3182</v>
      </c>
      <c r="E531" s="3" t="s">
        <v>538</v>
      </c>
      <c r="F531" s="3">
        <v>8.58</v>
      </c>
      <c r="G531" s="3" t="s">
        <v>2454</v>
      </c>
      <c r="H531" s="3"/>
      <c r="I531" s="3" t="s">
        <v>2455</v>
      </c>
      <c r="J531" s="3">
        <v>0</v>
      </c>
      <c r="K531" s="3">
        <v>0</v>
      </c>
      <c r="L531" s="3">
        <v>0</v>
      </c>
      <c r="M531" s="3">
        <v>0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</row>
    <row r="532" spans="1:18">
      <c r="A532" s="3" t="s">
        <v>3183</v>
      </c>
      <c r="B532" s="3" t="s">
        <v>3184</v>
      </c>
      <c r="C532" s="3" t="s">
        <v>3185</v>
      </c>
      <c r="D532" s="3" t="s">
        <v>3186</v>
      </c>
      <c r="E532" s="3" t="s">
        <v>538</v>
      </c>
      <c r="F532" s="3">
        <v>65.5</v>
      </c>
      <c r="G532" s="3" t="s">
        <v>2454</v>
      </c>
      <c r="H532" s="3"/>
      <c r="I532" s="3" t="s">
        <v>2455</v>
      </c>
      <c r="J532" s="3">
        <v>0</v>
      </c>
      <c r="K532" s="3">
        <v>0</v>
      </c>
      <c r="L532" s="3">
        <v>0</v>
      </c>
      <c r="M532" s="3">
        <v>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</row>
    <row r="533" spans="1:18">
      <c r="A533" s="3" t="s">
        <v>2262</v>
      </c>
      <c r="B533" s="3" t="s">
        <v>2263</v>
      </c>
      <c r="C533" s="3" t="s">
        <v>2264</v>
      </c>
      <c r="D533" s="3" t="s">
        <v>2265</v>
      </c>
      <c r="E533" s="3" t="s">
        <v>538</v>
      </c>
      <c r="F533" s="3">
        <v>39.2</v>
      </c>
      <c r="G533" s="3" t="s">
        <v>2454</v>
      </c>
      <c r="H533" s="3"/>
      <c r="I533" s="3" t="s">
        <v>2455</v>
      </c>
      <c r="J533" s="3">
        <v>4</v>
      </c>
      <c r="K533" s="3">
        <v>3</v>
      </c>
      <c r="L533" s="3">
        <v>1</v>
      </c>
      <c r="M533" s="3">
        <v>0</v>
      </c>
      <c r="N533" s="3">
        <v>4</v>
      </c>
      <c r="O533" s="3">
        <v>0</v>
      </c>
      <c r="P533" s="3">
        <v>0</v>
      </c>
      <c r="Q533" s="3">
        <v>0</v>
      </c>
      <c r="R533" s="3">
        <v>0</v>
      </c>
    </row>
    <row r="534" spans="1:18">
      <c r="A534" s="3" t="s">
        <v>1046</v>
      </c>
      <c r="B534" s="3" t="s">
        <v>1047</v>
      </c>
      <c r="C534" s="3" t="s">
        <v>1048</v>
      </c>
      <c r="D534" s="3" t="s">
        <v>1049</v>
      </c>
      <c r="E534" s="3" t="s">
        <v>538</v>
      </c>
      <c r="F534" s="3">
        <v>52.9</v>
      </c>
      <c r="G534" s="3" t="s">
        <v>2454</v>
      </c>
      <c r="H534" s="3"/>
      <c r="I534" s="3" t="s">
        <v>2455</v>
      </c>
      <c r="J534" s="3">
        <v>7</v>
      </c>
      <c r="K534" s="3">
        <v>7</v>
      </c>
      <c r="L534" s="3">
        <v>0</v>
      </c>
      <c r="M534" s="3">
        <v>0</v>
      </c>
      <c r="N534" s="3">
        <v>7</v>
      </c>
      <c r="O534" s="3">
        <v>0</v>
      </c>
      <c r="P534" s="3">
        <v>0</v>
      </c>
      <c r="Q534" s="3">
        <v>0</v>
      </c>
      <c r="R534" s="3">
        <v>0</v>
      </c>
    </row>
    <row r="535" spans="1:18">
      <c r="A535" s="3" t="s">
        <v>2350</v>
      </c>
      <c r="B535" s="3" t="s">
        <v>2351</v>
      </c>
      <c r="C535" s="3" t="s">
        <v>2352</v>
      </c>
      <c r="D535" s="3" t="s">
        <v>2353</v>
      </c>
      <c r="E535" s="3" t="s">
        <v>538</v>
      </c>
      <c r="F535" s="3">
        <v>65.5</v>
      </c>
      <c r="G535" s="3" t="s">
        <v>2454</v>
      </c>
      <c r="H535" s="3"/>
      <c r="I535" s="3" t="s">
        <v>2455</v>
      </c>
      <c r="J535" s="3">
        <v>3</v>
      </c>
      <c r="K535" s="3">
        <v>3</v>
      </c>
      <c r="L535" s="3">
        <v>0</v>
      </c>
      <c r="M535" s="3">
        <v>0</v>
      </c>
      <c r="N535" s="3">
        <v>3</v>
      </c>
      <c r="O535" s="3">
        <v>0</v>
      </c>
      <c r="P535" s="3">
        <v>0</v>
      </c>
      <c r="Q535" s="3">
        <v>0</v>
      </c>
      <c r="R535" s="3">
        <v>0</v>
      </c>
    </row>
    <row r="536" spans="1:18">
      <c r="A536" s="3" t="s">
        <v>1948</v>
      </c>
      <c r="B536" s="3" t="s">
        <v>1949</v>
      </c>
      <c r="C536" s="3" t="s">
        <v>1950</v>
      </c>
      <c r="D536" s="3" t="s">
        <v>1951</v>
      </c>
      <c r="E536" s="3" t="s">
        <v>538</v>
      </c>
      <c r="F536" s="3">
        <v>100</v>
      </c>
      <c r="G536" s="3" t="s">
        <v>2454</v>
      </c>
      <c r="H536" s="3"/>
      <c r="I536" s="3" t="s">
        <v>2455</v>
      </c>
      <c r="J536" s="3">
        <v>1</v>
      </c>
      <c r="K536" s="3">
        <v>1</v>
      </c>
      <c r="L536" s="3">
        <v>0</v>
      </c>
      <c r="M536" s="3">
        <v>0</v>
      </c>
      <c r="N536" s="3">
        <v>1</v>
      </c>
      <c r="O536" s="3">
        <v>0.11</v>
      </c>
      <c r="P536" s="3">
        <v>0</v>
      </c>
      <c r="Q536" s="3">
        <v>0</v>
      </c>
      <c r="R536" s="3">
        <v>0</v>
      </c>
    </row>
    <row r="537" spans="1:18">
      <c r="A537" s="3" t="s">
        <v>1375</v>
      </c>
      <c r="B537" s="3" t="s">
        <v>1376</v>
      </c>
      <c r="C537" s="3" t="s">
        <v>1377</v>
      </c>
      <c r="D537" s="3" t="s">
        <v>1378</v>
      </c>
      <c r="E537" s="3" t="s">
        <v>538</v>
      </c>
      <c r="F537" s="3">
        <v>111.4</v>
      </c>
      <c r="G537" s="3" t="s">
        <v>2454</v>
      </c>
      <c r="H537" s="3"/>
      <c r="I537" s="3" t="s">
        <v>2455</v>
      </c>
      <c r="J537" s="3">
        <v>9</v>
      </c>
      <c r="K537" s="3">
        <v>9</v>
      </c>
      <c r="L537" s="3">
        <v>0</v>
      </c>
      <c r="M537" s="3">
        <v>0</v>
      </c>
      <c r="N537" s="3">
        <v>9</v>
      </c>
      <c r="O537" s="3">
        <v>0</v>
      </c>
      <c r="P537" s="3">
        <v>0</v>
      </c>
      <c r="Q537" s="3">
        <v>0</v>
      </c>
      <c r="R537" s="3">
        <v>0</v>
      </c>
    </row>
    <row r="538" spans="1:18">
      <c r="A538" s="3" t="s">
        <v>3187</v>
      </c>
      <c r="B538" s="3" t="s">
        <v>3188</v>
      </c>
      <c r="C538" s="3" t="s">
        <v>3189</v>
      </c>
      <c r="D538" s="3" t="s">
        <v>1854</v>
      </c>
      <c r="E538" s="3" t="s">
        <v>538</v>
      </c>
      <c r="F538" s="3">
        <v>24.99</v>
      </c>
      <c r="G538" s="3" t="s">
        <v>2454</v>
      </c>
      <c r="H538" s="3"/>
      <c r="I538" s="3" t="s">
        <v>2455</v>
      </c>
      <c r="J538" s="3">
        <v>0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</row>
    <row r="539" spans="1:18">
      <c r="A539" s="3" t="s">
        <v>2216</v>
      </c>
      <c r="B539" s="3" t="s">
        <v>2217</v>
      </c>
      <c r="C539" s="3" t="s">
        <v>2218</v>
      </c>
      <c r="D539" s="3" t="s">
        <v>1854</v>
      </c>
      <c r="E539" s="3" t="s">
        <v>538</v>
      </c>
      <c r="F539" s="3">
        <v>24.99</v>
      </c>
      <c r="G539" s="3" t="s">
        <v>2454</v>
      </c>
      <c r="H539" s="3"/>
      <c r="I539" s="3" t="s">
        <v>2455</v>
      </c>
      <c r="J539" s="3">
        <v>8</v>
      </c>
      <c r="K539" s="3">
        <v>8</v>
      </c>
      <c r="L539" s="3">
        <v>0</v>
      </c>
      <c r="M539" s="3">
        <v>0</v>
      </c>
      <c r="N539" s="3">
        <v>8</v>
      </c>
      <c r="O539" s="3">
        <v>0</v>
      </c>
      <c r="P539" s="3">
        <v>0</v>
      </c>
      <c r="Q539" s="3">
        <v>0</v>
      </c>
      <c r="R539" s="3">
        <v>0</v>
      </c>
    </row>
    <row r="540" spans="1:18">
      <c r="A540" s="3" t="s">
        <v>1851</v>
      </c>
      <c r="B540" s="3" t="s">
        <v>1852</v>
      </c>
      <c r="C540" s="3" t="s">
        <v>1853</v>
      </c>
      <c r="D540" s="3" t="s">
        <v>1854</v>
      </c>
      <c r="E540" s="3" t="s">
        <v>538</v>
      </c>
      <c r="F540" s="3">
        <v>24.99</v>
      </c>
      <c r="G540" s="3" t="s">
        <v>2454</v>
      </c>
      <c r="H540" s="3"/>
      <c r="I540" s="3" t="s">
        <v>2455</v>
      </c>
      <c r="J540" s="3">
        <v>5</v>
      </c>
      <c r="K540" s="3">
        <v>5</v>
      </c>
      <c r="L540" s="3">
        <v>0</v>
      </c>
      <c r="M540" s="3">
        <v>0</v>
      </c>
      <c r="N540" s="3">
        <v>5</v>
      </c>
      <c r="O540" s="3">
        <v>0</v>
      </c>
      <c r="P540" s="3">
        <v>0</v>
      </c>
      <c r="Q540" s="3">
        <v>0</v>
      </c>
      <c r="R540" s="3">
        <v>0</v>
      </c>
    </row>
    <row r="541" spans="1:18">
      <c r="A541" s="3" t="s">
        <v>1568</v>
      </c>
      <c r="B541" s="3" t="s">
        <v>1569</v>
      </c>
      <c r="C541" s="3" t="s">
        <v>1570</v>
      </c>
      <c r="D541" s="3" t="s">
        <v>1571</v>
      </c>
      <c r="E541" s="3" t="s">
        <v>538</v>
      </c>
      <c r="F541" s="3">
        <v>24.99</v>
      </c>
      <c r="G541" s="3" t="s">
        <v>2454</v>
      </c>
      <c r="H541" s="3"/>
      <c r="I541" s="3" t="s">
        <v>2455</v>
      </c>
      <c r="J541" s="3">
        <v>7</v>
      </c>
      <c r="K541" s="3">
        <v>7</v>
      </c>
      <c r="L541" s="3">
        <v>0</v>
      </c>
      <c r="M541" s="3">
        <v>0</v>
      </c>
      <c r="N541" s="3">
        <v>7</v>
      </c>
      <c r="O541" s="3">
        <v>0.17</v>
      </c>
      <c r="P541" s="3">
        <v>0</v>
      </c>
      <c r="Q541" s="3">
        <v>0</v>
      </c>
      <c r="R541" s="3">
        <v>0</v>
      </c>
    </row>
    <row r="542" spans="1:18">
      <c r="A542" s="3" t="s">
        <v>3190</v>
      </c>
      <c r="B542" s="3" t="s">
        <v>3191</v>
      </c>
      <c r="C542" s="3" t="s">
        <v>3192</v>
      </c>
      <c r="D542" s="3" t="s">
        <v>2525</v>
      </c>
      <c r="E542" s="3" t="s">
        <v>538</v>
      </c>
      <c r="F542" s="3">
        <v>22.99</v>
      </c>
      <c r="G542" s="3" t="s">
        <v>2454</v>
      </c>
      <c r="H542" s="3"/>
      <c r="I542" s="3" t="s">
        <v>2455</v>
      </c>
      <c r="J542" s="3">
        <v>0</v>
      </c>
      <c r="K542" s="3">
        <v>0</v>
      </c>
      <c r="L542" s="3">
        <v>0</v>
      </c>
      <c r="M542" s="3">
        <v>0</v>
      </c>
      <c r="N542" s="3">
        <v>0</v>
      </c>
      <c r="O542" s="3">
        <v>0.02</v>
      </c>
      <c r="P542" s="3">
        <v>0</v>
      </c>
      <c r="Q542" s="3">
        <v>0</v>
      </c>
      <c r="R542" s="3">
        <v>0</v>
      </c>
    </row>
    <row r="543" spans="1:18">
      <c r="A543" s="3" t="s">
        <v>3193</v>
      </c>
      <c r="B543" s="3" t="s">
        <v>3194</v>
      </c>
      <c r="C543" s="3" t="s">
        <v>3195</v>
      </c>
      <c r="D543" s="3" t="s">
        <v>2525</v>
      </c>
      <c r="E543" s="3" t="s">
        <v>538</v>
      </c>
      <c r="F543" s="3">
        <v>22.99</v>
      </c>
      <c r="G543" s="3" t="s">
        <v>2454</v>
      </c>
      <c r="H543" s="3"/>
      <c r="I543" s="3" t="s">
        <v>2455</v>
      </c>
      <c r="J543" s="3">
        <v>0</v>
      </c>
      <c r="K543" s="3">
        <v>0</v>
      </c>
      <c r="L543" s="3">
        <v>0</v>
      </c>
      <c r="M543" s="3">
        <v>0</v>
      </c>
      <c r="N543" s="3">
        <v>0</v>
      </c>
      <c r="O543" s="3">
        <v>0.02</v>
      </c>
      <c r="P543" s="3">
        <v>0</v>
      </c>
      <c r="Q543" s="3">
        <v>0</v>
      </c>
      <c r="R543" s="3">
        <v>0</v>
      </c>
    </row>
    <row r="544" spans="1:18">
      <c r="A544" s="3" t="s">
        <v>3196</v>
      </c>
      <c r="B544" s="3" t="s">
        <v>3197</v>
      </c>
      <c r="C544" s="3" t="s">
        <v>3198</v>
      </c>
      <c r="D544" s="3" t="s">
        <v>2525</v>
      </c>
      <c r="E544" s="3" t="s">
        <v>538</v>
      </c>
      <c r="F544" s="3">
        <v>22.99</v>
      </c>
      <c r="G544" s="3" t="s">
        <v>2454</v>
      </c>
      <c r="H544" s="3"/>
      <c r="I544" s="3" t="s">
        <v>2455</v>
      </c>
      <c r="J544" s="3">
        <v>0</v>
      </c>
      <c r="K544" s="3">
        <v>0</v>
      </c>
      <c r="L544" s="3">
        <v>0</v>
      </c>
      <c r="M544" s="3">
        <v>0</v>
      </c>
      <c r="N544" s="3">
        <v>0</v>
      </c>
      <c r="O544" s="3">
        <v>0.02</v>
      </c>
      <c r="P544" s="3">
        <v>0</v>
      </c>
      <c r="Q544" s="3">
        <v>0</v>
      </c>
      <c r="R544" s="3">
        <v>0</v>
      </c>
    </row>
    <row r="545" spans="1:18">
      <c r="A545" s="3" t="s">
        <v>3199</v>
      </c>
      <c r="B545" s="3" t="s">
        <v>3200</v>
      </c>
      <c r="C545" s="3" t="s">
        <v>3201</v>
      </c>
      <c r="D545" s="3" t="s">
        <v>2525</v>
      </c>
      <c r="E545" s="3" t="s">
        <v>538</v>
      </c>
      <c r="F545" s="3">
        <v>22.99</v>
      </c>
      <c r="G545" s="3" t="s">
        <v>2454</v>
      </c>
      <c r="H545" s="3"/>
      <c r="I545" s="3" t="s">
        <v>2455</v>
      </c>
      <c r="J545" s="3">
        <v>0</v>
      </c>
      <c r="K545" s="3">
        <v>0</v>
      </c>
      <c r="L545" s="3">
        <v>0</v>
      </c>
      <c r="M545" s="3">
        <v>0</v>
      </c>
      <c r="N545" s="3">
        <v>0</v>
      </c>
      <c r="O545" s="3">
        <v>0.02</v>
      </c>
      <c r="P545" s="3">
        <v>0</v>
      </c>
      <c r="Q545" s="3">
        <v>0</v>
      </c>
      <c r="R545" s="3">
        <v>0</v>
      </c>
    </row>
    <row r="546" spans="1:18">
      <c r="A546" s="3" t="s">
        <v>3202</v>
      </c>
      <c r="B546" s="3" t="s">
        <v>3203</v>
      </c>
      <c r="C546" s="3" t="s">
        <v>3204</v>
      </c>
      <c r="D546" s="3" t="s">
        <v>2525</v>
      </c>
      <c r="E546" s="3" t="s">
        <v>538</v>
      </c>
      <c r="F546" s="3">
        <v>22.99</v>
      </c>
      <c r="G546" s="3" t="s">
        <v>2454</v>
      </c>
      <c r="H546" s="3"/>
      <c r="I546" s="3" t="s">
        <v>2455</v>
      </c>
      <c r="J546" s="3">
        <v>0</v>
      </c>
      <c r="K546" s="3">
        <v>0</v>
      </c>
      <c r="L546" s="3">
        <v>0</v>
      </c>
      <c r="M546" s="3">
        <v>0</v>
      </c>
      <c r="N546" s="3">
        <v>0</v>
      </c>
      <c r="O546" s="3">
        <v>0.07</v>
      </c>
      <c r="P546" s="3">
        <v>0</v>
      </c>
      <c r="Q546" s="3">
        <v>0</v>
      </c>
      <c r="R546" s="3">
        <v>0</v>
      </c>
    </row>
    <row r="547" spans="1:18">
      <c r="A547" s="3" t="s">
        <v>3205</v>
      </c>
      <c r="B547" s="3" t="s">
        <v>3206</v>
      </c>
      <c r="C547" s="3" t="s">
        <v>3207</v>
      </c>
      <c r="D547" s="3"/>
      <c r="E547" s="3" t="s">
        <v>2459</v>
      </c>
      <c r="F547" s="3"/>
      <c r="G547" s="3"/>
      <c r="H547" s="3"/>
      <c r="I547" s="3"/>
      <c r="J547" s="3">
        <v>0</v>
      </c>
      <c r="K547" s="3">
        <v>0</v>
      </c>
      <c r="L547" s="3">
        <v>0</v>
      </c>
      <c r="M547" s="3">
        <v>0</v>
      </c>
      <c r="N547" s="3">
        <v>0</v>
      </c>
      <c r="O547" s="3"/>
      <c r="P547" s="3">
        <v>0</v>
      </c>
      <c r="Q547" s="3">
        <v>0</v>
      </c>
      <c r="R547" s="3">
        <v>0</v>
      </c>
    </row>
    <row r="548" spans="1:18">
      <c r="A548" s="3" t="s">
        <v>3208</v>
      </c>
      <c r="B548" s="3" t="s">
        <v>3209</v>
      </c>
      <c r="C548" s="3" t="s">
        <v>3210</v>
      </c>
      <c r="D548" s="3" t="s">
        <v>2525</v>
      </c>
      <c r="E548" s="3" t="s">
        <v>538</v>
      </c>
      <c r="F548" s="3">
        <v>22.99</v>
      </c>
      <c r="G548" s="3" t="s">
        <v>2454</v>
      </c>
      <c r="H548" s="3"/>
      <c r="I548" s="3" t="s">
        <v>2455</v>
      </c>
      <c r="J548" s="3">
        <v>0</v>
      </c>
      <c r="K548" s="3">
        <v>0</v>
      </c>
      <c r="L548" s="3">
        <v>0</v>
      </c>
      <c r="M548" s="3">
        <v>0</v>
      </c>
      <c r="N548" s="3">
        <v>0</v>
      </c>
      <c r="O548" s="3">
        <v>0.07</v>
      </c>
      <c r="P548" s="3">
        <v>0</v>
      </c>
      <c r="Q548" s="3">
        <v>0</v>
      </c>
      <c r="R548" s="3">
        <v>0</v>
      </c>
    </row>
    <row r="549" spans="1:18">
      <c r="A549" s="3" t="s">
        <v>3211</v>
      </c>
      <c r="B549" s="3" t="s">
        <v>3212</v>
      </c>
      <c r="C549" s="3" t="s">
        <v>3213</v>
      </c>
      <c r="D549" s="3" t="s">
        <v>2525</v>
      </c>
      <c r="E549" s="3" t="s">
        <v>538</v>
      </c>
      <c r="F549" s="3">
        <v>22.99</v>
      </c>
      <c r="G549" s="3" t="s">
        <v>2454</v>
      </c>
      <c r="H549" s="3"/>
      <c r="I549" s="3" t="s">
        <v>2455</v>
      </c>
      <c r="J549" s="3">
        <v>0</v>
      </c>
      <c r="K549" s="3">
        <v>0</v>
      </c>
      <c r="L549" s="3">
        <v>0</v>
      </c>
      <c r="M549" s="3">
        <v>0</v>
      </c>
      <c r="N549" s="3">
        <v>0</v>
      </c>
      <c r="O549" s="3">
        <v>0.12</v>
      </c>
      <c r="P549" s="3">
        <v>0</v>
      </c>
      <c r="Q549" s="3">
        <v>0</v>
      </c>
      <c r="R549" s="3">
        <v>0</v>
      </c>
    </row>
    <row r="550" spans="1:18">
      <c r="A550" s="3" t="s">
        <v>3214</v>
      </c>
      <c r="B550" s="3" t="s">
        <v>3215</v>
      </c>
      <c r="C550" s="3" t="s">
        <v>3216</v>
      </c>
      <c r="D550" s="3" t="s">
        <v>2525</v>
      </c>
      <c r="E550" s="3" t="s">
        <v>538</v>
      </c>
      <c r="F550" s="3">
        <v>22.99</v>
      </c>
      <c r="G550" s="3" t="s">
        <v>2454</v>
      </c>
      <c r="H550" s="3"/>
      <c r="I550" s="3" t="s">
        <v>2455</v>
      </c>
      <c r="J550" s="3">
        <v>0</v>
      </c>
      <c r="K550" s="3">
        <v>0</v>
      </c>
      <c r="L550" s="3">
        <v>0</v>
      </c>
      <c r="M550" s="3">
        <v>0</v>
      </c>
      <c r="N550" s="3">
        <v>0</v>
      </c>
      <c r="O550" s="3">
        <v>0.08</v>
      </c>
      <c r="P550" s="3">
        <v>0</v>
      </c>
      <c r="Q550" s="3">
        <v>0</v>
      </c>
      <c r="R550" s="3">
        <v>0</v>
      </c>
    </row>
    <row r="551" spans="1:18">
      <c r="A551" s="3" t="s">
        <v>641</v>
      </c>
      <c r="B551" s="3" t="s">
        <v>642</v>
      </c>
      <c r="C551" s="3" t="s">
        <v>643</v>
      </c>
      <c r="D551" s="3" t="s">
        <v>644</v>
      </c>
      <c r="E551" s="3" t="s">
        <v>538</v>
      </c>
      <c r="F551" s="3">
        <v>14.7</v>
      </c>
      <c r="G551" s="3" t="s">
        <v>2454</v>
      </c>
      <c r="H551" s="3"/>
      <c r="I551" s="3" t="s">
        <v>2455</v>
      </c>
      <c r="J551" s="3">
        <v>1</v>
      </c>
      <c r="K551" s="3">
        <v>1</v>
      </c>
      <c r="L551" s="3">
        <v>0</v>
      </c>
      <c r="M551" s="3">
        <v>0</v>
      </c>
      <c r="N551" s="3">
        <v>1</v>
      </c>
      <c r="O551" s="3">
        <v>0.04</v>
      </c>
      <c r="P551" s="3">
        <v>0</v>
      </c>
      <c r="Q551" s="3">
        <v>0</v>
      </c>
      <c r="R551" s="3">
        <v>0</v>
      </c>
    </row>
    <row r="552" spans="1:18">
      <c r="A552" s="3" t="s">
        <v>3217</v>
      </c>
      <c r="B552" s="3" t="s">
        <v>3218</v>
      </c>
      <c r="C552" s="3" t="s">
        <v>3219</v>
      </c>
      <c r="D552" s="3" t="s">
        <v>3220</v>
      </c>
      <c r="E552" s="3" t="s">
        <v>538</v>
      </c>
      <c r="F552" s="3">
        <v>24.99</v>
      </c>
      <c r="G552" s="3" t="s">
        <v>2454</v>
      </c>
      <c r="H552" s="3"/>
      <c r="I552" s="3" t="s">
        <v>2455</v>
      </c>
      <c r="J552" s="3">
        <v>0</v>
      </c>
      <c r="K552" s="3">
        <v>0</v>
      </c>
      <c r="L552" s="3">
        <v>0</v>
      </c>
      <c r="M552" s="3">
        <v>0</v>
      </c>
      <c r="N552" s="3">
        <v>0</v>
      </c>
      <c r="O552" s="3">
        <v>0</v>
      </c>
      <c r="P552" s="3">
        <v>0</v>
      </c>
      <c r="Q552" s="3">
        <v>0</v>
      </c>
      <c r="R552" s="3">
        <v>0</v>
      </c>
    </row>
    <row r="553" spans="1:18">
      <c r="A553" s="3" t="s">
        <v>3221</v>
      </c>
      <c r="B553" s="3" t="s">
        <v>3222</v>
      </c>
      <c r="C553" s="3" t="s">
        <v>3223</v>
      </c>
      <c r="D553" s="3" t="s">
        <v>3220</v>
      </c>
      <c r="E553" s="3" t="s">
        <v>538</v>
      </c>
      <c r="F553" s="3">
        <v>24.99</v>
      </c>
      <c r="G553" s="3" t="s">
        <v>2454</v>
      </c>
      <c r="H553" s="3"/>
      <c r="I553" s="3" t="s">
        <v>2455</v>
      </c>
      <c r="J553" s="3">
        <v>0</v>
      </c>
      <c r="K553" s="3">
        <v>0</v>
      </c>
      <c r="L553" s="3">
        <v>0</v>
      </c>
      <c r="M553" s="3">
        <v>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</row>
    <row r="554" spans="1:18">
      <c r="A554" s="3" t="s">
        <v>3224</v>
      </c>
      <c r="B554" s="3" t="s">
        <v>3225</v>
      </c>
      <c r="C554" s="3" t="s">
        <v>3226</v>
      </c>
      <c r="D554" s="3" t="s">
        <v>3220</v>
      </c>
      <c r="E554" s="3" t="s">
        <v>538</v>
      </c>
      <c r="F554" s="3">
        <v>24.99</v>
      </c>
      <c r="G554" s="3" t="s">
        <v>2454</v>
      </c>
      <c r="H554" s="3"/>
      <c r="I554" s="3" t="s">
        <v>2455</v>
      </c>
      <c r="J554" s="3">
        <v>0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</row>
    <row r="555" spans="1:18">
      <c r="A555" s="3" t="s">
        <v>3227</v>
      </c>
      <c r="B555" s="3" t="s">
        <v>3228</v>
      </c>
      <c r="C555" s="3" t="s">
        <v>3229</v>
      </c>
      <c r="D555" s="3" t="s">
        <v>3220</v>
      </c>
      <c r="E555" s="3" t="s">
        <v>538</v>
      </c>
      <c r="F555" s="3">
        <v>24.99</v>
      </c>
      <c r="G555" s="3" t="s">
        <v>2454</v>
      </c>
      <c r="H555" s="3"/>
      <c r="I555" s="3" t="s">
        <v>2455</v>
      </c>
      <c r="J555" s="3">
        <v>0</v>
      </c>
      <c r="K555" s="3">
        <v>0</v>
      </c>
      <c r="L555" s="3">
        <v>0</v>
      </c>
      <c r="M555" s="3">
        <v>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</row>
    <row r="556" spans="1:18">
      <c r="A556" s="3" t="s">
        <v>3230</v>
      </c>
      <c r="B556" s="3" t="s">
        <v>3231</v>
      </c>
      <c r="C556" s="3" t="s">
        <v>3232</v>
      </c>
      <c r="D556" s="3" t="s">
        <v>1401</v>
      </c>
      <c r="E556" s="3" t="s">
        <v>538</v>
      </c>
      <c r="F556" s="3">
        <v>22.99</v>
      </c>
      <c r="G556" s="3" t="s">
        <v>2454</v>
      </c>
      <c r="H556" s="3"/>
      <c r="I556" s="3" t="s">
        <v>2455</v>
      </c>
      <c r="J556" s="3">
        <v>0</v>
      </c>
      <c r="K556" s="3">
        <v>0</v>
      </c>
      <c r="L556" s="3">
        <v>0</v>
      </c>
      <c r="M556" s="3">
        <v>0</v>
      </c>
      <c r="N556" s="3">
        <v>0</v>
      </c>
      <c r="O556" s="3">
        <v>0.06</v>
      </c>
      <c r="P556" s="3">
        <v>0</v>
      </c>
      <c r="Q556" s="3">
        <v>0</v>
      </c>
      <c r="R556" s="3">
        <v>0</v>
      </c>
    </row>
    <row r="557" spans="1:18">
      <c r="A557" s="3" t="s">
        <v>3233</v>
      </c>
      <c r="B557" s="3" t="s">
        <v>3234</v>
      </c>
      <c r="C557" s="3" t="s">
        <v>3235</v>
      </c>
      <c r="D557" s="3" t="s">
        <v>1401</v>
      </c>
      <c r="E557" s="3" t="s">
        <v>538</v>
      </c>
      <c r="F557" s="3">
        <v>22.99</v>
      </c>
      <c r="G557" s="3" t="s">
        <v>2454</v>
      </c>
      <c r="H557" s="3"/>
      <c r="I557" s="3" t="s">
        <v>2455</v>
      </c>
      <c r="J557" s="3">
        <v>0</v>
      </c>
      <c r="K557" s="3">
        <v>0</v>
      </c>
      <c r="L557" s="3">
        <v>0</v>
      </c>
      <c r="M557" s="3">
        <v>0</v>
      </c>
      <c r="N557" s="3">
        <v>0</v>
      </c>
      <c r="O557" s="3">
        <v>0.02</v>
      </c>
      <c r="P557" s="3">
        <v>0</v>
      </c>
      <c r="Q557" s="3">
        <v>0</v>
      </c>
      <c r="R557" s="3">
        <v>0</v>
      </c>
    </row>
    <row r="558" spans="1:18">
      <c r="A558" s="3" t="s">
        <v>3236</v>
      </c>
      <c r="B558" s="3" t="s">
        <v>3237</v>
      </c>
      <c r="C558" s="3" t="s">
        <v>3238</v>
      </c>
      <c r="D558" s="3" t="s">
        <v>1401</v>
      </c>
      <c r="E558" s="3" t="s">
        <v>538</v>
      </c>
      <c r="F558" s="3">
        <v>22.99</v>
      </c>
      <c r="G558" s="3" t="s">
        <v>2454</v>
      </c>
      <c r="H558" s="3"/>
      <c r="I558" s="3" t="s">
        <v>2455</v>
      </c>
      <c r="J558" s="3">
        <v>0</v>
      </c>
      <c r="K558" s="3">
        <v>0</v>
      </c>
      <c r="L558" s="3">
        <v>0</v>
      </c>
      <c r="M558" s="3">
        <v>0</v>
      </c>
      <c r="N558" s="3">
        <v>0</v>
      </c>
      <c r="O558" s="3">
        <v>0.09</v>
      </c>
      <c r="P558" s="3">
        <v>0</v>
      </c>
      <c r="Q558" s="3">
        <v>0</v>
      </c>
      <c r="R558" s="3">
        <v>0</v>
      </c>
    </row>
    <row r="559" spans="1:18">
      <c r="A559" s="3" t="s">
        <v>3239</v>
      </c>
      <c r="B559" s="3" t="s">
        <v>3240</v>
      </c>
      <c r="C559" s="3" t="s">
        <v>3241</v>
      </c>
      <c r="D559" s="3" t="s">
        <v>1401</v>
      </c>
      <c r="E559" s="3" t="s">
        <v>538</v>
      </c>
      <c r="F559" s="3">
        <v>22.99</v>
      </c>
      <c r="G559" s="3" t="s">
        <v>2454</v>
      </c>
      <c r="H559" s="3"/>
      <c r="I559" s="3" t="s">
        <v>2455</v>
      </c>
      <c r="J559" s="3">
        <v>0</v>
      </c>
      <c r="K559" s="3">
        <v>0</v>
      </c>
      <c r="L559" s="3">
        <v>0</v>
      </c>
      <c r="M559" s="3">
        <v>0</v>
      </c>
      <c r="N559" s="3">
        <v>0</v>
      </c>
      <c r="O559" s="3">
        <v>0.02</v>
      </c>
      <c r="P559" s="3">
        <v>0</v>
      </c>
      <c r="Q559" s="3">
        <v>0</v>
      </c>
      <c r="R559" s="3">
        <v>0</v>
      </c>
    </row>
    <row r="560" spans="1:18">
      <c r="A560" s="3" t="s">
        <v>3242</v>
      </c>
      <c r="B560" s="3" t="s">
        <v>3243</v>
      </c>
      <c r="C560" s="3" t="s">
        <v>3244</v>
      </c>
      <c r="D560" s="3" t="s">
        <v>1401</v>
      </c>
      <c r="E560" s="3" t="s">
        <v>538</v>
      </c>
      <c r="F560" s="3">
        <v>22.99</v>
      </c>
      <c r="G560" s="3" t="s">
        <v>2454</v>
      </c>
      <c r="H560" s="3"/>
      <c r="I560" s="3" t="s">
        <v>2455</v>
      </c>
      <c r="J560" s="3">
        <v>0</v>
      </c>
      <c r="K560" s="3">
        <v>0</v>
      </c>
      <c r="L560" s="3">
        <v>0</v>
      </c>
      <c r="M560" s="3">
        <v>0</v>
      </c>
      <c r="N560" s="3">
        <v>0</v>
      </c>
      <c r="O560" s="3">
        <v>0.13</v>
      </c>
      <c r="P560" s="3">
        <v>0</v>
      </c>
      <c r="Q560" s="3">
        <v>0</v>
      </c>
      <c r="R560" s="3">
        <v>0</v>
      </c>
    </row>
    <row r="561" spans="1:18">
      <c r="A561" s="3" t="s">
        <v>3245</v>
      </c>
      <c r="B561" s="3" t="s">
        <v>3246</v>
      </c>
      <c r="C561" s="3" t="s">
        <v>3247</v>
      </c>
      <c r="D561" s="3" t="s">
        <v>1401</v>
      </c>
      <c r="E561" s="3" t="s">
        <v>538</v>
      </c>
      <c r="F561" s="3">
        <v>22.99</v>
      </c>
      <c r="G561" s="3" t="s">
        <v>2454</v>
      </c>
      <c r="H561" s="3"/>
      <c r="I561" s="3" t="s">
        <v>2455</v>
      </c>
      <c r="J561" s="3">
        <v>0</v>
      </c>
      <c r="K561" s="3">
        <v>0</v>
      </c>
      <c r="L561" s="3">
        <v>0</v>
      </c>
      <c r="M561" s="3">
        <v>0</v>
      </c>
      <c r="N561" s="3">
        <v>0</v>
      </c>
      <c r="O561" s="3">
        <v>0.16</v>
      </c>
      <c r="P561" s="3">
        <v>0</v>
      </c>
      <c r="Q561" s="3">
        <v>0</v>
      </c>
      <c r="R561" s="3">
        <v>0</v>
      </c>
    </row>
    <row r="562" spans="1:18">
      <c r="A562" s="3" t="s">
        <v>3248</v>
      </c>
      <c r="B562" s="3" t="s">
        <v>3249</v>
      </c>
      <c r="C562" s="3" t="s">
        <v>3250</v>
      </c>
      <c r="D562" s="3" t="s">
        <v>1401</v>
      </c>
      <c r="E562" s="3" t="s">
        <v>538</v>
      </c>
      <c r="F562" s="3">
        <v>22.99</v>
      </c>
      <c r="G562" s="3" t="s">
        <v>2454</v>
      </c>
      <c r="H562" s="3"/>
      <c r="I562" s="3" t="s">
        <v>2455</v>
      </c>
      <c r="J562" s="3">
        <v>0</v>
      </c>
      <c r="K562" s="3">
        <v>0</v>
      </c>
      <c r="L562" s="3">
        <v>0</v>
      </c>
      <c r="M562" s="3">
        <v>0</v>
      </c>
      <c r="N562" s="3">
        <v>0</v>
      </c>
      <c r="O562" s="3">
        <v>0.02</v>
      </c>
      <c r="P562" s="3">
        <v>0</v>
      </c>
      <c r="Q562" s="3">
        <v>0</v>
      </c>
      <c r="R562" s="3">
        <v>0</v>
      </c>
    </row>
    <row r="563" spans="1:18">
      <c r="A563" s="3" t="s">
        <v>3251</v>
      </c>
      <c r="B563" s="3" t="s">
        <v>3252</v>
      </c>
      <c r="C563" s="3" t="s">
        <v>3253</v>
      </c>
      <c r="D563" s="3" t="s">
        <v>1401</v>
      </c>
      <c r="E563" s="3" t="s">
        <v>538</v>
      </c>
      <c r="F563" s="3">
        <v>22.99</v>
      </c>
      <c r="G563" s="3" t="s">
        <v>2454</v>
      </c>
      <c r="H563" s="3"/>
      <c r="I563" s="3" t="s">
        <v>2455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0.02</v>
      </c>
      <c r="P563" s="3">
        <v>0</v>
      </c>
      <c r="Q563" s="3">
        <v>0</v>
      </c>
      <c r="R563" s="3">
        <v>0</v>
      </c>
    </row>
    <row r="564" spans="1:18">
      <c r="A564" s="3" t="s">
        <v>3254</v>
      </c>
      <c r="B564" s="3" t="s">
        <v>3255</v>
      </c>
      <c r="C564" s="3" t="s">
        <v>3256</v>
      </c>
      <c r="D564" s="3" t="s">
        <v>1401</v>
      </c>
      <c r="E564" s="3" t="s">
        <v>538</v>
      </c>
      <c r="F564" s="3">
        <v>22.99</v>
      </c>
      <c r="G564" s="3" t="s">
        <v>2454</v>
      </c>
      <c r="H564" s="3"/>
      <c r="I564" s="3" t="s">
        <v>2455</v>
      </c>
      <c r="J564" s="3">
        <v>0</v>
      </c>
      <c r="K564" s="3">
        <v>0</v>
      </c>
      <c r="L564" s="3">
        <v>0</v>
      </c>
      <c r="M564" s="3">
        <v>0</v>
      </c>
      <c r="N564" s="3">
        <v>0</v>
      </c>
      <c r="O564" s="3">
        <v>0.09</v>
      </c>
      <c r="P564" s="3">
        <v>0</v>
      </c>
      <c r="Q564" s="3">
        <v>0</v>
      </c>
      <c r="R564" s="3">
        <v>0</v>
      </c>
    </row>
    <row r="565" spans="1:18">
      <c r="A565" s="3" t="s">
        <v>3257</v>
      </c>
      <c r="B565" s="3" t="s">
        <v>3258</v>
      </c>
      <c r="C565" s="3" t="s">
        <v>3259</v>
      </c>
      <c r="D565" s="3" t="s">
        <v>1401</v>
      </c>
      <c r="E565" s="3" t="s">
        <v>538</v>
      </c>
      <c r="F565" s="3">
        <v>22.99</v>
      </c>
      <c r="G565" s="3" t="s">
        <v>2454</v>
      </c>
      <c r="H565" s="3"/>
      <c r="I565" s="3" t="s">
        <v>2455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0.07</v>
      </c>
      <c r="P565" s="3">
        <v>0</v>
      </c>
      <c r="Q565" s="3">
        <v>0</v>
      </c>
      <c r="R565" s="3">
        <v>0</v>
      </c>
    </row>
    <row r="566" spans="1:18">
      <c r="A566" s="3" t="s">
        <v>3260</v>
      </c>
      <c r="B566" s="3" t="s">
        <v>3261</v>
      </c>
      <c r="C566" s="3" t="s">
        <v>3262</v>
      </c>
      <c r="D566" s="3" t="s">
        <v>1401</v>
      </c>
      <c r="E566" s="3" t="s">
        <v>538</v>
      </c>
      <c r="F566" s="3">
        <v>22.99</v>
      </c>
      <c r="G566" s="3" t="s">
        <v>2454</v>
      </c>
      <c r="H566" s="3"/>
      <c r="I566" s="3" t="s">
        <v>2455</v>
      </c>
      <c r="J566" s="3">
        <v>0</v>
      </c>
      <c r="K566" s="3">
        <v>0</v>
      </c>
      <c r="L566" s="3">
        <v>0</v>
      </c>
      <c r="M566" s="3">
        <v>0</v>
      </c>
      <c r="N566" s="3">
        <v>0</v>
      </c>
      <c r="O566" s="3">
        <v>0.1</v>
      </c>
      <c r="P566" s="3">
        <v>0</v>
      </c>
      <c r="Q566" s="3">
        <v>0</v>
      </c>
      <c r="R566" s="3">
        <v>0</v>
      </c>
    </row>
    <row r="567" spans="1:18">
      <c r="A567" s="3" t="s">
        <v>3263</v>
      </c>
      <c r="B567" s="3" t="s">
        <v>3264</v>
      </c>
      <c r="C567" s="3" t="s">
        <v>3265</v>
      </c>
      <c r="D567" s="3" t="s">
        <v>1401</v>
      </c>
      <c r="E567" s="3" t="s">
        <v>538</v>
      </c>
      <c r="F567" s="3">
        <v>22.99</v>
      </c>
      <c r="G567" s="3" t="s">
        <v>2454</v>
      </c>
      <c r="H567" s="3"/>
      <c r="I567" s="3" t="s">
        <v>2455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0.02</v>
      </c>
      <c r="P567" s="3">
        <v>0</v>
      </c>
      <c r="Q567" s="3">
        <v>0</v>
      </c>
      <c r="R567" s="3">
        <v>0</v>
      </c>
    </row>
    <row r="568" spans="1:18">
      <c r="A568" s="3" t="s">
        <v>2124</v>
      </c>
      <c r="B568" s="3" t="s">
        <v>2125</v>
      </c>
      <c r="C568" s="3" t="s">
        <v>2126</v>
      </c>
      <c r="D568" s="3" t="s">
        <v>1401</v>
      </c>
      <c r="E568" s="3" t="s">
        <v>538</v>
      </c>
      <c r="F568" s="3">
        <v>22.99</v>
      </c>
      <c r="G568" s="3" t="s">
        <v>2454</v>
      </c>
      <c r="H568" s="3"/>
      <c r="I568" s="3" t="s">
        <v>2455</v>
      </c>
      <c r="J568" s="3">
        <v>25</v>
      </c>
      <c r="K568" s="3">
        <v>25</v>
      </c>
      <c r="L568" s="3">
        <v>0</v>
      </c>
      <c r="M568" s="3">
        <v>0</v>
      </c>
      <c r="N568" s="3">
        <v>25</v>
      </c>
      <c r="O568" s="3">
        <v>0.16</v>
      </c>
      <c r="P568" s="3">
        <v>0</v>
      </c>
      <c r="Q568" s="3">
        <v>0</v>
      </c>
      <c r="R568" s="3">
        <v>0</v>
      </c>
    </row>
    <row r="569" spans="1:18">
      <c r="A569" s="3" t="s">
        <v>2157</v>
      </c>
      <c r="B569" s="3" t="s">
        <v>2158</v>
      </c>
      <c r="C569" s="3" t="s">
        <v>2159</v>
      </c>
      <c r="D569" s="3" t="s">
        <v>1401</v>
      </c>
      <c r="E569" s="3" t="s">
        <v>538</v>
      </c>
      <c r="F569" s="3">
        <v>22.99</v>
      </c>
      <c r="G569" s="3" t="s">
        <v>2454</v>
      </c>
      <c r="H569" s="3"/>
      <c r="I569" s="3" t="s">
        <v>2455</v>
      </c>
      <c r="J569" s="3">
        <v>3</v>
      </c>
      <c r="K569" s="3">
        <v>3</v>
      </c>
      <c r="L569" s="3">
        <v>0</v>
      </c>
      <c r="M569" s="3">
        <v>0</v>
      </c>
      <c r="N569" s="3">
        <v>3</v>
      </c>
      <c r="O569" s="3">
        <v>0.05</v>
      </c>
      <c r="P569" s="3">
        <v>0</v>
      </c>
      <c r="Q569" s="3">
        <v>0</v>
      </c>
      <c r="R569" s="3">
        <v>0</v>
      </c>
    </row>
    <row r="570" spans="1:18">
      <c r="A570" s="3" t="s">
        <v>3266</v>
      </c>
      <c r="B570" s="3" t="s">
        <v>3267</v>
      </c>
      <c r="C570" s="3" t="s">
        <v>3268</v>
      </c>
      <c r="D570" s="3" t="s">
        <v>1401</v>
      </c>
      <c r="E570" s="3" t="s">
        <v>538</v>
      </c>
      <c r="F570" s="3">
        <v>22.99</v>
      </c>
      <c r="G570" s="3" t="s">
        <v>2454</v>
      </c>
      <c r="H570" s="3"/>
      <c r="I570" s="3" t="s">
        <v>2455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0.08</v>
      </c>
      <c r="P570" s="3">
        <v>0</v>
      </c>
      <c r="Q570" s="3">
        <v>0</v>
      </c>
      <c r="R570" s="3">
        <v>0</v>
      </c>
    </row>
    <row r="571" spans="1:18">
      <c r="A571" s="3" t="s">
        <v>3269</v>
      </c>
      <c r="B571" s="3" t="s">
        <v>3270</v>
      </c>
      <c r="C571" s="3" t="s">
        <v>3271</v>
      </c>
      <c r="D571" s="3" t="s">
        <v>1401</v>
      </c>
      <c r="E571" s="3" t="s">
        <v>538</v>
      </c>
      <c r="F571" s="3">
        <v>22.99</v>
      </c>
      <c r="G571" s="3" t="s">
        <v>2454</v>
      </c>
      <c r="H571" s="3"/>
      <c r="I571" s="3" t="s">
        <v>2455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0.06</v>
      </c>
      <c r="P571" s="3">
        <v>0</v>
      </c>
      <c r="Q571" s="3">
        <v>0</v>
      </c>
      <c r="R571" s="3">
        <v>0</v>
      </c>
    </row>
    <row r="572" spans="1:18">
      <c r="A572" s="3" t="s">
        <v>3272</v>
      </c>
      <c r="B572" s="3" t="s">
        <v>3273</v>
      </c>
      <c r="C572" s="3" t="s">
        <v>3274</v>
      </c>
      <c r="D572" s="3" t="s">
        <v>1401</v>
      </c>
      <c r="E572" s="3" t="s">
        <v>538</v>
      </c>
      <c r="F572" s="3">
        <v>22.99</v>
      </c>
      <c r="G572" s="3" t="s">
        <v>2454</v>
      </c>
      <c r="H572" s="3"/>
      <c r="I572" s="3" t="s">
        <v>2455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0.12</v>
      </c>
      <c r="P572" s="3">
        <v>0</v>
      </c>
      <c r="Q572" s="3">
        <v>0</v>
      </c>
      <c r="R572" s="3">
        <v>0</v>
      </c>
    </row>
    <row r="573" spans="1:18">
      <c r="A573" s="3" t="s">
        <v>3275</v>
      </c>
      <c r="B573" s="3" t="s">
        <v>3276</v>
      </c>
      <c r="C573" s="3" t="s">
        <v>3277</v>
      </c>
      <c r="D573" s="3" t="s">
        <v>1401</v>
      </c>
      <c r="E573" s="3" t="s">
        <v>538</v>
      </c>
      <c r="F573" s="3">
        <v>22.99</v>
      </c>
      <c r="G573" s="3" t="s">
        <v>2454</v>
      </c>
      <c r="H573" s="3"/>
      <c r="I573" s="3" t="s">
        <v>2455</v>
      </c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>
        <v>0.07</v>
      </c>
      <c r="P573" s="3">
        <v>0</v>
      </c>
      <c r="Q573" s="3">
        <v>0</v>
      </c>
      <c r="R573" s="3">
        <v>0</v>
      </c>
    </row>
    <row r="574" spans="1:18">
      <c r="A574" s="3" t="s">
        <v>3278</v>
      </c>
      <c r="B574" s="3" t="s">
        <v>3279</v>
      </c>
      <c r="C574" s="3" t="s">
        <v>3280</v>
      </c>
      <c r="D574" s="3" t="s">
        <v>1401</v>
      </c>
      <c r="E574" s="3" t="s">
        <v>538</v>
      </c>
      <c r="F574" s="3">
        <v>22.99</v>
      </c>
      <c r="G574" s="3" t="s">
        <v>2454</v>
      </c>
      <c r="H574" s="3"/>
      <c r="I574" s="3" t="s">
        <v>2455</v>
      </c>
      <c r="J574" s="3">
        <v>0</v>
      </c>
      <c r="K574" s="3">
        <v>0</v>
      </c>
      <c r="L574" s="3">
        <v>0</v>
      </c>
      <c r="M574" s="3">
        <v>0</v>
      </c>
      <c r="N574" s="3">
        <v>0</v>
      </c>
      <c r="O574" s="3">
        <v>0.02</v>
      </c>
      <c r="P574" s="3">
        <v>0</v>
      </c>
      <c r="Q574" s="3">
        <v>0</v>
      </c>
      <c r="R574" s="3">
        <v>0</v>
      </c>
    </row>
    <row r="575" spans="1:18">
      <c r="A575" s="3" t="s">
        <v>1398</v>
      </c>
      <c r="B575" s="3" t="s">
        <v>1399</v>
      </c>
      <c r="C575" s="3" t="s">
        <v>1400</v>
      </c>
      <c r="D575" s="3" t="s">
        <v>1401</v>
      </c>
      <c r="E575" s="3" t="s">
        <v>538</v>
      </c>
      <c r="F575" s="3">
        <v>22.99</v>
      </c>
      <c r="G575" s="3" t="s">
        <v>2454</v>
      </c>
      <c r="H575" s="3"/>
      <c r="I575" s="3" t="s">
        <v>2455</v>
      </c>
      <c r="J575" s="3">
        <v>5</v>
      </c>
      <c r="K575" s="3">
        <v>5</v>
      </c>
      <c r="L575" s="3">
        <v>0</v>
      </c>
      <c r="M575" s="3">
        <v>0</v>
      </c>
      <c r="N575" s="3">
        <v>5</v>
      </c>
      <c r="O575" s="3">
        <v>0.02</v>
      </c>
      <c r="P575" s="3">
        <v>0</v>
      </c>
      <c r="Q575" s="3">
        <v>0</v>
      </c>
      <c r="R575" s="3">
        <v>0</v>
      </c>
    </row>
    <row r="576" spans="1:18">
      <c r="A576" s="3" t="s">
        <v>3281</v>
      </c>
      <c r="B576" s="3" t="s">
        <v>3282</v>
      </c>
      <c r="C576" s="3" t="s">
        <v>3283</v>
      </c>
      <c r="D576" s="3" t="s">
        <v>1401</v>
      </c>
      <c r="E576" s="3" t="s">
        <v>538</v>
      </c>
      <c r="F576" s="3">
        <v>22.99</v>
      </c>
      <c r="G576" s="3" t="s">
        <v>2454</v>
      </c>
      <c r="H576" s="3"/>
      <c r="I576" s="3" t="s">
        <v>2455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0.17</v>
      </c>
      <c r="P576" s="3">
        <v>0</v>
      </c>
      <c r="Q576" s="3">
        <v>0</v>
      </c>
      <c r="R576" s="3">
        <v>0</v>
      </c>
    </row>
    <row r="577" spans="1:18">
      <c r="A577" s="3" t="s">
        <v>3284</v>
      </c>
      <c r="B577" s="3" t="s">
        <v>3285</v>
      </c>
      <c r="C577" s="3" t="s">
        <v>3286</v>
      </c>
      <c r="D577" s="3" t="s">
        <v>1401</v>
      </c>
      <c r="E577" s="3" t="s">
        <v>538</v>
      </c>
      <c r="F577" s="3">
        <v>22.99</v>
      </c>
      <c r="G577" s="3" t="s">
        <v>2454</v>
      </c>
      <c r="H577" s="3"/>
      <c r="I577" s="3" t="s">
        <v>2455</v>
      </c>
      <c r="J577" s="3">
        <v>0</v>
      </c>
      <c r="K577" s="3">
        <v>0</v>
      </c>
      <c r="L577" s="3">
        <v>0</v>
      </c>
      <c r="M577" s="3">
        <v>0</v>
      </c>
      <c r="N577" s="3">
        <v>0</v>
      </c>
      <c r="O577" s="3">
        <v>0.04</v>
      </c>
      <c r="P577" s="3">
        <v>0</v>
      </c>
      <c r="Q577" s="3">
        <v>0</v>
      </c>
      <c r="R577" s="3">
        <v>0</v>
      </c>
    </row>
    <row r="578" spans="1:18">
      <c r="A578" s="3" t="s">
        <v>1618</v>
      </c>
      <c r="B578" s="3" t="s">
        <v>1619</v>
      </c>
      <c r="C578" s="3" t="s">
        <v>1620</v>
      </c>
      <c r="D578" s="3" t="s">
        <v>1621</v>
      </c>
      <c r="E578" s="3" t="s">
        <v>538</v>
      </c>
      <c r="F578" s="3">
        <v>13.99</v>
      </c>
      <c r="G578" s="3" t="s">
        <v>2454</v>
      </c>
      <c r="H578" s="3"/>
      <c r="I578" s="3" t="s">
        <v>2455</v>
      </c>
      <c r="J578" s="3">
        <v>8</v>
      </c>
      <c r="K578" s="3">
        <v>8</v>
      </c>
      <c r="L578" s="3">
        <v>0</v>
      </c>
      <c r="M578" s="3">
        <v>0</v>
      </c>
      <c r="N578" s="3">
        <v>8</v>
      </c>
      <c r="O578" s="3">
        <v>0.2</v>
      </c>
      <c r="P578" s="3">
        <v>0</v>
      </c>
      <c r="Q578" s="3">
        <v>0</v>
      </c>
      <c r="R578" s="3">
        <v>0</v>
      </c>
    </row>
    <row r="579" spans="1:18">
      <c r="A579" s="3" t="s">
        <v>1464</v>
      </c>
      <c r="B579" s="3" t="s">
        <v>1465</v>
      </c>
      <c r="C579" s="3" t="s">
        <v>1466</v>
      </c>
      <c r="D579" s="3" t="s">
        <v>1467</v>
      </c>
      <c r="E579" s="3" t="s">
        <v>538</v>
      </c>
      <c r="F579" s="3">
        <v>13.99</v>
      </c>
      <c r="G579" s="3" t="s">
        <v>2454</v>
      </c>
      <c r="H579" s="3"/>
      <c r="I579" s="3" t="s">
        <v>2455</v>
      </c>
      <c r="J579" s="3">
        <v>13</v>
      </c>
      <c r="K579" s="3">
        <v>13</v>
      </c>
      <c r="L579" s="3">
        <v>0</v>
      </c>
      <c r="M579" s="3">
        <v>0</v>
      </c>
      <c r="N579" s="3">
        <v>13</v>
      </c>
      <c r="O579" s="3">
        <v>0.09</v>
      </c>
      <c r="P579" s="3">
        <v>0</v>
      </c>
      <c r="Q579" s="3">
        <v>0</v>
      </c>
      <c r="R579" s="3">
        <v>0</v>
      </c>
    </row>
    <row r="580" spans="1:18">
      <c r="A580" s="3" t="s">
        <v>171</v>
      </c>
      <c r="B580" s="3" t="s">
        <v>172</v>
      </c>
      <c r="C580" s="3" t="s">
        <v>173</v>
      </c>
      <c r="D580" s="3" t="s">
        <v>174</v>
      </c>
      <c r="E580" s="3" t="s">
        <v>538</v>
      </c>
      <c r="F580" s="3">
        <v>13.99</v>
      </c>
      <c r="G580" s="3" t="s">
        <v>2454</v>
      </c>
      <c r="H580" s="3"/>
      <c r="I580" s="3" t="s">
        <v>2455</v>
      </c>
      <c r="J580" s="3">
        <v>12</v>
      </c>
      <c r="K580" s="3">
        <v>9</v>
      </c>
      <c r="L580" s="3">
        <v>0</v>
      </c>
      <c r="M580" s="3">
        <v>3</v>
      </c>
      <c r="N580" s="3">
        <v>12</v>
      </c>
      <c r="O580" s="3">
        <v>0.11</v>
      </c>
      <c r="P580" s="3">
        <v>0</v>
      </c>
      <c r="Q580" s="3">
        <v>0</v>
      </c>
      <c r="R580" s="3">
        <v>0</v>
      </c>
    </row>
    <row r="581" spans="1:18">
      <c r="A581" s="3" t="s">
        <v>159</v>
      </c>
      <c r="B581" s="3" t="s">
        <v>160</v>
      </c>
      <c r="C581" s="3" t="s">
        <v>161</v>
      </c>
      <c r="D581" s="3" t="s">
        <v>162</v>
      </c>
      <c r="E581" s="3" t="s">
        <v>538</v>
      </c>
      <c r="F581" s="3">
        <v>13.99</v>
      </c>
      <c r="G581" s="3" t="s">
        <v>2454</v>
      </c>
      <c r="H581" s="3"/>
      <c r="I581" s="3" t="s">
        <v>2455</v>
      </c>
      <c r="J581" s="3">
        <v>21</v>
      </c>
      <c r="K581" s="3">
        <v>3</v>
      </c>
      <c r="L581" s="3">
        <v>6</v>
      </c>
      <c r="M581" s="3">
        <v>12</v>
      </c>
      <c r="N581" s="3">
        <v>21</v>
      </c>
      <c r="O581" s="3">
        <v>0.14</v>
      </c>
      <c r="P581" s="3">
        <v>0</v>
      </c>
      <c r="Q581" s="3">
        <v>0</v>
      </c>
      <c r="R581" s="3">
        <v>0</v>
      </c>
    </row>
    <row r="582" spans="1:18">
      <c r="A582" s="3" t="s">
        <v>155</v>
      </c>
      <c r="B582" s="3" t="s">
        <v>156</v>
      </c>
      <c r="C582" s="3" t="s">
        <v>157</v>
      </c>
      <c r="D582" s="3" t="s">
        <v>158</v>
      </c>
      <c r="E582" s="3" t="s">
        <v>538</v>
      </c>
      <c r="F582" s="3">
        <v>13.99</v>
      </c>
      <c r="G582" s="3" t="s">
        <v>2454</v>
      </c>
      <c r="H582" s="3"/>
      <c r="I582" s="3" t="s">
        <v>2455</v>
      </c>
      <c r="J582" s="3">
        <v>19</v>
      </c>
      <c r="K582" s="3">
        <v>11</v>
      </c>
      <c r="L582" s="3">
        <v>3</v>
      </c>
      <c r="M582" s="3">
        <v>5</v>
      </c>
      <c r="N582" s="3">
        <v>19</v>
      </c>
      <c r="O582" s="3">
        <v>0.09</v>
      </c>
      <c r="P582" s="3">
        <v>0</v>
      </c>
      <c r="Q582" s="3">
        <v>0</v>
      </c>
      <c r="R582" s="3">
        <v>0</v>
      </c>
    </row>
    <row r="583" spans="1:18">
      <c r="A583" s="3" t="s">
        <v>2409</v>
      </c>
      <c r="B583" s="3" t="s">
        <v>2410</v>
      </c>
      <c r="C583" s="3" t="s">
        <v>2411</v>
      </c>
      <c r="D583" s="3" t="s">
        <v>2412</v>
      </c>
      <c r="E583" s="3" t="s">
        <v>538</v>
      </c>
      <c r="F583" s="3">
        <v>13.99</v>
      </c>
      <c r="G583" s="3" t="s">
        <v>2454</v>
      </c>
      <c r="H583" s="3"/>
      <c r="I583" s="3" t="s">
        <v>2455</v>
      </c>
      <c r="J583" s="3">
        <v>20</v>
      </c>
      <c r="K583" s="3">
        <v>20</v>
      </c>
      <c r="L583" s="3">
        <v>0</v>
      </c>
      <c r="M583" s="3">
        <v>0</v>
      </c>
      <c r="N583" s="3">
        <v>20</v>
      </c>
      <c r="O583" s="3">
        <v>0.08</v>
      </c>
      <c r="P583" s="3">
        <v>0</v>
      </c>
      <c r="Q583" s="3">
        <v>0</v>
      </c>
      <c r="R583" s="3">
        <v>0</v>
      </c>
    </row>
    <row r="584" spans="1:18">
      <c r="A584" s="3" t="s">
        <v>1903</v>
      </c>
      <c r="B584" s="3" t="s">
        <v>1904</v>
      </c>
      <c r="C584" s="3" t="s">
        <v>1905</v>
      </c>
      <c r="D584" s="3" t="s">
        <v>1906</v>
      </c>
      <c r="E584" s="3" t="s">
        <v>538</v>
      </c>
      <c r="F584" s="3">
        <v>13.99</v>
      </c>
      <c r="G584" s="3" t="s">
        <v>2454</v>
      </c>
      <c r="H584" s="3"/>
      <c r="I584" s="3" t="s">
        <v>2455</v>
      </c>
      <c r="J584" s="3">
        <v>16</v>
      </c>
      <c r="K584" s="3">
        <v>16</v>
      </c>
      <c r="L584" s="3">
        <v>0</v>
      </c>
      <c r="M584" s="3">
        <v>0</v>
      </c>
      <c r="N584" s="3">
        <v>17</v>
      </c>
      <c r="O584" s="3">
        <v>0.11</v>
      </c>
      <c r="P584" s="3">
        <v>0</v>
      </c>
      <c r="Q584" s="3">
        <v>1</v>
      </c>
      <c r="R584" s="3">
        <v>0</v>
      </c>
    </row>
    <row r="585" spans="1:18">
      <c r="A585" s="3" t="s">
        <v>3287</v>
      </c>
      <c r="B585" s="3" t="s">
        <v>3288</v>
      </c>
      <c r="C585" s="3" t="s">
        <v>3289</v>
      </c>
      <c r="D585" s="3" t="s">
        <v>3290</v>
      </c>
      <c r="E585" s="3" t="s">
        <v>538</v>
      </c>
      <c r="F585" s="3">
        <v>13.99</v>
      </c>
      <c r="G585" s="3" t="s">
        <v>2454</v>
      </c>
      <c r="H585" s="3"/>
      <c r="I585" s="3" t="s">
        <v>2455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0.09</v>
      </c>
      <c r="P585" s="3">
        <v>0</v>
      </c>
      <c r="Q585" s="3">
        <v>0</v>
      </c>
      <c r="R585" s="3">
        <v>0</v>
      </c>
    </row>
    <row r="586" spans="1:18">
      <c r="A586" s="3" t="s">
        <v>1534</v>
      </c>
      <c r="B586" s="3" t="s">
        <v>1535</v>
      </c>
      <c r="C586" s="3" t="s">
        <v>1536</v>
      </c>
      <c r="D586" s="3" t="s">
        <v>1537</v>
      </c>
      <c r="E586" s="3" t="s">
        <v>538</v>
      </c>
      <c r="F586" s="3">
        <v>13.99</v>
      </c>
      <c r="G586" s="3" t="s">
        <v>2454</v>
      </c>
      <c r="H586" s="3"/>
      <c r="I586" s="3" t="s">
        <v>2455</v>
      </c>
      <c r="J586" s="3">
        <v>13</v>
      </c>
      <c r="K586" s="3">
        <v>13</v>
      </c>
      <c r="L586" s="3">
        <v>0</v>
      </c>
      <c r="M586" s="3">
        <v>0</v>
      </c>
      <c r="N586" s="3">
        <v>13</v>
      </c>
      <c r="O586" s="3">
        <v>0.09</v>
      </c>
      <c r="P586" s="3">
        <v>0</v>
      </c>
      <c r="Q586" s="3">
        <v>0</v>
      </c>
      <c r="R586" s="3">
        <v>0</v>
      </c>
    </row>
    <row r="587" spans="1:18">
      <c r="A587" s="3" t="s">
        <v>1492</v>
      </c>
      <c r="B587" s="3" t="s">
        <v>1493</v>
      </c>
      <c r="C587" s="3" t="s">
        <v>1494</v>
      </c>
      <c r="D587" s="3" t="s">
        <v>1495</v>
      </c>
      <c r="E587" s="3" t="s">
        <v>538</v>
      </c>
      <c r="F587" s="3">
        <v>13.99</v>
      </c>
      <c r="G587" s="3" t="s">
        <v>2454</v>
      </c>
      <c r="H587" s="3"/>
      <c r="I587" s="3" t="s">
        <v>2455</v>
      </c>
      <c r="J587" s="3">
        <v>12</v>
      </c>
      <c r="K587" s="3">
        <v>12</v>
      </c>
      <c r="L587" s="3">
        <v>0</v>
      </c>
      <c r="M587" s="3">
        <v>0</v>
      </c>
      <c r="N587" s="3">
        <v>12</v>
      </c>
      <c r="O587" s="3">
        <v>0.18</v>
      </c>
      <c r="P587" s="3">
        <v>0</v>
      </c>
      <c r="Q587" s="3">
        <v>0</v>
      </c>
      <c r="R587" s="3">
        <v>0</v>
      </c>
    </row>
    <row r="588" spans="1:18">
      <c r="A588" s="3" t="s">
        <v>3291</v>
      </c>
      <c r="B588" s="3" t="s">
        <v>3292</v>
      </c>
      <c r="C588" s="3" t="s">
        <v>3293</v>
      </c>
      <c r="D588" s="3" t="s">
        <v>3294</v>
      </c>
      <c r="E588" s="3" t="s">
        <v>538</v>
      </c>
      <c r="F588" s="3">
        <v>19.99</v>
      </c>
      <c r="G588" s="3" t="s">
        <v>2454</v>
      </c>
      <c r="H588" s="3"/>
      <c r="I588" s="3" t="s">
        <v>2455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0.1</v>
      </c>
      <c r="P588" s="3">
        <v>0</v>
      </c>
      <c r="Q588" s="3">
        <v>0</v>
      </c>
      <c r="R588" s="3">
        <v>0</v>
      </c>
    </row>
    <row r="589" spans="1:18">
      <c r="A589" s="3" t="s">
        <v>182</v>
      </c>
      <c r="B589" s="3" t="s">
        <v>183</v>
      </c>
      <c r="C589" s="3" t="s">
        <v>184</v>
      </c>
      <c r="D589" s="3" t="s">
        <v>185</v>
      </c>
      <c r="E589" s="3" t="s">
        <v>538</v>
      </c>
      <c r="F589" s="3">
        <v>22.99</v>
      </c>
      <c r="G589" s="3" t="s">
        <v>2454</v>
      </c>
      <c r="H589" s="3"/>
      <c r="I589" s="3" t="s">
        <v>2455</v>
      </c>
      <c r="J589" s="3">
        <v>345</v>
      </c>
      <c r="K589" s="3">
        <v>319</v>
      </c>
      <c r="L589" s="3">
        <v>3</v>
      </c>
      <c r="M589" s="3">
        <v>23</v>
      </c>
      <c r="N589" s="3">
        <v>442</v>
      </c>
      <c r="O589" s="3">
        <v>0.04</v>
      </c>
      <c r="P589" s="3">
        <v>0</v>
      </c>
      <c r="Q589" s="3">
        <v>97</v>
      </c>
      <c r="R589" s="3">
        <v>0</v>
      </c>
    </row>
    <row r="590" spans="1:18">
      <c r="A590" s="3" t="s">
        <v>143</v>
      </c>
      <c r="B590" s="3" t="s">
        <v>144</v>
      </c>
      <c r="C590" s="3" t="s">
        <v>145</v>
      </c>
      <c r="D590" s="3" t="s">
        <v>146</v>
      </c>
      <c r="E590" s="3" t="s">
        <v>538</v>
      </c>
      <c r="F590" s="3">
        <v>60.99</v>
      </c>
      <c r="G590" s="3" t="s">
        <v>2454</v>
      </c>
      <c r="H590" s="3"/>
      <c r="I590" s="3" t="s">
        <v>2455</v>
      </c>
      <c r="J590" s="3">
        <v>548</v>
      </c>
      <c r="K590" s="3">
        <v>369</v>
      </c>
      <c r="L590" s="3">
        <v>4</v>
      </c>
      <c r="M590" s="3">
        <v>175</v>
      </c>
      <c r="N590" s="3">
        <v>949</v>
      </c>
      <c r="O590" s="3">
        <v>0.03</v>
      </c>
      <c r="P590" s="3">
        <v>0</v>
      </c>
      <c r="Q590" s="3">
        <v>400</v>
      </c>
      <c r="R590" s="3">
        <v>1</v>
      </c>
    </row>
    <row r="591" spans="1:18">
      <c r="A591" s="3" t="s">
        <v>186</v>
      </c>
      <c r="B591" s="3" t="s">
        <v>187</v>
      </c>
      <c r="C591" s="3" t="s">
        <v>188</v>
      </c>
      <c r="D591" s="3" t="s">
        <v>189</v>
      </c>
      <c r="E591" s="3" t="s">
        <v>538</v>
      </c>
      <c r="F591" s="3">
        <v>60.99</v>
      </c>
      <c r="G591" s="3" t="s">
        <v>2454</v>
      </c>
      <c r="H591" s="3"/>
      <c r="I591" s="3" t="s">
        <v>2455</v>
      </c>
      <c r="J591" s="3">
        <v>362</v>
      </c>
      <c r="K591" s="3">
        <v>343</v>
      </c>
      <c r="L591" s="3">
        <v>2</v>
      </c>
      <c r="M591" s="3">
        <v>17</v>
      </c>
      <c r="N591" s="3">
        <v>442</v>
      </c>
      <c r="O591" s="3">
        <v>0.03</v>
      </c>
      <c r="P591" s="3">
        <v>0</v>
      </c>
      <c r="Q591" s="3">
        <v>80</v>
      </c>
      <c r="R591" s="3">
        <v>0</v>
      </c>
    </row>
    <row r="592" spans="1:18">
      <c r="A592" s="3" t="s">
        <v>167</v>
      </c>
      <c r="B592" s="3" t="s">
        <v>168</v>
      </c>
      <c r="C592" s="3" t="s">
        <v>169</v>
      </c>
      <c r="D592" s="3" t="s">
        <v>170</v>
      </c>
      <c r="E592" s="3" t="s">
        <v>538</v>
      </c>
      <c r="F592" s="3">
        <v>22.99</v>
      </c>
      <c r="G592" s="3" t="s">
        <v>2454</v>
      </c>
      <c r="H592" s="3"/>
      <c r="I592" s="3" t="s">
        <v>2455</v>
      </c>
      <c r="J592" s="3">
        <v>224</v>
      </c>
      <c r="K592" s="3">
        <v>116</v>
      </c>
      <c r="L592" s="3">
        <v>2</v>
      </c>
      <c r="M592" s="3">
        <v>106</v>
      </c>
      <c r="N592" s="3">
        <v>224</v>
      </c>
      <c r="O592" s="3">
        <v>0.03</v>
      </c>
      <c r="P592" s="3">
        <v>0</v>
      </c>
      <c r="Q592" s="3">
        <v>0</v>
      </c>
      <c r="R592" s="3">
        <v>0</v>
      </c>
    </row>
    <row r="593" spans="1:18">
      <c r="A593" s="3" t="s">
        <v>147</v>
      </c>
      <c r="B593" s="3" t="s">
        <v>148</v>
      </c>
      <c r="C593" s="3" t="s">
        <v>149</v>
      </c>
      <c r="D593" s="3" t="s">
        <v>150</v>
      </c>
      <c r="E593" s="3" t="s">
        <v>538</v>
      </c>
      <c r="F593" s="3">
        <v>23.99</v>
      </c>
      <c r="G593" s="3" t="s">
        <v>2454</v>
      </c>
      <c r="H593" s="3"/>
      <c r="I593" s="3" t="s">
        <v>2455</v>
      </c>
      <c r="J593" s="3">
        <v>468</v>
      </c>
      <c r="K593" s="3">
        <v>212</v>
      </c>
      <c r="L593" s="3">
        <v>4</v>
      </c>
      <c r="M593" s="3">
        <v>252</v>
      </c>
      <c r="N593" s="3">
        <v>697</v>
      </c>
      <c r="O593" s="3">
        <v>0.06</v>
      </c>
      <c r="P593" s="3">
        <v>0</v>
      </c>
      <c r="Q593" s="3">
        <v>89</v>
      </c>
      <c r="R593" s="3">
        <v>140</v>
      </c>
    </row>
    <row r="594" spans="1:18">
      <c r="A594" s="3" t="s">
        <v>179</v>
      </c>
      <c r="B594" s="3" t="s">
        <v>180</v>
      </c>
      <c r="C594" s="3" t="s">
        <v>181</v>
      </c>
      <c r="D594" s="3" t="s">
        <v>142</v>
      </c>
      <c r="E594" s="3" t="s">
        <v>538</v>
      </c>
      <c r="F594" s="3">
        <v>22.99</v>
      </c>
      <c r="G594" s="3" t="s">
        <v>2454</v>
      </c>
      <c r="H594" s="3"/>
      <c r="I594" s="3" t="s">
        <v>2455</v>
      </c>
      <c r="J594" s="3">
        <v>108</v>
      </c>
      <c r="K594" s="3">
        <v>103</v>
      </c>
      <c r="L594" s="3">
        <v>0</v>
      </c>
      <c r="M594" s="3">
        <v>5</v>
      </c>
      <c r="N594" s="3">
        <v>128</v>
      </c>
      <c r="O594" s="3">
        <v>0.03</v>
      </c>
      <c r="P594" s="3">
        <v>0</v>
      </c>
      <c r="Q594" s="3">
        <v>20</v>
      </c>
      <c r="R594" s="3">
        <v>0</v>
      </c>
    </row>
    <row r="595" spans="1:18">
      <c r="A595" s="3" t="s">
        <v>139</v>
      </c>
      <c r="B595" s="3" t="s">
        <v>140</v>
      </c>
      <c r="C595" s="3" t="s">
        <v>141</v>
      </c>
      <c r="D595" s="3" t="s">
        <v>142</v>
      </c>
      <c r="E595" s="3" t="s">
        <v>538</v>
      </c>
      <c r="F595" s="3">
        <v>22.99</v>
      </c>
      <c r="G595" s="3" t="s">
        <v>2454</v>
      </c>
      <c r="H595" s="3"/>
      <c r="I595" s="3" t="s">
        <v>2455</v>
      </c>
      <c r="J595" s="3">
        <v>163</v>
      </c>
      <c r="K595" s="3">
        <v>101</v>
      </c>
      <c r="L595" s="3">
        <v>0</v>
      </c>
      <c r="M595" s="3">
        <v>62</v>
      </c>
      <c r="N595" s="3">
        <v>313</v>
      </c>
      <c r="O595" s="3">
        <v>0.03</v>
      </c>
      <c r="P595" s="3">
        <v>150</v>
      </c>
      <c r="Q595" s="3">
        <v>0</v>
      </c>
      <c r="R595" s="3">
        <v>0</v>
      </c>
    </row>
    <row r="596" spans="1:18">
      <c r="A596" s="3" t="s">
        <v>3295</v>
      </c>
      <c r="B596" s="3" t="s">
        <v>3296</v>
      </c>
      <c r="C596" s="3" t="s">
        <v>3297</v>
      </c>
      <c r="D596" s="3" t="s">
        <v>193</v>
      </c>
      <c r="E596" s="3" t="s">
        <v>538</v>
      </c>
      <c r="F596" s="3">
        <v>22.99</v>
      </c>
      <c r="G596" s="3" t="s">
        <v>2454</v>
      </c>
      <c r="H596" s="3"/>
      <c r="I596" s="3" t="s">
        <v>2455</v>
      </c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>
        <v>0.03</v>
      </c>
      <c r="P596" s="3">
        <v>0</v>
      </c>
      <c r="Q596" s="3">
        <v>0</v>
      </c>
      <c r="R596" s="3">
        <v>0</v>
      </c>
    </row>
    <row r="597" spans="1:18">
      <c r="A597" s="3" t="s">
        <v>190</v>
      </c>
      <c r="B597" s="3" t="s">
        <v>191</v>
      </c>
      <c r="C597" s="3" t="s">
        <v>192</v>
      </c>
      <c r="D597" s="3" t="s">
        <v>193</v>
      </c>
      <c r="E597" s="3" t="s">
        <v>538</v>
      </c>
      <c r="F597" s="3">
        <v>22.99</v>
      </c>
      <c r="G597" s="3" t="s">
        <v>2454</v>
      </c>
      <c r="H597" s="3"/>
      <c r="I597" s="3" t="s">
        <v>2455</v>
      </c>
      <c r="J597" s="3">
        <v>102</v>
      </c>
      <c r="K597" s="3">
        <v>67</v>
      </c>
      <c r="L597" s="3">
        <v>0</v>
      </c>
      <c r="M597" s="3">
        <v>35</v>
      </c>
      <c r="N597" s="3">
        <v>102</v>
      </c>
      <c r="O597" s="3">
        <v>0.03</v>
      </c>
      <c r="P597" s="3">
        <v>0</v>
      </c>
      <c r="Q597" s="3">
        <v>0</v>
      </c>
      <c r="R597" s="3">
        <v>0</v>
      </c>
    </row>
    <row r="598" spans="1:18">
      <c r="A598" s="3" t="s">
        <v>163</v>
      </c>
      <c r="B598" s="3" t="s">
        <v>164</v>
      </c>
      <c r="C598" s="3" t="s">
        <v>165</v>
      </c>
      <c r="D598" s="3" t="s">
        <v>166</v>
      </c>
      <c r="E598" s="3" t="s">
        <v>538</v>
      </c>
      <c r="F598" s="3">
        <v>60.99</v>
      </c>
      <c r="G598" s="3" t="s">
        <v>2454</v>
      </c>
      <c r="H598" s="3"/>
      <c r="I598" s="3" t="s">
        <v>2455</v>
      </c>
      <c r="J598" s="3">
        <v>168</v>
      </c>
      <c r="K598" s="3">
        <v>158</v>
      </c>
      <c r="L598" s="3">
        <v>4</v>
      </c>
      <c r="M598" s="3">
        <v>6</v>
      </c>
      <c r="N598" s="3">
        <v>448</v>
      </c>
      <c r="O598" s="3">
        <v>0.05</v>
      </c>
      <c r="P598" s="3">
        <v>0</v>
      </c>
      <c r="Q598" s="3">
        <v>280</v>
      </c>
      <c r="R598" s="3">
        <v>0</v>
      </c>
    </row>
    <row r="599" spans="1:18">
      <c r="A599" s="3" t="s">
        <v>194</v>
      </c>
      <c r="B599" s="3" t="s">
        <v>195</v>
      </c>
      <c r="C599" s="3" t="s">
        <v>196</v>
      </c>
      <c r="D599" s="3" t="s">
        <v>197</v>
      </c>
      <c r="E599" s="3" t="s">
        <v>538</v>
      </c>
      <c r="F599" s="3">
        <v>22.99</v>
      </c>
      <c r="G599" s="3" t="s">
        <v>2454</v>
      </c>
      <c r="H599" s="3"/>
      <c r="I599" s="3" t="s">
        <v>2455</v>
      </c>
      <c r="J599" s="3">
        <v>217</v>
      </c>
      <c r="K599" s="3">
        <v>206</v>
      </c>
      <c r="L599" s="3">
        <v>0</v>
      </c>
      <c r="M599" s="3">
        <v>11</v>
      </c>
      <c r="N599" s="3">
        <v>327</v>
      </c>
      <c r="O599" s="3">
        <v>0.03</v>
      </c>
      <c r="P599" s="3">
        <v>0</v>
      </c>
      <c r="Q599" s="3">
        <v>110</v>
      </c>
      <c r="R599" s="3">
        <v>0</v>
      </c>
    </row>
    <row r="600" spans="1:18">
      <c r="A600" s="3" t="s">
        <v>151</v>
      </c>
      <c r="B600" s="3" t="s">
        <v>152</v>
      </c>
      <c r="C600" s="3" t="s">
        <v>153</v>
      </c>
      <c r="D600" s="3" t="s">
        <v>154</v>
      </c>
      <c r="E600" s="3" t="s">
        <v>538</v>
      </c>
      <c r="F600" s="3">
        <v>22.99</v>
      </c>
      <c r="G600" s="3" t="s">
        <v>2454</v>
      </c>
      <c r="H600" s="3"/>
      <c r="I600" s="3" t="s">
        <v>2455</v>
      </c>
      <c r="J600" s="3">
        <v>321</v>
      </c>
      <c r="K600" s="3">
        <v>288</v>
      </c>
      <c r="L600" s="3">
        <v>6</v>
      </c>
      <c r="M600" s="3">
        <v>27</v>
      </c>
      <c r="N600" s="3">
        <v>414</v>
      </c>
      <c r="O600" s="3">
        <v>0.03</v>
      </c>
      <c r="P600" s="3">
        <v>0</v>
      </c>
      <c r="Q600" s="3">
        <v>93</v>
      </c>
      <c r="R600" s="3">
        <v>0</v>
      </c>
    </row>
    <row r="601" spans="1:18">
      <c r="A601" s="3" t="s">
        <v>175</v>
      </c>
      <c r="B601" s="3" t="s">
        <v>176</v>
      </c>
      <c r="C601" s="3" t="s">
        <v>177</v>
      </c>
      <c r="D601" s="3" t="s">
        <v>178</v>
      </c>
      <c r="E601" s="3" t="s">
        <v>538</v>
      </c>
      <c r="F601" s="3">
        <v>25</v>
      </c>
      <c r="G601" s="3" t="s">
        <v>2454</v>
      </c>
      <c r="H601" s="3"/>
      <c r="I601" s="3" t="s">
        <v>2455</v>
      </c>
      <c r="J601" s="3">
        <v>6</v>
      </c>
      <c r="K601" s="3">
        <v>5</v>
      </c>
      <c r="L601" s="3">
        <v>0</v>
      </c>
      <c r="M601" s="3">
        <v>1</v>
      </c>
      <c r="N601" s="3">
        <v>6</v>
      </c>
      <c r="O601" s="3">
        <v>0</v>
      </c>
      <c r="P601" s="3">
        <v>0</v>
      </c>
      <c r="Q601" s="3">
        <v>0</v>
      </c>
      <c r="R601" s="3">
        <v>0</v>
      </c>
    </row>
    <row r="602" spans="1:18">
      <c r="A602" s="3" t="s">
        <v>1058</v>
      </c>
      <c r="B602" s="3" t="s">
        <v>1059</v>
      </c>
      <c r="C602" s="3" t="s">
        <v>1060</v>
      </c>
      <c r="D602" s="3" t="s">
        <v>1061</v>
      </c>
      <c r="E602" s="3" t="s">
        <v>538</v>
      </c>
      <c r="F602" s="3">
        <v>25</v>
      </c>
      <c r="G602" s="3" t="s">
        <v>2454</v>
      </c>
      <c r="H602" s="3"/>
      <c r="I602" s="3" t="s">
        <v>2455</v>
      </c>
      <c r="J602" s="3">
        <v>6</v>
      </c>
      <c r="K602" s="3">
        <v>6</v>
      </c>
      <c r="L602" s="3">
        <v>0</v>
      </c>
      <c r="M602" s="3">
        <v>0</v>
      </c>
      <c r="N602" s="3">
        <v>6</v>
      </c>
      <c r="O602" s="3">
        <v>0</v>
      </c>
      <c r="P602" s="3">
        <v>0</v>
      </c>
      <c r="Q602" s="3">
        <v>0</v>
      </c>
      <c r="R602" s="3">
        <v>0</v>
      </c>
    </row>
    <row r="603" spans="1:18">
      <c r="A603" s="3" t="s">
        <v>2190</v>
      </c>
      <c r="B603" s="3" t="s">
        <v>2191</v>
      </c>
      <c r="C603" s="3" t="s">
        <v>2192</v>
      </c>
      <c r="D603" s="3" t="s">
        <v>2193</v>
      </c>
      <c r="E603" s="3" t="s">
        <v>538</v>
      </c>
      <c r="F603" s="3">
        <v>25</v>
      </c>
      <c r="G603" s="3" t="s">
        <v>2454</v>
      </c>
      <c r="H603" s="3"/>
      <c r="I603" s="3" t="s">
        <v>2455</v>
      </c>
      <c r="J603" s="3">
        <v>7</v>
      </c>
      <c r="K603" s="3">
        <v>7</v>
      </c>
      <c r="L603" s="3">
        <v>0</v>
      </c>
      <c r="M603" s="3">
        <v>0</v>
      </c>
      <c r="N603" s="3">
        <v>7</v>
      </c>
      <c r="O603" s="3">
        <v>0</v>
      </c>
      <c r="P603" s="3">
        <v>0</v>
      </c>
      <c r="Q603" s="3">
        <v>0</v>
      </c>
      <c r="R603" s="3">
        <v>0</v>
      </c>
    </row>
    <row r="604" spans="1:18">
      <c r="A604" s="3" t="s">
        <v>3298</v>
      </c>
      <c r="B604" s="3" t="s">
        <v>3299</v>
      </c>
      <c r="C604" s="3" t="s">
        <v>3300</v>
      </c>
      <c r="D604" s="3"/>
      <c r="E604" s="3" t="s">
        <v>2459</v>
      </c>
      <c r="F604" s="3"/>
      <c r="G604" s="3"/>
      <c r="H604" s="3"/>
      <c r="I604" s="3"/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/>
      <c r="P604" s="3">
        <v>0</v>
      </c>
      <c r="Q604" s="3">
        <v>0</v>
      </c>
      <c r="R604" s="3">
        <v>0</v>
      </c>
    </row>
    <row r="605" spans="1:18">
      <c r="A605" s="3" t="s">
        <v>3301</v>
      </c>
      <c r="B605" s="3" t="s">
        <v>3302</v>
      </c>
      <c r="C605" s="3" t="s">
        <v>3303</v>
      </c>
      <c r="D605" s="3"/>
      <c r="E605" s="3" t="s">
        <v>2459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1264</v>
      </c>
      <c r="B606" s="3" t="s">
        <v>1265</v>
      </c>
      <c r="C606" s="3" t="s">
        <v>1266</v>
      </c>
      <c r="D606" s="3" t="s">
        <v>1267</v>
      </c>
      <c r="E606" s="3" t="s">
        <v>538</v>
      </c>
      <c r="F606" s="3">
        <v>24.99</v>
      </c>
      <c r="G606" s="3" t="s">
        <v>2454</v>
      </c>
      <c r="H606" s="3"/>
      <c r="I606" s="3" t="s">
        <v>2455</v>
      </c>
      <c r="J606" s="3">
        <v>5</v>
      </c>
      <c r="K606" s="3">
        <v>5</v>
      </c>
      <c r="L606" s="3">
        <v>0</v>
      </c>
      <c r="M606" s="3">
        <v>0</v>
      </c>
      <c r="N606" s="3">
        <v>5</v>
      </c>
      <c r="O606" s="3">
        <v>0.26</v>
      </c>
      <c r="P606" s="3">
        <v>0</v>
      </c>
      <c r="Q606" s="3">
        <v>0</v>
      </c>
      <c r="R606" s="3">
        <v>0</v>
      </c>
    </row>
    <row r="607" spans="1:18">
      <c r="A607" s="3" t="s">
        <v>735</v>
      </c>
      <c r="B607" s="3" t="s">
        <v>736</v>
      </c>
      <c r="C607" s="3" t="s">
        <v>737</v>
      </c>
      <c r="D607" s="3" t="s">
        <v>738</v>
      </c>
      <c r="E607" s="3" t="s">
        <v>538</v>
      </c>
      <c r="F607" s="3">
        <v>18.99</v>
      </c>
      <c r="G607" s="3" t="s">
        <v>2454</v>
      </c>
      <c r="H607" s="3"/>
      <c r="I607" s="3" t="s">
        <v>2455</v>
      </c>
      <c r="J607" s="3">
        <v>3</v>
      </c>
      <c r="K607" s="3">
        <v>3</v>
      </c>
      <c r="L607" s="3">
        <v>0</v>
      </c>
      <c r="M607" s="3">
        <v>0</v>
      </c>
      <c r="N607" s="3">
        <v>3</v>
      </c>
      <c r="O607" s="3">
        <v>0.19</v>
      </c>
      <c r="P607" s="3">
        <v>0</v>
      </c>
      <c r="Q607" s="3">
        <v>0</v>
      </c>
      <c r="R607" s="3">
        <v>0</v>
      </c>
    </row>
    <row r="608" spans="1:18">
      <c r="A608" s="3" t="s">
        <v>3304</v>
      </c>
      <c r="B608" s="3" t="s">
        <v>3305</v>
      </c>
      <c r="C608" s="3" t="s">
        <v>3306</v>
      </c>
      <c r="D608" s="3" t="s">
        <v>3307</v>
      </c>
      <c r="E608" s="3" t="s">
        <v>538</v>
      </c>
      <c r="F608" s="3">
        <v>13.99</v>
      </c>
      <c r="G608" s="3" t="s">
        <v>2454</v>
      </c>
      <c r="H608" s="3"/>
      <c r="I608" s="3" t="s">
        <v>2455</v>
      </c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</row>
    <row r="609" spans="1:18">
      <c r="A609" s="3" t="s">
        <v>1633</v>
      </c>
      <c r="B609" s="3" t="s">
        <v>1634</v>
      </c>
      <c r="C609" s="3" t="s">
        <v>1635</v>
      </c>
      <c r="D609" s="3" t="s">
        <v>1636</v>
      </c>
      <c r="E609" s="3" t="s">
        <v>538</v>
      </c>
      <c r="F609" s="3">
        <v>24.99</v>
      </c>
      <c r="G609" s="3" t="s">
        <v>2454</v>
      </c>
      <c r="H609" s="3"/>
      <c r="I609" s="3" t="s">
        <v>2455</v>
      </c>
      <c r="J609" s="3">
        <v>2</v>
      </c>
      <c r="K609" s="3">
        <v>2</v>
      </c>
      <c r="L609" s="3">
        <v>0</v>
      </c>
      <c r="M609" s="3">
        <v>0</v>
      </c>
      <c r="N609" s="3">
        <v>2</v>
      </c>
      <c r="O609" s="3">
        <v>0</v>
      </c>
      <c r="P609" s="3">
        <v>0</v>
      </c>
      <c r="Q609" s="3">
        <v>0</v>
      </c>
      <c r="R609" s="3">
        <v>0</v>
      </c>
    </row>
    <row r="610" spans="1:18">
      <c r="A610" s="3" t="s">
        <v>2277</v>
      </c>
      <c r="B610" s="3" t="s">
        <v>2278</v>
      </c>
      <c r="C610" s="3" t="s">
        <v>2279</v>
      </c>
      <c r="D610" s="3" t="s">
        <v>2280</v>
      </c>
      <c r="E610" s="3" t="s">
        <v>538</v>
      </c>
      <c r="F610" s="3">
        <v>18.99</v>
      </c>
      <c r="G610" s="3" t="s">
        <v>2454</v>
      </c>
      <c r="H610" s="3"/>
      <c r="I610" s="3" t="s">
        <v>2455</v>
      </c>
      <c r="J610" s="3">
        <v>5</v>
      </c>
      <c r="K610" s="3">
        <v>5</v>
      </c>
      <c r="L610" s="3">
        <v>0</v>
      </c>
      <c r="M610" s="3">
        <v>0</v>
      </c>
      <c r="N610" s="3">
        <v>5</v>
      </c>
      <c r="O610" s="3">
        <v>0</v>
      </c>
      <c r="P610" s="3">
        <v>0</v>
      </c>
      <c r="Q610" s="3">
        <v>0</v>
      </c>
      <c r="R610" s="3">
        <v>0</v>
      </c>
    </row>
    <row r="611" spans="1:18">
      <c r="A611" s="3" t="s">
        <v>1530</v>
      </c>
      <c r="B611" s="3" t="s">
        <v>1531</v>
      </c>
      <c r="C611" s="3" t="s">
        <v>1532</v>
      </c>
      <c r="D611" s="3" t="s">
        <v>1533</v>
      </c>
      <c r="E611" s="3" t="s">
        <v>538</v>
      </c>
      <c r="F611" s="3">
        <v>24.99</v>
      </c>
      <c r="G611" s="3" t="s">
        <v>2454</v>
      </c>
      <c r="H611" s="3"/>
      <c r="I611" s="3" t="s">
        <v>2455</v>
      </c>
      <c r="J611" s="3">
        <v>7</v>
      </c>
      <c r="K611" s="3">
        <v>7</v>
      </c>
      <c r="L611" s="3">
        <v>0</v>
      </c>
      <c r="M611" s="3">
        <v>0</v>
      </c>
      <c r="N611" s="3">
        <v>7</v>
      </c>
      <c r="O611" s="3">
        <v>0.3</v>
      </c>
      <c r="P611" s="3">
        <v>0</v>
      </c>
      <c r="Q611" s="3">
        <v>0</v>
      </c>
      <c r="R611" s="3">
        <v>0</v>
      </c>
    </row>
    <row r="612" spans="1:18">
      <c r="A612" s="3" t="s">
        <v>3308</v>
      </c>
      <c r="B612" s="3" t="s">
        <v>3309</v>
      </c>
      <c r="C612" s="3" t="s">
        <v>3310</v>
      </c>
      <c r="D612" s="3" t="s">
        <v>3311</v>
      </c>
      <c r="E612" s="3" t="s">
        <v>538</v>
      </c>
      <c r="F612" s="3">
        <v>18.99</v>
      </c>
      <c r="G612" s="3" t="s">
        <v>2454</v>
      </c>
      <c r="H612" s="3"/>
      <c r="I612" s="3" t="s">
        <v>2455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0.22</v>
      </c>
      <c r="P612" s="3">
        <v>0</v>
      </c>
      <c r="Q612" s="3">
        <v>0</v>
      </c>
      <c r="R612" s="3">
        <v>0</v>
      </c>
    </row>
    <row r="613" spans="1:18">
      <c r="A613" s="3" t="s">
        <v>3312</v>
      </c>
      <c r="B613" s="3" t="s">
        <v>3313</v>
      </c>
      <c r="C613" s="3" t="s">
        <v>3314</v>
      </c>
      <c r="D613" s="3" t="s">
        <v>3315</v>
      </c>
      <c r="E613" s="3" t="s">
        <v>538</v>
      </c>
      <c r="F613" s="3">
        <v>13.99</v>
      </c>
      <c r="G613" s="3" t="s">
        <v>2454</v>
      </c>
      <c r="H613" s="3"/>
      <c r="I613" s="3" t="s">
        <v>2455</v>
      </c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</row>
    <row r="614" spans="1:18">
      <c r="A614" s="3" t="s">
        <v>1110</v>
      </c>
      <c r="B614" s="3" t="s">
        <v>1111</v>
      </c>
      <c r="C614" s="3" t="s">
        <v>1112</v>
      </c>
      <c r="D614" s="3" t="s">
        <v>1113</v>
      </c>
      <c r="E614" s="3" t="s">
        <v>538</v>
      </c>
      <c r="F614" s="3">
        <v>24.99</v>
      </c>
      <c r="G614" s="3" t="s">
        <v>2454</v>
      </c>
      <c r="H614" s="3"/>
      <c r="I614" s="3" t="s">
        <v>2455</v>
      </c>
      <c r="J614" s="3">
        <v>2</v>
      </c>
      <c r="K614" s="3">
        <v>2</v>
      </c>
      <c r="L614" s="3">
        <v>0</v>
      </c>
      <c r="M614" s="3">
        <v>0</v>
      </c>
      <c r="N614" s="3">
        <v>2</v>
      </c>
      <c r="O614" s="3">
        <v>0.26</v>
      </c>
      <c r="P614" s="3">
        <v>0</v>
      </c>
      <c r="Q614" s="3">
        <v>0</v>
      </c>
      <c r="R614" s="3">
        <v>0</v>
      </c>
    </row>
    <row r="615" spans="1:18">
      <c r="A615" s="3" t="s">
        <v>3316</v>
      </c>
      <c r="B615" s="3" t="s">
        <v>3317</v>
      </c>
      <c r="C615" s="3" t="s">
        <v>3318</v>
      </c>
      <c r="D615" s="3" t="s">
        <v>3319</v>
      </c>
      <c r="E615" s="3" t="s">
        <v>538</v>
      </c>
      <c r="F615" s="3">
        <v>18.99</v>
      </c>
      <c r="G615" s="3" t="s">
        <v>2454</v>
      </c>
      <c r="H615" s="3"/>
      <c r="I615" s="3" t="s">
        <v>2455</v>
      </c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>
        <v>0.57</v>
      </c>
      <c r="P615" s="3">
        <v>0</v>
      </c>
      <c r="Q615" s="3">
        <v>0</v>
      </c>
      <c r="R615" s="3">
        <v>0</v>
      </c>
    </row>
    <row r="616" spans="1:18">
      <c r="A616" s="3" t="s">
        <v>3320</v>
      </c>
      <c r="B616" s="3" t="s">
        <v>3321</v>
      </c>
      <c r="C616" s="3" t="s">
        <v>3322</v>
      </c>
      <c r="D616" s="3" t="s">
        <v>3323</v>
      </c>
      <c r="E616" s="3" t="s">
        <v>538</v>
      </c>
      <c r="F616" s="3">
        <v>13.99</v>
      </c>
      <c r="G616" s="3" t="s">
        <v>2454</v>
      </c>
      <c r="H616" s="3"/>
      <c r="I616" s="3" t="s">
        <v>2455</v>
      </c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</row>
    <row r="617" spans="1:18">
      <c r="A617" s="3" t="s">
        <v>1176</v>
      </c>
      <c r="B617" s="3" t="s">
        <v>1177</v>
      </c>
      <c r="C617" s="3" t="s">
        <v>1178</v>
      </c>
      <c r="D617" s="3" t="s">
        <v>1179</v>
      </c>
      <c r="E617" s="3" t="s">
        <v>538</v>
      </c>
      <c r="F617" s="3">
        <v>24.99</v>
      </c>
      <c r="G617" s="3" t="s">
        <v>2454</v>
      </c>
      <c r="H617" s="3"/>
      <c r="I617" s="3" t="s">
        <v>2455</v>
      </c>
      <c r="J617" s="3">
        <v>8</v>
      </c>
      <c r="K617" s="3">
        <v>8</v>
      </c>
      <c r="L617" s="3">
        <v>0</v>
      </c>
      <c r="M617" s="3">
        <v>0</v>
      </c>
      <c r="N617" s="3">
        <v>8</v>
      </c>
      <c r="O617" s="3">
        <v>0.36</v>
      </c>
      <c r="P617" s="3">
        <v>0</v>
      </c>
      <c r="Q617" s="3">
        <v>0</v>
      </c>
      <c r="R617" s="3">
        <v>0</v>
      </c>
    </row>
    <row r="618" spans="1:18">
      <c r="A618" s="3" t="s">
        <v>1122</v>
      </c>
      <c r="B618" s="3" t="s">
        <v>1123</v>
      </c>
      <c r="C618" s="3" t="s">
        <v>1124</v>
      </c>
      <c r="D618" s="3" t="s">
        <v>1125</v>
      </c>
      <c r="E618" s="3" t="s">
        <v>538</v>
      </c>
      <c r="F618" s="3">
        <v>18.99</v>
      </c>
      <c r="G618" s="3" t="s">
        <v>2454</v>
      </c>
      <c r="H618" s="3"/>
      <c r="I618" s="3" t="s">
        <v>2455</v>
      </c>
      <c r="J618" s="3">
        <v>6</v>
      </c>
      <c r="K618" s="3">
        <v>6</v>
      </c>
      <c r="L618" s="3">
        <v>0</v>
      </c>
      <c r="M618" s="3">
        <v>0</v>
      </c>
      <c r="N618" s="3">
        <v>6</v>
      </c>
      <c r="O618" s="3">
        <v>0.23</v>
      </c>
      <c r="P618" s="3">
        <v>0</v>
      </c>
      <c r="Q618" s="3">
        <v>0</v>
      </c>
      <c r="R618" s="3">
        <v>0</v>
      </c>
    </row>
    <row r="619" spans="1:18">
      <c r="A619" s="3" t="s">
        <v>3324</v>
      </c>
      <c r="B619" s="3" t="s">
        <v>3325</v>
      </c>
      <c r="C619" s="3" t="s">
        <v>3326</v>
      </c>
      <c r="D619" s="3" t="s">
        <v>3327</v>
      </c>
      <c r="E619" s="3" t="s">
        <v>538</v>
      </c>
      <c r="F619" s="3">
        <v>13.99</v>
      </c>
      <c r="G619" s="3" t="s">
        <v>2454</v>
      </c>
      <c r="H619" s="3"/>
      <c r="I619" s="3" t="s">
        <v>2455</v>
      </c>
      <c r="J619" s="3">
        <v>1</v>
      </c>
      <c r="K619" s="3">
        <v>0</v>
      </c>
      <c r="L619" s="3">
        <v>1</v>
      </c>
      <c r="M619" s="3">
        <v>0</v>
      </c>
      <c r="N619" s="3">
        <v>1</v>
      </c>
      <c r="O619" s="3">
        <v>0</v>
      </c>
      <c r="P619" s="3">
        <v>0</v>
      </c>
      <c r="Q619" s="3">
        <v>0</v>
      </c>
      <c r="R619" s="3">
        <v>0</v>
      </c>
    </row>
    <row r="620" spans="1:18">
      <c r="A620" s="3" t="s">
        <v>1776</v>
      </c>
      <c r="B620" s="3" t="s">
        <v>1777</v>
      </c>
      <c r="C620" s="3" t="s">
        <v>1778</v>
      </c>
      <c r="D620" s="3" t="s">
        <v>1779</v>
      </c>
      <c r="E620" s="3" t="s">
        <v>538</v>
      </c>
      <c r="F620" s="3">
        <v>24.99</v>
      </c>
      <c r="G620" s="3" t="s">
        <v>2454</v>
      </c>
      <c r="H620" s="3"/>
      <c r="I620" s="3" t="s">
        <v>2455</v>
      </c>
      <c r="J620" s="3">
        <v>9</v>
      </c>
      <c r="K620" s="3">
        <v>9</v>
      </c>
      <c r="L620" s="3">
        <v>0</v>
      </c>
      <c r="M620" s="3">
        <v>0</v>
      </c>
      <c r="N620" s="3">
        <v>9</v>
      </c>
      <c r="O620" s="3">
        <v>0.2</v>
      </c>
      <c r="P620" s="3">
        <v>0</v>
      </c>
      <c r="Q620" s="3">
        <v>0</v>
      </c>
      <c r="R620" s="3">
        <v>0</v>
      </c>
    </row>
    <row r="621" spans="1:18">
      <c r="A621" s="3" t="s">
        <v>1114</v>
      </c>
      <c r="B621" s="3" t="s">
        <v>1115</v>
      </c>
      <c r="C621" s="3" t="s">
        <v>1116</v>
      </c>
      <c r="D621" s="3" t="s">
        <v>1117</v>
      </c>
      <c r="E621" s="3" t="s">
        <v>538</v>
      </c>
      <c r="F621" s="3">
        <v>18.99</v>
      </c>
      <c r="G621" s="3" t="s">
        <v>2454</v>
      </c>
      <c r="H621" s="3"/>
      <c r="I621" s="3" t="s">
        <v>2455</v>
      </c>
      <c r="J621" s="3">
        <v>5</v>
      </c>
      <c r="K621" s="3">
        <v>5</v>
      </c>
      <c r="L621" s="3">
        <v>0</v>
      </c>
      <c r="M621" s="3">
        <v>0</v>
      </c>
      <c r="N621" s="3">
        <v>5</v>
      </c>
      <c r="O621" s="3">
        <v>0.07</v>
      </c>
      <c r="P621" s="3">
        <v>0</v>
      </c>
      <c r="Q621" s="3">
        <v>0</v>
      </c>
      <c r="R621" s="3">
        <v>0</v>
      </c>
    </row>
    <row r="622" spans="1:18">
      <c r="A622" s="3" t="s">
        <v>3328</v>
      </c>
      <c r="B622" s="3" t="s">
        <v>3329</v>
      </c>
      <c r="C622" s="3" t="s">
        <v>3330</v>
      </c>
      <c r="D622" s="3" t="s">
        <v>3331</v>
      </c>
      <c r="E622" s="3" t="s">
        <v>538</v>
      </c>
      <c r="F622" s="3">
        <v>13.99</v>
      </c>
      <c r="G622" s="3" t="s">
        <v>2454</v>
      </c>
      <c r="H622" s="3"/>
      <c r="I622" s="3" t="s">
        <v>2455</v>
      </c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</row>
    <row r="623" spans="1:18">
      <c r="A623" s="3" t="s">
        <v>3332</v>
      </c>
      <c r="B623" s="3" t="s">
        <v>3333</v>
      </c>
      <c r="C623" s="3" t="s">
        <v>3334</v>
      </c>
      <c r="D623" s="3" t="s">
        <v>3335</v>
      </c>
      <c r="E623" s="3" t="s">
        <v>538</v>
      </c>
      <c r="F623" s="3">
        <v>11</v>
      </c>
      <c r="G623" s="3" t="s">
        <v>2454</v>
      </c>
      <c r="H623" s="3"/>
      <c r="I623" s="3" t="s">
        <v>2455</v>
      </c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>
        <v>0.05</v>
      </c>
      <c r="P623" s="3">
        <v>0</v>
      </c>
      <c r="Q623" s="3">
        <v>0</v>
      </c>
      <c r="R623" s="3">
        <v>0</v>
      </c>
    </row>
    <row r="624" spans="1:18">
      <c r="A624" s="3" t="s">
        <v>3336</v>
      </c>
      <c r="B624" s="3" t="s">
        <v>3337</v>
      </c>
      <c r="C624" s="3" t="s">
        <v>3338</v>
      </c>
      <c r="D624" s="3" t="s">
        <v>3339</v>
      </c>
      <c r="E624" s="3" t="s">
        <v>538</v>
      </c>
      <c r="F624" s="3">
        <v>11</v>
      </c>
      <c r="G624" s="3" t="s">
        <v>2454</v>
      </c>
      <c r="H624" s="3"/>
      <c r="I624" s="3" t="s">
        <v>2455</v>
      </c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>
        <v>0.05</v>
      </c>
      <c r="P624" s="3">
        <v>0</v>
      </c>
      <c r="Q624" s="3">
        <v>0</v>
      </c>
      <c r="R624" s="3">
        <v>0</v>
      </c>
    </row>
    <row r="625" spans="1:18">
      <c r="A625" s="3" t="s">
        <v>3340</v>
      </c>
      <c r="B625" s="3" t="s">
        <v>3341</v>
      </c>
      <c r="C625" s="3" t="s">
        <v>3342</v>
      </c>
      <c r="D625" s="3" t="s">
        <v>3343</v>
      </c>
      <c r="E625" s="3" t="s">
        <v>538</v>
      </c>
      <c r="F625" s="3">
        <v>11</v>
      </c>
      <c r="G625" s="3" t="s">
        <v>2454</v>
      </c>
      <c r="H625" s="3"/>
      <c r="I625" s="3" t="s">
        <v>2455</v>
      </c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>
        <v>0.03</v>
      </c>
      <c r="P625" s="3">
        <v>0</v>
      </c>
      <c r="Q625" s="3">
        <v>0</v>
      </c>
      <c r="R625" s="3">
        <v>0</v>
      </c>
    </row>
    <row r="626" spans="1:18">
      <c r="A626" s="3" t="s">
        <v>3344</v>
      </c>
      <c r="B626" s="3" t="s">
        <v>3345</v>
      </c>
      <c r="C626" s="3" t="s">
        <v>3346</v>
      </c>
      <c r="D626" s="3" t="s">
        <v>3347</v>
      </c>
      <c r="E626" s="3" t="s">
        <v>538</v>
      </c>
      <c r="F626" s="3">
        <v>11</v>
      </c>
      <c r="G626" s="3" t="s">
        <v>2454</v>
      </c>
      <c r="H626" s="3"/>
      <c r="I626" s="3" t="s">
        <v>2455</v>
      </c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>
        <v>0.05</v>
      </c>
      <c r="P626" s="3">
        <v>0</v>
      </c>
      <c r="Q626" s="3">
        <v>0</v>
      </c>
      <c r="R626" s="3">
        <v>0</v>
      </c>
    </row>
    <row r="627" spans="1:18">
      <c r="A627" s="3" t="s">
        <v>3348</v>
      </c>
      <c r="B627" s="3" t="s">
        <v>3349</v>
      </c>
      <c r="C627" s="3" t="s">
        <v>3334</v>
      </c>
      <c r="D627" s="3" t="s">
        <v>3335</v>
      </c>
      <c r="E627" s="3" t="s">
        <v>538</v>
      </c>
      <c r="F627" s="3">
        <v>25.99</v>
      </c>
      <c r="G627" s="3" t="s">
        <v>2454</v>
      </c>
      <c r="H627" s="3"/>
      <c r="I627" s="3" t="s">
        <v>2455</v>
      </c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>
        <v>0.05</v>
      </c>
      <c r="P627" s="3">
        <v>0</v>
      </c>
      <c r="Q627" s="3">
        <v>0</v>
      </c>
      <c r="R627" s="3">
        <v>0</v>
      </c>
    </row>
    <row r="628" spans="1:18">
      <c r="A628" s="3" t="s">
        <v>3350</v>
      </c>
      <c r="B628" s="3" t="s">
        <v>3351</v>
      </c>
      <c r="C628" s="3" t="s">
        <v>3338</v>
      </c>
      <c r="D628" s="3" t="s">
        <v>3339</v>
      </c>
      <c r="E628" s="3" t="s">
        <v>538</v>
      </c>
      <c r="F628" s="3">
        <v>25.99</v>
      </c>
      <c r="G628" s="3" t="s">
        <v>2454</v>
      </c>
      <c r="H628" s="3"/>
      <c r="I628" s="3" t="s">
        <v>2455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0.05</v>
      </c>
      <c r="P628" s="3">
        <v>0</v>
      </c>
      <c r="Q628" s="3">
        <v>0</v>
      </c>
      <c r="R628" s="3">
        <v>0</v>
      </c>
    </row>
    <row r="629" spans="1:18">
      <c r="A629" s="3" t="s">
        <v>3352</v>
      </c>
      <c r="B629" s="3" t="s">
        <v>3353</v>
      </c>
      <c r="C629" s="3" t="s">
        <v>3342</v>
      </c>
      <c r="D629" s="3" t="s">
        <v>3343</v>
      </c>
      <c r="E629" s="3" t="s">
        <v>538</v>
      </c>
      <c r="F629" s="3">
        <v>25.99</v>
      </c>
      <c r="G629" s="3" t="s">
        <v>2454</v>
      </c>
      <c r="H629" s="3"/>
      <c r="I629" s="3" t="s">
        <v>2455</v>
      </c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>
        <v>0.03</v>
      </c>
      <c r="P629" s="3">
        <v>0</v>
      </c>
      <c r="Q629" s="3">
        <v>0</v>
      </c>
      <c r="R629" s="3">
        <v>0</v>
      </c>
    </row>
    <row r="630" spans="1:18">
      <c r="A630" s="3" t="s">
        <v>3354</v>
      </c>
      <c r="B630" s="3" t="s">
        <v>3355</v>
      </c>
      <c r="C630" s="3" t="s">
        <v>3346</v>
      </c>
      <c r="D630" s="3" t="s">
        <v>3347</v>
      </c>
      <c r="E630" s="3" t="s">
        <v>538</v>
      </c>
      <c r="F630" s="3">
        <v>25.99</v>
      </c>
      <c r="G630" s="3" t="s">
        <v>2454</v>
      </c>
      <c r="H630" s="3"/>
      <c r="I630" s="3" t="s">
        <v>2455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0.05</v>
      </c>
      <c r="P630" s="3">
        <v>0</v>
      </c>
      <c r="Q630" s="3">
        <v>0</v>
      </c>
      <c r="R630" s="3">
        <v>0</v>
      </c>
    </row>
    <row r="631" spans="1:18">
      <c r="A631" s="3" t="s">
        <v>3356</v>
      </c>
      <c r="B631" s="3" t="s">
        <v>3357</v>
      </c>
      <c r="C631" s="3" t="s">
        <v>3358</v>
      </c>
      <c r="D631" s="3" t="s">
        <v>1783</v>
      </c>
      <c r="E631" s="3" t="s">
        <v>538</v>
      </c>
      <c r="F631" s="3">
        <v>20.99</v>
      </c>
      <c r="G631" s="3" t="s">
        <v>2454</v>
      </c>
      <c r="H631" s="3"/>
      <c r="I631" s="3" t="s">
        <v>2455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0.06</v>
      </c>
      <c r="P631" s="3">
        <v>0</v>
      </c>
      <c r="Q631" s="3">
        <v>0</v>
      </c>
      <c r="R631" s="3">
        <v>0</v>
      </c>
    </row>
    <row r="632" spans="1:18">
      <c r="A632" s="3" t="s">
        <v>3359</v>
      </c>
      <c r="B632" s="3" t="s">
        <v>3360</v>
      </c>
      <c r="C632" s="3" t="s">
        <v>3361</v>
      </c>
      <c r="D632" s="3" t="s">
        <v>1783</v>
      </c>
      <c r="E632" s="3" t="s">
        <v>538</v>
      </c>
      <c r="F632" s="3">
        <v>20.99</v>
      </c>
      <c r="G632" s="3" t="s">
        <v>2454</v>
      </c>
      <c r="H632" s="3"/>
      <c r="I632" s="3" t="s">
        <v>2455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0.06</v>
      </c>
      <c r="P632" s="3">
        <v>0</v>
      </c>
      <c r="Q632" s="3">
        <v>0</v>
      </c>
      <c r="R632" s="3">
        <v>0</v>
      </c>
    </row>
    <row r="633" spans="1:18">
      <c r="A633" s="3" t="s">
        <v>3362</v>
      </c>
      <c r="B633" s="3" t="s">
        <v>3363</v>
      </c>
      <c r="C633" s="3" t="s">
        <v>3364</v>
      </c>
      <c r="D633" s="3" t="s">
        <v>3365</v>
      </c>
      <c r="E633" s="3" t="s">
        <v>538</v>
      </c>
      <c r="F633" s="3">
        <v>14.99</v>
      </c>
      <c r="G633" s="3" t="s">
        <v>2454</v>
      </c>
      <c r="H633" s="3"/>
      <c r="I633" s="3" t="s">
        <v>2455</v>
      </c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</row>
    <row r="634" spans="1:18">
      <c r="A634" s="3" t="s">
        <v>3366</v>
      </c>
      <c r="B634" s="3" t="s">
        <v>3367</v>
      </c>
      <c r="C634" s="3" t="s">
        <v>3368</v>
      </c>
      <c r="D634" s="3" t="s">
        <v>3365</v>
      </c>
      <c r="E634" s="3" t="s">
        <v>538</v>
      </c>
      <c r="F634" s="3">
        <v>14.99</v>
      </c>
      <c r="G634" s="3" t="s">
        <v>2454</v>
      </c>
      <c r="H634" s="3"/>
      <c r="I634" s="3" t="s">
        <v>2455</v>
      </c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</row>
    <row r="635" spans="1:18">
      <c r="A635" s="3" t="s">
        <v>3369</v>
      </c>
      <c r="B635" s="3" t="s">
        <v>3370</v>
      </c>
      <c r="C635" s="3" t="s">
        <v>3371</v>
      </c>
      <c r="D635" s="3" t="s">
        <v>3365</v>
      </c>
      <c r="E635" s="3" t="s">
        <v>538</v>
      </c>
      <c r="F635" s="3">
        <v>14.99</v>
      </c>
      <c r="G635" s="3" t="s">
        <v>2454</v>
      </c>
      <c r="H635" s="3"/>
      <c r="I635" s="3" t="s">
        <v>2455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</row>
    <row r="636" spans="1:18">
      <c r="A636" s="3" t="s">
        <v>3372</v>
      </c>
      <c r="B636" s="3" t="s">
        <v>3373</v>
      </c>
      <c r="C636" s="3" t="s">
        <v>3374</v>
      </c>
      <c r="D636" s="3" t="s">
        <v>3365</v>
      </c>
      <c r="E636" s="3" t="s">
        <v>538</v>
      </c>
      <c r="F636" s="3">
        <v>14.99</v>
      </c>
      <c r="G636" s="3" t="s">
        <v>2454</v>
      </c>
      <c r="H636" s="3"/>
      <c r="I636" s="3" t="s">
        <v>2455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</row>
    <row r="637" spans="1:18">
      <c r="A637" s="3" t="s">
        <v>3375</v>
      </c>
      <c r="B637" s="3" t="s">
        <v>3376</v>
      </c>
      <c r="C637" s="3" t="s">
        <v>3377</v>
      </c>
      <c r="D637" s="3" t="s">
        <v>3365</v>
      </c>
      <c r="E637" s="3" t="s">
        <v>538</v>
      </c>
      <c r="F637" s="3">
        <v>14.99</v>
      </c>
      <c r="G637" s="3" t="s">
        <v>2454</v>
      </c>
      <c r="H637" s="3"/>
      <c r="I637" s="3" t="s">
        <v>2455</v>
      </c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</row>
    <row r="638" spans="1:18">
      <c r="A638" s="3" t="s">
        <v>3378</v>
      </c>
      <c r="B638" s="3" t="s">
        <v>3379</v>
      </c>
      <c r="C638" s="3" t="s">
        <v>3380</v>
      </c>
      <c r="D638" s="3" t="s">
        <v>3365</v>
      </c>
      <c r="E638" s="3" t="s">
        <v>538</v>
      </c>
      <c r="F638" s="3">
        <v>14.99</v>
      </c>
      <c r="G638" s="3" t="s">
        <v>2454</v>
      </c>
      <c r="H638" s="3"/>
      <c r="I638" s="3" t="s">
        <v>2455</v>
      </c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</row>
    <row r="639" spans="1:18">
      <c r="A639" s="3" t="s">
        <v>3381</v>
      </c>
      <c r="B639" s="3" t="s">
        <v>3382</v>
      </c>
      <c r="C639" s="3" t="s">
        <v>3383</v>
      </c>
      <c r="D639" s="3" t="s">
        <v>3365</v>
      </c>
      <c r="E639" s="3" t="s">
        <v>538</v>
      </c>
      <c r="F639" s="3">
        <v>14.99</v>
      </c>
      <c r="G639" s="3" t="s">
        <v>2454</v>
      </c>
      <c r="H639" s="3"/>
      <c r="I639" s="3" t="s">
        <v>2455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</row>
    <row r="640" spans="1:18">
      <c r="A640" s="3" t="s">
        <v>3384</v>
      </c>
      <c r="B640" s="3" t="s">
        <v>3385</v>
      </c>
      <c r="C640" s="3" t="s">
        <v>3386</v>
      </c>
      <c r="D640" s="3" t="s">
        <v>3365</v>
      </c>
      <c r="E640" s="3" t="s">
        <v>538</v>
      </c>
      <c r="F640" s="3">
        <v>14.99</v>
      </c>
      <c r="G640" s="3" t="s">
        <v>2454</v>
      </c>
      <c r="H640" s="3"/>
      <c r="I640" s="3" t="s">
        <v>2455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</row>
    <row r="641" spans="1:18">
      <c r="A641" s="3" t="s">
        <v>3387</v>
      </c>
      <c r="B641" s="3" t="s">
        <v>3388</v>
      </c>
      <c r="C641" s="3" t="s">
        <v>3389</v>
      </c>
      <c r="D641" s="3" t="s">
        <v>3365</v>
      </c>
      <c r="E641" s="3" t="s">
        <v>538</v>
      </c>
      <c r="F641" s="3">
        <v>14.99</v>
      </c>
      <c r="G641" s="3" t="s">
        <v>2454</v>
      </c>
      <c r="H641" s="3"/>
      <c r="I641" s="3" t="s">
        <v>2455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</row>
    <row r="642" spans="1:18">
      <c r="A642" s="3" t="s">
        <v>3390</v>
      </c>
      <c r="B642" s="3" t="s">
        <v>3391</v>
      </c>
      <c r="C642" s="3" t="s">
        <v>3392</v>
      </c>
      <c r="D642" s="3" t="s">
        <v>3365</v>
      </c>
      <c r="E642" s="3" t="s">
        <v>538</v>
      </c>
      <c r="F642" s="3">
        <v>14.99</v>
      </c>
      <c r="G642" s="3" t="s">
        <v>2454</v>
      </c>
      <c r="H642" s="3"/>
      <c r="I642" s="3" t="s">
        <v>2455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</row>
    <row r="643" spans="1:18">
      <c r="A643" s="3" t="s">
        <v>3393</v>
      </c>
      <c r="B643" s="3" t="s">
        <v>3394</v>
      </c>
      <c r="C643" s="3" t="s">
        <v>3395</v>
      </c>
      <c r="D643" s="3" t="s">
        <v>3365</v>
      </c>
      <c r="E643" s="3" t="s">
        <v>538</v>
      </c>
      <c r="F643" s="3">
        <v>14.99</v>
      </c>
      <c r="G643" s="3" t="s">
        <v>2454</v>
      </c>
      <c r="H643" s="3"/>
      <c r="I643" s="3" t="s">
        <v>2455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</row>
    <row r="644" spans="1:18">
      <c r="A644" s="3" t="s">
        <v>3396</v>
      </c>
      <c r="B644" s="3" t="s">
        <v>3397</v>
      </c>
      <c r="C644" s="3" t="s">
        <v>3398</v>
      </c>
      <c r="D644" s="3" t="s">
        <v>3365</v>
      </c>
      <c r="E644" s="3" t="s">
        <v>538</v>
      </c>
      <c r="F644" s="3">
        <v>14.99</v>
      </c>
      <c r="G644" s="3" t="s">
        <v>2454</v>
      </c>
      <c r="H644" s="3"/>
      <c r="I644" s="3" t="s">
        <v>2455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</row>
    <row r="645" spans="1:18">
      <c r="A645" s="3" t="s">
        <v>3399</v>
      </c>
      <c r="B645" s="3" t="s">
        <v>3400</v>
      </c>
      <c r="C645" s="3" t="s">
        <v>3401</v>
      </c>
      <c r="D645" s="3" t="s">
        <v>3365</v>
      </c>
      <c r="E645" s="3" t="s">
        <v>538</v>
      </c>
      <c r="F645" s="3">
        <v>14.99</v>
      </c>
      <c r="G645" s="3" t="s">
        <v>2454</v>
      </c>
      <c r="H645" s="3"/>
      <c r="I645" s="3" t="s">
        <v>2455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</v>
      </c>
      <c r="P645" s="3">
        <v>0</v>
      </c>
      <c r="Q645" s="3">
        <v>0</v>
      </c>
      <c r="R645" s="3">
        <v>0</v>
      </c>
    </row>
    <row r="646" spans="1:18">
      <c r="A646" s="3" t="s">
        <v>3402</v>
      </c>
      <c r="B646" s="3" t="s">
        <v>3403</v>
      </c>
      <c r="C646" s="3" t="s">
        <v>3404</v>
      </c>
      <c r="D646" s="3" t="s">
        <v>3365</v>
      </c>
      <c r="E646" s="3" t="s">
        <v>538</v>
      </c>
      <c r="F646" s="3">
        <v>14.99</v>
      </c>
      <c r="G646" s="3" t="s">
        <v>2454</v>
      </c>
      <c r="H646" s="3"/>
      <c r="I646" s="3" t="s">
        <v>2455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</row>
    <row r="647" spans="1:18">
      <c r="A647" s="3" t="s">
        <v>3405</v>
      </c>
      <c r="B647" s="3" t="s">
        <v>3406</v>
      </c>
      <c r="C647" s="3" t="s">
        <v>3407</v>
      </c>
      <c r="D647" s="3" t="s">
        <v>3365</v>
      </c>
      <c r="E647" s="3" t="s">
        <v>538</v>
      </c>
      <c r="F647" s="3">
        <v>14.99</v>
      </c>
      <c r="G647" s="3" t="s">
        <v>2454</v>
      </c>
      <c r="H647" s="3"/>
      <c r="I647" s="3" t="s">
        <v>2455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</row>
    <row r="648" spans="1:18">
      <c r="A648" s="3" t="s">
        <v>3408</v>
      </c>
      <c r="B648" s="3" t="s">
        <v>3409</v>
      </c>
      <c r="C648" s="3" t="s">
        <v>3410</v>
      </c>
      <c r="D648" s="3" t="s">
        <v>3365</v>
      </c>
      <c r="E648" s="3" t="s">
        <v>538</v>
      </c>
      <c r="F648" s="3">
        <v>14.99</v>
      </c>
      <c r="G648" s="3" t="s">
        <v>2454</v>
      </c>
      <c r="H648" s="3"/>
      <c r="I648" s="3" t="s">
        <v>2455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</row>
    <row r="649" spans="1:18">
      <c r="A649" s="3" t="s">
        <v>1758</v>
      </c>
      <c r="B649" s="3" t="s">
        <v>1759</v>
      </c>
      <c r="C649" s="3" t="s">
        <v>1760</v>
      </c>
      <c r="D649" s="3" t="s">
        <v>582</v>
      </c>
      <c r="E649" s="3" t="s">
        <v>538</v>
      </c>
      <c r="F649" s="3">
        <v>25.99</v>
      </c>
      <c r="G649" s="3" t="s">
        <v>2454</v>
      </c>
      <c r="H649" s="3"/>
      <c r="I649" s="3" t="s">
        <v>2455</v>
      </c>
      <c r="J649" s="3">
        <v>4</v>
      </c>
      <c r="K649" s="3">
        <v>4</v>
      </c>
      <c r="L649" s="3">
        <v>0</v>
      </c>
      <c r="M649" s="3">
        <v>0</v>
      </c>
      <c r="N649" s="3">
        <v>4</v>
      </c>
      <c r="O649" s="3">
        <v>0</v>
      </c>
      <c r="P649" s="3">
        <v>0</v>
      </c>
      <c r="Q649" s="3">
        <v>0</v>
      </c>
      <c r="R649" s="3">
        <v>0</v>
      </c>
    </row>
    <row r="650" spans="1:18">
      <c r="A650" s="3" t="s">
        <v>1812</v>
      </c>
      <c r="B650" s="3" t="s">
        <v>1813</v>
      </c>
      <c r="C650" s="3" t="s">
        <v>1814</v>
      </c>
      <c r="D650" s="3" t="s">
        <v>582</v>
      </c>
      <c r="E650" s="3" t="s">
        <v>538</v>
      </c>
      <c r="F650" s="3">
        <v>25.99</v>
      </c>
      <c r="G650" s="3" t="s">
        <v>2454</v>
      </c>
      <c r="H650" s="3"/>
      <c r="I650" s="3" t="s">
        <v>2455</v>
      </c>
      <c r="J650" s="3">
        <v>4</v>
      </c>
      <c r="K650" s="3">
        <v>4</v>
      </c>
      <c r="L650" s="3">
        <v>0</v>
      </c>
      <c r="M650" s="3">
        <v>0</v>
      </c>
      <c r="N650" s="3">
        <v>4</v>
      </c>
      <c r="O650" s="3">
        <v>0</v>
      </c>
      <c r="P650" s="3">
        <v>0</v>
      </c>
      <c r="Q650" s="3">
        <v>0</v>
      </c>
      <c r="R650" s="3">
        <v>0</v>
      </c>
    </row>
    <row r="651" spans="1:18">
      <c r="A651" s="3" t="s">
        <v>1006</v>
      </c>
      <c r="B651" s="3" t="s">
        <v>1007</v>
      </c>
      <c r="C651" s="3" t="s">
        <v>1008</v>
      </c>
      <c r="D651" s="3" t="s">
        <v>582</v>
      </c>
      <c r="E651" s="3" t="s">
        <v>538</v>
      </c>
      <c r="F651" s="3">
        <v>25.99</v>
      </c>
      <c r="G651" s="3" t="s">
        <v>2454</v>
      </c>
      <c r="H651" s="3"/>
      <c r="I651" s="3" t="s">
        <v>2455</v>
      </c>
      <c r="J651" s="3">
        <v>4</v>
      </c>
      <c r="K651" s="3">
        <v>4</v>
      </c>
      <c r="L651" s="3">
        <v>0</v>
      </c>
      <c r="M651" s="3">
        <v>0</v>
      </c>
      <c r="N651" s="3">
        <v>4</v>
      </c>
      <c r="O651" s="3">
        <v>0</v>
      </c>
      <c r="P651" s="3">
        <v>0</v>
      </c>
      <c r="Q651" s="3">
        <v>0</v>
      </c>
      <c r="R651" s="3">
        <v>0</v>
      </c>
    </row>
    <row r="652" spans="1:18">
      <c r="A652" s="3" t="s">
        <v>1134</v>
      </c>
      <c r="B652" s="3" t="s">
        <v>1135</v>
      </c>
      <c r="C652" s="3" t="s">
        <v>1136</v>
      </c>
      <c r="D652" s="3" t="s">
        <v>582</v>
      </c>
      <c r="E652" s="3" t="s">
        <v>538</v>
      </c>
      <c r="F652" s="3">
        <v>25.99</v>
      </c>
      <c r="G652" s="3" t="s">
        <v>2454</v>
      </c>
      <c r="H652" s="3"/>
      <c r="I652" s="3" t="s">
        <v>2455</v>
      </c>
      <c r="J652" s="3">
        <v>4</v>
      </c>
      <c r="K652" s="3">
        <v>4</v>
      </c>
      <c r="L652" s="3">
        <v>0</v>
      </c>
      <c r="M652" s="3">
        <v>0</v>
      </c>
      <c r="N652" s="3">
        <v>4</v>
      </c>
      <c r="O652" s="3">
        <v>0</v>
      </c>
      <c r="P652" s="3">
        <v>0</v>
      </c>
      <c r="Q652" s="3">
        <v>0</v>
      </c>
      <c r="R652" s="3">
        <v>0</v>
      </c>
    </row>
    <row r="653" spans="1:18">
      <c r="A653" s="3" t="s">
        <v>744</v>
      </c>
      <c r="B653" s="3" t="s">
        <v>745</v>
      </c>
      <c r="C653" s="3" t="s">
        <v>746</v>
      </c>
      <c r="D653" s="3" t="s">
        <v>582</v>
      </c>
      <c r="E653" s="3" t="s">
        <v>538</v>
      </c>
      <c r="F653" s="3">
        <v>25.99</v>
      </c>
      <c r="G653" s="3" t="s">
        <v>2454</v>
      </c>
      <c r="H653" s="3"/>
      <c r="I653" s="3" t="s">
        <v>2455</v>
      </c>
      <c r="J653" s="3">
        <v>4</v>
      </c>
      <c r="K653" s="3">
        <v>4</v>
      </c>
      <c r="L653" s="3">
        <v>0</v>
      </c>
      <c r="M653" s="3">
        <v>0</v>
      </c>
      <c r="N653" s="3">
        <v>4</v>
      </c>
      <c r="O653" s="3">
        <v>0</v>
      </c>
      <c r="P653" s="3">
        <v>0</v>
      </c>
      <c r="Q653" s="3">
        <v>0</v>
      </c>
      <c r="R653" s="3">
        <v>0</v>
      </c>
    </row>
    <row r="654" spans="1:18">
      <c r="A654" s="3" t="s">
        <v>1035</v>
      </c>
      <c r="B654" s="3" t="s">
        <v>1036</v>
      </c>
      <c r="C654" s="3" t="s">
        <v>1037</v>
      </c>
      <c r="D654" s="3" t="s">
        <v>1038</v>
      </c>
      <c r="E654" s="3" t="s">
        <v>538</v>
      </c>
      <c r="F654" s="3">
        <v>25.99</v>
      </c>
      <c r="G654" s="3" t="s">
        <v>2454</v>
      </c>
      <c r="H654" s="3"/>
      <c r="I654" s="3" t="s">
        <v>2455</v>
      </c>
      <c r="J654" s="3">
        <v>4</v>
      </c>
      <c r="K654" s="3">
        <v>4</v>
      </c>
      <c r="L654" s="3">
        <v>0</v>
      </c>
      <c r="M654" s="3">
        <v>0</v>
      </c>
      <c r="N654" s="3">
        <v>4</v>
      </c>
      <c r="O654" s="3">
        <v>0</v>
      </c>
      <c r="P654" s="3">
        <v>0</v>
      </c>
      <c r="Q654" s="3">
        <v>0</v>
      </c>
      <c r="R654" s="3">
        <v>0</v>
      </c>
    </row>
    <row r="655" spans="1:18">
      <c r="A655" s="3" t="s">
        <v>1784</v>
      </c>
      <c r="B655" s="3" t="s">
        <v>1785</v>
      </c>
      <c r="C655" s="3" t="s">
        <v>1786</v>
      </c>
      <c r="D655" s="3" t="s">
        <v>582</v>
      </c>
      <c r="E655" s="3" t="s">
        <v>538</v>
      </c>
      <c r="F655" s="3">
        <v>25.99</v>
      </c>
      <c r="G655" s="3" t="s">
        <v>2454</v>
      </c>
      <c r="H655" s="3"/>
      <c r="I655" s="3" t="s">
        <v>2455</v>
      </c>
      <c r="J655" s="3">
        <v>4</v>
      </c>
      <c r="K655" s="3">
        <v>4</v>
      </c>
      <c r="L655" s="3">
        <v>0</v>
      </c>
      <c r="M655" s="3">
        <v>0</v>
      </c>
      <c r="N655" s="3">
        <v>4</v>
      </c>
      <c r="O655" s="3">
        <v>0</v>
      </c>
      <c r="P655" s="3">
        <v>0</v>
      </c>
      <c r="Q655" s="3">
        <v>0</v>
      </c>
      <c r="R655" s="3">
        <v>0</v>
      </c>
    </row>
    <row r="656" spans="1:18">
      <c r="A656" s="3" t="s">
        <v>1361</v>
      </c>
      <c r="B656" s="3" t="s">
        <v>1362</v>
      </c>
      <c r="C656" s="3" t="s">
        <v>1363</v>
      </c>
      <c r="D656" s="3" t="s">
        <v>1038</v>
      </c>
      <c r="E656" s="3" t="s">
        <v>538</v>
      </c>
      <c r="F656" s="3">
        <v>25.99</v>
      </c>
      <c r="G656" s="3" t="s">
        <v>2454</v>
      </c>
      <c r="H656" s="3"/>
      <c r="I656" s="3" t="s">
        <v>2455</v>
      </c>
      <c r="J656" s="3">
        <v>4</v>
      </c>
      <c r="K656" s="3">
        <v>4</v>
      </c>
      <c r="L656" s="3">
        <v>0</v>
      </c>
      <c r="M656" s="3">
        <v>0</v>
      </c>
      <c r="N656" s="3">
        <v>4</v>
      </c>
      <c r="O656" s="3">
        <v>0</v>
      </c>
      <c r="P656" s="3">
        <v>0</v>
      </c>
      <c r="Q656" s="3">
        <v>0</v>
      </c>
      <c r="R656" s="3">
        <v>0</v>
      </c>
    </row>
    <row r="657" spans="1:18">
      <c r="A657" s="3" t="s">
        <v>2347</v>
      </c>
      <c r="B657" s="3" t="s">
        <v>2348</v>
      </c>
      <c r="C657" s="3" t="s">
        <v>2349</v>
      </c>
      <c r="D657" s="3" t="s">
        <v>582</v>
      </c>
      <c r="E657" s="3" t="s">
        <v>538</v>
      </c>
      <c r="F657" s="3">
        <v>25.99</v>
      </c>
      <c r="G657" s="3" t="s">
        <v>2454</v>
      </c>
      <c r="H657" s="3"/>
      <c r="I657" s="3" t="s">
        <v>2455</v>
      </c>
      <c r="J657" s="3">
        <v>4</v>
      </c>
      <c r="K657" s="3">
        <v>4</v>
      </c>
      <c r="L657" s="3">
        <v>0</v>
      </c>
      <c r="M657" s="3">
        <v>0</v>
      </c>
      <c r="N657" s="3">
        <v>4</v>
      </c>
      <c r="O657" s="3">
        <v>0</v>
      </c>
      <c r="P657" s="3">
        <v>0</v>
      </c>
      <c r="Q657" s="3">
        <v>0</v>
      </c>
      <c r="R657" s="3">
        <v>0</v>
      </c>
    </row>
    <row r="658" spans="1:18">
      <c r="A658" s="3" t="s">
        <v>678</v>
      </c>
      <c r="B658" s="3" t="s">
        <v>679</v>
      </c>
      <c r="C658" s="3" t="s">
        <v>680</v>
      </c>
      <c r="D658" s="3" t="s">
        <v>582</v>
      </c>
      <c r="E658" s="3" t="s">
        <v>538</v>
      </c>
      <c r="F658" s="3">
        <v>25.99</v>
      </c>
      <c r="G658" s="3" t="s">
        <v>2454</v>
      </c>
      <c r="H658" s="3"/>
      <c r="I658" s="3" t="s">
        <v>2455</v>
      </c>
      <c r="J658" s="3">
        <v>4</v>
      </c>
      <c r="K658" s="3">
        <v>4</v>
      </c>
      <c r="L658" s="3">
        <v>0</v>
      </c>
      <c r="M658" s="3">
        <v>0</v>
      </c>
      <c r="N658" s="3">
        <v>4</v>
      </c>
      <c r="O658" s="3">
        <v>0</v>
      </c>
      <c r="P658" s="3">
        <v>0</v>
      </c>
      <c r="Q658" s="3">
        <v>0</v>
      </c>
      <c r="R658" s="3">
        <v>0</v>
      </c>
    </row>
    <row r="659" spans="1:18">
      <c r="A659" s="3" t="s">
        <v>2176</v>
      </c>
      <c r="B659" s="3" t="s">
        <v>2177</v>
      </c>
      <c r="C659" s="3" t="s">
        <v>2178</v>
      </c>
      <c r="D659" s="3" t="s">
        <v>582</v>
      </c>
      <c r="E659" s="3" t="s">
        <v>538</v>
      </c>
      <c r="F659" s="3">
        <v>25.99</v>
      </c>
      <c r="G659" s="3" t="s">
        <v>2454</v>
      </c>
      <c r="H659" s="3"/>
      <c r="I659" s="3" t="s">
        <v>2455</v>
      </c>
      <c r="J659" s="3">
        <v>4</v>
      </c>
      <c r="K659" s="3">
        <v>4</v>
      </c>
      <c r="L659" s="3">
        <v>0</v>
      </c>
      <c r="M659" s="3">
        <v>0</v>
      </c>
      <c r="N659" s="3">
        <v>4</v>
      </c>
      <c r="O659" s="3">
        <v>0</v>
      </c>
      <c r="P659" s="3">
        <v>0</v>
      </c>
      <c r="Q659" s="3">
        <v>0</v>
      </c>
      <c r="R659" s="3">
        <v>0</v>
      </c>
    </row>
    <row r="660" spans="1:18">
      <c r="A660" s="3" t="s">
        <v>1510</v>
      </c>
      <c r="B660" s="3" t="s">
        <v>1511</v>
      </c>
      <c r="C660" s="3" t="s">
        <v>1512</v>
      </c>
      <c r="D660" s="3" t="s">
        <v>582</v>
      </c>
      <c r="E660" s="3" t="s">
        <v>538</v>
      </c>
      <c r="F660" s="3">
        <v>25.99</v>
      </c>
      <c r="G660" s="3" t="s">
        <v>2454</v>
      </c>
      <c r="H660" s="3"/>
      <c r="I660" s="3" t="s">
        <v>2455</v>
      </c>
      <c r="J660" s="3">
        <v>4</v>
      </c>
      <c r="K660" s="3">
        <v>4</v>
      </c>
      <c r="L660" s="3">
        <v>0</v>
      </c>
      <c r="M660" s="3">
        <v>0</v>
      </c>
      <c r="N660" s="3">
        <v>4</v>
      </c>
      <c r="O660" s="3">
        <v>0</v>
      </c>
      <c r="P660" s="3">
        <v>0</v>
      </c>
      <c r="Q660" s="3">
        <v>0</v>
      </c>
      <c r="R660" s="3">
        <v>0</v>
      </c>
    </row>
    <row r="661" spans="1:18">
      <c r="A661" s="3" t="s">
        <v>1368</v>
      </c>
      <c r="B661" s="3" t="s">
        <v>1369</v>
      </c>
      <c r="C661" s="3" t="s">
        <v>1370</v>
      </c>
      <c r="D661" s="3" t="s">
        <v>582</v>
      </c>
      <c r="E661" s="3" t="s">
        <v>538</v>
      </c>
      <c r="F661" s="3">
        <v>25.99</v>
      </c>
      <c r="G661" s="3" t="s">
        <v>2454</v>
      </c>
      <c r="H661" s="3"/>
      <c r="I661" s="3" t="s">
        <v>2455</v>
      </c>
      <c r="J661" s="3">
        <v>4</v>
      </c>
      <c r="K661" s="3">
        <v>4</v>
      </c>
      <c r="L661" s="3">
        <v>0</v>
      </c>
      <c r="M661" s="3">
        <v>0</v>
      </c>
      <c r="N661" s="3">
        <v>4</v>
      </c>
      <c r="O661" s="3">
        <v>0</v>
      </c>
      <c r="P661" s="3">
        <v>0</v>
      </c>
      <c r="Q661" s="3">
        <v>0</v>
      </c>
      <c r="R661" s="3">
        <v>0</v>
      </c>
    </row>
    <row r="662" spans="1:18">
      <c r="A662" s="3" t="s">
        <v>1295</v>
      </c>
      <c r="B662" s="3" t="s">
        <v>1296</v>
      </c>
      <c r="C662" s="3" t="s">
        <v>1297</v>
      </c>
      <c r="D662" s="3" t="s">
        <v>1038</v>
      </c>
      <c r="E662" s="3" t="s">
        <v>538</v>
      </c>
      <c r="F662" s="3">
        <v>25.99</v>
      </c>
      <c r="G662" s="3" t="s">
        <v>2454</v>
      </c>
      <c r="H662" s="3"/>
      <c r="I662" s="3" t="s">
        <v>2455</v>
      </c>
      <c r="J662" s="3">
        <v>4</v>
      </c>
      <c r="K662" s="3">
        <v>4</v>
      </c>
      <c r="L662" s="3">
        <v>0</v>
      </c>
      <c r="M662" s="3">
        <v>0</v>
      </c>
      <c r="N662" s="3">
        <v>4</v>
      </c>
      <c r="O662" s="3">
        <v>0</v>
      </c>
      <c r="P662" s="3">
        <v>0</v>
      </c>
      <c r="Q662" s="3">
        <v>0</v>
      </c>
      <c r="R662" s="3">
        <v>0</v>
      </c>
    </row>
    <row r="663" spans="1:18">
      <c r="A663" s="3" t="s">
        <v>1892</v>
      </c>
      <c r="B663" s="3" t="s">
        <v>1893</v>
      </c>
      <c r="C663" s="3" t="s">
        <v>1894</v>
      </c>
      <c r="D663" s="3" t="s">
        <v>1038</v>
      </c>
      <c r="E663" s="3" t="s">
        <v>538</v>
      </c>
      <c r="F663" s="3">
        <v>25.99</v>
      </c>
      <c r="G663" s="3" t="s">
        <v>2454</v>
      </c>
      <c r="H663" s="3"/>
      <c r="I663" s="3" t="s">
        <v>2455</v>
      </c>
      <c r="J663" s="3">
        <v>4</v>
      </c>
      <c r="K663" s="3">
        <v>4</v>
      </c>
      <c r="L663" s="3">
        <v>0</v>
      </c>
      <c r="M663" s="3">
        <v>0</v>
      </c>
      <c r="N663" s="3">
        <v>4</v>
      </c>
      <c r="O663" s="3">
        <v>0</v>
      </c>
      <c r="P663" s="3">
        <v>0</v>
      </c>
      <c r="Q663" s="3">
        <v>0</v>
      </c>
      <c r="R663" s="3">
        <v>0</v>
      </c>
    </row>
    <row r="664" spans="1:18">
      <c r="A664" s="3" t="s">
        <v>891</v>
      </c>
      <c r="B664" s="3" t="s">
        <v>892</v>
      </c>
      <c r="C664" s="3" t="s">
        <v>893</v>
      </c>
      <c r="D664" s="3" t="s">
        <v>582</v>
      </c>
      <c r="E664" s="3" t="s">
        <v>538</v>
      </c>
      <c r="F664" s="3">
        <v>25.99</v>
      </c>
      <c r="G664" s="3" t="s">
        <v>2454</v>
      </c>
      <c r="H664" s="3"/>
      <c r="I664" s="3" t="s">
        <v>2455</v>
      </c>
      <c r="J664" s="3">
        <v>4</v>
      </c>
      <c r="K664" s="3">
        <v>4</v>
      </c>
      <c r="L664" s="3">
        <v>0</v>
      </c>
      <c r="M664" s="3">
        <v>0</v>
      </c>
      <c r="N664" s="3">
        <v>4</v>
      </c>
      <c r="O664" s="3">
        <v>0</v>
      </c>
      <c r="P664" s="3">
        <v>0</v>
      </c>
      <c r="Q664" s="3">
        <v>0</v>
      </c>
      <c r="R664" s="3">
        <v>0</v>
      </c>
    </row>
    <row r="665" spans="1:18">
      <c r="A665" s="3" t="s">
        <v>2357</v>
      </c>
      <c r="B665" s="3" t="s">
        <v>2358</v>
      </c>
      <c r="C665" s="3" t="s">
        <v>2359</v>
      </c>
      <c r="D665" s="3" t="s">
        <v>1038</v>
      </c>
      <c r="E665" s="3" t="s">
        <v>538</v>
      </c>
      <c r="F665" s="3">
        <v>25.99</v>
      </c>
      <c r="G665" s="3" t="s">
        <v>2454</v>
      </c>
      <c r="H665" s="3"/>
      <c r="I665" s="3" t="s">
        <v>2455</v>
      </c>
      <c r="J665" s="3">
        <v>4</v>
      </c>
      <c r="K665" s="3">
        <v>4</v>
      </c>
      <c r="L665" s="3">
        <v>0</v>
      </c>
      <c r="M665" s="3">
        <v>0</v>
      </c>
      <c r="N665" s="3">
        <v>4</v>
      </c>
      <c r="O665" s="3">
        <v>0</v>
      </c>
      <c r="P665" s="3">
        <v>0</v>
      </c>
      <c r="Q665" s="3">
        <v>0</v>
      </c>
      <c r="R665" s="3">
        <v>0</v>
      </c>
    </row>
    <row r="666" spans="1:18">
      <c r="A666" s="3" t="s">
        <v>1694</v>
      </c>
      <c r="B666" s="3" t="s">
        <v>1695</v>
      </c>
      <c r="C666" s="3" t="s">
        <v>1696</v>
      </c>
      <c r="D666" s="3" t="s">
        <v>582</v>
      </c>
      <c r="E666" s="3" t="s">
        <v>538</v>
      </c>
      <c r="F666" s="3">
        <v>25.99</v>
      </c>
      <c r="G666" s="3" t="s">
        <v>2454</v>
      </c>
      <c r="H666" s="3"/>
      <c r="I666" s="3" t="s">
        <v>2455</v>
      </c>
      <c r="J666" s="3">
        <v>4</v>
      </c>
      <c r="K666" s="3">
        <v>4</v>
      </c>
      <c r="L666" s="3">
        <v>0</v>
      </c>
      <c r="M666" s="3">
        <v>0</v>
      </c>
      <c r="N666" s="3">
        <v>4</v>
      </c>
      <c r="O666" s="3">
        <v>0</v>
      </c>
      <c r="P666" s="3">
        <v>0</v>
      </c>
      <c r="Q666" s="3">
        <v>0</v>
      </c>
      <c r="R666" s="3">
        <v>0</v>
      </c>
    </row>
    <row r="667" spans="1:18">
      <c r="A667" s="3" t="s">
        <v>2304</v>
      </c>
      <c r="B667" s="3" t="s">
        <v>2305</v>
      </c>
      <c r="C667" s="3" t="s">
        <v>2306</v>
      </c>
      <c r="D667" s="3" t="s">
        <v>1038</v>
      </c>
      <c r="E667" s="3" t="s">
        <v>538</v>
      </c>
      <c r="F667" s="3">
        <v>25.99</v>
      </c>
      <c r="G667" s="3" t="s">
        <v>2454</v>
      </c>
      <c r="H667" s="3"/>
      <c r="I667" s="3" t="s">
        <v>2455</v>
      </c>
      <c r="J667" s="3">
        <v>3</v>
      </c>
      <c r="K667" s="3">
        <v>3</v>
      </c>
      <c r="L667" s="3">
        <v>0</v>
      </c>
      <c r="M667" s="3">
        <v>0</v>
      </c>
      <c r="N667" s="3">
        <v>3</v>
      </c>
      <c r="O667" s="3">
        <v>0</v>
      </c>
      <c r="P667" s="3">
        <v>0</v>
      </c>
      <c r="Q667" s="3">
        <v>0</v>
      </c>
      <c r="R667" s="3">
        <v>0</v>
      </c>
    </row>
    <row r="668" spans="1:18">
      <c r="A668" s="3" t="s">
        <v>947</v>
      </c>
      <c r="B668" s="3" t="s">
        <v>948</v>
      </c>
      <c r="C668" s="3" t="s">
        <v>949</v>
      </c>
      <c r="D668" s="3" t="s">
        <v>582</v>
      </c>
      <c r="E668" s="3" t="s">
        <v>538</v>
      </c>
      <c r="F668" s="3">
        <v>25.99</v>
      </c>
      <c r="G668" s="3" t="s">
        <v>2454</v>
      </c>
      <c r="H668" s="3"/>
      <c r="I668" s="3" t="s">
        <v>2455</v>
      </c>
      <c r="J668" s="3">
        <v>4</v>
      </c>
      <c r="K668" s="3">
        <v>4</v>
      </c>
      <c r="L668" s="3">
        <v>0</v>
      </c>
      <c r="M668" s="3">
        <v>0</v>
      </c>
      <c r="N668" s="3">
        <v>4</v>
      </c>
      <c r="O668" s="3">
        <v>0</v>
      </c>
      <c r="P668" s="3">
        <v>0</v>
      </c>
      <c r="Q668" s="3">
        <v>0</v>
      </c>
      <c r="R668" s="3">
        <v>0</v>
      </c>
    </row>
    <row r="669" spans="1:18">
      <c r="A669" s="3" t="s">
        <v>1751</v>
      </c>
      <c r="B669" s="3" t="s">
        <v>1752</v>
      </c>
      <c r="C669" s="3" t="s">
        <v>1753</v>
      </c>
      <c r="D669" s="3" t="s">
        <v>582</v>
      </c>
      <c r="E669" s="3" t="s">
        <v>538</v>
      </c>
      <c r="F669" s="3">
        <v>25.99</v>
      </c>
      <c r="G669" s="3" t="s">
        <v>2454</v>
      </c>
      <c r="H669" s="3"/>
      <c r="I669" s="3" t="s">
        <v>2455</v>
      </c>
      <c r="J669" s="3">
        <v>4</v>
      </c>
      <c r="K669" s="3">
        <v>4</v>
      </c>
      <c r="L669" s="3">
        <v>0</v>
      </c>
      <c r="M669" s="3">
        <v>0</v>
      </c>
      <c r="N669" s="3">
        <v>4</v>
      </c>
      <c r="O669" s="3">
        <v>0</v>
      </c>
      <c r="P669" s="3">
        <v>0</v>
      </c>
      <c r="Q669" s="3">
        <v>0</v>
      </c>
      <c r="R669" s="3">
        <v>0</v>
      </c>
    </row>
    <row r="670" spans="1:18">
      <c r="A670" s="3" t="s">
        <v>857</v>
      </c>
      <c r="B670" s="3" t="s">
        <v>858</v>
      </c>
      <c r="C670" s="3" t="s">
        <v>859</v>
      </c>
      <c r="D670" s="3" t="s">
        <v>582</v>
      </c>
      <c r="E670" s="3" t="s">
        <v>538</v>
      </c>
      <c r="F670" s="3">
        <v>25.99</v>
      </c>
      <c r="G670" s="3" t="s">
        <v>2454</v>
      </c>
      <c r="H670" s="3"/>
      <c r="I670" s="3" t="s">
        <v>2455</v>
      </c>
      <c r="J670" s="3">
        <v>4</v>
      </c>
      <c r="K670" s="3">
        <v>4</v>
      </c>
      <c r="L670" s="3">
        <v>0</v>
      </c>
      <c r="M670" s="3">
        <v>0</v>
      </c>
      <c r="N670" s="3">
        <v>4</v>
      </c>
      <c r="O670" s="3">
        <v>0</v>
      </c>
      <c r="P670" s="3">
        <v>0</v>
      </c>
      <c r="Q670" s="3">
        <v>0</v>
      </c>
      <c r="R670" s="3">
        <v>0</v>
      </c>
    </row>
    <row r="671" spans="1:18">
      <c r="A671" s="3" t="s">
        <v>2131</v>
      </c>
      <c r="B671" s="3" t="s">
        <v>2132</v>
      </c>
      <c r="C671" s="3" t="s">
        <v>2133</v>
      </c>
      <c r="D671" s="3" t="s">
        <v>582</v>
      </c>
      <c r="E671" s="3" t="s">
        <v>538</v>
      </c>
      <c r="F671" s="3">
        <v>25.99</v>
      </c>
      <c r="G671" s="3" t="s">
        <v>2454</v>
      </c>
      <c r="H671" s="3"/>
      <c r="I671" s="3" t="s">
        <v>2455</v>
      </c>
      <c r="J671" s="3">
        <v>4</v>
      </c>
      <c r="K671" s="3">
        <v>4</v>
      </c>
      <c r="L671" s="3">
        <v>0</v>
      </c>
      <c r="M671" s="3">
        <v>0</v>
      </c>
      <c r="N671" s="3">
        <v>4</v>
      </c>
      <c r="O671" s="3">
        <v>0</v>
      </c>
      <c r="P671" s="3">
        <v>0</v>
      </c>
      <c r="Q671" s="3">
        <v>0</v>
      </c>
      <c r="R671" s="3">
        <v>0</v>
      </c>
    </row>
    <row r="672" spans="1:18">
      <c r="A672" s="3" t="s">
        <v>1156</v>
      </c>
      <c r="B672" s="3" t="s">
        <v>1157</v>
      </c>
      <c r="C672" s="3" t="s">
        <v>1158</v>
      </c>
      <c r="D672" s="3" t="s">
        <v>582</v>
      </c>
      <c r="E672" s="3" t="s">
        <v>538</v>
      </c>
      <c r="F672" s="3">
        <v>25.99</v>
      </c>
      <c r="G672" s="3" t="s">
        <v>2454</v>
      </c>
      <c r="H672" s="3"/>
      <c r="I672" s="3" t="s">
        <v>2455</v>
      </c>
      <c r="J672" s="3">
        <v>4</v>
      </c>
      <c r="K672" s="3">
        <v>4</v>
      </c>
      <c r="L672" s="3">
        <v>0</v>
      </c>
      <c r="M672" s="3">
        <v>0</v>
      </c>
      <c r="N672" s="3">
        <v>4</v>
      </c>
      <c r="O672" s="3">
        <v>0</v>
      </c>
      <c r="P672" s="3">
        <v>0</v>
      </c>
      <c r="Q672" s="3">
        <v>0</v>
      </c>
      <c r="R672" s="3">
        <v>0</v>
      </c>
    </row>
    <row r="673" spans="1:18">
      <c r="A673" s="3" t="s">
        <v>2281</v>
      </c>
      <c r="B673" s="3" t="s">
        <v>2282</v>
      </c>
      <c r="C673" s="3" t="s">
        <v>2283</v>
      </c>
      <c r="D673" s="3" t="s">
        <v>582</v>
      </c>
      <c r="E673" s="3" t="s">
        <v>538</v>
      </c>
      <c r="F673" s="3">
        <v>25.99</v>
      </c>
      <c r="G673" s="3" t="s">
        <v>2454</v>
      </c>
      <c r="H673" s="3"/>
      <c r="I673" s="3" t="s">
        <v>2455</v>
      </c>
      <c r="J673" s="3">
        <v>4</v>
      </c>
      <c r="K673" s="3">
        <v>4</v>
      </c>
      <c r="L673" s="3">
        <v>0</v>
      </c>
      <c r="M673" s="3">
        <v>0</v>
      </c>
      <c r="N673" s="3">
        <v>4</v>
      </c>
      <c r="O673" s="3">
        <v>0</v>
      </c>
      <c r="P673" s="3">
        <v>0</v>
      </c>
      <c r="Q673" s="3">
        <v>0</v>
      </c>
      <c r="R673" s="3">
        <v>0</v>
      </c>
    </row>
    <row r="674" spans="1:18">
      <c r="A674" s="3" t="s">
        <v>2307</v>
      </c>
      <c r="B674" s="3" t="s">
        <v>2308</v>
      </c>
      <c r="C674" s="3" t="s">
        <v>2309</v>
      </c>
      <c r="D674" s="3" t="s">
        <v>1038</v>
      </c>
      <c r="E674" s="3" t="s">
        <v>538</v>
      </c>
      <c r="F674" s="3">
        <v>25.99</v>
      </c>
      <c r="G674" s="3" t="s">
        <v>2454</v>
      </c>
      <c r="H674" s="3"/>
      <c r="I674" s="3" t="s">
        <v>2455</v>
      </c>
      <c r="J674" s="3">
        <v>4</v>
      </c>
      <c r="K674" s="3">
        <v>4</v>
      </c>
      <c r="L674" s="3">
        <v>0</v>
      </c>
      <c r="M674" s="3">
        <v>0</v>
      </c>
      <c r="N674" s="3">
        <v>4</v>
      </c>
      <c r="O674" s="3">
        <v>0</v>
      </c>
      <c r="P674" s="3">
        <v>0</v>
      </c>
      <c r="Q674" s="3">
        <v>0</v>
      </c>
      <c r="R674" s="3">
        <v>0</v>
      </c>
    </row>
    <row r="675" spans="1:18">
      <c r="A675" s="3" t="s">
        <v>2213</v>
      </c>
      <c r="B675" s="3" t="s">
        <v>2214</v>
      </c>
      <c r="C675" s="3" t="s">
        <v>2215</v>
      </c>
      <c r="D675" s="3" t="s">
        <v>582</v>
      </c>
      <c r="E675" s="3" t="s">
        <v>538</v>
      </c>
      <c r="F675" s="3">
        <v>25.99</v>
      </c>
      <c r="G675" s="3" t="s">
        <v>2454</v>
      </c>
      <c r="H675" s="3"/>
      <c r="I675" s="3" t="s">
        <v>2455</v>
      </c>
      <c r="J675" s="3">
        <v>4</v>
      </c>
      <c r="K675" s="3">
        <v>4</v>
      </c>
      <c r="L675" s="3">
        <v>0</v>
      </c>
      <c r="M675" s="3">
        <v>0</v>
      </c>
      <c r="N675" s="3">
        <v>4</v>
      </c>
      <c r="O675" s="3">
        <v>0</v>
      </c>
      <c r="P675" s="3">
        <v>0</v>
      </c>
      <c r="Q675" s="3">
        <v>0</v>
      </c>
      <c r="R675" s="3">
        <v>0</v>
      </c>
    </row>
    <row r="676" spans="1:18">
      <c r="A676" s="3" t="s">
        <v>1288</v>
      </c>
      <c r="B676" s="3" t="s">
        <v>1289</v>
      </c>
      <c r="C676" s="3" t="s">
        <v>1290</v>
      </c>
      <c r="D676" s="3" t="s">
        <v>582</v>
      </c>
      <c r="E676" s="3" t="s">
        <v>538</v>
      </c>
      <c r="F676" s="3">
        <v>25.99</v>
      </c>
      <c r="G676" s="3" t="s">
        <v>2454</v>
      </c>
      <c r="H676" s="3"/>
      <c r="I676" s="3" t="s">
        <v>2455</v>
      </c>
      <c r="J676" s="3">
        <v>4</v>
      </c>
      <c r="K676" s="3">
        <v>4</v>
      </c>
      <c r="L676" s="3">
        <v>0</v>
      </c>
      <c r="M676" s="3">
        <v>0</v>
      </c>
      <c r="N676" s="3">
        <v>4</v>
      </c>
      <c r="O676" s="3">
        <v>0</v>
      </c>
      <c r="P676" s="3">
        <v>0</v>
      </c>
      <c r="Q676" s="3">
        <v>0</v>
      </c>
      <c r="R676" s="3">
        <v>0</v>
      </c>
    </row>
    <row r="677" spans="1:18">
      <c r="A677" s="3" t="s">
        <v>1306</v>
      </c>
      <c r="B677" s="3" t="s">
        <v>1307</v>
      </c>
      <c r="C677" s="3" t="s">
        <v>1308</v>
      </c>
      <c r="D677" s="3" t="s">
        <v>582</v>
      </c>
      <c r="E677" s="3" t="s">
        <v>538</v>
      </c>
      <c r="F677" s="3">
        <v>25.99</v>
      </c>
      <c r="G677" s="3" t="s">
        <v>2454</v>
      </c>
      <c r="H677" s="3"/>
      <c r="I677" s="3" t="s">
        <v>2455</v>
      </c>
      <c r="J677" s="3">
        <v>4</v>
      </c>
      <c r="K677" s="3">
        <v>4</v>
      </c>
      <c r="L677" s="3">
        <v>0</v>
      </c>
      <c r="M677" s="3">
        <v>0</v>
      </c>
      <c r="N677" s="3">
        <v>4</v>
      </c>
      <c r="O677" s="3">
        <v>0</v>
      </c>
      <c r="P677" s="3">
        <v>0</v>
      </c>
      <c r="Q677" s="3">
        <v>0</v>
      </c>
      <c r="R677" s="3">
        <v>0</v>
      </c>
    </row>
    <row r="678" spans="1:18">
      <c r="A678" s="3" t="s">
        <v>2219</v>
      </c>
      <c r="B678" s="3" t="s">
        <v>2220</v>
      </c>
      <c r="C678" s="3" t="s">
        <v>2221</v>
      </c>
      <c r="D678" s="3" t="s">
        <v>582</v>
      </c>
      <c r="E678" s="3" t="s">
        <v>538</v>
      </c>
      <c r="F678" s="3">
        <v>25.99</v>
      </c>
      <c r="G678" s="3" t="s">
        <v>2454</v>
      </c>
      <c r="H678" s="3"/>
      <c r="I678" s="3" t="s">
        <v>2455</v>
      </c>
      <c r="J678" s="3">
        <v>4</v>
      </c>
      <c r="K678" s="3">
        <v>4</v>
      </c>
      <c r="L678" s="3">
        <v>0</v>
      </c>
      <c r="M678" s="3">
        <v>0</v>
      </c>
      <c r="N678" s="3">
        <v>4</v>
      </c>
      <c r="O678" s="3">
        <v>0</v>
      </c>
      <c r="P678" s="3">
        <v>0</v>
      </c>
      <c r="Q678" s="3">
        <v>0</v>
      </c>
      <c r="R678" s="3">
        <v>0</v>
      </c>
    </row>
    <row r="679" spans="1:18">
      <c r="A679" s="3" t="s">
        <v>579</v>
      </c>
      <c r="B679" s="3" t="s">
        <v>580</v>
      </c>
      <c r="C679" s="3" t="s">
        <v>581</v>
      </c>
      <c r="D679" s="3" t="s">
        <v>582</v>
      </c>
      <c r="E679" s="3" t="s">
        <v>538</v>
      </c>
      <c r="F679" s="3">
        <v>25.99</v>
      </c>
      <c r="G679" s="3" t="s">
        <v>2454</v>
      </c>
      <c r="H679" s="3"/>
      <c r="I679" s="3" t="s">
        <v>2455</v>
      </c>
      <c r="J679" s="3">
        <v>4</v>
      </c>
      <c r="K679" s="3">
        <v>4</v>
      </c>
      <c r="L679" s="3">
        <v>0</v>
      </c>
      <c r="M679" s="3">
        <v>0</v>
      </c>
      <c r="N679" s="3">
        <v>4</v>
      </c>
      <c r="O679" s="3">
        <v>0</v>
      </c>
      <c r="P679" s="3">
        <v>0</v>
      </c>
      <c r="Q679" s="3">
        <v>0</v>
      </c>
      <c r="R679" s="3">
        <v>0</v>
      </c>
    </row>
    <row r="680" spans="1:18">
      <c r="A680" s="3" t="s">
        <v>1244</v>
      </c>
      <c r="B680" s="3" t="s">
        <v>1245</v>
      </c>
      <c r="C680" s="3" t="s">
        <v>1246</v>
      </c>
      <c r="D680" s="3" t="s">
        <v>582</v>
      </c>
      <c r="E680" s="3" t="s">
        <v>538</v>
      </c>
      <c r="F680" s="3">
        <v>25.99</v>
      </c>
      <c r="G680" s="3" t="s">
        <v>2454</v>
      </c>
      <c r="H680" s="3"/>
      <c r="I680" s="3" t="s">
        <v>2455</v>
      </c>
      <c r="J680" s="3">
        <v>4</v>
      </c>
      <c r="K680" s="3">
        <v>4</v>
      </c>
      <c r="L680" s="3">
        <v>0</v>
      </c>
      <c r="M680" s="3">
        <v>0</v>
      </c>
      <c r="N680" s="3">
        <v>4</v>
      </c>
      <c r="O680" s="3">
        <v>0</v>
      </c>
      <c r="P680" s="3">
        <v>0</v>
      </c>
      <c r="Q680" s="3">
        <v>0</v>
      </c>
      <c r="R680" s="3">
        <v>0</v>
      </c>
    </row>
    <row r="681" spans="1:18">
      <c r="A681" s="3" t="s">
        <v>1885</v>
      </c>
      <c r="B681" s="3" t="s">
        <v>1886</v>
      </c>
      <c r="C681" s="3" t="s">
        <v>1887</v>
      </c>
      <c r="D681" s="3" t="s">
        <v>582</v>
      </c>
      <c r="E681" s="3" t="s">
        <v>538</v>
      </c>
      <c r="F681" s="3">
        <v>25.99</v>
      </c>
      <c r="G681" s="3" t="s">
        <v>2454</v>
      </c>
      <c r="H681" s="3"/>
      <c r="I681" s="3" t="s">
        <v>2455</v>
      </c>
      <c r="J681" s="3">
        <v>3</v>
      </c>
      <c r="K681" s="3">
        <v>3</v>
      </c>
      <c r="L681" s="3">
        <v>0</v>
      </c>
      <c r="M681" s="3">
        <v>0</v>
      </c>
      <c r="N681" s="3">
        <v>3</v>
      </c>
      <c r="O681" s="3">
        <v>0</v>
      </c>
      <c r="P681" s="3">
        <v>0</v>
      </c>
      <c r="Q681" s="3">
        <v>0</v>
      </c>
      <c r="R681" s="3">
        <v>0</v>
      </c>
    </row>
    <row r="682" spans="1:18">
      <c r="A682" s="3" t="s">
        <v>854</v>
      </c>
      <c r="B682" s="3" t="s">
        <v>855</v>
      </c>
      <c r="C682" s="3" t="s">
        <v>856</v>
      </c>
      <c r="D682" s="3" t="s">
        <v>582</v>
      </c>
      <c r="E682" s="3" t="s">
        <v>538</v>
      </c>
      <c r="F682" s="3">
        <v>25.99</v>
      </c>
      <c r="G682" s="3" t="s">
        <v>2454</v>
      </c>
      <c r="H682" s="3"/>
      <c r="I682" s="3" t="s">
        <v>2455</v>
      </c>
      <c r="J682" s="3">
        <v>4</v>
      </c>
      <c r="K682" s="3">
        <v>4</v>
      </c>
      <c r="L682" s="3">
        <v>0</v>
      </c>
      <c r="M682" s="3">
        <v>0</v>
      </c>
      <c r="N682" s="3">
        <v>4</v>
      </c>
      <c r="O682" s="3">
        <v>0</v>
      </c>
      <c r="P682" s="3">
        <v>0</v>
      </c>
      <c r="Q682" s="3">
        <v>0</v>
      </c>
      <c r="R682" s="3">
        <v>0</v>
      </c>
    </row>
    <row r="683" spans="1:18">
      <c r="A683" s="3" t="s">
        <v>1489</v>
      </c>
      <c r="B683" s="3" t="s">
        <v>1490</v>
      </c>
      <c r="C683" s="3" t="s">
        <v>1491</v>
      </c>
      <c r="D683" s="3" t="s">
        <v>582</v>
      </c>
      <c r="E683" s="3" t="s">
        <v>538</v>
      </c>
      <c r="F683" s="3">
        <v>25.99</v>
      </c>
      <c r="G683" s="3" t="s">
        <v>2454</v>
      </c>
      <c r="H683" s="3"/>
      <c r="I683" s="3" t="s">
        <v>2455</v>
      </c>
      <c r="J683" s="3">
        <v>4</v>
      </c>
      <c r="K683" s="3">
        <v>4</v>
      </c>
      <c r="L683" s="3">
        <v>0</v>
      </c>
      <c r="M683" s="3">
        <v>0</v>
      </c>
      <c r="N683" s="3">
        <v>4</v>
      </c>
      <c r="O683" s="3">
        <v>0</v>
      </c>
      <c r="P683" s="3">
        <v>0</v>
      </c>
      <c r="Q683" s="3">
        <v>0</v>
      </c>
      <c r="R683" s="3">
        <v>0</v>
      </c>
    </row>
    <row r="684" spans="1:18">
      <c r="A684" s="3" t="s">
        <v>940</v>
      </c>
      <c r="B684" s="3" t="s">
        <v>941</v>
      </c>
      <c r="C684" s="3" t="s">
        <v>942</v>
      </c>
      <c r="D684" s="3" t="s">
        <v>582</v>
      </c>
      <c r="E684" s="3" t="s">
        <v>538</v>
      </c>
      <c r="F684" s="3">
        <v>25.99</v>
      </c>
      <c r="G684" s="3" t="s">
        <v>2454</v>
      </c>
      <c r="H684" s="3"/>
      <c r="I684" s="3" t="s">
        <v>2455</v>
      </c>
      <c r="J684" s="3">
        <v>4</v>
      </c>
      <c r="K684" s="3">
        <v>4</v>
      </c>
      <c r="L684" s="3">
        <v>0</v>
      </c>
      <c r="M684" s="3">
        <v>0</v>
      </c>
      <c r="N684" s="3">
        <v>4</v>
      </c>
      <c r="O684" s="3">
        <v>0</v>
      </c>
      <c r="P684" s="3">
        <v>0</v>
      </c>
      <c r="Q684" s="3">
        <v>0</v>
      </c>
      <c r="R684" s="3">
        <v>0</v>
      </c>
    </row>
    <row r="685" spans="1:18">
      <c r="A685" s="3" t="s">
        <v>1797</v>
      </c>
      <c r="B685" s="3" t="s">
        <v>1798</v>
      </c>
      <c r="C685" s="3" t="s">
        <v>1799</v>
      </c>
      <c r="D685" s="3" t="s">
        <v>1800</v>
      </c>
      <c r="E685" s="3" t="s">
        <v>538</v>
      </c>
      <c r="F685" s="3">
        <v>30.99</v>
      </c>
      <c r="G685" s="3" t="s">
        <v>2454</v>
      </c>
      <c r="H685" s="3"/>
      <c r="I685" s="3" t="s">
        <v>2455</v>
      </c>
      <c r="J685" s="3">
        <v>5</v>
      </c>
      <c r="K685" s="3">
        <v>5</v>
      </c>
      <c r="L685" s="3">
        <v>0</v>
      </c>
      <c r="M685" s="3">
        <v>0</v>
      </c>
      <c r="N685" s="3">
        <v>5</v>
      </c>
      <c r="O685" s="3">
        <v>0.16</v>
      </c>
      <c r="P685" s="3">
        <v>0</v>
      </c>
      <c r="Q685" s="3">
        <v>0</v>
      </c>
      <c r="R685" s="3">
        <v>0</v>
      </c>
    </row>
    <row r="686" spans="1:18">
      <c r="A686" s="3" t="s">
        <v>692</v>
      </c>
      <c r="B686" s="3" t="s">
        <v>693</v>
      </c>
      <c r="C686" s="3" t="s">
        <v>694</v>
      </c>
      <c r="D686" s="3" t="s">
        <v>695</v>
      </c>
      <c r="E686" s="3" t="s">
        <v>538</v>
      </c>
      <c r="F686" s="3">
        <v>34.9</v>
      </c>
      <c r="G686" s="3" t="s">
        <v>2454</v>
      </c>
      <c r="H686" s="3"/>
      <c r="I686" s="3" t="s">
        <v>2455</v>
      </c>
      <c r="J686" s="3">
        <v>1</v>
      </c>
      <c r="K686" s="3">
        <v>1</v>
      </c>
      <c r="L686" s="3">
        <v>0</v>
      </c>
      <c r="M686" s="3">
        <v>0</v>
      </c>
      <c r="N686" s="3">
        <v>1</v>
      </c>
      <c r="O686" s="3">
        <v>0</v>
      </c>
      <c r="P686" s="3">
        <v>0</v>
      </c>
      <c r="Q686" s="3">
        <v>0</v>
      </c>
      <c r="R686" s="3">
        <v>0</v>
      </c>
    </row>
    <row r="687" spans="1:18">
      <c r="A687" s="3" t="s">
        <v>3411</v>
      </c>
      <c r="B687" s="3" t="s">
        <v>3412</v>
      </c>
      <c r="C687" s="3" t="s">
        <v>3413</v>
      </c>
      <c r="D687" s="3" t="s">
        <v>3414</v>
      </c>
      <c r="E687" s="3" t="s">
        <v>538</v>
      </c>
      <c r="F687" s="3">
        <v>57.6</v>
      </c>
      <c r="G687" s="3" t="s">
        <v>2454</v>
      </c>
      <c r="H687" s="3"/>
      <c r="I687" s="3" t="s">
        <v>2455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0.15</v>
      </c>
      <c r="P687" s="3">
        <v>0</v>
      </c>
      <c r="Q687" s="3">
        <v>0</v>
      </c>
      <c r="R687" s="3">
        <v>0</v>
      </c>
    </row>
    <row r="688" spans="1:18">
      <c r="A688" s="3" t="s">
        <v>3415</v>
      </c>
      <c r="B688" s="3" t="s">
        <v>3416</v>
      </c>
      <c r="C688" s="3" t="s">
        <v>3417</v>
      </c>
      <c r="D688" s="3" t="s">
        <v>3418</v>
      </c>
      <c r="E688" s="3" t="s">
        <v>538</v>
      </c>
      <c r="F688" s="3">
        <v>57.6</v>
      </c>
      <c r="G688" s="3" t="s">
        <v>2454</v>
      </c>
      <c r="H688" s="3"/>
      <c r="I688" s="3" t="s">
        <v>2455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0.15</v>
      </c>
      <c r="P688" s="3">
        <v>0</v>
      </c>
      <c r="Q688" s="3">
        <v>0</v>
      </c>
      <c r="R688" s="3">
        <v>0</v>
      </c>
    </row>
    <row r="689" spans="1:18">
      <c r="A689" s="3" t="s">
        <v>212</v>
      </c>
      <c r="B689" s="3" t="s">
        <v>213</v>
      </c>
      <c r="C689" s="3" t="s">
        <v>214</v>
      </c>
      <c r="D689" s="3" t="s">
        <v>215</v>
      </c>
      <c r="E689" s="3" t="s">
        <v>538</v>
      </c>
      <c r="F689" s="3">
        <v>57.6</v>
      </c>
      <c r="G689" s="3" t="s">
        <v>2454</v>
      </c>
      <c r="H689" s="3"/>
      <c r="I689" s="3" t="s">
        <v>2455</v>
      </c>
      <c r="J689" s="3">
        <v>1</v>
      </c>
      <c r="K689" s="3">
        <v>0</v>
      </c>
      <c r="L689" s="3">
        <v>0</v>
      </c>
      <c r="M689" s="3">
        <v>1</v>
      </c>
      <c r="N689" s="3">
        <v>1</v>
      </c>
      <c r="O689" s="3">
        <v>0.19</v>
      </c>
      <c r="P689" s="3">
        <v>0</v>
      </c>
      <c r="Q689" s="3">
        <v>0</v>
      </c>
      <c r="R689" s="3">
        <v>0</v>
      </c>
    </row>
    <row r="690" spans="1:18">
      <c r="A690" s="3" t="s">
        <v>3419</v>
      </c>
      <c r="B690" s="3" t="s">
        <v>3420</v>
      </c>
      <c r="C690" s="3" t="s">
        <v>3421</v>
      </c>
      <c r="D690" s="3" t="s">
        <v>3422</v>
      </c>
      <c r="E690" s="3" t="s">
        <v>538</v>
      </c>
      <c r="F690" s="3">
        <v>57.6</v>
      </c>
      <c r="G690" s="3" t="s">
        <v>2454</v>
      </c>
      <c r="H690" s="3"/>
      <c r="I690" s="3" t="s">
        <v>2455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0.15</v>
      </c>
      <c r="P690" s="3">
        <v>0</v>
      </c>
      <c r="Q690" s="3">
        <v>0</v>
      </c>
      <c r="R690" s="3">
        <v>0</v>
      </c>
    </row>
    <row r="691" spans="1:18">
      <c r="A691" s="3" t="s">
        <v>3423</v>
      </c>
      <c r="B691" s="3" t="s">
        <v>3424</v>
      </c>
      <c r="C691" s="3" t="s">
        <v>3425</v>
      </c>
      <c r="D691" s="3" t="s">
        <v>3426</v>
      </c>
      <c r="E691" s="3" t="s">
        <v>538</v>
      </c>
      <c r="F691" s="3">
        <v>57.6</v>
      </c>
      <c r="G691" s="3" t="s">
        <v>2454</v>
      </c>
      <c r="H691" s="3"/>
      <c r="I691" s="3" t="s">
        <v>2455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0.23</v>
      </c>
      <c r="P691" s="3">
        <v>0</v>
      </c>
      <c r="Q691" s="3">
        <v>0</v>
      </c>
      <c r="R691" s="3">
        <v>0</v>
      </c>
    </row>
    <row r="692" spans="1:18">
      <c r="A692" s="3" t="s">
        <v>3427</v>
      </c>
      <c r="B692" s="3" t="s">
        <v>3428</v>
      </c>
      <c r="C692" s="3" t="s">
        <v>3429</v>
      </c>
      <c r="D692" s="3" t="s">
        <v>3430</v>
      </c>
      <c r="E692" s="3" t="s">
        <v>538</v>
      </c>
      <c r="F692" s="3">
        <v>57.6</v>
      </c>
      <c r="G692" s="3" t="s">
        <v>2454</v>
      </c>
      <c r="H692" s="3"/>
      <c r="I692" s="3" t="s">
        <v>2455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0.15</v>
      </c>
      <c r="P692" s="3">
        <v>0</v>
      </c>
      <c r="Q692" s="3">
        <v>0</v>
      </c>
      <c r="R692" s="3">
        <v>0</v>
      </c>
    </row>
    <row r="693" spans="1:18">
      <c r="A693" s="3" t="s">
        <v>3431</v>
      </c>
      <c r="B693" s="3" t="s">
        <v>3432</v>
      </c>
      <c r="C693" s="3" t="s">
        <v>3433</v>
      </c>
      <c r="D693" s="3" t="s">
        <v>3434</v>
      </c>
      <c r="E693" s="3" t="s">
        <v>538</v>
      </c>
      <c r="F693" s="3">
        <v>57.6</v>
      </c>
      <c r="G693" s="3" t="s">
        <v>2454</v>
      </c>
      <c r="H693" s="3"/>
      <c r="I693" s="3" t="s">
        <v>2455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0.19</v>
      </c>
      <c r="P693" s="3">
        <v>0</v>
      </c>
      <c r="Q693" s="3">
        <v>0</v>
      </c>
      <c r="R693" s="3">
        <v>0</v>
      </c>
    </row>
    <row r="694" spans="1:18">
      <c r="A694" s="3" t="s">
        <v>2166</v>
      </c>
      <c r="B694" s="3" t="s">
        <v>2167</v>
      </c>
      <c r="C694" s="3" t="s">
        <v>2168</v>
      </c>
      <c r="D694" s="3" t="s">
        <v>2169</v>
      </c>
      <c r="E694" s="3" t="s">
        <v>538</v>
      </c>
      <c r="F694" s="3">
        <v>47.2</v>
      </c>
      <c r="G694" s="3" t="s">
        <v>2454</v>
      </c>
      <c r="H694" s="3"/>
      <c r="I694" s="3" t="s">
        <v>2455</v>
      </c>
      <c r="J694" s="3">
        <v>4</v>
      </c>
      <c r="K694" s="3">
        <v>4</v>
      </c>
      <c r="L694" s="3">
        <v>0</v>
      </c>
      <c r="M694" s="3">
        <v>0</v>
      </c>
      <c r="N694" s="3">
        <v>4</v>
      </c>
      <c r="O694" s="3">
        <v>0.04</v>
      </c>
      <c r="P694" s="3">
        <v>0</v>
      </c>
      <c r="Q694" s="3">
        <v>0</v>
      </c>
      <c r="R694" s="3">
        <v>0</v>
      </c>
    </row>
    <row r="695" spans="1:18">
      <c r="A695" s="3" t="s">
        <v>3435</v>
      </c>
      <c r="B695" s="3" t="s">
        <v>3436</v>
      </c>
      <c r="C695" s="3" t="s">
        <v>3437</v>
      </c>
      <c r="D695" s="3" t="s">
        <v>3438</v>
      </c>
      <c r="E695" s="3" t="s">
        <v>538</v>
      </c>
      <c r="F695" s="3">
        <v>47.2</v>
      </c>
      <c r="G695" s="3" t="s">
        <v>2455</v>
      </c>
      <c r="H695" s="3">
        <v>0</v>
      </c>
      <c r="I695" s="3" t="s">
        <v>2454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0.04</v>
      </c>
      <c r="P695" s="3">
        <v>0</v>
      </c>
      <c r="Q695" s="3">
        <v>0</v>
      </c>
      <c r="R695" s="3">
        <v>0</v>
      </c>
    </row>
    <row r="696" spans="1:18">
      <c r="A696" s="3" t="s">
        <v>2076</v>
      </c>
      <c r="B696" s="3" t="s">
        <v>2077</v>
      </c>
      <c r="C696" s="3" t="s">
        <v>2078</v>
      </c>
      <c r="D696" s="3" t="s">
        <v>2079</v>
      </c>
      <c r="E696" s="3" t="s">
        <v>538</v>
      </c>
      <c r="F696" s="3">
        <v>47.2</v>
      </c>
      <c r="G696" s="3" t="s">
        <v>2454</v>
      </c>
      <c r="H696" s="3"/>
      <c r="I696" s="3" t="s">
        <v>2455</v>
      </c>
      <c r="J696" s="3">
        <v>1</v>
      </c>
      <c r="K696" s="3">
        <v>1</v>
      </c>
      <c r="L696" s="3">
        <v>0</v>
      </c>
      <c r="M696" s="3">
        <v>0</v>
      </c>
      <c r="N696" s="3">
        <v>1</v>
      </c>
      <c r="O696" s="3">
        <v>0.04</v>
      </c>
      <c r="P696" s="3">
        <v>0</v>
      </c>
      <c r="Q696" s="3">
        <v>0</v>
      </c>
      <c r="R696" s="3">
        <v>0</v>
      </c>
    </row>
    <row r="697" spans="1:18">
      <c r="A697" s="3" t="s">
        <v>3439</v>
      </c>
      <c r="B697" s="3" t="s">
        <v>3440</v>
      </c>
      <c r="C697" s="3" t="s">
        <v>3441</v>
      </c>
      <c r="D697" s="3" t="s">
        <v>19</v>
      </c>
      <c r="E697" s="3" t="s">
        <v>538</v>
      </c>
      <c r="F697" s="3">
        <v>20.99</v>
      </c>
      <c r="G697" s="3" t="s">
        <v>2454</v>
      </c>
      <c r="H697" s="3"/>
      <c r="I697" s="3" t="s">
        <v>2455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0.07</v>
      </c>
      <c r="P697" s="3">
        <v>0</v>
      </c>
      <c r="Q697" s="3">
        <v>0</v>
      </c>
      <c r="R697" s="3">
        <v>0</v>
      </c>
    </row>
    <row r="698" spans="1:18">
      <c r="A698" s="3" t="s">
        <v>1697</v>
      </c>
      <c r="B698" s="3" t="s">
        <v>1698</v>
      </c>
      <c r="C698" s="3" t="s">
        <v>1699</v>
      </c>
      <c r="D698" s="3" t="s">
        <v>19</v>
      </c>
      <c r="E698" s="3" t="s">
        <v>538</v>
      </c>
      <c r="F698" s="3">
        <v>20.99</v>
      </c>
      <c r="G698" s="3" t="s">
        <v>2454</v>
      </c>
      <c r="H698" s="3"/>
      <c r="I698" s="3" t="s">
        <v>2455</v>
      </c>
      <c r="J698" s="3">
        <v>18</v>
      </c>
      <c r="K698" s="3">
        <v>18</v>
      </c>
      <c r="L698" s="3">
        <v>0</v>
      </c>
      <c r="M698" s="3">
        <v>0</v>
      </c>
      <c r="N698" s="3">
        <v>18</v>
      </c>
      <c r="O698" s="3">
        <v>0.07</v>
      </c>
      <c r="P698" s="3">
        <v>0</v>
      </c>
      <c r="Q698" s="3">
        <v>0</v>
      </c>
      <c r="R698" s="3">
        <v>0</v>
      </c>
    </row>
    <row r="699" spans="1:18">
      <c r="A699" s="3" t="s">
        <v>3442</v>
      </c>
      <c r="B699" s="3" t="s">
        <v>3443</v>
      </c>
      <c r="C699" s="3" t="s">
        <v>3444</v>
      </c>
      <c r="D699" s="3" t="s">
        <v>19</v>
      </c>
      <c r="E699" s="3" t="s">
        <v>538</v>
      </c>
      <c r="F699" s="3">
        <v>15.99</v>
      </c>
      <c r="G699" s="3" t="s">
        <v>2454</v>
      </c>
      <c r="H699" s="3"/>
      <c r="I699" s="3" t="s">
        <v>2455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0.07</v>
      </c>
      <c r="P699" s="3">
        <v>0</v>
      </c>
      <c r="Q699" s="3">
        <v>0</v>
      </c>
      <c r="R699" s="3">
        <v>0</v>
      </c>
    </row>
    <row r="700" spans="1:18">
      <c r="A700" s="3" t="s">
        <v>198</v>
      </c>
      <c r="B700" s="3" t="s">
        <v>199</v>
      </c>
      <c r="C700" s="3" t="s">
        <v>200</v>
      </c>
      <c r="D700" s="3" t="s">
        <v>19</v>
      </c>
      <c r="E700" s="3" t="s">
        <v>538</v>
      </c>
      <c r="F700" s="3">
        <v>20.99</v>
      </c>
      <c r="G700" s="3" t="s">
        <v>2454</v>
      </c>
      <c r="H700" s="3"/>
      <c r="I700" s="3" t="s">
        <v>2455</v>
      </c>
      <c r="J700" s="3">
        <v>14</v>
      </c>
      <c r="K700" s="3">
        <v>12</v>
      </c>
      <c r="L700" s="3">
        <v>0</v>
      </c>
      <c r="M700" s="3">
        <v>2</v>
      </c>
      <c r="N700" s="3">
        <v>14</v>
      </c>
      <c r="O700" s="3">
        <v>0.07</v>
      </c>
      <c r="P700" s="3">
        <v>0</v>
      </c>
      <c r="Q700" s="3">
        <v>0</v>
      </c>
      <c r="R700" s="3">
        <v>0</v>
      </c>
    </row>
    <row r="701" spans="1:18">
      <c r="A701" s="3" t="s">
        <v>201</v>
      </c>
      <c r="B701" s="3" t="s">
        <v>202</v>
      </c>
      <c r="C701" s="3" t="s">
        <v>203</v>
      </c>
      <c r="D701" s="3" t="s">
        <v>19</v>
      </c>
      <c r="E701" s="3" t="s">
        <v>538</v>
      </c>
      <c r="F701" s="3">
        <v>20.99</v>
      </c>
      <c r="G701" s="3" t="s">
        <v>2454</v>
      </c>
      <c r="H701" s="3"/>
      <c r="I701" s="3" t="s">
        <v>2455</v>
      </c>
      <c r="J701" s="3">
        <v>5</v>
      </c>
      <c r="K701" s="3">
        <v>4</v>
      </c>
      <c r="L701" s="3">
        <v>0</v>
      </c>
      <c r="M701" s="3">
        <v>1</v>
      </c>
      <c r="N701" s="3">
        <v>5</v>
      </c>
      <c r="O701" s="3">
        <v>0.07</v>
      </c>
      <c r="P701" s="3">
        <v>0</v>
      </c>
      <c r="Q701" s="3">
        <v>0</v>
      </c>
      <c r="R701" s="3">
        <v>0</v>
      </c>
    </row>
    <row r="702" spans="1:18">
      <c r="A702" s="3" t="s">
        <v>3445</v>
      </c>
      <c r="B702" s="3" t="s">
        <v>3446</v>
      </c>
      <c r="C702" s="3" t="s">
        <v>3447</v>
      </c>
      <c r="D702" s="3" t="s">
        <v>3448</v>
      </c>
      <c r="E702" s="3" t="s">
        <v>538</v>
      </c>
      <c r="F702" s="3">
        <v>29.99</v>
      </c>
      <c r="G702" s="3" t="s">
        <v>2454</v>
      </c>
      <c r="H702" s="3"/>
      <c r="I702" s="3" t="s">
        <v>2455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0.12</v>
      </c>
      <c r="P702" s="3">
        <v>0</v>
      </c>
      <c r="Q702" s="3">
        <v>0</v>
      </c>
      <c r="R702" s="3">
        <v>0</v>
      </c>
    </row>
    <row r="703" spans="1:18">
      <c r="A703" s="3" t="s">
        <v>3449</v>
      </c>
      <c r="B703" s="3" t="s">
        <v>3450</v>
      </c>
      <c r="C703" s="3" t="s">
        <v>3451</v>
      </c>
      <c r="D703" s="3" t="s">
        <v>3452</v>
      </c>
      <c r="E703" s="3" t="s">
        <v>538</v>
      </c>
      <c r="F703" s="3">
        <v>29.99</v>
      </c>
      <c r="G703" s="3" t="s">
        <v>2454</v>
      </c>
      <c r="H703" s="3"/>
      <c r="I703" s="3" t="s">
        <v>2455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0.12</v>
      </c>
      <c r="P703" s="3">
        <v>0</v>
      </c>
      <c r="Q703" s="3">
        <v>0</v>
      </c>
      <c r="R703" s="3">
        <v>0</v>
      </c>
    </row>
    <row r="704" spans="1:18">
      <c r="A704" s="3" t="s">
        <v>3453</v>
      </c>
      <c r="B704" s="3" t="s">
        <v>3454</v>
      </c>
      <c r="C704" s="3" t="s">
        <v>3455</v>
      </c>
      <c r="D704" s="3" t="s">
        <v>3456</v>
      </c>
      <c r="E704" s="3" t="s">
        <v>538</v>
      </c>
      <c r="F704" s="3">
        <v>29.99</v>
      </c>
      <c r="G704" s="3" t="s">
        <v>2454</v>
      </c>
      <c r="H704" s="3"/>
      <c r="I704" s="3" t="s">
        <v>2455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0.12</v>
      </c>
      <c r="P704" s="3">
        <v>0</v>
      </c>
      <c r="Q704" s="3">
        <v>0</v>
      </c>
      <c r="R704" s="3">
        <v>0</v>
      </c>
    </row>
    <row r="705" spans="1:18">
      <c r="A705" s="3" t="s">
        <v>3457</v>
      </c>
      <c r="B705" s="3" t="s">
        <v>3458</v>
      </c>
      <c r="C705" s="3" t="s">
        <v>3459</v>
      </c>
      <c r="D705" s="3" t="s">
        <v>3460</v>
      </c>
      <c r="E705" s="3" t="s">
        <v>538</v>
      </c>
      <c r="F705" s="3">
        <v>29.99</v>
      </c>
      <c r="G705" s="3" t="s">
        <v>2454</v>
      </c>
      <c r="H705" s="3"/>
      <c r="I705" s="3" t="s">
        <v>2455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0.12</v>
      </c>
      <c r="P705" s="3">
        <v>0</v>
      </c>
      <c r="Q705" s="3">
        <v>0</v>
      </c>
      <c r="R705" s="3">
        <v>0</v>
      </c>
    </row>
    <row r="706" spans="1:18">
      <c r="A706" s="3" t="s">
        <v>3461</v>
      </c>
      <c r="B706" s="3" t="s">
        <v>3462</v>
      </c>
      <c r="C706" s="3" t="s">
        <v>3463</v>
      </c>
      <c r="D706" s="3" t="s">
        <v>3464</v>
      </c>
      <c r="E706" s="3" t="s">
        <v>538</v>
      </c>
      <c r="F706" s="3">
        <v>29.99</v>
      </c>
      <c r="G706" s="3" t="s">
        <v>2454</v>
      </c>
      <c r="H706" s="3"/>
      <c r="I706" s="3" t="s">
        <v>2455</v>
      </c>
      <c r="J706" s="3">
        <v>0</v>
      </c>
      <c r="K706" s="3">
        <v>0</v>
      </c>
      <c r="L706" s="3">
        <v>0</v>
      </c>
      <c r="M706" s="3">
        <v>0</v>
      </c>
      <c r="N706" s="3">
        <v>0</v>
      </c>
      <c r="O706" s="3">
        <v>0.13</v>
      </c>
      <c r="P706" s="3">
        <v>0</v>
      </c>
      <c r="Q706" s="3">
        <v>0</v>
      </c>
      <c r="R706" s="3">
        <v>0</v>
      </c>
    </row>
    <row r="707" spans="1:18">
      <c r="A707" s="3" t="s">
        <v>3465</v>
      </c>
      <c r="B707" s="3" t="s">
        <v>3466</v>
      </c>
      <c r="C707" s="3" t="s">
        <v>3467</v>
      </c>
      <c r="D707" s="3" t="s">
        <v>3468</v>
      </c>
      <c r="E707" s="3" t="s">
        <v>538</v>
      </c>
      <c r="F707" s="3">
        <v>29.99</v>
      </c>
      <c r="G707" s="3" t="s">
        <v>2454</v>
      </c>
      <c r="H707" s="3"/>
      <c r="I707" s="3" t="s">
        <v>2455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0.12</v>
      </c>
      <c r="P707" s="3">
        <v>0</v>
      </c>
      <c r="Q707" s="3">
        <v>0</v>
      </c>
      <c r="R707" s="3">
        <v>0</v>
      </c>
    </row>
    <row r="708" spans="1:18">
      <c r="A708" s="3" t="s">
        <v>3469</v>
      </c>
      <c r="B708" s="3" t="s">
        <v>3470</v>
      </c>
      <c r="C708" s="3" t="s">
        <v>3471</v>
      </c>
      <c r="D708" s="3" t="s">
        <v>3472</v>
      </c>
      <c r="E708" s="3" t="s">
        <v>538</v>
      </c>
      <c r="F708" s="3">
        <v>29.99</v>
      </c>
      <c r="G708" s="3" t="s">
        <v>2454</v>
      </c>
      <c r="H708" s="3"/>
      <c r="I708" s="3" t="s">
        <v>2455</v>
      </c>
      <c r="J708" s="3">
        <v>0</v>
      </c>
      <c r="K708" s="3">
        <v>0</v>
      </c>
      <c r="L708" s="3">
        <v>0</v>
      </c>
      <c r="M708" s="3">
        <v>0</v>
      </c>
      <c r="N708" s="3">
        <v>0</v>
      </c>
      <c r="O708" s="3">
        <v>0.12</v>
      </c>
      <c r="P708" s="3">
        <v>0</v>
      </c>
      <c r="Q708" s="3">
        <v>0</v>
      </c>
      <c r="R708" s="3">
        <v>0</v>
      </c>
    </row>
    <row r="709" spans="1:18">
      <c r="A709" s="3" t="s">
        <v>3473</v>
      </c>
      <c r="B709" s="3" t="s">
        <v>3474</v>
      </c>
      <c r="C709" s="3" t="s">
        <v>3475</v>
      </c>
      <c r="D709" s="3" t="s">
        <v>3476</v>
      </c>
      <c r="E709" s="3" t="s">
        <v>538</v>
      </c>
      <c r="F709" s="3">
        <v>29.99</v>
      </c>
      <c r="G709" s="3" t="s">
        <v>2454</v>
      </c>
      <c r="H709" s="3"/>
      <c r="I709" s="3" t="s">
        <v>2455</v>
      </c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>
        <v>0.12</v>
      </c>
      <c r="P709" s="3">
        <v>0</v>
      </c>
      <c r="Q709" s="3">
        <v>0</v>
      </c>
      <c r="R709" s="3">
        <v>0</v>
      </c>
    </row>
    <row r="710" spans="1:18">
      <c r="A710" s="3" t="s">
        <v>1831</v>
      </c>
      <c r="B710" s="3" t="s">
        <v>1832</v>
      </c>
      <c r="C710" s="3" t="s">
        <v>1833</v>
      </c>
      <c r="D710" s="3" t="s">
        <v>1834</v>
      </c>
      <c r="E710" s="3" t="s">
        <v>538</v>
      </c>
      <c r="F710" s="3">
        <v>29.99</v>
      </c>
      <c r="G710" s="3" t="s">
        <v>2454</v>
      </c>
      <c r="H710" s="3"/>
      <c r="I710" s="3" t="s">
        <v>2455</v>
      </c>
      <c r="J710" s="3">
        <v>9</v>
      </c>
      <c r="K710" s="3">
        <v>9</v>
      </c>
      <c r="L710" s="3">
        <v>0</v>
      </c>
      <c r="M710" s="3">
        <v>0</v>
      </c>
      <c r="N710" s="3">
        <v>9</v>
      </c>
      <c r="O710" s="3">
        <v>0.12</v>
      </c>
      <c r="P710" s="3">
        <v>0</v>
      </c>
      <c r="Q710" s="3">
        <v>0</v>
      </c>
      <c r="R710" s="3">
        <v>0</v>
      </c>
    </row>
    <row r="711" spans="1:18">
      <c r="A711" s="3" t="s">
        <v>3477</v>
      </c>
      <c r="B711" s="3" t="s">
        <v>3478</v>
      </c>
      <c r="C711" s="3" t="s">
        <v>3479</v>
      </c>
      <c r="D711" s="3" t="s">
        <v>3480</v>
      </c>
      <c r="E711" s="3" t="s">
        <v>538</v>
      </c>
      <c r="F711" s="3">
        <v>29.99</v>
      </c>
      <c r="G711" s="3" t="s">
        <v>2454</v>
      </c>
      <c r="H711" s="3"/>
      <c r="I711" s="3" t="s">
        <v>2455</v>
      </c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>
        <v>0.12</v>
      </c>
      <c r="P711" s="3">
        <v>0</v>
      </c>
      <c r="Q711" s="3">
        <v>0</v>
      </c>
      <c r="R711" s="3">
        <v>0</v>
      </c>
    </row>
    <row r="712" spans="1:18">
      <c r="A712" s="3" t="s">
        <v>3481</v>
      </c>
      <c r="B712" s="3" t="s">
        <v>3482</v>
      </c>
      <c r="C712" s="3" t="s">
        <v>3483</v>
      </c>
      <c r="D712" s="3" t="s">
        <v>3484</v>
      </c>
      <c r="E712" s="3" t="s">
        <v>538</v>
      </c>
      <c r="F712" s="3">
        <v>29.99</v>
      </c>
      <c r="G712" s="3" t="s">
        <v>2454</v>
      </c>
      <c r="H712" s="3"/>
      <c r="I712" s="3" t="s">
        <v>2455</v>
      </c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>
        <v>0.12</v>
      </c>
      <c r="P712" s="3">
        <v>0</v>
      </c>
      <c r="Q712" s="3">
        <v>0</v>
      </c>
      <c r="R712" s="3">
        <v>0</v>
      </c>
    </row>
    <row r="713" spans="1:18">
      <c r="A713" s="3" t="s">
        <v>3485</v>
      </c>
      <c r="B713" s="3" t="s">
        <v>3486</v>
      </c>
      <c r="C713" s="3" t="s">
        <v>3487</v>
      </c>
      <c r="D713" s="3" t="s">
        <v>3488</v>
      </c>
      <c r="E713" s="3" t="s">
        <v>538</v>
      </c>
      <c r="F713" s="3">
        <v>29.99</v>
      </c>
      <c r="G713" s="3" t="s">
        <v>2454</v>
      </c>
      <c r="H713" s="3"/>
      <c r="I713" s="3" t="s">
        <v>2455</v>
      </c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>
        <v>0.12</v>
      </c>
      <c r="P713" s="3">
        <v>0</v>
      </c>
      <c r="Q713" s="3">
        <v>0</v>
      </c>
      <c r="R713" s="3">
        <v>0</v>
      </c>
    </row>
    <row r="714" spans="1:18">
      <c r="A714" s="3" t="s">
        <v>3489</v>
      </c>
      <c r="B714" s="3" t="s">
        <v>3490</v>
      </c>
      <c r="C714" s="3" t="s">
        <v>3491</v>
      </c>
      <c r="D714" s="3" t="s">
        <v>3492</v>
      </c>
      <c r="E714" s="3" t="s">
        <v>538</v>
      </c>
      <c r="F714" s="3">
        <v>29.99</v>
      </c>
      <c r="G714" s="3" t="s">
        <v>2454</v>
      </c>
      <c r="H714" s="3"/>
      <c r="I714" s="3" t="s">
        <v>2455</v>
      </c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>
        <v>0.12</v>
      </c>
      <c r="P714" s="3">
        <v>0</v>
      </c>
      <c r="Q714" s="3">
        <v>0</v>
      </c>
      <c r="R714" s="3">
        <v>0</v>
      </c>
    </row>
    <row r="715" spans="1:18">
      <c r="A715" s="3" t="s">
        <v>208</v>
      </c>
      <c r="B715" s="3" t="s">
        <v>209</v>
      </c>
      <c r="C715" s="3" t="s">
        <v>210</v>
      </c>
      <c r="D715" s="3" t="s">
        <v>211</v>
      </c>
      <c r="E715" s="3" t="s">
        <v>538</v>
      </c>
      <c r="F715" s="3">
        <v>29.99</v>
      </c>
      <c r="G715" s="3" t="s">
        <v>2454</v>
      </c>
      <c r="H715" s="3"/>
      <c r="I715" s="3" t="s">
        <v>2455</v>
      </c>
      <c r="J715" s="3">
        <v>2</v>
      </c>
      <c r="K715" s="3">
        <v>0</v>
      </c>
      <c r="L715" s="3">
        <v>0</v>
      </c>
      <c r="M715" s="3">
        <v>2</v>
      </c>
      <c r="N715" s="3">
        <v>2</v>
      </c>
      <c r="O715" s="3">
        <v>0.12</v>
      </c>
      <c r="P715" s="3">
        <v>0</v>
      </c>
      <c r="Q715" s="3">
        <v>0</v>
      </c>
      <c r="R715" s="3">
        <v>0</v>
      </c>
    </row>
    <row r="716" spans="1:18">
      <c r="A716" s="3" t="s">
        <v>3493</v>
      </c>
      <c r="B716" s="3" t="s">
        <v>3494</v>
      </c>
      <c r="C716" s="3" t="s">
        <v>3495</v>
      </c>
      <c r="D716" s="3" t="s">
        <v>3496</v>
      </c>
      <c r="E716" s="3" t="s">
        <v>538</v>
      </c>
      <c r="F716" s="3">
        <v>29.99</v>
      </c>
      <c r="G716" s="3" t="s">
        <v>2454</v>
      </c>
      <c r="H716" s="3"/>
      <c r="I716" s="3" t="s">
        <v>2455</v>
      </c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>
        <v>0.12</v>
      </c>
      <c r="P716" s="3">
        <v>0</v>
      </c>
      <c r="Q716" s="3">
        <v>0</v>
      </c>
      <c r="R716" s="3">
        <v>0</v>
      </c>
    </row>
    <row r="717" spans="1:18">
      <c r="A717" s="3" t="s">
        <v>3497</v>
      </c>
      <c r="B717" s="3" t="s">
        <v>3498</v>
      </c>
      <c r="C717" s="3" t="s">
        <v>3499</v>
      </c>
      <c r="D717" s="3" t="s">
        <v>3500</v>
      </c>
      <c r="E717" s="3" t="s">
        <v>538</v>
      </c>
      <c r="F717" s="3">
        <v>29.99</v>
      </c>
      <c r="G717" s="3" t="s">
        <v>2454</v>
      </c>
      <c r="H717" s="3"/>
      <c r="I717" s="3" t="s">
        <v>2455</v>
      </c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>
        <v>0.12</v>
      </c>
      <c r="P717" s="3">
        <v>0</v>
      </c>
      <c r="Q717" s="3">
        <v>0</v>
      </c>
      <c r="R717" s="3">
        <v>0</v>
      </c>
    </row>
    <row r="718" spans="1:18">
      <c r="A718" s="3" t="s">
        <v>3501</v>
      </c>
      <c r="B718" s="3" t="s">
        <v>3502</v>
      </c>
      <c r="C718" s="3" t="s">
        <v>3503</v>
      </c>
      <c r="D718" s="3" t="s">
        <v>3504</v>
      </c>
      <c r="E718" s="3" t="s">
        <v>538</v>
      </c>
      <c r="F718" s="3">
        <v>29.99</v>
      </c>
      <c r="G718" s="3" t="s">
        <v>2454</v>
      </c>
      <c r="H718" s="3"/>
      <c r="I718" s="3" t="s">
        <v>2455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0.12</v>
      </c>
      <c r="P718" s="3">
        <v>0</v>
      </c>
      <c r="Q718" s="3">
        <v>0</v>
      </c>
      <c r="R718" s="3">
        <v>0</v>
      </c>
    </row>
    <row r="719" spans="1:18">
      <c r="A719" s="3" t="s">
        <v>3505</v>
      </c>
      <c r="B719" s="3" t="s">
        <v>3506</v>
      </c>
      <c r="C719" s="3" t="s">
        <v>3507</v>
      </c>
      <c r="D719" s="3" t="s">
        <v>3508</v>
      </c>
      <c r="E719" s="3" t="s">
        <v>538</v>
      </c>
      <c r="F719" s="3">
        <v>29.99</v>
      </c>
      <c r="G719" s="3" t="s">
        <v>2454</v>
      </c>
      <c r="H719" s="3"/>
      <c r="I719" s="3" t="s">
        <v>2455</v>
      </c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>
        <v>0.12</v>
      </c>
      <c r="P719" s="3">
        <v>0</v>
      </c>
      <c r="Q719" s="3">
        <v>0</v>
      </c>
      <c r="R719" s="3">
        <v>0</v>
      </c>
    </row>
    <row r="720" spans="1:18">
      <c r="A720" s="3" t="s">
        <v>3509</v>
      </c>
      <c r="B720" s="3" t="s">
        <v>3510</v>
      </c>
      <c r="C720" s="3" t="s">
        <v>3511</v>
      </c>
      <c r="D720" s="3" t="s">
        <v>3512</v>
      </c>
      <c r="E720" s="3" t="s">
        <v>538</v>
      </c>
      <c r="F720" s="3">
        <v>29.99</v>
      </c>
      <c r="G720" s="3" t="s">
        <v>2454</v>
      </c>
      <c r="H720" s="3"/>
      <c r="I720" s="3" t="s">
        <v>2455</v>
      </c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>
        <v>0.12</v>
      </c>
      <c r="P720" s="3">
        <v>0</v>
      </c>
      <c r="Q720" s="3">
        <v>0</v>
      </c>
      <c r="R720" s="3">
        <v>0</v>
      </c>
    </row>
    <row r="721" spans="1:18">
      <c r="A721" s="3" t="s">
        <v>3513</v>
      </c>
      <c r="B721" s="3" t="s">
        <v>3514</v>
      </c>
      <c r="C721" s="3" t="s">
        <v>3515</v>
      </c>
      <c r="D721" s="3" t="s">
        <v>3516</v>
      </c>
      <c r="E721" s="3" t="s">
        <v>538</v>
      </c>
      <c r="F721" s="3">
        <v>29.99</v>
      </c>
      <c r="G721" s="3" t="s">
        <v>2454</v>
      </c>
      <c r="H721" s="3"/>
      <c r="I721" s="3" t="s">
        <v>2455</v>
      </c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>
        <v>0.11</v>
      </c>
      <c r="P721" s="3">
        <v>0</v>
      </c>
      <c r="Q721" s="3">
        <v>0</v>
      </c>
      <c r="R721" s="3">
        <v>0</v>
      </c>
    </row>
    <row r="722" spans="1:18">
      <c r="A722" s="3" t="s">
        <v>3517</v>
      </c>
      <c r="B722" s="3" t="s">
        <v>3518</v>
      </c>
      <c r="C722" s="3" t="s">
        <v>3519</v>
      </c>
      <c r="D722" s="3" t="s">
        <v>3520</v>
      </c>
      <c r="E722" s="3" t="s">
        <v>538</v>
      </c>
      <c r="F722" s="3">
        <v>29.99</v>
      </c>
      <c r="G722" s="3" t="s">
        <v>2454</v>
      </c>
      <c r="H722" s="3"/>
      <c r="I722" s="3" t="s">
        <v>2455</v>
      </c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>
        <v>0.12</v>
      </c>
      <c r="P722" s="3">
        <v>0</v>
      </c>
      <c r="Q722" s="3">
        <v>0</v>
      </c>
      <c r="R722" s="3">
        <v>0</v>
      </c>
    </row>
    <row r="723" spans="1:18">
      <c r="A723" s="3" t="s">
        <v>3521</v>
      </c>
      <c r="B723" s="3" t="s">
        <v>3522</v>
      </c>
      <c r="C723" s="3" t="s">
        <v>3523</v>
      </c>
      <c r="D723" s="3" t="s">
        <v>3524</v>
      </c>
      <c r="E723" s="3" t="s">
        <v>538</v>
      </c>
      <c r="F723" s="3">
        <v>29.99</v>
      </c>
      <c r="G723" s="3" t="s">
        <v>2454</v>
      </c>
      <c r="H723" s="3"/>
      <c r="I723" s="3" t="s">
        <v>2455</v>
      </c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>
        <v>0.12</v>
      </c>
      <c r="P723" s="3">
        <v>0</v>
      </c>
      <c r="Q723" s="3">
        <v>0</v>
      </c>
      <c r="R723" s="3">
        <v>0</v>
      </c>
    </row>
    <row r="724" spans="1:18">
      <c r="A724" s="3" t="s">
        <v>3525</v>
      </c>
      <c r="B724" s="3" t="s">
        <v>3526</v>
      </c>
      <c r="C724" s="3" t="s">
        <v>3527</v>
      </c>
      <c r="D724" s="3" t="s">
        <v>3528</v>
      </c>
      <c r="E724" s="3" t="s">
        <v>538</v>
      </c>
      <c r="F724" s="3">
        <v>29.99</v>
      </c>
      <c r="G724" s="3" t="s">
        <v>2454</v>
      </c>
      <c r="H724" s="3"/>
      <c r="I724" s="3" t="s">
        <v>2455</v>
      </c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>
        <v>0.12</v>
      </c>
      <c r="P724" s="3">
        <v>0</v>
      </c>
      <c r="Q724" s="3">
        <v>0</v>
      </c>
      <c r="R724" s="3">
        <v>0</v>
      </c>
    </row>
    <row r="725" spans="1:18">
      <c r="A725" s="3" t="s">
        <v>1275</v>
      </c>
      <c r="B725" s="3" t="s">
        <v>1276</v>
      </c>
      <c r="C725" s="3" t="s">
        <v>1277</v>
      </c>
      <c r="D725" s="3" t="s">
        <v>1278</v>
      </c>
      <c r="E725" s="3" t="s">
        <v>538</v>
      </c>
      <c r="F725" s="3">
        <v>29.99</v>
      </c>
      <c r="G725" s="3" t="s">
        <v>2454</v>
      </c>
      <c r="H725" s="3"/>
      <c r="I725" s="3" t="s">
        <v>2455</v>
      </c>
      <c r="J725" s="3">
        <v>2</v>
      </c>
      <c r="K725" s="3">
        <v>2</v>
      </c>
      <c r="L725" s="3">
        <v>0</v>
      </c>
      <c r="M725" s="3">
        <v>0</v>
      </c>
      <c r="N725" s="3">
        <v>2</v>
      </c>
      <c r="O725" s="3">
        <v>0.12</v>
      </c>
      <c r="P725" s="3">
        <v>0</v>
      </c>
      <c r="Q725" s="3">
        <v>0</v>
      </c>
      <c r="R725" s="3">
        <v>0</v>
      </c>
    </row>
    <row r="726" spans="1:18">
      <c r="A726" s="3" t="s">
        <v>3529</v>
      </c>
      <c r="B726" s="3" t="s">
        <v>3530</v>
      </c>
      <c r="C726" s="3" t="s">
        <v>3531</v>
      </c>
      <c r="D726" s="3" t="s">
        <v>3532</v>
      </c>
      <c r="E726" s="3" t="s">
        <v>538</v>
      </c>
      <c r="F726" s="3">
        <v>29.99</v>
      </c>
      <c r="G726" s="3" t="s">
        <v>2454</v>
      </c>
      <c r="H726" s="3"/>
      <c r="I726" s="3" t="s">
        <v>2455</v>
      </c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>
        <v>0.12</v>
      </c>
      <c r="P726" s="3">
        <v>0</v>
      </c>
      <c r="Q726" s="3">
        <v>0</v>
      </c>
      <c r="R726" s="3">
        <v>0</v>
      </c>
    </row>
    <row r="727" spans="1:18">
      <c r="A727" s="3" t="s">
        <v>3533</v>
      </c>
      <c r="B727" s="3" t="s">
        <v>3534</v>
      </c>
      <c r="C727" s="3" t="s">
        <v>3535</v>
      </c>
      <c r="D727" s="3" t="s">
        <v>3536</v>
      </c>
      <c r="E727" s="3" t="s">
        <v>538</v>
      </c>
      <c r="F727" s="3">
        <v>9.59</v>
      </c>
      <c r="G727" s="3" t="s">
        <v>2454</v>
      </c>
      <c r="H727" s="3"/>
      <c r="I727" s="3" t="s">
        <v>2455</v>
      </c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>
        <v>0.12</v>
      </c>
      <c r="P727" s="3">
        <v>0</v>
      </c>
      <c r="Q727" s="3">
        <v>0</v>
      </c>
      <c r="R727" s="3">
        <v>0</v>
      </c>
    </row>
    <row r="728" spans="1:18">
      <c r="A728" s="3" t="s">
        <v>3537</v>
      </c>
      <c r="B728" s="3" t="s">
        <v>3538</v>
      </c>
      <c r="C728" s="3" t="s">
        <v>3539</v>
      </c>
      <c r="D728" s="3" t="s">
        <v>3540</v>
      </c>
      <c r="E728" s="3" t="s">
        <v>538</v>
      </c>
      <c r="F728" s="3">
        <v>9.95</v>
      </c>
      <c r="G728" s="3" t="s">
        <v>2454</v>
      </c>
      <c r="H728" s="3"/>
      <c r="I728" s="3" t="s">
        <v>2455</v>
      </c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>
        <v>0.12</v>
      </c>
      <c r="P728" s="3">
        <v>0</v>
      </c>
      <c r="Q728" s="3">
        <v>0</v>
      </c>
      <c r="R728" s="3">
        <v>0</v>
      </c>
    </row>
    <row r="729" spans="1:18">
      <c r="A729" s="3" t="s">
        <v>3541</v>
      </c>
      <c r="B729" s="3" t="s">
        <v>3542</v>
      </c>
      <c r="C729" s="3" t="s">
        <v>3543</v>
      </c>
      <c r="D729" s="3" t="s">
        <v>3544</v>
      </c>
      <c r="E729" s="3" t="s">
        <v>538</v>
      </c>
      <c r="F729" s="3">
        <v>29.99</v>
      </c>
      <c r="G729" s="3" t="s">
        <v>2454</v>
      </c>
      <c r="H729" s="3"/>
      <c r="I729" s="3" t="s">
        <v>2455</v>
      </c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>
        <v>0.12</v>
      </c>
      <c r="P729" s="3">
        <v>0</v>
      </c>
      <c r="Q729" s="3">
        <v>0</v>
      </c>
      <c r="R729" s="3">
        <v>0</v>
      </c>
    </row>
    <row r="730" spans="1:18">
      <c r="A730" s="3" t="s">
        <v>3545</v>
      </c>
      <c r="B730" s="3" t="s">
        <v>3546</v>
      </c>
      <c r="C730" s="3" t="s">
        <v>3547</v>
      </c>
      <c r="D730" s="3" t="s">
        <v>3548</v>
      </c>
      <c r="E730" s="3" t="s">
        <v>538</v>
      </c>
      <c r="F730" s="3">
        <v>29.99</v>
      </c>
      <c r="G730" s="3" t="s">
        <v>2454</v>
      </c>
      <c r="H730" s="3"/>
      <c r="I730" s="3" t="s">
        <v>2455</v>
      </c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>
        <v>0.12</v>
      </c>
      <c r="P730" s="3">
        <v>0</v>
      </c>
      <c r="Q730" s="3">
        <v>0</v>
      </c>
      <c r="R730" s="3">
        <v>0</v>
      </c>
    </row>
    <row r="731" spans="1:18">
      <c r="A731" s="3" t="s">
        <v>3549</v>
      </c>
      <c r="B731" s="3" t="s">
        <v>3550</v>
      </c>
      <c r="C731" s="3" t="s">
        <v>3551</v>
      </c>
      <c r="D731" s="3" t="s">
        <v>3552</v>
      </c>
      <c r="E731" s="3" t="s">
        <v>538</v>
      </c>
      <c r="F731" s="3">
        <v>29.99</v>
      </c>
      <c r="G731" s="3" t="s">
        <v>2454</v>
      </c>
      <c r="H731" s="3"/>
      <c r="I731" s="3" t="s">
        <v>2455</v>
      </c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>
        <v>0.12</v>
      </c>
      <c r="P731" s="3">
        <v>0</v>
      </c>
      <c r="Q731" s="3">
        <v>0</v>
      </c>
      <c r="R731" s="3">
        <v>0</v>
      </c>
    </row>
    <row r="732" spans="1:18">
      <c r="A732" s="3" t="s">
        <v>3553</v>
      </c>
      <c r="B732" s="3" t="s">
        <v>3554</v>
      </c>
      <c r="C732" s="3" t="s">
        <v>3555</v>
      </c>
      <c r="D732" s="3" t="s">
        <v>3556</v>
      </c>
      <c r="E732" s="3" t="s">
        <v>538</v>
      </c>
      <c r="F732" s="3">
        <v>29.99</v>
      </c>
      <c r="G732" s="3" t="s">
        <v>2454</v>
      </c>
      <c r="H732" s="3"/>
      <c r="I732" s="3" t="s">
        <v>2455</v>
      </c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>
        <v>0.12</v>
      </c>
      <c r="P732" s="3">
        <v>0</v>
      </c>
      <c r="Q732" s="3">
        <v>0</v>
      </c>
      <c r="R732" s="3">
        <v>0</v>
      </c>
    </row>
    <row r="733" spans="1:18">
      <c r="A733" s="3" t="s">
        <v>3557</v>
      </c>
      <c r="B733" s="3" t="s">
        <v>3558</v>
      </c>
      <c r="C733" s="3" t="s">
        <v>3559</v>
      </c>
      <c r="D733" s="3" t="s">
        <v>3560</v>
      </c>
      <c r="E733" s="3" t="s">
        <v>538</v>
      </c>
      <c r="F733" s="3">
        <v>8.99</v>
      </c>
      <c r="G733" s="3" t="s">
        <v>2454</v>
      </c>
      <c r="H733" s="3"/>
      <c r="I733" s="3" t="s">
        <v>2455</v>
      </c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>
        <v>0.12</v>
      </c>
      <c r="P733" s="3">
        <v>0</v>
      </c>
      <c r="Q733" s="3">
        <v>0</v>
      </c>
      <c r="R733" s="3">
        <v>0</v>
      </c>
    </row>
    <row r="734" spans="1:18">
      <c r="A734" s="3" t="s">
        <v>204</v>
      </c>
      <c r="B734" s="3" t="s">
        <v>205</v>
      </c>
      <c r="C734" s="3" t="s">
        <v>206</v>
      </c>
      <c r="D734" s="3" t="s">
        <v>207</v>
      </c>
      <c r="E734" s="3" t="s">
        <v>538</v>
      </c>
      <c r="F734" s="3">
        <v>22.99</v>
      </c>
      <c r="G734" s="3" t="s">
        <v>2454</v>
      </c>
      <c r="H734" s="3"/>
      <c r="I734" s="3" t="s">
        <v>2455</v>
      </c>
      <c r="J734" s="3">
        <v>45</v>
      </c>
      <c r="K734" s="3">
        <v>30</v>
      </c>
      <c r="L734" s="3">
        <v>5</v>
      </c>
      <c r="M734" s="3">
        <v>10</v>
      </c>
      <c r="N734" s="3">
        <v>415</v>
      </c>
      <c r="O734" s="3">
        <v>0.07</v>
      </c>
      <c r="P734" s="3">
        <v>0</v>
      </c>
      <c r="Q734" s="3">
        <v>370</v>
      </c>
      <c r="R734" s="3">
        <v>0</v>
      </c>
    </row>
    <row r="735" spans="1:18">
      <c r="A735" s="3" t="s">
        <v>252</v>
      </c>
      <c r="B735" s="3" t="s">
        <v>253</v>
      </c>
      <c r="C735" s="3" t="s">
        <v>254</v>
      </c>
      <c r="D735" s="3" t="s">
        <v>255</v>
      </c>
      <c r="E735" s="3" t="s">
        <v>538</v>
      </c>
      <c r="F735" s="3">
        <v>22.99</v>
      </c>
      <c r="G735" s="3" t="s">
        <v>2454</v>
      </c>
      <c r="H735" s="3"/>
      <c r="I735" s="3" t="s">
        <v>2455</v>
      </c>
      <c r="J735" s="3">
        <v>333</v>
      </c>
      <c r="K735" s="3">
        <v>325</v>
      </c>
      <c r="L735" s="3">
        <v>4</v>
      </c>
      <c r="M735" s="3">
        <v>4</v>
      </c>
      <c r="N735" s="3">
        <v>333</v>
      </c>
      <c r="O735" s="3">
        <v>0.03</v>
      </c>
      <c r="P735" s="3">
        <v>0</v>
      </c>
      <c r="Q735" s="3">
        <v>0</v>
      </c>
      <c r="R735" s="3">
        <v>0</v>
      </c>
    </row>
    <row r="736" spans="1:18">
      <c r="A736" s="3" t="s">
        <v>2054</v>
      </c>
      <c r="B736" s="3" t="s">
        <v>2055</v>
      </c>
      <c r="C736" s="3" t="s">
        <v>2056</v>
      </c>
      <c r="D736" s="3" t="s">
        <v>2057</v>
      </c>
      <c r="E736" s="3" t="s">
        <v>538</v>
      </c>
      <c r="F736" s="3">
        <v>20.99</v>
      </c>
      <c r="G736" s="3" t="s">
        <v>2455</v>
      </c>
      <c r="H736" s="3">
        <v>0</v>
      </c>
      <c r="I736" s="3" t="s">
        <v>2454</v>
      </c>
      <c r="J736" s="3">
        <v>1</v>
      </c>
      <c r="K736" s="3">
        <v>1</v>
      </c>
      <c r="L736" s="3">
        <v>0</v>
      </c>
      <c r="M736" s="3">
        <v>0</v>
      </c>
      <c r="N736" s="3">
        <v>1</v>
      </c>
      <c r="O736" s="3">
        <v>0.09</v>
      </c>
      <c r="P736" s="3">
        <v>0</v>
      </c>
      <c r="Q736" s="3">
        <v>0</v>
      </c>
      <c r="R736" s="3">
        <v>0</v>
      </c>
    </row>
    <row r="737" spans="1:18">
      <c r="A737" s="3" t="s">
        <v>3561</v>
      </c>
      <c r="B737" s="3" t="s">
        <v>3562</v>
      </c>
      <c r="C737" s="3" t="s">
        <v>3563</v>
      </c>
      <c r="D737" s="3" t="s">
        <v>3564</v>
      </c>
      <c r="E737" s="3" t="s">
        <v>538</v>
      </c>
      <c r="F737" s="3">
        <v>96</v>
      </c>
      <c r="G737" s="3" t="s">
        <v>2454</v>
      </c>
      <c r="H737" s="3"/>
      <c r="I737" s="3" t="s">
        <v>2455</v>
      </c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>
        <v>0.09</v>
      </c>
      <c r="P737" s="3">
        <v>0</v>
      </c>
      <c r="Q737" s="3">
        <v>0</v>
      </c>
      <c r="R737" s="3">
        <v>0</v>
      </c>
    </row>
    <row r="738" spans="1:18">
      <c r="A738" s="3" t="s">
        <v>2375</v>
      </c>
      <c r="B738" s="3" t="s">
        <v>2376</v>
      </c>
      <c r="C738" s="3" t="s">
        <v>2377</v>
      </c>
      <c r="D738" s="3" t="s">
        <v>2378</v>
      </c>
      <c r="E738" s="3" t="s">
        <v>538</v>
      </c>
      <c r="F738" s="3">
        <v>30.99</v>
      </c>
      <c r="G738" s="3" t="s">
        <v>2454</v>
      </c>
      <c r="H738" s="3"/>
      <c r="I738" s="3" t="s">
        <v>2455</v>
      </c>
      <c r="J738" s="3">
        <v>1</v>
      </c>
      <c r="K738" s="3">
        <v>1</v>
      </c>
      <c r="L738" s="3">
        <v>0</v>
      </c>
      <c r="M738" s="3">
        <v>0</v>
      </c>
      <c r="N738" s="3">
        <v>1</v>
      </c>
      <c r="O738" s="3">
        <v>0.06</v>
      </c>
      <c r="P738" s="3">
        <v>0</v>
      </c>
      <c r="Q738" s="3">
        <v>0</v>
      </c>
      <c r="R738" s="3">
        <v>0</v>
      </c>
    </row>
    <row r="739" spans="1:18">
      <c r="A739" s="3" t="s">
        <v>3565</v>
      </c>
      <c r="B739" s="3" t="s">
        <v>3566</v>
      </c>
      <c r="C739" s="3" t="s">
        <v>3567</v>
      </c>
      <c r="D739" s="3" t="s">
        <v>3568</v>
      </c>
      <c r="E739" s="3" t="s">
        <v>538</v>
      </c>
      <c r="F739" s="3">
        <v>89.9</v>
      </c>
      <c r="G739" s="3" t="s">
        <v>2454</v>
      </c>
      <c r="H739" s="3"/>
      <c r="I739" s="3" t="s">
        <v>2455</v>
      </c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>
        <v>0.13</v>
      </c>
      <c r="P739" s="3">
        <v>0</v>
      </c>
      <c r="Q739" s="3">
        <v>0</v>
      </c>
      <c r="R739" s="3">
        <v>0</v>
      </c>
    </row>
    <row r="740" spans="1:18">
      <c r="A740" s="3" t="s">
        <v>834</v>
      </c>
      <c r="B740" s="3" t="s">
        <v>835</v>
      </c>
      <c r="C740" s="3" t="s">
        <v>836</v>
      </c>
      <c r="D740" s="3" t="s">
        <v>837</v>
      </c>
      <c r="E740" s="3" t="s">
        <v>538</v>
      </c>
      <c r="F740" s="3">
        <v>12.9</v>
      </c>
      <c r="G740" s="3" t="s">
        <v>2454</v>
      </c>
      <c r="H740" s="3"/>
      <c r="I740" s="3" t="s">
        <v>2455</v>
      </c>
      <c r="J740" s="3">
        <v>3</v>
      </c>
      <c r="K740" s="3">
        <v>3</v>
      </c>
      <c r="L740" s="3">
        <v>0</v>
      </c>
      <c r="M740" s="3">
        <v>0</v>
      </c>
      <c r="N740" s="3">
        <v>3</v>
      </c>
      <c r="O740" s="3">
        <v>0.03</v>
      </c>
      <c r="P740" s="3">
        <v>0</v>
      </c>
      <c r="Q740" s="3">
        <v>0</v>
      </c>
      <c r="R740" s="3">
        <v>0</v>
      </c>
    </row>
    <row r="741" spans="1:18">
      <c r="A741" s="3" t="s">
        <v>605</v>
      </c>
      <c r="B741" s="3" t="s">
        <v>606</v>
      </c>
      <c r="C741" s="3" t="s">
        <v>607</v>
      </c>
      <c r="D741" s="3" t="s">
        <v>608</v>
      </c>
      <c r="E741" s="3" t="s">
        <v>538</v>
      </c>
      <c r="F741" s="3">
        <v>39.9</v>
      </c>
      <c r="G741" s="3" t="s">
        <v>2454</v>
      </c>
      <c r="H741" s="3"/>
      <c r="I741" s="3" t="s">
        <v>2455</v>
      </c>
      <c r="J741" s="3">
        <v>1</v>
      </c>
      <c r="K741" s="3">
        <v>1</v>
      </c>
      <c r="L741" s="3">
        <v>0</v>
      </c>
      <c r="M741" s="3">
        <v>0</v>
      </c>
      <c r="N741" s="3">
        <v>1</v>
      </c>
      <c r="O741" s="3">
        <v>0.08</v>
      </c>
      <c r="P741" s="3">
        <v>0</v>
      </c>
      <c r="Q741" s="3">
        <v>0</v>
      </c>
      <c r="R741" s="3">
        <v>0</v>
      </c>
    </row>
    <row r="742" spans="1:18">
      <c r="A742" s="3" t="s">
        <v>224</v>
      </c>
      <c r="B742" s="3" t="s">
        <v>225</v>
      </c>
      <c r="C742" s="3" t="s">
        <v>226</v>
      </c>
      <c r="D742" s="3" t="s">
        <v>227</v>
      </c>
      <c r="E742" s="3" t="s">
        <v>538</v>
      </c>
      <c r="F742" s="3">
        <v>49.3</v>
      </c>
      <c r="G742" s="3" t="s">
        <v>2454</v>
      </c>
      <c r="H742" s="3"/>
      <c r="I742" s="3" t="s">
        <v>2455</v>
      </c>
      <c r="J742" s="3">
        <v>11</v>
      </c>
      <c r="K742" s="3">
        <v>10</v>
      </c>
      <c r="L742" s="3">
        <v>0</v>
      </c>
      <c r="M742" s="3">
        <v>1</v>
      </c>
      <c r="N742" s="3">
        <v>26</v>
      </c>
      <c r="O742" s="3">
        <v>0.06</v>
      </c>
      <c r="P742" s="3">
        <v>10</v>
      </c>
      <c r="Q742" s="3">
        <v>5</v>
      </c>
      <c r="R742" s="3">
        <v>0</v>
      </c>
    </row>
    <row r="743" spans="1:18">
      <c r="A743" s="3" t="s">
        <v>280</v>
      </c>
      <c r="B743" s="3" t="s">
        <v>281</v>
      </c>
      <c r="C743" s="3" t="s">
        <v>282</v>
      </c>
      <c r="D743" s="3" t="s">
        <v>283</v>
      </c>
      <c r="E743" s="3" t="s">
        <v>538</v>
      </c>
      <c r="F743" s="3">
        <v>55.5</v>
      </c>
      <c r="G743" s="3" t="s">
        <v>2454</v>
      </c>
      <c r="H743" s="3"/>
      <c r="I743" s="3" t="s">
        <v>2455</v>
      </c>
      <c r="J743" s="3">
        <v>15</v>
      </c>
      <c r="K743" s="3">
        <v>5</v>
      </c>
      <c r="L743" s="3">
        <v>0</v>
      </c>
      <c r="M743" s="3">
        <v>10</v>
      </c>
      <c r="N743" s="3">
        <v>26</v>
      </c>
      <c r="O743" s="3">
        <v>0.07</v>
      </c>
      <c r="P743" s="3">
        <v>11</v>
      </c>
      <c r="Q743" s="3">
        <v>0</v>
      </c>
      <c r="R743" s="3">
        <v>0</v>
      </c>
    </row>
    <row r="744" spans="1:18">
      <c r="A744" s="3" t="s">
        <v>543</v>
      </c>
      <c r="B744" s="3" t="s">
        <v>544</v>
      </c>
      <c r="C744" s="3" t="s">
        <v>545</v>
      </c>
      <c r="D744" s="3" t="s">
        <v>546</v>
      </c>
      <c r="E744" s="3" t="s">
        <v>538</v>
      </c>
      <c r="F744" s="3">
        <v>65.9</v>
      </c>
      <c r="G744" s="3" t="s">
        <v>2454</v>
      </c>
      <c r="H744" s="3"/>
      <c r="I744" s="3" t="s">
        <v>2455</v>
      </c>
      <c r="J744" s="3">
        <v>7</v>
      </c>
      <c r="K744" s="3">
        <v>7</v>
      </c>
      <c r="L744" s="3">
        <v>0</v>
      </c>
      <c r="M744" s="3">
        <v>0</v>
      </c>
      <c r="N744" s="3">
        <v>7</v>
      </c>
      <c r="O744" s="3">
        <v>0.05</v>
      </c>
      <c r="P744" s="3">
        <v>0</v>
      </c>
      <c r="Q744" s="3">
        <v>0</v>
      </c>
      <c r="R744" s="3">
        <v>0</v>
      </c>
    </row>
    <row r="745" spans="1:18">
      <c r="A745" s="3" t="s">
        <v>1137</v>
      </c>
      <c r="B745" s="3" t="s">
        <v>1138</v>
      </c>
      <c r="C745" s="3" t="s">
        <v>1139</v>
      </c>
      <c r="D745" s="3" t="s">
        <v>1140</v>
      </c>
      <c r="E745" s="3" t="s">
        <v>538</v>
      </c>
      <c r="F745" s="3">
        <v>79.8</v>
      </c>
      <c r="G745" s="3" t="s">
        <v>2454</v>
      </c>
      <c r="H745" s="3"/>
      <c r="I745" s="3" t="s">
        <v>2455</v>
      </c>
      <c r="J745" s="3">
        <v>8</v>
      </c>
      <c r="K745" s="3">
        <v>8</v>
      </c>
      <c r="L745" s="3">
        <v>0</v>
      </c>
      <c r="M745" s="3">
        <v>0</v>
      </c>
      <c r="N745" s="3">
        <v>8</v>
      </c>
      <c r="O745" s="3">
        <v>0.09</v>
      </c>
      <c r="P745" s="3">
        <v>0</v>
      </c>
      <c r="Q745" s="3">
        <v>0</v>
      </c>
      <c r="R745" s="3">
        <v>0</v>
      </c>
    </row>
    <row r="746" spans="1:18">
      <c r="A746" s="3" t="s">
        <v>1503</v>
      </c>
      <c r="B746" s="3" t="s">
        <v>1504</v>
      </c>
      <c r="C746" s="3" t="s">
        <v>1505</v>
      </c>
      <c r="D746" s="3" t="s">
        <v>1506</v>
      </c>
      <c r="E746" s="3" t="s">
        <v>538</v>
      </c>
      <c r="F746" s="3">
        <v>99.9</v>
      </c>
      <c r="G746" s="3" t="s">
        <v>2454</v>
      </c>
      <c r="H746" s="3"/>
      <c r="I746" s="3" t="s">
        <v>2455</v>
      </c>
      <c r="J746" s="3">
        <v>11</v>
      </c>
      <c r="K746" s="3">
        <v>11</v>
      </c>
      <c r="L746" s="3">
        <v>0</v>
      </c>
      <c r="M746" s="3">
        <v>0</v>
      </c>
      <c r="N746" s="3">
        <v>21</v>
      </c>
      <c r="O746" s="3">
        <v>0.08</v>
      </c>
      <c r="P746" s="3">
        <v>10</v>
      </c>
      <c r="Q746" s="3">
        <v>0</v>
      </c>
      <c r="R746" s="3">
        <v>0</v>
      </c>
    </row>
    <row r="747" spans="1:18">
      <c r="A747" s="3" t="s">
        <v>707</v>
      </c>
      <c r="B747" s="3" t="s">
        <v>708</v>
      </c>
      <c r="C747" s="3" t="s">
        <v>709</v>
      </c>
      <c r="D747" s="3" t="s">
        <v>710</v>
      </c>
      <c r="E747" s="3" t="s">
        <v>538</v>
      </c>
      <c r="F747" s="3">
        <v>130.3</v>
      </c>
      <c r="G747" s="3" t="s">
        <v>2454</v>
      </c>
      <c r="H747" s="3"/>
      <c r="I747" s="3" t="s">
        <v>2455</v>
      </c>
      <c r="J747" s="3">
        <v>9</v>
      </c>
      <c r="K747" s="3">
        <v>9</v>
      </c>
      <c r="L747" s="3">
        <v>0</v>
      </c>
      <c r="M747" s="3">
        <v>0</v>
      </c>
      <c r="N747" s="3">
        <v>9</v>
      </c>
      <c r="O747" s="3">
        <v>0.08</v>
      </c>
      <c r="P747" s="3">
        <v>0</v>
      </c>
      <c r="Q747" s="3">
        <v>0</v>
      </c>
      <c r="R747" s="3">
        <v>0</v>
      </c>
    </row>
    <row r="748" spans="1:18">
      <c r="A748" s="3" t="s">
        <v>768</v>
      </c>
      <c r="B748" s="3" t="s">
        <v>769</v>
      </c>
      <c r="C748" s="3" t="s">
        <v>770</v>
      </c>
      <c r="D748" s="3" t="s">
        <v>771</v>
      </c>
      <c r="E748" s="3" t="s">
        <v>538</v>
      </c>
      <c r="F748" s="3">
        <v>130.2</v>
      </c>
      <c r="G748" s="3" t="s">
        <v>2454</v>
      </c>
      <c r="H748" s="3"/>
      <c r="I748" s="3" t="s">
        <v>2455</v>
      </c>
      <c r="J748" s="3">
        <v>6</v>
      </c>
      <c r="K748" s="3">
        <v>6</v>
      </c>
      <c r="L748" s="3">
        <v>0</v>
      </c>
      <c r="M748" s="3">
        <v>0</v>
      </c>
      <c r="N748" s="3">
        <v>6</v>
      </c>
      <c r="O748" s="3">
        <v>0.02</v>
      </c>
      <c r="P748" s="3">
        <v>0</v>
      </c>
      <c r="Q748" s="3">
        <v>0</v>
      </c>
      <c r="R748" s="3">
        <v>0</v>
      </c>
    </row>
    <row r="749" spans="1:18">
      <c r="A749" s="3" t="s">
        <v>959</v>
      </c>
      <c r="B749" s="3" t="s">
        <v>960</v>
      </c>
      <c r="C749" s="3" t="s">
        <v>961</v>
      </c>
      <c r="D749" s="3" t="s">
        <v>962</v>
      </c>
      <c r="E749" s="3" t="s">
        <v>538</v>
      </c>
      <c r="F749" s="3">
        <v>9.99</v>
      </c>
      <c r="G749" s="3" t="s">
        <v>2454</v>
      </c>
      <c r="H749" s="3"/>
      <c r="I749" s="3" t="s">
        <v>2455</v>
      </c>
      <c r="J749" s="3">
        <v>10</v>
      </c>
      <c r="K749" s="3">
        <v>10</v>
      </c>
      <c r="L749" s="3">
        <v>0</v>
      </c>
      <c r="M749" s="3">
        <v>0</v>
      </c>
      <c r="N749" s="3">
        <v>20</v>
      </c>
      <c r="O749" s="3">
        <v>0.04</v>
      </c>
      <c r="P749" s="3">
        <v>10</v>
      </c>
      <c r="Q749" s="3">
        <v>0</v>
      </c>
      <c r="R749" s="3">
        <v>0</v>
      </c>
    </row>
    <row r="750" spans="1:18">
      <c r="A750" s="3" t="s">
        <v>1485</v>
      </c>
      <c r="B750" s="3" t="s">
        <v>1486</v>
      </c>
      <c r="C750" s="3" t="s">
        <v>1487</v>
      </c>
      <c r="D750" s="3" t="s">
        <v>1488</v>
      </c>
      <c r="E750" s="3" t="s">
        <v>538</v>
      </c>
      <c r="F750" s="3">
        <v>11.99</v>
      </c>
      <c r="G750" s="3" t="s">
        <v>2454</v>
      </c>
      <c r="H750" s="3"/>
      <c r="I750" s="3" t="s">
        <v>2455</v>
      </c>
      <c r="J750" s="3">
        <v>16</v>
      </c>
      <c r="K750" s="3">
        <v>16</v>
      </c>
      <c r="L750" s="3">
        <v>0</v>
      </c>
      <c r="M750" s="3">
        <v>0</v>
      </c>
      <c r="N750" s="3">
        <v>16</v>
      </c>
      <c r="O750" s="3">
        <v>0.05</v>
      </c>
      <c r="P750" s="3">
        <v>0</v>
      </c>
      <c r="Q750" s="3">
        <v>0</v>
      </c>
      <c r="R750" s="3">
        <v>0</v>
      </c>
    </row>
    <row r="751" spans="1:18">
      <c r="A751" s="3" t="s">
        <v>248</v>
      </c>
      <c r="B751" s="3" t="s">
        <v>249</v>
      </c>
      <c r="C751" s="3" t="s">
        <v>250</v>
      </c>
      <c r="D751" s="3" t="s">
        <v>251</v>
      </c>
      <c r="E751" s="3" t="s">
        <v>538</v>
      </c>
      <c r="F751" s="3">
        <v>49.9</v>
      </c>
      <c r="G751" s="3" t="s">
        <v>2454</v>
      </c>
      <c r="H751" s="3"/>
      <c r="I751" s="3" t="s">
        <v>2455</v>
      </c>
      <c r="J751" s="3">
        <v>1</v>
      </c>
      <c r="K751" s="3">
        <v>0</v>
      </c>
      <c r="L751" s="3">
        <v>0</v>
      </c>
      <c r="M751" s="3">
        <v>1</v>
      </c>
      <c r="N751" s="3">
        <v>1</v>
      </c>
      <c r="O751" s="3">
        <v>0.07</v>
      </c>
      <c r="P751" s="3">
        <v>0</v>
      </c>
      <c r="Q751" s="3">
        <v>0</v>
      </c>
      <c r="R751" s="3">
        <v>0</v>
      </c>
    </row>
    <row r="752" spans="1:18">
      <c r="A752" s="3" t="s">
        <v>3569</v>
      </c>
      <c r="B752" s="3" t="s">
        <v>3570</v>
      </c>
      <c r="C752" s="3" t="s">
        <v>3571</v>
      </c>
      <c r="D752" s="3" t="s">
        <v>3572</v>
      </c>
      <c r="E752" s="3" t="s">
        <v>538</v>
      </c>
      <c r="F752" s="3">
        <v>59.9</v>
      </c>
      <c r="G752" s="3" t="s">
        <v>2454</v>
      </c>
      <c r="H752" s="3"/>
      <c r="I752" s="3" t="s">
        <v>2455</v>
      </c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>
        <v>0.04</v>
      </c>
      <c r="P752" s="3">
        <v>0</v>
      </c>
      <c r="Q752" s="3">
        <v>0</v>
      </c>
      <c r="R752" s="3">
        <v>0</v>
      </c>
    </row>
    <row r="753" spans="1:18">
      <c r="A753" s="3" t="s">
        <v>1808</v>
      </c>
      <c r="B753" s="3" t="s">
        <v>1809</v>
      </c>
      <c r="C753" s="3" t="s">
        <v>1810</v>
      </c>
      <c r="D753" s="3" t="s">
        <v>1811</v>
      </c>
      <c r="E753" s="3" t="s">
        <v>538</v>
      </c>
      <c r="F753" s="3">
        <v>89.9</v>
      </c>
      <c r="G753" s="3" t="s">
        <v>2454</v>
      </c>
      <c r="H753" s="3"/>
      <c r="I753" s="3" t="s">
        <v>2455</v>
      </c>
      <c r="J753" s="3">
        <v>12</v>
      </c>
      <c r="K753" s="3">
        <v>12</v>
      </c>
      <c r="L753" s="3">
        <v>0</v>
      </c>
      <c r="M753" s="3">
        <v>0</v>
      </c>
      <c r="N753" s="3">
        <v>12</v>
      </c>
      <c r="O753" s="3">
        <v>0.12</v>
      </c>
      <c r="P753" s="3">
        <v>0</v>
      </c>
      <c r="Q753" s="3">
        <v>0</v>
      </c>
      <c r="R753" s="3">
        <v>0</v>
      </c>
    </row>
    <row r="754" spans="1:18">
      <c r="A754" s="3" t="s">
        <v>3573</v>
      </c>
      <c r="B754" s="3" t="s">
        <v>3574</v>
      </c>
      <c r="C754" s="3" t="s">
        <v>3575</v>
      </c>
      <c r="D754" s="3" t="s">
        <v>3576</v>
      </c>
      <c r="E754" s="3" t="s">
        <v>538</v>
      </c>
      <c r="F754" s="3">
        <v>99.9</v>
      </c>
      <c r="G754" s="3" t="s">
        <v>2454</v>
      </c>
      <c r="H754" s="3"/>
      <c r="I754" s="3" t="s">
        <v>2455</v>
      </c>
      <c r="J754" s="3">
        <v>0</v>
      </c>
      <c r="K754" s="3">
        <v>0</v>
      </c>
      <c r="L754" s="3">
        <v>0</v>
      </c>
      <c r="M754" s="3">
        <v>0</v>
      </c>
      <c r="N754" s="3">
        <v>0</v>
      </c>
      <c r="O754" s="3">
        <v>0.14</v>
      </c>
      <c r="P754" s="3">
        <v>0</v>
      </c>
      <c r="Q754" s="3">
        <v>0</v>
      </c>
      <c r="R754" s="3">
        <v>0</v>
      </c>
    </row>
    <row r="755" spans="1:18">
      <c r="A755" s="3" t="s">
        <v>216</v>
      </c>
      <c r="B755" s="3" t="s">
        <v>217</v>
      </c>
      <c r="C755" s="3" t="s">
        <v>218</v>
      </c>
      <c r="D755" s="3" t="s">
        <v>219</v>
      </c>
      <c r="E755" s="3" t="s">
        <v>538</v>
      </c>
      <c r="F755" s="3">
        <v>39.4</v>
      </c>
      <c r="G755" s="3" t="s">
        <v>2454</v>
      </c>
      <c r="H755" s="3"/>
      <c r="I755" s="3" t="s">
        <v>2455</v>
      </c>
      <c r="J755" s="3">
        <v>5</v>
      </c>
      <c r="K755" s="3">
        <v>0</v>
      </c>
      <c r="L755" s="3">
        <v>0</v>
      </c>
      <c r="M755" s="3">
        <v>5</v>
      </c>
      <c r="N755" s="3">
        <v>29</v>
      </c>
      <c r="O755" s="3">
        <v>0.07</v>
      </c>
      <c r="P755" s="3">
        <v>10</v>
      </c>
      <c r="Q755" s="3">
        <v>14</v>
      </c>
      <c r="R755" s="3">
        <v>0</v>
      </c>
    </row>
    <row r="756" spans="1:18">
      <c r="A756" s="3" t="s">
        <v>228</v>
      </c>
      <c r="B756" s="3" t="s">
        <v>229</v>
      </c>
      <c r="C756" s="3" t="s">
        <v>230</v>
      </c>
      <c r="D756" s="3" t="s">
        <v>231</v>
      </c>
      <c r="E756" s="3" t="s">
        <v>538</v>
      </c>
      <c r="F756" s="3">
        <v>43.5</v>
      </c>
      <c r="G756" s="3" t="s">
        <v>2454</v>
      </c>
      <c r="H756" s="3"/>
      <c r="I756" s="3" t="s">
        <v>2455</v>
      </c>
      <c r="J756" s="3">
        <v>7</v>
      </c>
      <c r="K756" s="3">
        <v>2</v>
      </c>
      <c r="L756" s="3">
        <v>0</v>
      </c>
      <c r="M756" s="3">
        <v>5</v>
      </c>
      <c r="N756" s="3">
        <v>32</v>
      </c>
      <c r="O756" s="3">
        <v>0.16</v>
      </c>
      <c r="P756" s="3">
        <v>0</v>
      </c>
      <c r="Q756" s="3">
        <v>25</v>
      </c>
      <c r="R756" s="3">
        <v>0</v>
      </c>
    </row>
    <row r="757" spans="1:18">
      <c r="A757" s="3" t="s">
        <v>236</v>
      </c>
      <c r="B757" s="3" t="s">
        <v>237</v>
      </c>
      <c r="C757" s="3" t="s">
        <v>238</v>
      </c>
      <c r="D757" s="3" t="s">
        <v>239</v>
      </c>
      <c r="E757" s="3" t="s">
        <v>538</v>
      </c>
      <c r="F757" s="3">
        <v>59.2</v>
      </c>
      <c r="G757" s="3" t="s">
        <v>2454</v>
      </c>
      <c r="H757" s="3"/>
      <c r="I757" s="3" t="s">
        <v>2455</v>
      </c>
      <c r="J757" s="3">
        <v>4</v>
      </c>
      <c r="K757" s="3">
        <v>2</v>
      </c>
      <c r="L757" s="3">
        <v>0</v>
      </c>
      <c r="M757" s="3">
        <v>2</v>
      </c>
      <c r="N757" s="3">
        <v>14</v>
      </c>
      <c r="O757" s="3">
        <v>0.09</v>
      </c>
      <c r="P757" s="3">
        <v>10</v>
      </c>
      <c r="Q757" s="3">
        <v>0</v>
      </c>
      <c r="R757" s="3">
        <v>0</v>
      </c>
    </row>
    <row r="758" spans="1:18">
      <c r="A758" s="3" t="s">
        <v>1918</v>
      </c>
      <c r="B758" s="3" t="s">
        <v>1919</v>
      </c>
      <c r="C758" s="3" t="s">
        <v>1920</v>
      </c>
      <c r="D758" s="3" t="s">
        <v>1921</v>
      </c>
      <c r="E758" s="3" t="s">
        <v>538</v>
      </c>
      <c r="F758" s="3">
        <v>64.6</v>
      </c>
      <c r="G758" s="3" t="s">
        <v>2454</v>
      </c>
      <c r="H758" s="3"/>
      <c r="I758" s="3" t="s">
        <v>2455</v>
      </c>
      <c r="J758" s="3">
        <v>5</v>
      </c>
      <c r="K758" s="3">
        <v>5</v>
      </c>
      <c r="L758" s="3">
        <v>0</v>
      </c>
      <c r="M758" s="3">
        <v>0</v>
      </c>
      <c r="N758" s="3">
        <v>11</v>
      </c>
      <c r="O758" s="3">
        <v>0.07</v>
      </c>
      <c r="P758" s="3">
        <v>0</v>
      </c>
      <c r="Q758" s="3">
        <v>6</v>
      </c>
      <c r="R758" s="3">
        <v>0</v>
      </c>
    </row>
    <row r="759" spans="1:18">
      <c r="A759" s="3" t="s">
        <v>1740</v>
      </c>
      <c r="B759" s="3" t="s">
        <v>1741</v>
      </c>
      <c r="C759" s="3" t="s">
        <v>1742</v>
      </c>
      <c r="D759" s="3" t="s">
        <v>1743</v>
      </c>
      <c r="E759" s="3" t="s">
        <v>538</v>
      </c>
      <c r="F759" s="3">
        <v>69.9</v>
      </c>
      <c r="G759" s="3" t="s">
        <v>2454</v>
      </c>
      <c r="H759" s="3"/>
      <c r="I759" s="3" t="s">
        <v>2455</v>
      </c>
      <c r="J759" s="3">
        <v>5</v>
      </c>
      <c r="K759" s="3">
        <v>5</v>
      </c>
      <c r="L759" s="3">
        <v>0</v>
      </c>
      <c r="M759" s="3">
        <v>0</v>
      </c>
      <c r="N759" s="3">
        <v>5</v>
      </c>
      <c r="O759" s="3">
        <v>0.08</v>
      </c>
      <c r="P759" s="3">
        <v>0</v>
      </c>
      <c r="Q759" s="3">
        <v>0</v>
      </c>
      <c r="R759" s="3">
        <v>0</v>
      </c>
    </row>
    <row r="760" spans="1:18">
      <c r="A760" s="3" t="s">
        <v>1877</v>
      </c>
      <c r="B760" s="3" t="s">
        <v>1878</v>
      </c>
      <c r="C760" s="3" t="s">
        <v>1879</v>
      </c>
      <c r="D760" s="3" t="s">
        <v>1880</v>
      </c>
      <c r="E760" s="3" t="s">
        <v>538</v>
      </c>
      <c r="F760" s="3">
        <v>98</v>
      </c>
      <c r="G760" s="3" t="s">
        <v>2454</v>
      </c>
      <c r="H760" s="3"/>
      <c r="I760" s="3" t="s">
        <v>2455</v>
      </c>
      <c r="J760" s="3">
        <v>7</v>
      </c>
      <c r="K760" s="3">
        <v>7</v>
      </c>
      <c r="L760" s="3">
        <v>0</v>
      </c>
      <c r="M760" s="3">
        <v>0</v>
      </c>
      <c r="N760" s="3">
        <v>7</v>
      </c>
      <c r="O760" s="3">
        <v>0.1</v>
      </c>
      <c r="P760" s="3">
        <v>0</v>
      </c>
      <c r="Q760" s="3">
        <v>0</v>
      </c>
      <c r="R760" s="3">
        <v>0</v>
      </c>
    </row>
    <row r="761" spans="1:18">
      <c r="A761" s="3" t="s">
        <v>264</v>
      </c>
      <c r="B761" s="3" t="s">
        <v>265</v>
      </c>
      <c r="C761" s="3" t="s">
        <v>266</v>
      </c>
      <c r="D761" s="3" t="s">
        <v>267</v>
      </c>
      <c r="E761" s="3" t="s">
        <v>538</v>
      </c>
      <c r="F761" s="3">
        <v>21.4</v>
      </c>
      <c r="G761" s="3" t="s">
        <v>2454</v>
      </c>
      <c r="H761" s="3"/>
      <c r="I761" s="3" t="s">
        <v>2455</v>
      </c>
      <c r="J761" s="3">
        <v>11</v>
      </c>
      <c r="K761" s="3">
        <v>7</v>
      </c>
      <c r="L761" s="3">
        <v>0</v>
      </c>
      <c r="M761" s="3">
        <v>4</v>
      </c>
      <c r="N761" s="3">
        <v>25</v>
      </c>
      <c r="O761" s="3">
        <v>0.04</v>
      </c>
      <c r="P761" s="3">
        <v>10</v>
      </c>
      <c r="Q761" s="3">
        <v>4</v>
      </c>
      <c r="R761" s="3">
        <v>0</v>
      </c>
    </row>
    <row r="762" spans="1:18">
      <c r="A762" s="3" t="s">
        <v>256</v>
      </c>
      <c r="B762" s="3" t="s">
        <v>257</v>
      </c>
      <c r="C762" s="3" t="s">
        <v>258</v>
      </c>
      <c r="D762" s="3" t="s">
        <v>259</v>
      </c>
      <c r="E762" s="3" t="s">
        <v>538</v>
      </c>
      <c r="F762" s="3">
        <v>29.6</v>
      </c>
      <c r="G762" s="3" t="s">
        <v>2454</v>
      </c>
      <c r="H762" s="3"/>
      <c r="I762" s="3" t="s">
        <v>2455</v>
      </c>
      <c r="J762" s="3">
        <v>2</v>
      </c>
      <c r="K762" s="3">
        <v>1</v>
      </c>
      <c r="L762" s="3">
        <v>0</v>
      </c>
      <c r="M762" s="3">
        <v>1</v>
      </c>
      <c r="N762" s="3">
        <v>12</v>
      </c>
      <c r="O762" s="3">
        <v>0.06</v>
      </c>
      <c r="P762" s="3">
        <v>0</v>
      </c>
      <c r="Q762" s="3">
        <v>5</v>
      </c>
      <c r="R762" s="3">
        <v>5</v>
      </c>
    </row>
    <row r="763" spans="1:18">
      <c r="A763" s="3" t="s">
        <v>2429</v>
      </c>
      <c r="B763" s="3" t="s">
        <v>2430</v>
      </c>
      <c r="C763" s="3" t="s">
        <v>2431</v>
      </c>
      <c r="D763" s="3" t="s">
        <v>2432</v>
      </c>
      <c r="E763" s="3" t="s">
        <v>538</v>
      </c>
      <c r="F763" s="3">
        <v>44</v>
      </c>
      <c r="G763" s="3" t="s">
        <v>2454</v>
      </c>
      <c r="H763" s="3"/>
      <c r="I763" s="3" t="s">
        <v>2455</v>
      </c>
      <c r="J763" s="3">
        <v>23</v>
      </c>
      <c r="K763" s="3">
        <v>23</v>
      </c>
      <c r="L763" s="3">
        <v>0</v>
      </c>
      <c r="M763" s="3">
        <v>0</v>
      </c>
      <c r="N763" s="3">
        <v>23</v>
      </c>
      <c r="O763" s="3">
        <v>0</v>
      </c>
      <c r="P763" s="3">
        <v>0</v>
      </c>
      <c r="Q763" s="3">
        <v>0</v>
      </c>
      <c r="R763" s="3">
        <v>0</v>
      </c>
    </row>
    <row r="764" spans="1:18">
      <c r="A764" s="3" t="s">
        <v>276</v>
      </c>
      <c r="B764" s="3" t="s">
        <v>277</v>
      </c>
      <c r="C764" s="3" t="s">
        <v>278</v>
      </c>
      <c r="D764" s="3" t="s">
        <v>279</v>
      </c>
      <c r="E764" s="3" t="s">
        <v>538</v>
      </c>
      <c r="F764" s="3">
        <v>53.8</v>
      </c>
      <c r="G764" s="3" t="s">
        <v>2454</v>
      </c>
      <c r="H764" s="3"/>
      <c r="I764" s="3" t="s">
        <v>2455</v>
      </c>
      <c r="J764" s="3">
        <v>20</v>
      </c>
      <c r="K764" s="3">
        <v>9</v>
      </c>
      <c r="L764" s="3">
        <v>0</v>
      </c>
      <c r="M764" s="3">
        <v>11</v>
      </c>
      <c r="N764" s="3">
        <v>40</v>
      </c>
      <c r="O764" s="3">
        <v>0.14</v>
      </c>
      <c r="P764" s="3">
        <v>20</v>
      </c>
      <c r="Q764" s="3">
        <v>0</v>
      </c>
      <c r="R764" s="3">
        <v>0</v>
      </c>
    </row>
    <row r="765" spans="1:18">
      <c r="A765" s="3" t="s">
        <v>272</v>
      </c>
      <c r="B765" s="3" t="s">
        <v>273</v>
      </c>
      <c r="C765" s="3" t="s">
        <v>274</v>
      </c>
      <c r="D765" s="3" t="s">
        <v>275</v>
      </c>
      <c r="E765" s="3" t="s">
        <v>538</v>
      </c>
      <c r="F765" s="3">
        <v>22.99</v>
      </c>
      <c r="G765" s="3" t="s">
        <v>2454</v>
      </c>
      <c r="H765" s="3"/>
      <c r="I765" s="3" t="s">
        <v>2455</v>
      </c>
      <c r="J765" s="3">
        <v>10</v>
      </c>
      <c r="K765" s="3">
        <v>8</v>
      </c>
      <c r="L765" s="3">
        <v>0</v>
      </c>
      <c r="M765" s="3">
        <v>2</v>
      </c>
      <c r="N765" s="3">
        <v>20</v>
      </c>
      <c r="O765" s="3">
        <v>0.11</v>
      </c>
      <c r="P765" s="3">
        <v>10</v>
      </c>
      <c r="Q765" s="3">
        <v>0</v>
      </c>
      <c r="R765" s="3">
        <v>0</v>
      </c>
    </row>
    <row r="766" spans="1:18">
      <c r="A766" s="3" t="s">
        <v>894</v>
      </c>
      <c r="B766" s="3" t="s">
        <v>895</v>
      </c>
      <c r="C766" s="3" t="s">
        <v>896</v>
      </c>
      <c r="D766" s="3" t="s">
        <v>897</v>
      </c>
      <c r="E766" s="3" t="s">
        <v>538</v>
      </c>
      <c r="F766" s="3">
        <v>75.6</v>
      </c>
      <c r="G766" s="3" t="s">
        <v>2454</v>
      </c>
      <c r="H766" s="3"/>
      <c r="I766" s="3" t="s">
        <v>2455</v>
      </c>
      <c r="J766" s="3">
        <v>4</v>
      </c>
      <c r="K766" s="3">
        <v>4</v>
      </c>
      <c r="L766" s="3">
        <v>0</v>
      </c>
      <c r="M766" s="3">
        <v>0</v>
      </c>
      <c r="N766" s="3">
        <v>6</v>
      </c>
      <c r="O766" s="3">
        <v>0.15</v>
      </c>
      <c r="P766" s="3">
        <v>0</v>
      </c>
      <c r="Q766" s="3">
        <v>0</v>
      </c>
      <c r="R766" s="3">
        <v>2</v>
      </c>
    </row>
    <row r="767" spans="1:18">
      <c r="A767" s="3" t="s">
        <v>2236</v>
      </c>
      <c r="B767" s="3" t="s">
        <v>2237</v>
      </c>
      <c r="C767" s="3" t="s">
        <v>2238</v>
      </c>
      <c r="D767" s="3" t="s">
        <v>2239</v>
      </c>
      <c r="E767" s="3" t="s">
        <v>538</v>
      </c>
      <c r="F767" s="3">
        <v>85.1</v>
      </c>
      <c r="G767" s="3" t="s">
        <v>2454</v>
      </c>
      <c r="H767" s="3"/>
      <c r="I767" s="3" t="s">
        <v>2455</v>
      </c>
      <c r="J767" s="3">
        <v>2</v>
      </c>
      <c r="K767" s="3">
        <v>2</v>
      </c>
      <c r="L767" s="3">
        <v>0</v>
      </c>
      <c r="M767" s="3">
        <v>0</v>
      </c>
      <c r="N767" s="3">
        <v>2</v>
      </c>
      <c r="O767" s="3">
        <v>0.24</v>
      </c>
      <c r="P767" s="3">
        <v>0</v>
      </c>
      <c r="Q767" s="3">
        <v>0</v>
      </c>
      <c r="R767" s="3">
        <v>0</v>
      </c>
    </row>
    <row r="768" spans="1:18">
      <c r="A768" s="3" t="s">
        <v>1922</v>
      </c>
      <c r="B768" s="3" t="s">
        <v>1923</v>
      </c>
      <c r="C768" s="3" t="s">
        <v>1924</v>
      </c>
      <c r="D768" s="3" t="s">
        <v>1925</v>
      </c>
      <c r="E768" s="3" t="s">
        <v>538</v>
      </c>
      <c r="F768" s="3">
        <v>110.5</v>
      </c>
      <c r="G768" s="3" t="s">
        <v>2454</v>
      </c>
      <c r="H768" s="3"/>
      <c r="I768" s="3" t="s">
        <v>2455</v>
      </c>
      <c r="J768" s="3">
        <v>15</v>
      </c>
      <c r="K768" s="3">
        <v>15</v>
      </c>
      <c r="L768" s="3">
        <v>0</v>
      </c>
      <c r="M768" s="3">
        <v>0</v>
      </c>
      <c r="N768" s="3">
        <v>15</v>
      </c>
      <c r="O768" s="3">
        <v>0.08</v>
      </c>
      <c r="P768" s="3">
        <v>0</v>
      </c>
      <c r="Q768" s="3">
        <v>0</v>
      </c>
      <c r="R768" s="3">
        <v>0</v>
      </c>
    </row>
    <row r="769" spans="1:18">
      <c r="A769" s="3" t="s">
        <v>220</v>
      </c>
      <c r="B769" s="3" t="s">
        <v>221</v>
      </c>
      <c r="C769" s="3" t="s">
        <v>222</v>
      </c>
      <c r="D769" s="3" t="s">
        <v>223</v>
      </c>
      <c r="E769" s="3" t="s">
        <v>538</v>
      </c>
      <c r="F769" s="3">
        <v>25</v>
      </c>
      <c r="G769" s="3" t="s">
        <v>2454</v>
      </c>
      <c r="H769" s="3"/>
      <c r="I769" s="3" t="s">
        <v>2455</v>
      </c>
      <c r="J769" s="3">
        <v>18</v>
      </c>
      <c r="K769" s="3">
        <v>6</v>
      </c>
      <c r="L769" s="3">
        <v>0</v>
      </c>
      <c r="M769" s="3">
        <v>12</v>
      </c>
      <c r="N769" s="3">
        <v>38</v>
      </c>
      <c r="O769" s="3">
        <v>0.01</v>
      </c>
      <c r="P769" s="3">
        <v>20</v>
      </c>
      <c r="Q769" s="3">
        <v>0</v>
      </c>
      <c r="R769" s="3">
        <v>0</v>
      </c>
    </row>
    <row r="770" spans="1:18">
      <c r="A770" s="3" t="s">
        <v>2142</v>
      </c>
      <c r="B770" s="3" t="s">
        <v>2143</v>
      </c>
      <c r="C770" s="3" t="s">
        <v>2144</v>
      </c>
      <c r="D770" s="3" t="s">
        <v>2145</v>
      </c>
      <c r="E770" s="3" t="s">
        <v>538</v>
      </c>
      <c r="F770" s="3">
        <v>34.5</v>
      </c>
      <c r="G770" s="3" t="s">
        <v>2454</v>
      </c>
      <c r="H770" s="3"/>
      <c r="I770" s="3" t="s">
        <v>2455</v>
      </c>
      <c r="J770" s="3">
        <v>18</v>
      </c>
      <c r="K770" s="3">
        <v>18</v>
      </c>
      <c r="L770" s="3">
        <v>0</v>
      </c>
      <c r="M770" s="3">
        <v>0</v>
      </c>
      <c r="N770" s="3">
        <v>18</v>
      </c>
      <c r="O770" s="3">
        <v>0.04</v>
      </c>
      <c r="P770" s="3">
        <v>0</v>
      </c>
      <c r="Q770" s="3">
        <v>0</v>
      </c>
      <c r="R770" s="3">
        <v>0</v>
      </c>
    </row>
    <row r="771" spans="1:18">
      <c r="A771" s="3" t="s">
        <v>3577</v>
      </c>
      <c r="B771" s="3" t="s">
        <v>3578</v>
      </c>
      <c r="C771" s="3" t="s">
        <v>3579</v>
      </c>
      <c r="D771" s="3" t="s">
        <v>3580</v>
      </c>
      <c r="E771" s="3" t="s">
        <v>538</v>
      </c>
      <c r="F771" s="3">
        <v>69.9</v>
      </c>
      <c r="G771" s="3" t="s">
        <v>2454</v>
      </c>
      <c r="H771" s="3"/>
      <c r="I771" s="3" t="s">
        <v>2455</v>
      </c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>
        <v>0.19</v>
      </c>
      <c r="P771" s="3">
        <v>0</v>
      </c>
      <c r="Q771" s="3">
        <v>0</v>
      </c>
      <c r="R771" s="3">
        <v>0</v>
      </c>
    </row>
    <row r="772" spans="1:18">
      <c r="A772" s="3" t="s">
        <v>1964</v>
      </c>
      <c r="B772" s="3" t="s">
        <v>1965</v>
      </c>
      <c r="C772" s="3" t="s">
        <v>1966</v>
      </c>
      <c r="D772" s="3" t="s">
        <v>1967</v>
      </c>
      <c r="E772" s="3" t="s">
        <v>538</v>
      </c>
      <c r="F772" s="3">
        <v>89.9</v>
      </c>
      <c r="G772" s="3" t="s">
        <v>2454</v>
      </c>
      <c r="H772" s="3"/>
      <c r="I772" s="3" t="s">
        <v>2455</v>
      </c>
      <c r="J772" s="3">
        <v>7</v>
      </c>
      <c r="K772" s="3">
        <v>7</v>
      </c>
      <c r="L772" s="3">
        <v>0</v>
      </c>
      <c r="M772" s="3">
        <v>0</v>
      </c>
      <c r="N772" s="3">
        <v>7</v>
      </c>
      <c r="O772" s="3">
        <v>0.09</v>
      </c>
      <c r="P772" s="3">
        <v>0</v>
      </c>
      <c r="Q772" s="3">
        <v>0</v>
      </c>
      <c r="R772" s="3">
        <v>0</v>
      </c>
    </row>
    <row r="773" spans="1:18">
      <c r="A773" s="3" t="s">
        <v>3581</v>
      </c>
      <c r="B773" s="3" t="s">
        <v>3582</v>
      </c>
      <c r="C773" s="3" t="s">
        <v>3583</v>
      </c>
      <c r="D773" s="3" t="s">
        <v>3584</v>
      </c>
      <c r="E773" s="3" t="s">
        <v>538</v>
      </c>
      <c r="F773" s="3">
        <v>99.9</v>
      </c>
      <c r="G773" s="3" t="s">
        <v>2454</v>
      </c>
      <c r="H773" s="3"/>
      <c r="I773" s="3" t="s">
        <v>2455</v>
      </c>
      <c r="J773" s="3">
        <v>0</v>
      </c>
      <c r="K773" s="3">
        <v>0</v>
      </c>
      <c r="L773" s="3">
        <v>0</v>
      </c>
      <c r="M773" s="3">
        <v>0</v>
      </c>
      <c r="N773" s="3">
        <v>0</v>
      </c>
      <c r="O773" s="3">
        <v>0.15</v>
      </c>
      <c r="P773" s="3">
        <v>0</v>
      </c>
      <c r="Q773" s="3">
        <v>0</v>
      </c>
      <c r="R773" s="3">
        <v>0</v>
      </c>
    </row>
    <row r="774" spans="1:18">
      <c r="A774" s="3" t="s">
        <v>1772</v>
      </c>
      <c r="B774" s="3" t="s">
        <v>1773</v>
      </c>
      <c r="C774" s="3" t="s">
        <v>1774</v>
      </c>
      <c r="D774" s="3" t="s">
        <v>1775</v>
      </c>
      <c r="E774" s="3" t="s">
        <v>538</v>
      </c>
      <c r="F774" s="3">
        <v>16.99</v>
      </c>
      <c r="G774" s="3" t="s">
        <v>2454</v>
      </c>
      <c r="H774" s="3"/>
      <c r="I774" s="3" t="s">
        <v>2455</v>
      </c>
      <c r="J774" s="3">
        <v>10</v>
      </c>
      <c r="K774" s="3">
        <v>10</v>
      </c>
      <c r="L774" s="3">
        <v>0</v>
      </c>
      <c r="M774" s="3">
        <v>0</v>
      </c>
      <c r="N774" s="3">
        <v>10</v>
      </c>
      <c r="O774" s="3">
        <v>0.09</v>
      </c>
      <c r="P774" s="3">
        <v>0</v>
      </c>
      <c r="Q774" s="3">
        <v>0</v>
      </c>
      <c r="R774" s="3">
        <v>0</v>
      </c>
    </row>
    <row r="775" spans="1:18">
      <c r="A775" s="3" t="s">
        <v>2389</v>
      </c>
      <c r="B775" s="3" t="s">
        <v>2390</v>
      </c>
      <c r="C775" s="3" t="s">
        <v>2391</v>
      </c>
      <c r="D775" s="3" t="s">
        <v>2392</v>
      </c>
      <c r="E775" s="3" t="s">
        <v>538</v>
      </c>
      <c r="F775" s="3">
        <v>20.99</v>
      </c>
      <c r="G775" s="3" t="s">
        <v>2454</v>
      </c>
      <c r="H775" s="3"/>
      <c r="I775" s="3" t="s">
        <v>2455</v>
      </c>
      <c r="J775" s="3">
        <v>7</v>
      </c>
      <c r="K775" s="3">
        <v>7</v>
      </c>
      <c r="L775" s="3">
        <v>0</v>
      </c>
      <c r="M775" s="3">
        <v>0</v>
      </c>
      <c r="N775" s="3">
        <v>7</v>
      </c>
      <c r="O775" s="3">
        <v>0.07</v>
      </c>
      <c r="P775" s="3">
        <v>0</v>
      </c>
      <c r="Q775" s="3">
        <v>0</v>
      </c>
      <c r="R775" s="3">
        <v>0</v>
      </c>
    </row>
    <row r="776" spans="1:18">
      <c r="A776" s="3" t="s">
        <v>2032</v>
      </c>
      <c r="B776" s="3" t="s">
        <v>2033</v>
      </c>
      <c r="C776" s="3" t="s">
        <v>2034</v>
      </c>
      <c r="D776" s="3" t="s">
        <v>2035</v>
      </c>
      <c r="E776" s="3" t="s">
        <v>538</v>
      </c>
      <c r="F776" s="3">
        <v>26.99</v>
      </c>
      <c r="G776" s="3" t="s">
        <v>2454</v>
      </c>
      <c r="H776" s="3"/>
      <c r="I776" s="3" t="s">
        <v>2455</v>
      </c>
      <c r="J776" s="3">
        <v>6</v>
      </c>
      <c r="K776" s="3">
        <v>5</v>
      </c>
      <c r="L776" s="3">
        <v>1</v>
      </c>
      <c r="M776" s="3">
        <v>0</v>
      </c>
      <c r="N776" s="3">
        <v>6</v>
      </c>
      <c r="O776" s="3">
        <v>0</v>
      </c>
      <c r="P776" s="3">
        <v>0</v>
      </c>
      <c r="Q776" s="3">
        <v>0</v>
      </c>
      <c r="R776" s="3">
        <v>0</v>
      </c>
    </row>
    <row r="777" spans="1:18">
      <c r="A777" s="3" t="s">
        <v>240</v>
      </c>
      <c r="B777" s="3" t="s">
        <v>241</v>
      </c>
      <c r="C777" s="3" t="s">
        <v>242</v>
      </c>
      <c r="D777" s="3" t="s">
        <v>243</v>
      </c>
      <c r="E777" s="3" t="s">
        <v>538</v>
      </c>
      <c r="F777" s="3">
        <v>29.99</v>
      </c>
      <c r="G777" s="3" t="s">
        <v>2454</v>
      </c>
      <c r="H777" s="3"/>
      <c r="I777" s="3" t="s">
        <v>2455</v>
      </c>
      <c r="J777" s="3">
        <v>5</v>
      </c>
      <c r="K777" s="3">
        <v>0</v>
      </c>
      <c r="L777" s="3">
        <v>0</v>
      </c>
      <c r="M777" s="3">
        <v>5</v>
      </c>
      <c r="N777" s="3">
        <v>6</v>
      </c>
      <c r="O777" s="3">
        <v>0.17</v>
      </c>
      <c r="P777" s="3">
        <v>1</v>
      </c>
      <c r="Q777" s="3">
        <v>0</v>
      </c>
      <c r="R777" s="3">
        <v>0</v>
      </c>
    </row>
    <row r="778" spans="1:18">
      <c r="A778" s="3" t="s">
        <v>2094</v>
      </c>
      <c r="B778" s="3" t="s">
        <v>2095</v>
      </c>
      <c r="C778" s="3" t="s">
        <v>2096</v>
      </c>
      <c r="D778" s="3" t="s">
        <v>2097</v>
      </c>
      <c r="E778" s="3" t="s">
        <v>538</v>
      </c>
      <c r="F778" s="3">
        <v>36.99</v>
      </c>
      <c r="G778" s="3" t="s">
        <v>2454</v>
      </c>
      <c r="H778" s="3"/>
      <c r="I778" s="3" t="s">
        <v>2455</v>
      </c>
      <c r="J778" s="3">
        <v>6</v>
      </c>
      <c r="K778" s="3">
        <v>6</v>
      </c>
      <c r="L778" s="3">
        <v>0</v>
      </c>
      <c r="M778" s="3">
        <v>0</v>
      </c>
      <c r="N778" s="3">
        <v>6</v>
      </c>
      <c r="O778" s="3">
        <v>0</v>
      </c>
      <c r="P778" s="3">
        <v>0</v>
      </c>
      <c r="Q778" s="3">
        <v>0</v>
      </c>
      <c r="R778" s="3">
        <v>0</v>
      </c>
    </row>
    <row r="779" spans="1:18">
      <c r="A779" s="3" t="s">
        <v>1907</v>
      </c>
      <c r="B779" s="3" t="s">
        <v>1908</v>
      </c>
      <c r="C779" s="3" t="s">
        <v>1909</v>
      </c>
      <c r="D779" s="3" t="s">
        <v>1910</v>
      </c>
      <c r="E779" s="3" t="s">
        <v>538</v>
      </c>
      <c r="F779" s="3">
        <v>39.99</v>
      </c>
      <c r="G779" s="3" t="s">
        <v>2454</v>
      </c>
      <c r="H779" s="3"/>
      <c r="I779" s="3" t="s">
        <v>2455</v>
      </c>
      <c r="J779" s="3">
        <v>9</v>
      </c>
      <c r="K779" s="3">
        <v>9</v>
      </c>
      <c r="L779" s="3">
        <v>0</v>
      </c>
      <c r="M779" s="3">
        <v>0</v>
      </c>
      <c r="N779" s="3">
        <v>9</v>
      </c>
      <c r="O779" s="3">
        <v>0</v>
      </c>
      <c r="P779" s="3">
        <v>0</v>
      </c>
      <c r="Q779" s="3">
        <v>0</v>
      </c>
      <c r="R779" s="3">
        <v>0</v>
      </c>
    </row>
    <row r="780" spans="1:18">
      <c r="A780" s="3" t="s">
        <v>1863</v>
      </c>
      <c r="B780" s="3" t="s">
        <v>1864</v>
      </c>
      <c r="C780" s="3" t="s">
        <v>1865</v>
      </c>
      <c r="D780" s="3" t="s">
        <v>1866</v>
      </c>
      <c r="E780" s="3" t="s">
        <v>538</v>
      </c>
      <c r="F780" s="3">
        <v>9.99</v>
      </c>
      <c r="G780" s="3" t="s">
        <v>2454</v>
      </c>
      <c r="H780" s="3"/>
      <c r="I780" s="3" t="s">
        <v>2455</v>
      </c>
      <c r="J780" s="3">
        <v>8</v>
      </c>
      <c r="K780" s="3">
        <v>8</v>
      </c>
      <c r="L780" s="3">
        <v>0</v>
      </c>
      <c r="M780" s="3">
        <v>0</v>
      </c>
      <c r="N780" s="3">
        <v>8</v>
      </c>
      <c r="O780" s="3">
        <v>0.05</v>
      </c>
      <c r="P780" s="3">
        <v>0</v>
      </c>
      <c r="Q780" s="3">
        <v>0</v>
      </c>
      <c r="R780" s="3">
        <v>0</v>
      </c>
    </row>
    <row r="781" spans="1:18">
      <c r="A781" s="3" t="s">
        <v>1707</v>
      </c>
      <c r="B781" s="3" t="s">
        <v>1708</v>
      </c>
      <c r="C781" s="3" t="s">
        <v>1709</v>
      </c>
      <c r="D781" s="3" t="s">
        <v>1710</v>
      </c>
      <c r="E781" s="3" t="s">
        <v>538</v>
      </c>
      <c r="F781" s="3">
        <v>9.99</v>
      </c>
      <c r="G781" s="3" t="s">
        <v>2454</v>
      </c>
      <c r="H781" s="3"/>
      <c r="I781" s="3" t="s">
        <v>2455</v>
      </c>
      <c r="J781" s="3">
        <v>7</v>
      </c>
      <c r="K781" s="3">
        <v>7</v>
      </c>
      <c r="L781" s="3">
        <v>0</v>
      </c>
      <c r="M781" s="3">
        <v>0</v>
      </c>
      <c r="N781" s="3">
        <v>7</v>
      </c>
      <c r="O781" s="3">
        <v>0.07</v>
      </c>
      <c r="P781" s="3">
        <v>0</v>
      </c>
      <c r="Q781" s="3">
        <v>0</v>
      </c>
      <c r="R781" s="3">
        <v>0</v>
      </c>
    </row>
    <row r="782" spans="1:18">
      <c r="A782" s="3" t="s">
        <v>1625</v>
      </c>
      <c r="B782" s="3" t="s">
        <v>1626</v>
      </c>
      <c r="C782" s="3" t="s">
        <v>1627</v>
      </c>
      <c r="D782" s="3" t="s">
        <v>1628</v>
      </c>
      <c r="E782" s="3" t="s">
        <v>538</v>
      </c>
      <c r="F782" s="3">
        <v>17.99</v>
      </c>
      <c r="G782" s="3" t="s">
        <v>2454</v>
      </c>
      <c r="H782" s="3"/>
      <c r="I782" s="3" t="s">
        <v>2455</v>
      </c>
      <c r="J782" s="3">
        <v>7</v>
      </c>
      <c r="K782" s="3">
        <v>7</v>
      </c>
      <c r="L782" s="3">
        <v>0</v>
      </c>
      <c r="M782" s="3">
        <v>0</v>
      </c>
      <c r="N782" s="3">
        <v>7</v>
      </c>
      <c r="O782" s="3">
        <v>0.11</v>
      </c>
      <c r="P782" s="3">
        <v>0</v>
      </c>
      <c r="Q782" s="3">
        <v>0</v>
      </c>
      <c r="R782" s="3">
        <v>0</v>
      </c>
    </row>
    <row r="783" spans="1:18">
      <c r="A783" s="3" t="s">
        <v>1607</v>
      </c>
      <c r="B783" s="3" t="s">
        <v>1608</v>
      </c>
      <c r="C783" s="3" t="s">
        <v>1609</v>
      </c>
      <c r="D783" s="3" t="s">
        <v>1610</v>
      </c>
      <c r="E783" s="3" t="s">
        <v>538</v>
      </c>
      <c r="F783" s="3">
        <v>19.99</v>
      </c>
      <c r="G783" s="3" t="s">
        <v>2454</v>
      </c>
      <c r="H783" s="3"/>
      <c r="I783" s="3" t="s">
        <v>2455</v>
      </c>
      <c r="J783" s="3">
        <v>8</v>
      </c>
      <c r="K783" s="3">
        <v>8</v>
      </c>
      <c r="L783" s="3">
        <v>0</v>
      </c>
      <c r="M783" s="3">
        <v>0</v>
      </c>
      <c r="N783" s="3">
        <v>16</v>
      </c>
      <c r="O783" s="3">
        <v>0.15</v>
      </c>
      <c r="P783" s="3">
        <v>1</v>
      </c>
      <c r="Q783" s="3">
        <v>7</v>
      </c>
      <c r="R783" s="3">
        <v>0</v>
      </c>
    </row>
    <row r="784" spans="1:18">
      <c r="A784" s="3" t="s">
        <v>820</v>
      </c>
      <c r="B784" s="3" t="s">
        <v>821</v>
      </c>
      <c r="C784" s="3" t="s">
        <v>822</v>
      </c>
      <c r="D784" s="3" t="s">
        <v>823</v>
      </c>
      <c r="E784" s="3" t="s">
        <v>538</v>
      </c>
      <c r="F784" s="3">
        <v>21.99</v>
      </c>
      <c r="G784" s="3" t="s">
        <v>2454</v>
      </c>
      <c r="H784" s="3"/>
      <c r="I784" s="3" t="s">
        <v>2455</v>
      </c>
      <c r="J784" s="3">
        <v>3</v>
      </c>
      <c r="K784" s="3">
        <v>3</v>
      </c>
      <c r="L784" s="3">
        <v>0</v>
      </c>
      <c r="M784" s="3">
        <v>0</v>
      </c>
      <c r="N784" s="3">
        <v>3</v>
      </c>
      <c r="O784" s="3">
        <v>0.14</v>
      </c>
      <c r="P784" s="3">
        <v>0</v>
      </c>
      <c r="Q784" s="3">
        <v>0</v>
      </c>
      <c r="R784" s="3">
        <v>0</v>
      </c>
    </row>
    <row r="785" spans="1:18">
      <c r="A785" s="3" t="s">
        <v>1324</v>
      </c>
      <c r="B785" s="3" t="s">
        <v>1325</v>
      </c>
      <c r="C785" s="3" t="s">
        <v>1326</v>
      </c>
      <c r="D785" s="3" t="s">
        <v>1327</v>
      </c>
      <c r="E785" s="3" t="s">
        <v>538</v>
      </c>
      <c r="F785" s="3">
        <v>23.99</v>
      </c>
      <c r="G785" s="3" t="s">
        <v>2454</v>
      </c>
      <c r="H785" s="3"/>
      <c r="I785" s="3" t="s">
        <v>2455</v>
      </c>
      <c r="J785" s="3">
        <v>6</v>
      </c>
      <c r="K785" s="3">
        <v>6</v>
      </c>
      <c r="L785" s="3">
        <v>0</v>
      </c>
      <c r="M785" s="3">
        <v>0</v>
      </c>
      <c r="N785" s="3">
        <v>6</v>
      </c>
      <c r="O785" s="3">
        <v>0.08</v>
      </c>
      <c r="P785" s="3">
        <v>0</v>
      </c>
      <c r="Q785" s="3">
        <v>0</v>
      </c>
      <c r="R785" s="3">
        <v>0</v>
      </c>
    </row>
    <row r="786" spans="1:18">
      <c r="A786" s="3" t="s">
        <v>1640</v>
      </c>
      <c r="B786" s="3" t="s">
        <v>1641</v>
      </c>
      <c r="C786" s="3" t="s">
        <v>1642</v>
      </c>
      <c r="D786" s="3" t="s">
        <v>1643</v>
      </c>
      <c r="E786" s="3" t="s">
        <v>538</v>
      </c>
      <c r="F786" s="3">
        <v>26.99</v>
      </c>
      <c r="G786" s="3" t="s">
        <v>2454</v>
      </c>
      <c r="H786" s="3"/>
      <c r="I786" s="3" t="s">
        <v>2455</v>
      </c>
      <c r="J786" s="3">
        <v>3</v>
      </c>
      <c r="K786" s="3">
        <v>3</v>
      </c>
      <c r="L786" s="3">
        <v>0</v>
      </c>
      <c r="M786" s="3">
        <v>0</v>
      </c>
      <c r="N786" s="3">
        <v>7</v>
      </c>
      <c r="O786" s="3">
        <v>0.12</v>
      </c>
      <c r="P786" s="3">
        <v>1</v>
      </c>
      <c r="Q786" s="3">
        <v>3</v>
      </c>
      <c r="R786" s="3">
        <v>0</v>
      </c>
    </row>
    <row r="787" spans="1:18">
      <c r="A787" s="3" t="s">
        <v>232</v>
      </c>
      <c r="B787" s="3" t="s">
        <v>233</v>
      </c>
      <c r="C787" s="3" t="s">
        <v>234</v>
      </c>
      <c r="D787" s="3" t="s">
        <v>235</v>
      </c>
      <c r="E787" s="3" t="s">
        <v>538</v>
      </c>
      <c r="F787" s="3">
        <v>27.99</v>
      </c>
      <c r="G787" s="3" t="s">
        <v>2454</v>
      </c>
      <c r="H787" s="3"/>
      <c r="I787" s="3" t="s">
        <v>2455</v>
      </c>
      <c r="J787" s="3">
        <v>6</v>
      </c>
      <c r="K787" s="3">
        <v>0</v>
      </c>
      <c r="L787" s="3">
        <v>1</v>
      </c>
      <c r="M787" s="3">
        <v>5</v>
      </c>
      <c r="N787" s="3">
        <v>6</v>
      </c>
      <c r="O787" s="3">
        <v>0.12</v>
      </c>
      <c r="P787" s="3">
        <v>0</v>
      </c>
      <c r="Q787" s="3">
        <v>0</v>
      </c>
      <c r="R787" s="3">
        <v>0</v>
      </c>
    </row>
    <row r="788" spans="1:18">
      <c r="A788" s="3" t="s">
        <v>268</v>
      </c>
      <c r="B788" s="3" t="s">
        <v>269</v>
      </c>
      <c r="C788" s="3" t="s">
        <v>270</v>
      </c>
      <c r="D788" s="3" t="s">
        <v>271</v>
      </c>
      <c r="E788" s="3" t="s">
        <v>538</v>
      </c>
      <c r="F788" s="3">
        <v>29.99</v>
      </c>
      <c r="G788" s="3" t="s">
        <v>2454</v>
      </c>
      <c r="H788" s="3"/>
      <c r="I788" s="3" t="s">
        <v>2455</v>
      </c>
      <c r="J788" s="3">
        <v>21</v>
      </c>
      <c r="K788" s="3">
        <v>19</v>
      </c>
      <c r="L788" s="3">
        <v>0</v>
      </c>
      <c r="M788" s="3">
        <v>2</v>
      </c>
      <c r="N788" s="3">
        <v>21</v>
      </c>
      <c r="O788" s="3">
        <v>0.05</v>
      </c>
      <c r="P788" s="3">
        <v>0</v>
      </c>
      <c r="Q788" s="3">
        <v>0</v>
      </c>
      <c r="R788" s="3">
        <v>0</v>
      </c>
    </row>
    <row r="789" spans="1:18">
      <c r="A789" s="3" t="s">
        <v>917</v>
      </c>
      <c r="B789" s="3" t="s">
        <v>918</v>
      </c>
      <c r="C789" s="3" t="s">
        <v>919</v>
      </c>
      <c r="D789" s="3" t="s">
        <v>920</v>
      </c>
      <c r="E789" s="3" t="s">
        <v>538</v>
      </c>
      <c r="F789" s="3">
        <v>9.99</v>
      </c>
      <c r="G789" s="3" t="s">
        <v>2454</v>
      </c>
      <c r="H789" s="3"/>
      <c r="I789" s="3" t="s">
        <v>2455</v>
      </c>
      <c r="J789" s="3">
        <v>37</v>
      </c>
      <c r="K789" s="3">
        <v>37</v>
      </c>
      <c r="L789" s="3">
        <v>0</v>
      </c>
      <c r="M789" s="3">
        <v>0</v>
      </c>
      <c r="N789" s="3">
        <v>37</v>
      </c>
      <c r="O789" s="3">
        <v>0.04</v>
      </c>
      <c r="P789" s="3">
        <v>0</v>
      </c>
      <c r="Q789" s="3">
        <v>0</v>
      </c>
      <c r="R789" s="3">
        <v>0</v>
      </c>
    </row>
    <row r="790" spans="1:18">
      <c r="A790" s="3" t="s">
        <v>260</v>
      </c>
      <c r="B790" s="3" t="s">
        <v>261</v>
      </c>
      <c r="C790" s="3" t="s">
        <v>262</v>
      </c>
      <c r="D790" s="3" t="s">
        <v>263</v>
      </c>
      <c r="E790" s="3" t="s">
        <v>538</v>
      </c>
      <c r="F790" s="3">
        <v>7.99</v>
      </c>
      <c r="G790" s="3" t="s">
        <v>2454</v>
      </c>
      <c r="H790" s="3"/>
      <c r="I790" s="3" t="s">
        <v>2455</v>
      </c>
      <c r="J790" s="3">
        <v>15</v>
      </c>
      <c r="K790" s="3">
        <v>12</v>
      </c>
      <c r="L790" s="3">
        <v>0</v>
      </c>
      <c r="M790" s="3">
        <v>3</v>
      </c>
      <c r="N790" s="3">
        <v>21</v>
      </c>
      <c r="O790" s="3">
        <v>0.06</v>
      </c>
      <c r="P790" s="3">
        <v>6</v>
      </c>
      <c r="Q790" s="3">
        <v>0</v>
      </c>
      <c r="R790" s="3">
        <v>0</v>
      </c>
    </row>
    <row r="791" spans="1:18">
      <c r="A791" s="3" t="s">
        <v>1956</v>
      </c>
      <c r="B791" s="3" t="s">
        <v>1957</v>
      </c>
      <c r="C791" s="3" t="s">
        <v>1958</v>
      </c>
      <c r="D791" s="3" t="s">
        <v>1959</v>
      </c>
      <c r="E791" s="3" t="s">
        <v>538</v>
      </c>
      <c r="F791" s="3">
        <v>14.99</v>
      </c>
      <c r="G791" s="3" t="s">
        <v>2454</v>
      </c>
      <c r="H791" s="3"/>
      <c r="I791" s="3" t="s">
        <v>2455</v>
      </c>
      <c r="J791" s="3">
        <v>8</v>
      </c>
      <c r="K791" s="3">
        <v>8</v>
      </c>
      <c r="L791" s="3">
        <v>0</v>
      </c>
      <c r="M791" s="3">
        <v>0</v>
      </c>
      <c r="N791" s="3">
        <v>8</v>
      </c>
      <c r="O791" s="3">
        <v>0.09</v>
      </c>
      <c r="P791" s="3">
        <v>0</v>
      </c>
      <c r="Q791" s="3">
        <v>0</v>
      </c>
      <c r="R791" s="3">
        <v>0</v>
      </c>
    </row>
    <row r="792" spans="1:18">
      <c r="A792" s="3" t="s">
        <v>3585</v>
      </c>
      <c r="B792" s="3" t="s">
        <v>3586</v>
      </c>
      <c r="C792" s="3" t="s">
        <v>3587</v>
      </c>
      <c r="D792" s="3" t="s">
        <v>3588</v>
      </c>
      <c r="E792" s="3" t="s">
        <v>538</v>
      </c>
      <c r="F792" s="3">
        <v>19.99</v>
      </c>
      <c r="G792" s="3" t="s">
        <v>2454</v>
      </c>
      <c r="H792" s="3"/>
      <c r="I792" s="3" t="s">
        <v>2455</v>
      </c>
      <c r="J792" s="3">
        <v>0</v>
      </c>
      <c r="K792" s="3">
        <v>0</v>
      </c>
      <c r="L792" s="3">
        <v>0</v>
      </c>
      <c r="M792" s="3">
        <v>0</v>
      </c>
      <c r="N792" s="3">
        <v>0</v>
      </c>
      <c r="O792" s="3">
        <v>0.09</v>
      </c>
      <c r="P792" s="3">
        <v>0</v>
      </c>
      <c r="Q792" s="3">
        <v>0</v>
      </c>
      <c r="R792" s="3">
        <v>0</v>
      </c>
    </row>
    <row r="793" spans="1:18">
      <c r="A793" s="3" t="s">
        <v>1250</v>
      </c>
      <c r="B793" s="3" t="s">
        <v>1251</v>
      </c>
      <c r="C793" s="3" t="s">
        <v>1252</v>
      </c>
      <c r="D793" s="3" t="s">
        <v>1253</v>
      </c>
      <c r="E793" s="3" t="s">
        <v>538</v>
      </c>
      <c r="F793" s="3">
        <v>15.99</v>
      </c>
      <c r="G793" s="3" t="s">
        <v>2454</v>
      </c>
      <c r="H793" s="3"/>
      <c r="I793" s="3" t="s">
        <v>2455</v>
      </c>
      <c r="J793" s="3">
        <v>12</v>
      </c>
      <c r="K793" s="3">
        <v>12</v>
      </c>
      <c r="L793" s="3">
        <v>0</v>
      </c>
      <c r="M793" s="3">
        <v>0</v>
      </c>
      <c r="N793" s="3">
        <v>12</v>
      </c>
      <c r="O793" s="3">
        <v>0.08</v>
      </c>
      <c r="P793" s="3">
        <v>0</v>
      </c>
      <c r="Q793" s="3">
        <v>0</v>
      </c>
      <c r="R793" s="3">
        <v>0</v>
      </c>
    </row>
    <row r="794" spans="1:18">
      <c r="A794" s="3" t="s">
        <v>1423</v>
      </c>
      <c r="B794" s="3" t="s">
        <v>1424</v>
      </c>
      <c r="C794" s="3" t="s">
        <v>1425</v>
      </c>
      <c r="D794" s="3" t="s">
        <v>1426</v>
      </c>
      <c r="E794" s="3" t="s">
        <v>538</v>
      </c>
      <c r="F794" s="3">
        <v>23.99</v>
      </c>
      <c r="G794" s="3" t="s">
        <v>2454</v>
      </c>
      <c r="H794" s="3"/>
      <c r="I794" s="3" t="s">
        <v>2455</v>
      </c>
      <c r="J794" s="3">
        <v>15</v>
      </c>
      <c r="K794" s="3">
        <v>15</v>
      </c>
      <c r="L794" s="3">
        <v>0</v>
      </c>
      <c r="M794" s="3">
        <v>0</v>
      </c>
      <c r="N794" s="3">
        <v>15</v>
      </c>
      <c r="O794" s="3">
        <v>0.08</v>
      </c>
      <c r="P794" s="3">
        <v>0</v>
      </c>
      <c r="Q794" s="3">
        <v>0</v>
      </c>
      <c r="R794" s="3">
        <v>0</v>
      </c>
    </row>
    <row r="795" spans="1:18">
      <c r="A795" s="3" t="s">
        <v>1614</v>
      </c>
      <c r="B795" s="3" t="s">
        <v>1615</v>
      </c>
      <c r="C795" s="3" t="s">
        <v>1616</v>
      </c>
      <c r="D795" s="3" t="s">
        <v>1617</v>
      </c>
      <c r="E795" s="3" t="s">
        <v>538</v>
      </c>
      <c r="F795" s="3">
        <v>25.99</v>
      </c>
      <c r="G795" s="3" t="s">
        <v>2454</v>
      </c>
      <c r="H795" s="3"/>
      <c r="I795" s="3" t="s">
        <v>2455</v>
      </c>
      <c r="J795" s="3">
        <v>17</v>
      </c>
      <c r="K795" s="3">
        <v>17</v>
      </c>
      <c r="L795" s="3">
        <v>0</v>
      </c>
      <c r="M795" s="3">
        <v>0</v>
      </c>
      <c r="N795" s="3">
        <v>17</v>
      </c>
      <c r="O795" s="3">
        <v>0</v>
      </c>
      <c r="P795" s="3">
        <v>0</v>
      </c>
      <c r="Q795" s="3">
        <v>0</v>
      </c>
      <c r="R795" s="3">
        <v>0</v>
      </c>
    </row>
    <row r="796" spans="1:18">
      <c r="A796" s="3" t="s">
        <v>2120</v>
      </c>
      <c r="B796" s="3" t="s">
        <v>2121</v>
      </c>
      <c r="C796" s="3" t="s">
        <v>2122</v>
      </c>
      <c r="D796" s="3" t="s">
        <v>2123</v>
      </c>
      <c r="E796" s="3" t="s">
        <v>538</v>
      </c>
      <c r="F796" s="3">
        <v>22.39</v>
      </c>
      <c r="G796" s="3" t="s">
        <v>2454</v>
      </c>
      <c r="H796" s="3"/>
      <c r="I796" s="3" t="s">
        <v>2455</v>
      </c>
      <c r="J796" s="3">
        <v>11</v>
      </c>
      <c r="K796" s="3">
        <v>11</v>
      </c>
      <c r="L796" s="3">
        <v>0</v>
      </c>
      <c r="M796" s="3">
        <v>0</v>
      </c>
      <c r="N796" s="3">
        <v>11</v>
      </c>
      <c r="O796" s="3">
        <v>0.09</v>
      </c>
      <c r="P796" s="3">
        <v>0</v>
      </c>
      <c r="Q796" s="3">
        <v>0</v>
      </c>
      <c r="R796" s="3">
        <v>0</v>
      </c>
    </row>
    <row r="797" spans="1:18">
      <c r="A797" s="3" t="s">
        <v>3589</v>
      </c>
      <c r="B797" s="3" t="s">
        <v>3590</v>
      </c>
      <c r="C797" s="3" t="s">
        <v>3591</v>
      </c>
      <c r="D797" s="3" t="s">
        <v>3592</v>
      </c>
      <c r="E797" s="3" t="s">
        <v>538</v>
      </c>
      <c r="F797" s="3">
        <v>30.99</v>
      </c>
      <c r="G797" s="3" t="s">
        <v>2454</v>
      </c>
      <c r="H797" s="3"/>
      <c r="I797" s="3" t="s">
        <v>2455</v>
      </c>
      <c r="J797" s="3">
        <v>0</v>
      </c>
      <c r="K797" s="3">
        <v>0</v>
      </c>
      <c r="L797" s="3">
        <v>0</v>
      </c>
      <c r="M797" s="3">
        <v>0</v>
      </c>
      <c r="N797" s="3">
        <v>0</v>
      </c>
      <c r="O797" s="3">
        <v>0.11</v>
      </c>
      <c r="P797" s="3">
        <v>0</v>
      </c>
      <c r="Q797" s="3">
        <v>0</v>
      </c>
      <c r="R797" s="3">
        <v>0</v>
      </c>
    </row>
    <row r="798" spans="1:18">
      <c r="A798" s="3" t="s">
        <v>583</v>
      </c>
      <c r="B798" s="3" t="s">
        <v>584</v>
      </c>
      <c r="C798" s="3" t="s">
        <v>585</v>
      </c>
      <c r="D798" s="3" t="s">
        <v>586</v>
      </c>
      <c r="E798" s="3" t="s">
        <v>538</v>
      </c>
      <c r="F798" s="3">
        <v>9.99</v>
      </c>
      <c r="G798" s="3" t="s">
        <v>2454</v>
      </c>
      <c r="H798" s="3"/>
      <c r="I798" s="3" t="s">
        <v>2455</v>
      </c>
      <c r="J798" s="3">
        <v>20</v>
      </c>
      <c r="K798" s="3">
        <v>20</v>
      </c>
      <c r="L798" s="3">
        <v>0</v>
      </c>
      <c r="M798" s="3">
        <v>0</v>
      </c>
      <c r="N798" s="3">
        <v>20</v>
      </c>
      <c r="O798" s="3">
        <v>0</v>
      </c>
      <c r="P798" s="3">
        <v>0</v>
      </c>
      <c r="Q798" s="3">
        <v>0</v>
      </c>
      <c r="R798" s="3">
        <v>0</v>
      </c>
    </row>
    <row r="799" spans="1:18">
      <c r="A799" s="3" t="s">
        <v>244</v>
      </c>
      <c r="B799" s="3" t="s">
        <v>245</v>
      </c>
      <c r="C799" s="3" t="s">
        <v>246</v>
      </c>
      <c r="D799" s="3" t="s">
        <v>247</v>
      </c>
      <c r="E799" s="3" t="s">
        <v>538</v>
      </c>
      <c r="F799" s="3">
        <v>12.99</v>
      </c>
      <c r="G799" s="3" t="s">
        <v>2454</v>
      </c>
      <c r="H799" s="3"/>
      <c r="I799" s="3" t="s">
        <v>2455</v>
      </c>
      <c r="J799" s="3">
        <v>7</v>
      </c>
      <c r="K799" s="3">
        <v>6</v>
      </c>
      <c r="L799" s="3">
        <v>0</v>
      </c>
      <c r="M799" s="3">
        <v>1</v>
      </c>
      <c r="N799" s="3">
        <v>7</v>
      </c>
      <c r="O799" s="3">
        <v>0.04</v>
      </c>
      <c r="P799" s="3">
        <v>0</v>
      </c>
      <c r="Q799" s="3">
        <v>0</v>
      </c>
      <c r="R799" s="3">
        <v>0</v>
      </c>
    </row>
    <row r="800" spans="1:18">
      <c r="A800" s="3" t="s">
        <v>2363</v>
      </c>
      <c r="B800" s="3" t="s">
        <v>2364</v>
      </c>
      <c r="C800" s="3" t="s">
        <v>2365</v>
      </c>
      <c r="D800" s="3" t="s">
        <v>2366</v>
      </c>
      <c r="E800" s="3" t="s">
        <v>538</v>
      </c>
      <c r="F800" s="3">
        <v>17.99</v>
      </c>
      <c r="G800" s="3" t="s">
        <v>2454</v>
      </c>
      <c r="H800" s="3"/>
      <c r="I800" s="3" t="s">
        <v>2455</v>
      </c>
      <c r="J800" s="3">
        <v>14</v>
      </c>
      <c r="K800" s="3">
        <v>13</v>
      </c>
      <c r="L800" s="3">
        <v>1</v>
      </c>
      <c r="M800" s="3">
        <v>0</v>
      </c>
      <c r="N800" s="3">
        <v>14</v>
      </c>
      <c r="O800" s="3">
        <v>0.02</v>
      </c>
      <c r="P800" s="3">
        <v>0</v>
      </c>
      <c r="Q800" s="3">
        <v>0</v>
      </c>
      <c r="R800" s="3">
        <v>0</v>
      </c>
    </row>
    <row r="801" spans="1:18">
      <c r="A801" s="3" t="s">
        <v>779</v>
      </c>
      <c r="B801" s="3" t="s">
        <v>780</v>
      </c>
      <c r="C801" s="3" t="s">
        <v>781</v>
      </c>
      <c r="D801" s="3" t="s">
        <v>782</v>
      </c>
      <c r="E801" s="3" t="s">
        <v>538</v>
      </c>
      <c r="F801" s="3">
        <v>19.99</v>
      </c>
      <c r="G801" s="3" t="s">
        <v>2454</v>
      </c>
      <c r="H801" s="3"/>
      <c r="I801" s="3" t="s">
        <v>2455</v>
      </c>
      <c r="J801" s="3">
        <v>17</v>
      </c>
      <c r="K801" s="3">
        <v>17</v>
      </c>
      <c r="L801" s="3">
        <v>0</v>
      </c>
      <c r="M801" s="3">
        <v>0</v>
      </c>
      <c r="N801" s="3">
        <v>17</v>
      </c>
      <c r="O801" s="3">
        <v>0.11</v>
      </c>
      <c r="P801" s="3">
        <v>0</v>
      </c>
      <c r="Q801" s="3">
        <v>0</v>
      </c>
      <c r="R801" s="3">
        <v>0</v>
      </c>
    </row>
    <row r="802" spans="1:18">
      <c r="A802" s="3" t="s">
        <v>2108</v>
      </c>
      <c r="B802" s="3" t="s">
        <v>2109</v>
      </c>
      <c r="C802" s="3" t="s">
        <v>2110</v>
      </c>
      <c r="D802" s="3" t="s">
        <v>2111</v>
      </c>
      <c r="E802" s="3" t="s">
        <v>538</v>
      </c>
      <c r="F802" s="3">
        <v>21.99</v>
      </c>
      <c r="G802" s="3" t="s">
        <v>2454</v>
      </c>
      <c r="H802" s="3"/>
      <c r="I802" s="3" t="s">
        <v>2455</v>
      </c>
      <c r="J802" s="3">
        <v>1</v>
      </c>
      <c r="K802" s="3">
        <v>1</v>
      </c>
      <c r="L802" s="3">
        <v>0</v>
      </c>
      <c r="M802" s="3">
        <v>0</v>
      </c>
      <c r="N802" s="3">
        <v>1</v>
      </c>
      <c r="O802" s="3">
        <v>0.18</v>
      </c>
      <c r="P802" s="3">
        <v>0</v>
      </c>
      <c r="Q802" s="3">
        <v>0</v>
      </c>
      <c r="R802" s="3">
        <v>0</v>
      </c>
    </row>
    <row r="803" spans="1:18">
      <c r="A803" s="3" t="s">
        <v>2393</v>
      </c>
      <c r="B803" s="3" t="s">
        <v>2394</v>
      </c>
      <c r="C803" s="3" t="s">
        <v>2395</v>
      </c>
      <c r="D803" s="3" t="s">
        <v>2396</v>
      </c>
      <c r="E803" s="3" t="s">
        <v>538</v>
      </c>
      <c r="F803" s="3">
        <v>22.99</v>
      </c>
      <c r="G803" s="3" t="s">
        <v>2454</v>
      </c>
      <c r="H803" s="3"/>
      <c r="I803" s="3" t="s">
        <v>2455</v>
      </c>
      <c r="J803" s="3">
        <v>24</v>
      </c>
      <c r="K803" s="3">
        <v>24</v>
      </c>
      <c r="L803" s="3">
        <v>0</v>
      </c>
      <c r="M803" s="3">
        <v>0</v>
      </c>
      <c r="N803" s="3">
        <v>24</v>
      </c>
      <c r="O803" s="3">
        <v>0.05</v>
      </c>
      <c r="P803" s="3">
        <v>0</v>
      </c>
      <c r="Q803" s="3">
        <v>0</v>
      </c>
      <c r="R803" s="3">
        <v>0</v>
      </c>
    </row>
    <row r="804" spans="1:18">
      <c r="A804" s="3" t="s">
        <v>2025</v>
      </c>
      <c r="B804" s="3" t="s">
        <v>2026</v>
      </c>
      <c r="C804" s="3" t="s">
        <v>2027</v>
      </c>
      <c r="D804" s="3" t="s">
        <v>2028</v>
      </c>
      <c r="E804" s="3" t="s">
        <v>538</v>
      </c>
      <c r="F804" s="3">
        <v>25.99</v>
      </c>
      <c r="G804" s="3" t="s">
        <v>2454</v>
      </c>
      <c r="H804" s="3"/>
      <c r="I804" s="3" t="s">
        <v>2455</v>
      </c>
      <c r="J804" s="3">
        <v>6</v>
      </c>
      <c r="K804" s="3">
        <v>6</v>
      </c>
      <c r="L804" s="3">
        <v>0</v>
      </c>
      <c r="M804" s="3">
        <v>0</v>
      </c>
      <c r="N804" s="3">
        <v>11</v>
      </c>
      <c r="O804" s="3">
        <v>0.19</v>
      </c>
      <c r="P804" s="3">
        <v>5</v>
      </c>
      <c r="Q804" s="3">
        <v>0</v>
      </c>
      <c r="R804" s="3">
        <v>0</v>
      </c>
    </row>
    <row r="805" spans="1:18">
      <c r="A805" s="3" t="s">
        <v>1703</v>
      </c>
      <c r="B805" s="3" t="s">
        <v>1704</v>
      </c>
      <c r="C805" s="3" t="s">
        <v>1705</v>
      </c>
      <c r="D805" s="3" t="s">
        <v>1706</v>
      </c>
      <c r="E805" s="3" t="s">
        <v>538</v>
      </c>
      <c r="F805" s="3">
        <v>27.99</v>
      </c>
      <c r="G805" s="3" t="s">
        <v>2454</v>
      </c>
      <c r="H805" s="3"/>
      <c r="I805" s="3" t="s">
        <v>2455</v>
      </c>
      <c r="J805" s="3">
        <v>12</v>
      </c>
      <c r="K805" s="3">
        <v>12</v>
      </c>
      <c r="L805" s="3">
        <v>0</v>
      </c>
      <c r="M805" s="3">
        <v>0</v>
      </c>
      <c r="N805" s="3">
        <v>12</v>
      </c>
      <c r="O805" s="3">
        <v>0.22</v>
      </c>
      <c r="P805" s="3">
        <v>0</v>
      </c>
      <c r="Q805" s="3">
        <v>0</v>
      </c>
      <c r="R805" s="3">
        <v>0</v>
      </c>
    </row>
    <row r="806" spans="1:18">
      <c r="A806" s="3" t="s">
        <v>1223</v>
      </c>
      <c r="B806" s="3" t="s">
        <v>1224</v>
      </c>
      <c r="C806" s="3" t="s">
        <v>1225</v>
      </c>
      <c r="D806" s="3" t="s">
        <v>1226</v>
      </c>
      <c r="E806" s="3" t="s">
        <v>538</v>
      </c>
      <c r="F806" s="3">
        <v>29.99</v>
      </c>
      <c r="G806" s="3" t="s">
        <v>2454</v>
      </c>
      <c r="H806" s="3"/>
      <c r="I806" s="3" t="s">
        <v>2455</v>
      </c>
      <c r="J806" s="3">
        <v>17</v>
      </c>
      <c r="K806" s="3">
        <v>17</v>
      </c>
      <c r="L806" s="3">
        <v>0</v>
      </c>
      <c r="M806" s="3">
        <v>0</v>
      </c>
      <c r="N806" s="3">
        <v>17</v>
      </c>
      <c r="O806" s="3">
        <v>0.09</v>
      </c>
      <c r="P806" s="3">
        <v>0</v>
      </c>
      <c r="Q806" s="3">
        <v>0</v>
      </c>
      <c r="R806" s="3">
        <v>0</v>
      </c>
    </row>
    <row r="807" spans="1:18">
      <c r="A807" s="3" t="s">
        <v>1839</v>
      </c>
      <c r="B807" s="3" t="s">
        <v>1840</v>
      </c>
      <c r="C807" s="3" t="s">
        <v>1841</v>
      </c>
      <c r="D807" s="3" t="s">
        <v>1842</v>
      </c>
      <c r="E807" s="3" t="s">
        <v>538</v>
      </c>
      <c r="F807" s="3">
        <v>9.99</v>
      </c>
      <c r="G807" s="3" t="s">
        <v>2454</v>
      </c>
      <c r="H807" s="3"/>
      <c r="I807" s="3" t="s">
        <v>2455</v>
      </c>
      <c r="J807" s="3">
        <v>41</v>
      </c>
      <c r="K807" s="3">
        <v>41</v>
      </c>
      <c r="L807" s="3">
        <v>0</v>
      </c>
      <c r="M807" s="3">
        <v>0</v>
      </c>
      <c r="N807" s="3">
        <v>41</v>
      </c>
      <c r="O807" s="3">
        <v>0.03</v>
      </c>
      <c r="P807" s="3">
        <v>0</v>
      </c>
      <c r="Q807" s="3">
        <v>0</v>
      </c>
      <c r="R807" s="3">
        <v>0</v>
      </c>
    </row>
    <row r="808" spans="1:18">
      <c r="A808" s="3" t="s">
        <v>284</v>
      </c>
      <c r="B808" s="3" t="s">
        <v>285</v>
      </c>
      <c r="C808" s="3" t="s">
        <v>286</v>
      </c>
      <c r="D808" s="3" t="s">
        <v>287</v>
      </c>
      <c r="E808" s="3" t="s">
        <v>538</v>
      </c>
      <c r="F808" s="3">
        <v>12.99</v>
      </c>
      <c r="G808" s="3" t="s">
        <v>2454</v>
      </c>
      <c r="H808" s="3"/>
      <c r="I808" s="3" t="s">
        <v>2455</v>
      </c>
      <c r="J808" s="3">
        <v>5</v>
      </c>
      <c r="K808" s="3">
        <v>0</v>
      </c>
      <c r="L808" s="3">
        <v>0</v>
      </c>
      <c r="M808" s="3">
        <v>5</v>
      </c>
      <c r="N808" s="3">
        <v>6</v>
      </c>
      <c r="O808" s="3">
        <v>0.03</v>
      </c>
      <c r="P808" s="3">
        <v>1</v>
      </c>
      <c r="Q808" s="3">
        <v>0</v>
      </c>
      <c r="R808" s="3">
        <v>0</v>
      </c>
    </row>
    <row r="809" spans="1:18">
      <c r="A809" s="3" t="s">
        <v>662</v>
      </c>
      <c r="B809" s="3" t="s">
        <v>663</v>
      </c>
      <c r="C809" s="3" t="s">
        <v>664</v>
      </c>
      <c r="D809" s="3" t="s">
        <v>665</v>
      </c>
      <c r="E809" s="3" t="s">
        <v>538</v>
      </c>
      <c r="F809" s="3">
        <v>16.99</v>
      </c>
      <c r="G809" s="3" t="s">
        <v>2454</v>
      </c>
      <c r="H809" s="3"/>
      <c r="I809" s="3" t="s">
        <v>2455</v>
      </c>
      <c r="J809" s="3">
        <v>10</v>
      </c>
      <c r="K809" s="3">
        <v>10</v>
      </c>
      <c r="L809" s="3">
        <v>0</v>
      </c>
      <c r="M809" s="3">
        <v>0</v>
      </c>
      <c r="N809" s="3">
        <v>10</v>
      </c>
      <c r="O809" s="3">
        <v>0.08</v>
      </c>
      <c r="P809" s="3">
        <v>0</v>
      </c>
      <c r="Q809" s="3">
        <v>0</v>
      </c>
      <c r="R809" s="3">
        <v>0</v>
      </c>
    </row>
    <row r="810" spans="1:18">
      <c r="A810" s="3" t="s">
        <v>554</v>
      </c>
      <c r="B810" s="3" t="s">
        <v>555</v>
      </c>
      <c r="C810" s="3" t="s">
        <v>556</v>
      </c>
      <c r="D810" s="3" t="s">
        <v>557</v>
      </c>
      <c r="E810" s="3" t="s">
        <v>538</v>
      </c>
      <c r="F810" s="3">
        <v>20.99</v>
      </c>
      <c r="G810" s="3" t="s">
        <v>2454</v>
      </c>
      <c r="H810" s="3"/>
      <c r="I810" s="3" t="s">
        <v>2455</v>
      </c>
      <c r="J810" s="3">
        <v>22</v>
      </c>
      <c r="K810" s="3">
        <v>22</v>
      </c>
      <c r="L810" s="3">
        <v>0</v>
      </c>
      <c r="M810" s="3">
        <v>0</v>
      </c>
      <c r="N810" s="3">
        <v>22</v>
      </c>
      <c r="O810" s="3">
        <v>0.13</v>
      </c>
      <c r="P810" s="3">
        <v>0</v>
      </c>
      <c r="Q810" s="3">
        <v>0</v>
      </c>
      <c r="R810" s="3">
        <v>0</v>
      </c>
    </row>
    <row r="811" spans="1:18">
      <c r="A811" s="3" t="s">
        <v>1260</v>
      </c>
      <c r="B811" s="3" t="s">
        <v>1261</v>
      </c>
      <c r="C811" s="3" t="s">
        <v>1262</v>
      </c>
      <c r="D811" s="3" t="s">
        <v>1263</v>
      </c>
      <c r="E811" s="3" t="s">
        <v>538</v>
      </c>
      <c r="F811" s="3">
        <v>26.99</v>
      </c>
      <c r="G811" s="3" t="s">
        <v>2454</v>
      </c>
      <c r="H811" s="3"/>
      <c r="I811" s="3" t="s">
        <v>2455</v>
      </c>
      <c r="J811" s="3">
        <v>3</v>
      </c>
      <c r="K811" s="3">
        <v>3</v>
      </c>
      <c r="L811" s="3">
        <v>0</v>
      </c>
      <c r="M811" s="3">
        <v>0</v>
      </c>
      <c r="N811" s="3">
        <v>3</v>
      </c>
      <c r="O811" s="3">
        <v>0.14</v>
      </c>
      <c r="P811" s="3">
        <v>0</v>
      </c>
      <c r="Q811" s="3">
        <v>0</v>
      </c>
      <c r="R811" s="3">
        <v>0</v>
      </c>
    </row>
    <row r="812" spans="1:18">
      <c r="A812" s="3" t="s">
        <v>1126</v>
      </c>
      <c r="B812" s="3" t="s">
        <v>1127</v>
      </c>
      <c r="C812" s="3" t="s">
        <v>1128</v>
      </c>
      <c r="D812" s="3" t="s">
        <v>1129</v>
      </c>
      <c r="E812" s="3" t="s">
        <v>538</v>
      </c>
      <c r="F812" s="3">
        <v>30.99</v>
      </c>
      <c r="G812" s="3" t="s">
        <v>2454</v>
      </c>
      <c r="H812" s="3"/>
      <c r="I812" s="3" t="s">
        <v>2455</v>
      </c>
      <c r="J812" s="3">
        <v>9</v>
      </c>
      <c r="K812" s="3">
        <v>9</v>
      </c>
      <c r="L812" s="3">
        <v>0</v>
      </c>
      <c r="M812" s="3">
        <v>0</v>
      </c>
      <c r="N812" s="3">
        <v>9</v>
      </c>
      <c r="O812" s="3">
        <v>0</v>
      </c>
      <c r="P812" s="3">
        <v>0</v>
      </c>
      <c r="Q812" s="3">
        <v>0</v>
      </c>
      <c r="R812" s="3">
        <v>0</v>
      </c>
    </row>
    <row r="813" spans="1:18">
      <c r="A813" s="3" t="s">
        <v>1648</v>
      </c>
      <c r="B813" s="3" t="s">
        <v>1649</v>
      </c>
      <c r="C813" s="3" t="s">
        <v>1650</v>
      </c>
      <c r="D813" s="3" t="s">
        <v>1651</v>
      </c>
      <c r="E813" s="3" t="s">
        <v>538</v>
      </c>
      <c r="F813" s="3">
        <v>36.99</v>
      </c>
      <c r="G813" s="3" t="s">
        <v>2454</v>
      </c>
      <c r="H813" s="3"/>
      <c r="I813" s="3" t="s">
        <v>2455</v>
      </c>
      <c r="J813" s="3">
        <v>7</v>
      </c>
      <c r="K813" s="3">
        <v>7</v>
      </c>
      <c r="L813" s="3">
        <v>0</v>
      </c>
      <c r="M813" s="3">
        <v>0</v>
      </c>
      <c r="N813" s="3">
        <v>7</v>
      </c>
      <c r="O813" s="3">
        <v>0.18</v>
      </c>
      <c r="P813" s="3">
        <v>0</v>
      </c>
      <c r="Q813" s="3">
        <v>0</v>
      </c>
      <c r="R813" s="3">
        <v>0</v>
      </c>
    </row>
    <row r="814" spans="1:18">
      <c r="A814" s="3" t="s">
        <v>1678</v>
      </c>
      <c r="B814" s="3" t="s">
        <v>1679</v>
      </c>
      <c r="C814" s="3" t="s">
        <v>1680</v>
      </c>
      <c r="D814" s="3" t="s">
        <v>1681</v>
      </c>
      <c r="E814" s="3" t="s">
        <v>538</v>
      </c>
      <c r="F814" s="3">
        <v>39.99</v>
      </c>
      <c r="G814" s="3" t="s">
        <v>2454</v>
      </c>
      <c r="H814" s="3"/>
      <c r="I814" s="3" t="s">
        <v>2455</v>
      </c>
      <c r="J814" s="3">
        <v>12</v>
      </c>
      <c r="K814" s="3">
        <v>12</v>
      </c>
      <c r="L814" s="3">
        <v>0</v>
      </c>
      <c r="M814" s="3">
        <v>0</v>
      </c>
      <c r="N814" s="3">
        <v>12</v>
      </c>
      <c r="O814" s="3">
        <v>0.22</v>
      </c>
      <c r="P814" s="3">
        <v>0</v>
      </c>
      <c r="Q814" s="3">
        <v>0</v>
      </c>
      <c r="R814" s="3">
        <v>0</v>
      </c>
    </row>
    <row r="815" spans="1:18">
      <c r="A815" s="3" t="s">
        <v>3593</v>
      </c>
      <c r="B815" s="3" t="s">
        <v>3594</v>
      </c>
      <c r="C815" s="3" t="s">
        <v>3595</v>
      </c>
      <c r="D815" s="3" t="s">
        <v>3596</v>
      </c>
      <c r="E815" s="3" t="s">
        <v>538</v>
      </c>
      <c r="F815" s="3">
        <v>7.99</v>
      </c>
      <c r="G815" s="3" t="s">
        <v>2454</v>
      </c>
      <c r="H815" s="3"/>
      <c r="I815" s="3" t="s">
        <v>2455</v>
      </c>
      <c r="J815" s="3">
        <v>0</v>
      </c>
      <c r="K815" s="3">
        <v>0</v>
      </c>
      <c r="L815" s="3">
        <v>0</v>
      </c>
      <c r="M815" s="3">
        <v>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</row>
    <row r="816" spans="1:18">
      <c r="A816" s="3" t="s">
        <v>2433</v>
      </c>
      <c r="B816" s="3" t="s">
        <v>2434</v>
      </c>
      <c r="C816" s="3" t="s">
        <v>2435</v>
      </c>
      <c r="D816" s="3" t="s">
        <v>2436</v>
      </c>
      <c r="E816" s="3" t="s">
        <v>538</v>
      </c>
      <c r="F816" s="3">
        <v>10.99</v>
      </c>
      <c r="G816" s="3" t="s">
        <v>2454</v>
      </c>
      <c r="H816" s="3"/>
      <c r="I816" s="3" t="s">
        <v>2455</v>
      </c>
      <c r="J816" s="3">
        <v>4</v>
      </c>
      <c r="K816" s="3">
        <v>4</v>
      </c>
      <c r="L816" s="3">
        <v>0</v>
      </c>
      <c r="M816" s="3">
        <v>0</v>
      </c>
      <c r="N816" s="3">
        <v>4</v>
      </c>
      <c r="O816" s="3">
        <v>0.12</v>
      </c>
      <c r="P816" s="3">
        <v>0</v>
      </c>
      <c r="Q816" s="3">
        <v>0</v>
      </c>
      <c r="R816" s="3">
        <v>0</v>
      </c>
    </row>
    <row r="817" spans="1:18">
      <c r="A817" s="3" t="s">
        <v>3597</v>
      </c>
      <c r="B817" s="3" t="s">
        <v>3598</v>
      </c>
      <c r="C817" s="3" t="s">
        <v>3599</v>
      </c>
      <c r="D817" s="3" t="s">
        <v>303</v>
      </c>
      <c r="E817" s="3" t="s">
        <v>538</v>
      </c>
      <c r="F817" s="3">
        <v>49.9</v>
      </c>
      <c r="G817" s="3" t="s">
        <v>2454</v>
      </c>
      <c r="H817" s="3"/>
      <c r="I817" s="3" t="s">
        <v>2455</v>
      </c>
      <c r="J817" s="3">
        <v>0</v>
      </c>
      <c r="K817" s="3">
        <v>0</v>
      </c>
      <c r="L817" s="3">
        <v>0</v>
      </c>
      <c r="M817" s="3">
        <v>0</v>
      </c>
      <c r="N817" s="3">
        <v>0</v>
      </c>
      <c r="O817" s="3">
        <v>0.12</v>
      </c>
      <c r="P817" s="3">
        <v>0</v>
      </c>
      <c r="Q817" s="3">
        <v>0</v>
      </c>
      <c r="R817" s="3">
        <v>0</v>
      </c>
    </row>
    <row r="818" spans="1:18">
      <c r="A818" s="3" t="s">
        <v>3600</v>
      </c>
      <c r="B818" s="3" t="s">
        <v>3601</v>
      </c>
      <c r="C818" s="3" t="s">
        <v>3602</v>
      </c>
      <c r="D818" s="3" t="s">
        <v>303</v>
      </c>
      <c r="E818" s="3" t="s">
        <v>538</v>
      </c>
      <c r="F818" s="3">
        <v>79.9</v>
      </c>
      <c r="G818" s="3" t="s">
        <v>2454</v>
      </c>
      <c r="H818" s="3"/>
      <c r="I818" s="3" t="s">
        <v>2455</v>
      </c>
      <c r="J818" s="3">
        <v>0</v>
      </c>
      <c r="K818" s="3">
        <v>0</v>
      </c>
      <c r="L818" s="3">
        <v>0</v>
      </c>
      <c r="M818" s="3">
        <v>0</v>
      </c>
      <c r="N818" s="3">
        <v>0</v>
      </c>
      <c r="O818" s="3">
        <v>0.15</v>
      </c>
      <c r="P818" s="3">
        <v>0</v>
      </c>
      <c r="Q818" s="3">
        <v>0</v>
      </c>
      <c r="R818" s="3">
        <v>0</v>
      </c>
    </row>
    <row r="819" spans="1:18">
      <c r="A819" s="3" t="s">
        <v>300</v>
      </c>
      <c r="B819" s="3" t="s">
        <v>301</v>
      </c>
      <c r="C819" s="3" t="s">
        <v>302</v>
      </c>
      <c r="D819" s="3" t="s">
        <v>303</v>
      </c>
      <c r="E819" s="3" t="s">
        <v>538</v>
      </c>
      <c r="F819" s="3">
        <v>89.9</v>
      </c>
      <c r="G819" s="3" t="s">
        <v>2454</v>
      </c>
      <c r="H819" s="3"/>
      <c r="I819" s="3" t="s">
        <v>2455</v>
      </c>
      <c r="J819" s="3">
        <v>7</v>
      </c>
      <c r="K819" s="3">
        <v>6</v>
      </c>
      <c r="L819" s="3">
        <v>0</v>
      </c>
      <c r="M819" s="3">
        <v>1</v>
      </c>
      <c r="N819" s="3">
        <v>7</v>
      </c>
      <c r="O819" s="3">
        <v>0.12</v>
      </c>
      <c r="P819" s="3">
        <v>0</v>
      </c>
      <c r="Q819" s="3">
        <v>0</v>
      </c>
      <c r="R819" s="3">
        <v>0</v>
      </c>
    </row>
    <row r="820" spans="1:18">
      <c r="A820" s="3" t="s">
        <v>2344</v>
      </c>
      <c r="B820" s="3" t="s">
        <v>2345</v>
      </c>
      <c r="C820" s="3" t="s">
        <v>2346</v>
      </c>
      <c r="D820" s="3" t="s">
        <v>303</v>
      </c>
      <c r="E820" s="3" t="s">
        <v>538</v>
      </c>
      <c r="F820" s="3">
        <v>99.9</v>
      </c>
      <c r="G820" s="3" t="s">
        <v>2454</v>
      </c>
      <c r="H820" s="3"/>
      <c r="I820" s="3" t="s">
        <v>2455</v>
      </c>
      <c r="J820" s="3">
        <v>6</v>
      </c>
      <c r="K820" s="3">
        <v>6</v>
      </c>
      <c r="L820" s="3">
        <v>0</v>
      </c>
      <c r="M820" s="3">
        <v>0</v>
      </c>
      <c r="N820" s="3">
        <v>6</v>
      </c>
      <c r="O820" s="3">
        <v>0.09</v>
      </c>
      <c r="P820" s="3">
        <v>0</v>
      </c>
      <c r="Q820" s="3">
        <v>0</v>
      </c>
      <c r="R820" s="3">
        <v>0</v>
      </c>
    </row>
    <row r="821" spans="1:18">
      <c r="A821" s="3" t="s">
        <v>2295</v>
      </c>
      <c r="B821" s="3" t="s">
        <v>2296</v>
      </c>
      <c r="C821" s="3" t="s">
        <v>2297</v>
      </c>
      <c r="D821" s="3" t="s">
        <v>303</v>
      </c>
      <c r="E821" s="3" t="s">
        <v>538</v>
      </c>
      <c r="F821" s="3">
        <v>29.9</v>
      </c>
      <c r="G821" s="3" t="s">
        <v>2454</v>
      </c>
      <c r="H821" s="3"/>
      <c r="I821" s="3" t="s">
        <v>2455</v>
      </c>
      <c r="J821" s="3">
        <v>2</v>
      </c>
      <c r="K821" s="3">
        <v>2</v>
      </c>
      <c r="L821" s="3">
        <v>0</v>
      </c>
      <c r="M821" s="3">
        <v>0</v>
      </c>
      <c r="N821" s="3">
        <v>2</v>
      </c>
      <c r="O821" s="3">
        <v>0.03</v>
      </c>
      <c r="P821" s="3">
        <v>0</v>
      </c>
      <c r="Q821" s="3">
        <v>0</v>
      </c>
      <c r="R821" s="3">
        <v>0</v>
      </c>
    </row>
    <row r="822" spans="1:18">
      <c r="A822" s="3" t="s">
        <v>2419</v>
      </c>
      <c r="B822" s="3" t="s">
        <v>2420</v>
      </c>
      <c r="C822" s="3" t="s">
        <v>2421</v>
      </c>
      <c r="D822" s="3" t="s">
        <v>2422</v>
      </c>
      <c r="E822" s="3" t="s">
        <v>538</v>
      </c>
      <c r="F822" s="3">
        <v>67.4</v>
      </c>
      <c r="G822" s="3" t="s">
        <v>2454</v>
      </c>
      <c r="H822" s="3"/>
      <c r="I822" s="3" t="s">
        <v>2455</v>
      </c>
      <c r="J822" s="3">
        <v>4</v>
      </c>
      <c r="K822" s="3">
        <v>4</v>
      </c>
      <c r="L822" s="3">
        <v>0</v>
      </c>
      <c r="M822" s="3">
        <v>0</v>
      </c>
      <c r="N822" s="3">
        <v>4</v>
      </c>
      <c r="O822" s="3">
        <v>0.06</v>
      </c>
      <c r="P822" s="3">
        <v>0</v>
      </c>
      <c r="Q822" s="3">
        <v>0</v>
      </c>
      <c r="R822" s="3">
        <v>0</v>
      </c>
    </row>
    <row r="823" spans="1:18">
      <c r="A823" s="3" t="s">
        <v>3603</v>
      </c>
      <c r="B823" s="3" t="s">
        <v>3604</v>
      </c>
      <c r="C823" s="3" t="s">
        <v>3605</v>
      </c>
      <c r="D823" s="3" t="s">
        <v>3606</v>
      </c>
      <c r="E823" s="3" t="s">
        <v>538</v>
      </c>
      <c r="F823" s="3">
        <v>73.7</v>
      </c>
      <c r="G823" s="3" t="s">
        <v>2454</v>
      </c>
      <c r="H823" s="3"/>
      <c r="I823" s="3" t="s">
        <v>2455</v>
      </c>
      <c r="J823" s="3">
        <v>0</v>
      </c>
      <c r="K823" s="3">
        <v>0</v>
      </c>
      <c r="L823" s="3">
        <v>0</v>
      </c>
      <c r="M823" s="3">
        <v>0</v>
      </c>
      <c r="N823" s="3">
        <v>0</v>
      </c>
      <c r="O823" s="3">
        <v>0.08</v>
      </c>
      <c r="P823" s="3">
        <v>0</v>
      </c>
      <c r="Q823" s="3">
        <v>0</v>
      </c>
      <c r="R823" s="3">
        <v>0</v>
      </c>
    </row>
    <row r="824" spans="1:18">
      <c r="A824" s="3" t="s">
        <v>772</v>
      </c>
      <c r="B824" s="3" t="s">
        <v>773</v>
      </c>
      <c r="C824" s="3" t="s">
        <v>774</v>
      </c>
      <c r="D824" s="3" t="s">
        <v>775</v>
      </c>
      <c r="E824" s="3" t="s">
        <v>538</v>
      </c>
      <c r="F824" s="3">
        <v>11.2</v>
      </c>
      <c r="G824" s="3" t="s">
        <v>2454</v>
      </c>
      <c r="H824" s="3"/>
      <c r="I824" s="3" t="s">
        <v>2455</v>
      </c>
      <c r="J824" s="3">
        <v>3</v>
      </c>
      <c r="K824" s="3">
        <v>3</v>
      </c>
      <c r="L824" s="3">
        <v>0</v>
      </c>
      <c r="M824" s="3">
        <v>0</v>
      </c>
      <c r="N824" s="3">
        <v>3</v>
      </c>
      <c r="O824" s="3">
        <v>0.03</v>
      </c>
      <c r="P824" s="3">
        <v>0</v>
      </c>
      <c r="Q824" s="3">
        <v>0</v>
      </c>
      <c r="R824" s="3">
        <v>0</v>
      </c>
    </row>
    <row r="825" spans="1:18">
      <c r="A825" s="3" t="s">
        <v>2090</v>
      </c>
      <c r="B825" s="3" t="s">
        <v>2091</v>
      </c>
      <c r="C825" s="3" t="s">
        <v>2092</v>
      </c>
      <c r="D825" s="3" t="s">
        <v>2093</v>
      </c>
      <c r="E825" s="3" t="s">
        <v>538</v>
      </c>
      <c r="F825" s="3">
        <v>129.9</v>
      </c>
      <c r="G825" s="3" t="s">
        <v>2454</v>
      </c>
      <c r="H825" s="3"/>
      <c r="I825" s="3" t="s">
        <v>2455</v>
      </c>
      <c r="J825" s="3">
        <v>4</v>
      </c>
      <c r="K825" s="3">
        <v>4</v>
      </c>
      <c r="L825" s="3">
        <v>0</v>
      </c>
      <c r="M825" s="3">
        <v>0</v>
      </c>
      <c r="N825" s="3">
        <v>4</v>
      </c>
      <c r="O825" s="3">
        <v>0.03</v>
      </c>
      <c r="P825" s="3">
        <v>0</v>
      </c>
      <c r="Q825" s="3">
        <v>0</v>
      </c>
      <c r="R825" s="3">
        <v>0</v>
      </c>
    </row>
    <row r="826" spans="1:18">
      <c r="A826" s="3" t="s">
        <v>563</v>
      </c>
      <c r="B826" s="3" t="s">
        <v>564</v>
      </c>
      <c r="C826" s="3" t="s">
        <v>565</v>
      </c>
      <c r="D826" s="3" t="s">
        <v>566</v>
      </c>
      <c r="E826" s="3" t="s">
        <v>538</v>
      </c>
      <c r="F826" s="3">
        <v>59.9</v>
      </c>
      <c r="G826" s="3" t="s">
        <v>2454</v>
      </c>
      <c r="H826" s="3"/>
      <c r="I826" s="3" t="s">
        <v>2455</v>
      </c>
      <c r="J826" s="3">
        <v>5</v>
      </c>
      <c r="K826" s="3">
        <v>5</v>
      </c>
      <c r="L826" s="3">
        <v>0</v>
      </c>
      <c r="M826" s="3">
        <v>0</v>
      </c>
      <c r="N826" s="3">
        <v>5</v>
      </c>
      <c r="O826" s="3">
        <v>0.05</v>
      </c>
      <c r="P826" s="3">
        <v>0</v>
      </c>
      <c r="Q826" s="3">
        <v>0</v>
      </c>
      <c r="R826" s="3">
        <v>0</v>
      </c>
    </row>
    <row r="827" spans="1:18">
      <c r="A827" s="3" t="s">
        <v>3607</v>
      </c>
      <c r="B827" s="3" t="s">
        <v>3608</v>
      </c>
      <c r="C827" s="3" t="s">
        <v>3609</v>
      </c>
      <c r="D827" s="3" t="s">
        <v>3610</v>
      </c>
      <c r="E827" s="3" t="s">
        <v>538</v>
      </c>
      <c r="F827" s="3">
        <v>69.9</v>
      </c>
      <c r="G827" s="3" t="s">
        <v>2454</v>
      </c>
      <c r="H827" s="3"/>
      <c r="I827" s="3" t="s">
        <v>2455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0.03</v>
      </c>
      <c r="P827" s="3">
        <v>0</v>
      </c>
      <c r="Q827" s="3">
        <v>0</v>
      </c>
      <c r="R827" s="3">
        <v>0</v>
      </c>
    </row>
    <row r="828" spans="1:18">
      <c r="A828" s="3" t="s">
        <v>1993</v>
      </c>
      <c r="B828" s="3" t="s">
        <v>1994</v>
      </c>
      <c r="C828" s="3" t="s">
        <v>1995</v>
      </c>
      <c r="D828" s="3" t="s">
        <v>1996</v>
      </c>
      <c r="E828" s="3" t="s">
        <v>538</v>
      </c>
      <c r="F828" s="3">
        <v>79.9</v>
      </c>
      <c r="G828" s="3" t="s">
        <v>2454</v>
      </c>
      <c r="H828" s="3"/>
      <c r="I828" s="3" t="s">
        <v>2455</v>
      </c>
      <c r="J828" s="3">
        <v>5</v>
      </c>
      <c r="K828" s="3">
        <v>5</v>
      </c>
      <c r="L828" s="3">
        <v>0</v>
      </c>
      <c r="M828" s="3">
        <v>0</v>
      </c>
      <c r="N828" s="3">
        <v>5</v>
      </c>
      <c r="O828" s="3">
        <v>0.05</v>
      </c>
      <c r="P828" s="3">
        <v>0</v>
      </c>
      <c r="Q828" s="3">
        <v>0</v>
      </c>
      <c r="R828" s="3">
        <v>0</v>
      </c>
    </row>
    <row r="829" spans="1:18">
      <c r="A829" s="3" t="s">
        <v>3611</v>
      </c>
      <c r="B829" s="3" t="s">
        <v>3612</v>
      </c>
      <c r="C829" s="3" t="s">
        <v>3613</v>
      </c>
      <c r="D829" s="3" t="s">
        <v>3614</v>
      </c>
      <c r="E829" s="3" t="s">
        <v>538</v>
      </c>
      <c r="F829" s="3">
        <v>29.9</v>
      </c>
      <c r="G829" s="3" t="s">
        <v>2454</v>
      </c>
      <c r="H829" s="3"/>
      <c r="I829" s="3" t="s">
        <v>2455</v>
      </c>
      <c r="J829" s="3">
        <v>0</v>
      </c>
      <c r="K829" s="3">
        <v>0</v>
      </c>
      <c r="L829" s="3">
        <v>0</v>
      </c>
      <c r="M829" s="3">
        <v>0</v>
      </c>
      <c r="N829" s="3">
        <v>0</v>
      </c>
      <c r="O829" s="3">
        <v>0.03</v>
      </c>
      <c r="P829" s="3">
        <v>0</v>
      </c>
      <c r="Q829" s="3">
        <v>0</v>
      </c>
      <c r="R829" s="3">
        <v>0</v>
      </c>
    </row>
    <row r="830" spans="1:18">
      <c r="A830" s="3" t="s">
        <v>3615</v>
      </c>
      <c r="B830" s="3" t="s">
        <v>3616</v>
      </c>
      <c r="C830" s="3" t="s">
        <v>3617</v>
      </c>
      <c r="D830" s="3" t="s">
        <v>1207</v>
      </c>
      <c r="E830" s="3" t="s">
        <v>538</v>
      </c>
      <c r="F830" s="3">
        <v>28</v>
      </c>
      <c r="G830" s="3" t="s">
        <v>2454</v>
      </c>
      <c r="H830" s="3"/>
      <c r="I830" s="3" t="s">
        <v>2455</v>
      </c>
      <c r="J830" s="3">
        <v>0</v>
      </c>
      <c r="K830" s="3">
        <v>0</v>
      </c>
      <c r="L830" s="3">
        <v>0</v>
      </c>
      <c r="M830" s="3">
        <v>0</v>
      </c>
      <c r="N830" s="3">
        <v>0</v>
      </c>
      <c r="O830" s="3">
        <v>0.02</v>
      </c>
      <c r="P830" s="3">
        <v>0</v>
      </c>
      <c r="Q830" s="3">
        <v>0</v>
      </c>
      <c r="R830" s="3">
        <v>0</v>
      </c>
    </row>
    <row r="831" spans="1:18">
      <c r="A831" s="3" t="s">
        <v>3618</v>
      </c>
      <c r="B831" s="3" t="s">
        <v>3619</v>
      </c>
      <c r="C831" s="3" t="s">
        <v>3620</v>
      </c>
      <c r="D831" s="3" t="s">
        <v>3621</v>
      </c>
      <c r="E831" s="3" t="s">
        <v>538</v>
      </c>
      <c r="F831" s="3">
        <v>31</v>
      </c>
      <c r="G831" s="3" t="s">
        <v>2454</v>
      </c>
      <c r="H831" s="3"/>
      <c r="I831" s="3" t="s">
        <v>2455</v>
      </c>
      <c r="J831" s="3">
        <v>0</v>
      </c>
      <c r="K831" s="3">
        <v>0</v>
      </c>
      <c r="L831" s="3">
        <v>0</v>
      </c>
      <c r="M831" s="3">
        <v>0</v>
      </c>
      <c r="N831" s="3">
        <v>0</v>
      </c>
      <c r="O831" s="3">
        <v>0.02</v>
      </c>
      <c r="P831" s="3">
        <v>0</v>
      </c>
      <c r="Q831" s="3">
        <v>0</v>
      </c>
      <c r="R831" s="3">
        <v>0</v>
      </c>
    </row>
    <row r="832" spans="1:18">
      <c r="A832" s="3" t="s">
        <v>3622</v>
      </c>
      <c r="B832" s="3" t="s">
        <v>3623</v>
      </c>
      <c r="C832" s="3" t="s">
        <v>3624</v>
      </c>
      <c r="D832" s="3" t="s">
        <v>3625</v>
      </c>
      <c r="E832" s="3" t="s">
        <v>538</v>
      </c>
      <c r="F832" s="3">
        <v>22.8</v>
      </c>
      <c r="G832" s="3" t="s">
        <v>2454</v>
      </c>
      <c r="H832" s="3"/>
      <c r="I832" s="3" t="s">
        <v>2455</v>
      </c>
      <c r="J832" s="3">
        <v>0</v>
      </c>
      <c r="K832" s="3">
        <v>0</v>
      </c>
      <c r="L832" s="3">
        <v>0</v>
      </c>
      <c r="M832" s="3">
        <v>0</v>
      </c>
      <c r="N832" s="3">
        <v>0</v>
      </c>
      <c r="O832" s="3">
        <v>0.08</v>
      </c>
      <c r="P832" s="3">
        <v>0</v>
      </c>
      <c r="Q832" s="3">
        <v>0</v>
      </c>
      <c r="R832" s="3">
        <v>0</v>
      </c>
    </row>
    <row r="833" spans="1:18">
      <c r="A833" s="3" t="s">
        <v>288</v>
      </c>
      <c r="B833" s="3" t="s">
        <v>289</v>
      </c>
      <c r="C833" s="3" t="s">
        <v>290</v>
      </c>
      <c r="D833" s="3" t="s">
        <v>670</v>
      </c>
      <c r="E833" s="3" t="s">
        <v>538</v>
      </c>
      <c r="F833" s="3">
        <v>39.9</v>
      </c>
      <c r="G833" s="3" t="s">
        <v>2454</v>
      </c>
      <c r="H833" s="3"/>
      <c r="I833" s="3" t="s">
        <v>2455</v>
      </c>
      <c r="J833" s="3">
        <v>9</v>
      </c>
      <c r="K833" s="3">
        <v>6</v>
      </c>
      <c r="L833" s="3">
        <v>0</v>
      </c>
      <c r="M833" s="3">
        <v>3</v>
      </c>
      <c r="N833" s="3">
        <v>19</v>
      </c>
      <c r="O833" s="3">
        <v>0.07</v>
      </c>
      <c r="P833" s="3">
        <v>10</v>
      </c>
      <c r="Q833" s="3">
        <v>0</v>
      </c>
      <c r="R833" s="3">
        <v>0</v>
      </c>
    </row>
    <row r="834" spans="1:18">
      <c r="A834" s="3" t="s">
        <v>292</v>
      </c>
      <c r="B834" s="3" t="s">
        <v>293</v>
      </c>
      <c r="C834" s="3" t="s">
        <v>294</v>
      </c>
      <c r="D834" s="3" t="s">
        <v>742</v>
      </c>
      <c r="E834" s="3" t="s">
        <v>538</v>
      </c>
      <c r="F834" s="3">
        <v>7.99</v>
      </c>
      <c r="G834" s="3" t="s">
        <v>2454</v>
      </c>
      <c r="H834" s="3"/>
      <c r="I834" s="3" t="s">
        <v>2455</v>
      </c>
      <c r="J834" s="3">
        <v>3</v>
      </c>
      <c r="K834" s="3">
        <v>2</v>
      </c>
      <c r="L834" s="3">
        <v>0</v>
      </c>
      <c r="M834" s="3">
        <v>1</v>
      </c>
      <c r="N834" s="3">
        <v>3</v>
      </c>
      <c r="O834" s="3">
        <v>0.12</v>
      </c>
      <c r="P834" s="3">
        <v>0</v>
      </c>
      <c r="Q834" s="3">
        <v>0</v>
      </c>
      <c r="R834" s="3">
        <v>0</v>
      </c>
    </row>
    <row r="835" spans="1:18">
      <c r="A835" s="3" t="s">
        <v>696</v>
      </c>
      <c r="B835" s="3" t="s">
        <v>697</v>
      </c>
      <c r="C835" s="3" t="s">
        <v>698</v>
      </c>
      <c r="D835" s="3" t="s">
        <v>699</v>
      </c>
      <c r="E835" s="3" t="s">
        <v>538</v>
      </c>
      <c r="F835" s="3">
        <v>49.9</v>
      </c>
      <c r="G835" s="3" t="s">
        <v>2454</v>
      </c>
      <c r="H835" s="3"/>
      <c r="I835" s="3" t="s">
        <v>2455</v>
      </c>
      <c r="J835" s="3">
        <v>12</v>
      </c>
      <c r="K835" s="3">
        <v>12</v>
      </c>
      <c r="L835" s="3">
        <v>0</v>
      </c>
      <c r="M835" s="3">
        <v>0</v>
      </c>
      <c r="N835" s="3">
        <v>12</v>
      </c>
      <c r="O835" s="3">
        <v>0.08</v>
      </c>
      <c r="P835" s="3">
        <v>0</v>
      </c>
      <c r="Q835" s="3">
        <v>0</v>
      </c>
      <c r="R835" s="3">
        <v>0</v>
      </c>
    </row>
    <row r="836" spans="1:18">
      <c r="A836" s="3" t="s">
        <v>711</v>
      </c>
      <c r="B836" s="3" t="s">
        <v>712</v>
      </c>
      <c r="C836" s="3" t="s">
        <v>713</v>
      </c>
      <c r="D836" s="3" t="s">
        <v>714</v>
      </c>
      <c r="E836" s="3" t="s">
        <v>538</v>
      </c>
      <c r="F836" s="3">
        <v>59.9</v>
      </c>
      <c r="G836" s="3" t="s">
        <v>2454</v>
      </c>
      <c r="H836" s="3"/>
      <c r="I836" s="3" t="s">
        <v>2455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0.12</v>
      </c>
      <c r="P836" s="3">
        <v>0</v>
      </c>
      <c r="Q836" s="3">
        <v>0</v>
      </c>
      <c r="R836" s="3">
        <v>0</v>
      </c>
    </row>
    <row r="837" spans="1:18">
      <c r="A837" s="3" t="s">
        <v>2098</v>
      </c>
      <c r="B837" s="3" t="s">
        <v>2099</v>
      </c>
      <c r="C837" s="3" t="s">
        <v>2100</v>
      </c>
      <c r="D837" s="3" t="s">
        <v>2101</v>
      </c>
      <c r="E837" s="3" t="s">
        <v>538</v>
      </c>
      <c r="F837" s="3">
        <v>69.9</v>
      </c>
      <c r="G837" s="3" t="s">
        <v>2454</v>
      </c>
      <c r="H837" s="3"/>
      <c r="I837" s="3" t="s">
        <v>2455</v>
      </c>
      <c r="J837" s="3">
        <v>12</v>
      </c>
      <c r="K837" s="3">
        <v>12</v>
      </c>
      <c r="L837" s="3">
        <v>0</v>
      </c>
      <c r="M837" s="3">
        <v>0</v>
      </c>
      <c r="N837" s="3">
        <v>12</v>
      </c>
      <c r="O837" s="3">
        <v>0.08</v>
      </c>
      <c r="P837" s="3">
        <v>0</v>
      </c>
      <c r="Q837" s="3">
        <v>0</v>
      </c>
      <c r="R837" s="3">
        <v>0</v>
      </c>
    </row>
    <row r="838" spans="1:18">
      <c r="A838" s="3" t="s">
        <v>2112</v>
      </c>
      <c r="B838" s="3" t="s">
        <v>2113</v>
      </c>
      <c r="C838" s="3" t="s">
        <v>2114</v>
      </c>
      <c r="D838" s="3" t="s">
        <v>2115</v>
      </c>
      <c r="E838" s="3" t="s">
        <v>538</v>
      </c>
      <c r="F838" s="3">
        <v>79.9</v>
      </c>
      <c r="G838" s="3" t="s">
        <v>2454</v>
      </c>
      <c r="H838" s="3"/>
      <c r="I838" s="3" t="s">
        <v>2455</v>
      </c>
      <c r="J838" s="3">
        <v>2</v>
      </c>
      <c r="K838" s="3">
        <v>2</v>
      </c>
      <c r="L838" s="3">
        <v>0</v>
      </c>
      <c r="M838" s="3">
        <v>0</v>
      </c>
      <c r="N838" s="3">
        <v>2</v>
      </c>
      <c r="O838" s="3">
        <v>0.12</v>
      </c>
      <c r="P838" s="3">
        <v>0</v>
      </c>
      <c r="Q838" s="3">
        <v>0</v>
      </c>
      <c r="R838" s="3">
        <v>0</v>
      </c>
    </row>
    <row r="839" spans="1:18">
      <c r="A839" s="3" t="s">
        <v>1434</v>
      </c>
      <c r="B839" s="3" t="s">
        <v>1435</v>
      </c>
      <c r="C839" s="3" t="s">
        <v>1436</v>
      </c>
      <c r="D839" s="3" t="s">
        <v>1437</v>
      </c>
      <c r="E839" s="3" t="s">
        <v>538</v>
      </c>
      <c r="F839" s="3">
        <v>39.99</v>
      </c>
      <c r="G839" s="3" t="s">
        <v>2454</v>
      </c>
      <c r="H839" s="3"/>
      <c r="I839" s="3" t="s">
        <v>2455</v>
      </c>
      <c r="J839" s="3">
        <v>15</v>
      </c>
      <c r="K839" s="3">
        <v>13</v>
      </c>
      <c r="L839" s="3">
        <v>2</v>
      </c>
      <c r="M839" s="3">
        <v>0</v>
      </c>
      <c r="N839" s="3">
        <v>25</v>
      </c>
      <c r="O839" s="3">
        <v>0.12</v>
      </c>
      <c r="P839" s="3">
        <v>10</v>
      </c>
      <c r="Q839" s="3">
        <v>0</v>
      </c>
      <c r="R839" s="3">
        <v>0</v>
      </c>
    </row>
    <row r="840" spans="1:18">
      <c r="A840" s="3" t="s">
        <v>1450</v>
      </c>
      <c r="B840" s="3" t="s">
        <v>1451</v>
      </c>
      <c r="C840" s="3" t="s">
        <v>1452</v>
      </c>
      <c r="D840" s="3" t="s">
        <v>1453</v>
      </c>
      <c r="E840" s="3" t="s">
        <v>538</v>
      </c>
      <c r="F840" s="3">
        <v>25.9</v>
      </c>
      <c r="G840" s="3" t="s">
        <v>2454</v>
      </c>
      <c r="H840" s="3"/>
      <c r="I840" s="3" t="s">
        <v>2455</v>
      </c>
      <c r="J840" s="3">
        <v>18</v>
      </c>
      <c r="K840" s="3">
        <v>17</v>
      </c>
      <c r="L840" s="3">
        <v>1</v>
      </c>
      <c r="M840" s="3">
        <v>0</v>
      </c>
      <c r="N840" s="3">
        <v>28</v>
      </c>
      <c r="O840" s="3">
        <v>0.01</v>
      </c>
      <c r="P840" s="3">
        <v>0</v>
      </c>
      <c r="Q840" s="3">
        <v>10</v>
      </c>
      <c r="R840" s="3">
        <v>0</v>
      </c>
    </row>
    <row r="841" spans="1:18">
      <c r="A841" s="3" t="s">
        <v>304</v>
      </c>
      <c r="B841" s="3" t="s">
        <v>305</v>
      </c>
      <c r="C841" s="3" t="s">
        <v>306</v>
      </c>
      <c r="D841" s="3" t="s">
        <v>932</v>
      </c>
      <c r="E841" s="3" t="s">
        <v>538</v>
      </c>
      <c r="F841" s="3">
        <v>29.9</v>
      </c>
      <c r="G841" s="3" t="s">
        <v>2454</v>
      </c>
      <c r="H841" s="3"/>
      <c r="I841" s="3" t="s">
        <v>2455</v>
      </c>
      <c r="J841" s="3">
        <v>10</v>
      </c>
      <c r="K841" s="3">
        <v>4</v>
      </c>
      <c r="L841" s="3">
        <v>0</v>
      </c>
      <c r="M841" s="3">
        <v>6</v>
      </c>
      <c r="N841" s="3">
        <v>19</v>
      </c>
      <c r="O841" s="3">
        <v>0.03</v>
      </c>
      <c r="P841" s="3">
        <v>9</v>
      </c>
      <c r="Q841" s="3">
        <v>0</v>
      </c>
      <c r="R841" s="3">
        <v>0</v>
      </c>
    </row>
    <row r="842" spans="1:18">
      <c r="A842" s="3" t="s">
        <v>3626</v>
      </c>
      <c r="B842" s="3" t="s">
        <v>3627</v>
      </c>
      <c r="C842" s="3" t="s">
        <v>3628</v>
      </c>
      <c r="D842" s="3" t="s">
        <v>3629</v>
      </c>
      <c r="E842" s="3" t="s">
        <v>538</v>
      </c>
      <c r="F842" s="3">
        <v>48.2</v>
      </c>
      <c r="G842" s="3" t="s">
        <v>2454</v>
      </c>
      <c r="H842" s="3"/>
      <c r="I842" s="3" t="s">
        <v>2455</v>
      </c>
      <c r="J842" s="3">
        <v>0</v>
      </c>
      <c r="K842" s="3">
        <v>0</v>
      </c>
      <c r="L842" s="3">
        <v>0</v>
      </c>
      <c r="M842" s="3">
        <v>0</v>
      </c>
      <c r="N842" s="3">
        <v>0</v>
      </c>
      <c r="O842" s="3">
        <v>0.09</v>
      </c>
      <c r="P842" s="3">
        <v>0</v>
      </c>
      <c r="Q842" s="3">
        <v>0</v>
      </c>
      <c r="R842" s="3">
        <v>0</v>
      </c>
    </row>
    <row r="843" spans="1:18">
      <c r="A843" s="3" t="s">
        <v>3630</v>
      </c>
      <c r="B843" s="3" t="s">
        <v>3631</v>
      </c>
      <c r="C843" s="3" t="s">
        <v>3632</v>
      </c>
      <c r="D843" s="3" t="s">
        <v>3633</v>
      </c>
      <c r="E843" s="3" t="s">
        <v>538</v>
      </c>
      <c r="F843" s="3">
        <v>58.6</v>
      </c>
      <c r="G843" s="3" t="s">
        <v>2454</v>
      </c>
      <c r="H843" s="3"/>
      <c r="I843" s="3" t="s">
        <v>2455</v>
      </c>
      <c r="J843" s="3">
        <v>0</v>
      </c>
      <c r="K843" s="3">
        <v>0</v>
      </c>
      <c r="L843" s="3">
        <v>0</v>
      </c>
      <c r="M843" s="3">
        <v>0</v>
      </c>
      <c r="N843" s="3">
        <v>0</v>
      </c>
      <c r="O843" s="3">
        <v>0.08</v>
      </c>
      <c r="P843" s="3">
        <v>0</v>
      </c>
      <c r="Q843" s="3">
        <v>0</v>
      </c>
      <c r="R843" s="3">
        <v>0</v>
      </c>
    </row>
    <row r="844" spans="1:18">
      <c r="A844" s="3" t="s">
        <v>674</v>
      </c>
      <c r="B844" s="3" t="s">
        <v>675</v>
      </c>
      <c r="C844" s="3" t="s">
        <v>676</v>
      </c>
      <c r="D844" s="3" t="s">
        <v>677</v>
      </c>
      <c r="E844" s="3" t="s">
        <v>538</v>
      </c>
      <c r="F844" s="3">
        <v>77.2</v>
      </c>
      <c r="G844" s="3" t="s">
        <v>2454</v>
      </c>
      <c r="H844" s="3"/>
      <c r="I844" s="3" t="s">
        <v>2455</v>
      </c>
      <c r="J844" s="3">
        <v>14</v>
      </c>
      <c r="K844" s="3">
        <v>14</v>
      </c>
      <c r="L844" s="3">
        <v>0</v>
      </c>
      <c r="M844" s="3">
        <v>0</v>
      </c>
      <c r="N844" s="3">
        <v>14</v>
      </c>
      <c r="O844" s="3">
        <v>0.08</v>
      </c>
      <c r="P844" s="3">
        <v>0</v>
      </c>
      <c r="Q844" s="3">
        <v>0</v>
      </c>
      <c r="R844" s="3">
        <v>0</v>
      </c>
    </row>
    <row r="845" spans="1:18">
      <c r="A845" s="3" t="s">
        <v>1476</v>
      </c>
      <c r="B845" s="3" t="s">
        <v>1477</v>
      </c>
      <c r="C845" s="3" t="s">
        <v>1478</v>
      </c>
      <c r="D845" s="3" t="s">
        <v>677</v>
      </c>
      <c r="E845" s="3" t="s">
        <v>538</v>
      </c>
      <c r="F845" s="3">
        <v>86.6</v>
      </c>
      <c r="G845" s="3" t="s">
        <v>2454</v>
      </c>
      <c r="H845" s="3"/>
      <c r="I845" s="3" t="s">
        <v>2455</v>
      </c>
      <c r="J845" s="3">
        <v>13</v>
      </c>
      <c r="K845" s="3">
        <v>13</v>
      </c>
      <c r="L845" s="3">
        <v>0</v>
      </c>
      <c r="M845" s="3">
        <v>0</v>
      </c>
      <c r="N845" s="3">
        <v>13</v>
      </c>
      <c r="O845" s="3">
        <v>0.05</v>
      </c>
      <c r="P845" s="3">
        <v>0</v>
      </c>
      <c r="Q845" s="3">
        <v>0</v>
      </c>
      <c r="R845" s="3">
        <v>0</v>
      </c>
    </row>
    <row r="846" spans="1:18">
      <c r="A846" s="3" t="s">
        <v>1341</v>
      </c>
      <c r="B846" s="3" t="s">
        <v>1342</v>
      </c>
      <c r="C846" s="3" t="s">
        <v>1343</v>
      </c>
      <c r="D846" s="3" t="s">
        <v>1344</v>
      </c>
      <c r="E846" s="3" t="s">
        <v>538</v>
      </c>
      <c r="F846" s="3">
        <v>96.4</v>
      </c>
      <c r="G846" s="3" t="s">
        <v>2454</v>
      </c>
      <c r="H846" s="3"/>
      <c r="I846" s="3" t="s">
        <v>2455</v>
      </c>
      <c r="J846" s="3">
        <v>12</v>
      </c>
      <c r="K846" s="3">
        <v>12</v>
      </c>
      <c r="L846" s="3">
        <v>0</v>
      </c>
      <c r="M846" s="3">
        <v>0</v>
      </c>
      <c r="N846" s="3">
        <v>12</v>
      </c>
      <c r="O846" s="3">
        <v>0.08</v>
      </c>
      <c r="P846" s="3">
        <v>0</v>
      </c>
      <c r="Q846" s="3">
        <v>0</v>
      </c>
      <c r="R846" s="3">
        <v>0</v>
      </c>
    </row>
    <row r="847" spans="1:18">
      <c r="A847" s="3" t="s">
        <v>3634</v>
      </c>
      <c r="B847" s="3" t="s">
        <v>3635</v>
      </c>
      <c r="C847" s="3" t="s">
        <v>3636</v>
      </c>
      <c r="D847" s="3" t="s">
        <v>3637</v>
      </c>
      <c r="E847" s="3" t="s">
        <v>538</v>
      </c>
      <c r="F847" s="3">
        <v>106.2</v>
      </c>
      <c r="G847" s="3" t="s">
        <v>2454</v>
      </c>
      <c r="H847" s="3"/>
      <c r="I847" s="3" t="s">
        <v>2455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0.22</v>
      </c>
      <c r="P847" s="3">
        <v>0</v>
      </c>
      <c r="Q847" s="3">
        <v>0</v>
      </c>
      <c r="R847" s="3">
        <v>0</v>
      </c>
    </row>
    <row r="848" spans="1:18">
      <c r="A848" s="3" t="s">
        <v>3638</v>
      </c>
      <c r="B848" s="3" t="s">
        <v>3639</v>
      </c>
      <c r="C848" s="3" t="s">
        <v>3640</v>
      </c>
      <c r="D848" s="3" t="s">
        <v>3641</v>
      </c>
      <c r="E848" s="3" t="s">
        <v>538</v>
      </c>
      <c r="F848" s="3">
        <v>29.9</v>
      </c>
      <c r="G848" s="3" t="s">
        <v>2454</v>
      </c>
      <c r="H848" s="3"/>
      <c r="I848" s="3" t="s">
        <v>2455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0.03</v>
      </c>
      <c r="P848" s="3">
        <v>0</v>
      </c>
      <c r="Q848" s="3">
        <v>0</v>
      </c>
      <c r="R848" s="3">
        <v>0</v>
      </c>
    </row>
    <row r="849" spans="1:18">
      <c r="A849" s="3" t="s">
        <v>3642</v>
      </c>
      <c r="B849" s="3" t="s">
        <v>3643</v>
      </c>
      <c r="C849" s="3" t="s">
        <v>3644</v>
      </c>
      <c r="D849" s="3" t="s">
        <v>3645</v>
      </c>
      <c r="E849" s="3" t="s">
        <v>538</v>
      </c>
      <c r="F849" s="3">
        <v>36.2</v>
      </c>
      <c r="G849" s="3" t="s">
        <v>2454</v>
      </c>
      <c r="H849" s="3"/>
      <c r="I849" s="3" t="s">
        <v>2455</v>
      </c>
      <c r="J849" s="3">
        <v>1</v>
      </c>
      <c r="K849" s="3">
        <v>0</v>
      </c>
      <c r="L849" s="3">
        <v>1</v>
      </c>
      <c r="M849" s="3">
        <v>0</v>
      </c>
      <c r="N849" s="3">
        <v>1</v>
      </c>
      <c r="O849" s="3">
        <v>0.01</v>
      </c>
      <c r="P849" s="3">
        <v>0</v>
      </c>
      <c r="Q849" s="3">
        <v>0</v>
      </c>
      <c r="R849" s="3">
        <v>0</v>
      </c>
    </row>
    <row r="850" spans="1:18">
      <c r="A850" s="3" t="s">
        <v>3646</v>
      </c>
      <c r="B850" s="3" t="s">
        <v>3647</v>
      </c>
      <c r="C850" s="3" t="s">
        <v>3648</v>
      </c>
      <c r="D850" s="3" t="s">
        <v>3649</v>
      </c>
      <c r="E850" s="3" t="s">
        <v>538</v>
      </c>
      <c r="F850" s="3">
        <v>57.6</v>
      </c>
      <c r="G850" s="3" t="s">
        <v>2454</v>
      </c>
      <c r="H850" s="3"/>
      <c r="I850" s="3" t="s">
        <v>2455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0.11</v>
      </c>
      <c r="P850" s="3">
        <v>0</v>
      </c>
      <c r="Q850" s="3">
        <v>0</v>
      </c>
      <c r="R850" s="3">
        <v>0</v>
      </c>
    </row>
    <row r="851" spans="1:18">
      <c r="A851" s="3" t="s">
        <v>3650</v>
      </c>
      <c r="B851" s="3" t="s">
        <v>3651</v>
      </c>
      <c r="C851" s="3" t="s">
        <v>3652</v>
      </c>
      <c r="D851" s="3" t="s">
        <v>3653</v>
      </c>
      <c r="E851" s="3" t="s">
        <v>538</v>
      </c>
      <c r="F851" s="3">
        <v>8</v>
      </c>
      <c r="G851" s="3" t="s">
        <v>2454</v>
      </c>
      <c r="H851" s="3"/>
      <c r="I851" s="3" t="s">
        <v>2455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0.11</v>
      </c>
      <c r="P851" s="3">
        <v>0</v>
      </c>
      <c r="Q851" s="3">
        <v>0</v>
      </c>
      <c r="R851" s="3">
        <v>0</v>
      </c>
    </row>
    <row r="852" spans="1:18">
      <c r="A852" s="3" t="s">
        <v>3654</v>
      </c>
      <c r="B852" s="3" t="s">
        <v>3655</v>
      </c>
      <c r="C852" s="3" t="s">
        <v>3656</v>
      </c>
      <c r="D852" s="3" t="s">
        <v>3657</v>
      </c>
      <c r="E852" s="3" t="s">
        <v>538</v>
      </c>
      <c r="F852" s="3">
        <v>98.4</v>
      </c>
      <c r="G852" s="3" t="s">
        <v>2454</v>
      </c>
      <c r="H852" s="3"/>
      <c r="I852" s="3" t="s">
        <v>2455</v>
      </c>
      <c r="J852" s="3">
        <v>0</v>
      </c>
      <c r="K852" s="3">
        <v>0</v>
      </c>
      <c r="L852" s="3">
        <v>0</v>
      </c>
      <c r="M852" s="3">
        <v>0</v>
      </c>
      <c r="N852" s="3">
        <v>0</v>
      </c>
      <c r="O852" s="3">
        <v>0.13</v>
      </c>
      <c r="P852" s="3">
        <v>0</v>
      </c>
      <c r="Q852" s="3">
        <v>0</v>
      </c>
      <c r="R852" s="3">
        <v>0</v>
      </c>
    </row>
    <row r="853" spans="1:18">
      <c r="A853" s="3" t="s">
        <v>296</v>
      </c>
      <c r="B853" s="3" t="s">
        <v>297</v>
      </c>
      <c r="C853" s="3" t="s">
        <v>298</v>
      </c>
      <c r="D853" s="3" t="s">
        <v>299</v>
      </c>
      <c r="E853" s="3" t="s">
        <v>538</v>
      </c>
      <c r="F853" s="3">
        <v>110.5</v>
      </c>
      <c r="G853" s="3" t="s">
        <v>2454</v>
      </c>
      <c r="H853" s="3"/>
      <c r="I853" s="3" t="s">
        <v>2455</v>
      </c>
      <c r="J853" s="3">
        <v>3</v>
      </c>
      <c r="K853" s="3">
        <v>0</v>
      </c>
      <c r="L853" s="3">
        <v>0</v>
      </c>
      <c r="M853" s="3">
        <v>3</v>
      </c>
      <c r="N853" s="3">
        <v>3</v>
      </c>
      <c r="O853" s="3">
        <v>0.17</v>
      </c>
      <c r="P853" s="3">
        <v>0</v>
      </c>
      <c r="Q853" s="3">
        <v>0</v>
      </c>
      <c r="R853" s="3">
        <v>0</v>
      </c>
    </row>
    <row r="854" spans="1:18">
      <c r="A854" s="3" t="s">
        <v>3658</v>
      </c>
      <c r="B854" s="3" t="s">
        <v>3659</v>
      </c>
      <c r="C854" s="3" t="s">
        <v>3660</v>
      </c>
      <c r="D854" s="3" t="s">
        <v>3661</v>
      </c>
      <c r="E854" s="3" t="s">
        <v>538</v>
      </c>
      <c r="F854" s="3">
        <v>11.99</v>
      </c>
      <c r="G854" s="3" t="s">
        <v>2454</v>
      </c>
      <c r="H854" s="3"/>
      <c r="I854" s="3" t="s">
        <v>2455</v>
      </c>
      <c r="J854" s="3">
        <v>0</v>
      </c>
      <c r="K854" s="3">
        <v>0</v>
      </c>
      <c r="L854" s="3">
        <v>0</v>
      </c>
      <c r="M854" s="3">
        <v>0</v>
      </c>
      <c r="N854" s="3">
        <v>0</v>
      </c>
      <c r="O854" s="3">
        <v>0.14</v>
      </c>
      <c r="P854" s="3">
        <v>0</v>
      </c>
      <c r="Q854" s="3">
        <v>0</v>
      </c>
      <c r="R854" s="3">
        <v>0</v>
      </c>
    </row>
    <row r="855" spans="1:18">
      <c r="A855" s="3" t="s">
        <v>2062</v>
      </c>
      <c r="B855" s="3" t="s">
        <v>2063</v>
      </c>
      <c r="C855" s="3" t="s">
        <v>2064</v>
      </c>
      <c r="D855" s="3" t="s">
        <v>2065</v>
      </c>
      <c r="E855" s="3" t="s">
        <v>538</v>
      </c>
      <c r="F855" s="3">
        <v>41.8</v>
      </c>
      <c r="G855" s="3" t="s">
        <v>2454</v>
      </c>
      <c r="H855" s="3"/>
      <c r="I855" s="3" t="s">
        <v>2455</v>
      </c>
      <c r="J855" s="3">
        <v>13</v>
      </c>
      <c r="K855" s="3">
        <v>13</v>
      </c>
      <c r="L855" s="3">
        <v>0</v>
      </c>
      <c r="M855" s="3">
        <v>0</v>
      </c>
      <c r="N855" s="3">
        <v>13</v>
      </c>
      <c r="O855" s="3">
        <v>0.08</v>
      </c>
      <c r="P855" s="3">
        <v>0</v>
      </c>
      <c r="Q855" s="3">
        <v>0</v>
      </c>
      <c r="R855" s="3">
        <v>0</v>
      </c>
    </row>
    <row r="856" spans="1:18">
      <c r="A856" s="3" t="s">
        <v>3662</v>
      </c>
      <c r="B856" s="3" t="s">
        <v>3663</v>
      </c>
      <c r="C856" s="3" t="s">
        <v>3664</v>
      </c>
      <c r="D856" s="3" t="s">
        <v>3665</v>
      </c>
      <c r="E856" s="3" t="s">
        <v>538</v>
      </c>
      <c r="F856" s="3">
        <v>13.99</v>
      </c>
      <c r="G856" s="3" t="s">
        <v>2454</v>
      </c>
      <c r="H856" s="3"/>
      <c r="I856" s="3" t="s">
        <v>2455</v>
      </c>
      <c r="J856" s="3">
        <v>0</v>
      </c>
      <c r="K856" s="3">
        <v>0</v>
      </c>
      <c r="L856" s="3">
        <v>0</v>
      </c>
      <c r="M856" s="3">
        <v>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</row>
    <row r="857" spans="1:18">
      <c r="A857" s="3" t="s">
        <v>3666</v>
      </c>
      <c r="B857" s="3" t="s">
        <v>3667</v>
      </c>
      <c r="C857" s="3" t="s">
        <v>3668</v>
      </c>
      <c r="D857" s="3" t="s">
        <v>3669</v>
      </c>
      <c r="E857" s="3" t="s">
        <v>538</v>
      </c>
      <c r="F857" s="3">
        <v>13.99</v>
      </c>
      <c r="G857" s="3" t="s">
        <v>2454</v>
      </c>
      <c r="H857" s="3"/>
      <c r="I857" s="3" t="s">
        <v>2455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</row>
    <row r="858" spans="1:18">
      <c r="A858" s="3" t="s">
        <v>3670</v>
      </c>
      <c r="B858" s="3" t="s">
        <v>3671</v>
      </c>
      <c r="C858" s="3" t="s">
        <v>3672</v>
      </c>
      <c r="D858" s="3" t="s">
        <v>3673</v>
      </c>
      <c r="E858" s="3" t="s">
        <v>538</v>
      </c>
      <c r="F858" s="3">
        <v>13.99</v>
      </c>
      <c r="G858" s="3" t="s">
        <v>2454</v>
      </c>
      <c r="H858" s="3"/>
      <c r="I858" s="3" t="s">
        <v>2455</v>
      </c>
      <c r="J858" s="3">
        <v>0</v>
      </c>
      <c r="K858" s="3">
        <v>0</v>
      </c>
      <c r="L858" s="3">
        <v>0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</row>
    <row r="859" spans="1:18">
      <c r="A859" s="3" t="s">
        <v>2163</v>
      </c>
      <c r="B859" s="3" t="s">
        <v>2164</v>
      </c>
      <c r="C859" s="3" t="s">
        <v>2165</v>
      </c>
      <c r="D859" s="3" t="s">
        <v>570</v>
      </c>
      <c r="E859" s="3" t="s">
        <v>538</v>
      </c>
      <c r="F859" s="3">
        <v>9</v>
      </c>
      <c r="G859" s="3" t="s">
        <v>2454</v>
      </c>
      <c r="H859" s="3"/>
      <c r="I859" s="3" t="s">
        <v>2455</v>
      </c>
      <c r="J859" s="3">
        <v>1</v>
      </c>
      <c r="K859" s="3">
        <v>1</v>
      </c>
      <c r="L859" s="3">
        <v>0</v>
      </c>
      <c r="M859" s="3">
        <v>0</v>
      </c>
      <c r="N859" s="3">
        <v>4</v>
      </c>
      <c r="O859" s="3">
        <v>0.03</v>
      </c>
      <c r="P859" s="3">
        <v>0</v>
      </c>
      <c r="Q859" s="3">
        <v>3</v>
      </c>
      <c r="R859" s="3">
        <v>0</v>
      </c>
    </row>
    <row r="860" spans="1:18">
      <c r="A860" s="3" t="s">
        <v>2173</v>
      </c>
      <c r="B860" s="3" t="s">
        <v>2174</v>
      </c>
      <c r="C860" s="3" t="s">
        <v>2175</v>
      </c>
      <c r="D860" s="3" t="s">
        <v>570</v>
      </c>
      <c r="E860" s="3" t="s">
        <v>538</v>
      </c>
      <c r="F860" s="3">
        <v>9</v>
      </c>
      <c r="G860" s="3" t="s">
        <v>2454</v>
      </c>
      <c r="H860" s="3"/>
      <c r="I860" s="3" t="s">
        <v>2455</v>
      </c>
      <c r="J860" s="3">
        <v>13</v>
      </c>
      <c r="K860" s="3">
        <v>13</v>
      </c>
      <c r="L860" s="3">
        <v>0</v>
      </c>
      <c r="M860" s="3">
        <v>0</v>
      </c>
      <c r="N860" s="3">
        <v>17</v>
      </c>
      <c r="O860" s="3">
        <v>0.03</v>
      </c>
      <c r="P860" s="3">
        <v>0</v>
      </c>
      <c r="Q860" s="3">
        <v>4</v>
      </c>
      <c r="R860" s="3">
        <v>0</v>
      </c>
    </row>
    <row r="861" spans="1:18">
      <c r="A861" s="3" t="s">
        <v>1328</v>
      </c>
      <c r="B861" s="3" t="s">
        <v>1329</v>
      </c>
      <c r="C861" s="3" t="s">
        <v>1330</v>
      </c>
      <c r="D861" s="3" t="s">
        <v>570</v>
      </c>
      <c r="E861" s="3" t="s">
        <v>538</v>
      </c>
      <c r="F861" s="3">
        <v>9</v>
      </c>
      <c r="G861" s="3" t="s">
        <v>2454</v>
      </c>
      <c r="H861" s="3"/>
      <c r="I861" s="3" t="s">
        <v>2455</v>
      </c>
      <c r="J861" s="3">
        <v>3</v>
      </c>
      <c r="K861" s="3">
        <v>3</v>
      </c>
      <c r="L861" s="3">
        <v>0</v>
      </c>
      <c r="M861" s="3">
        <v>0</v>
      </c>
      <c r="N861" s="3">
        <v>6</v>
      </c>
      <c r="O861" s="3">
        <v>0.03</v>
      </c>
      <c r="P861" s="3">
        <v>0</v>
      </c>
      <c r="Q861" s="3">
        <v>3</v>
      </c>
      <c r="R861" s="3">
        <v>0</v>
      </c>
    </row>
    <row r="862" spans="1:18">
      <c r="A862" s="3" t="s">
        <v>2015</v>
      </c>
      <c r="B862" s="3" t="s">
        <v>2016</v>
      </c>
      <c r="C862" s="3" t="s">
        <v>2017</v>
      </c>
      <c r="D862" s="3" t="s">
        <v>570</v>
      </c>
      <c r="E862" s="3" t="s">
        <v>538</v>
      </c>
      <c r="F862" s="3">
        <v>9</v>
      </c>
      <c r="G862" s="3" t="s">
        <v>2454</v>
      </c>
      <c r="H862" s="3"/>
      <c r="I862" s="3" t="s">
        <v>2455</v>
      </c>
      <c r="J862" s="3">
        <v>4</v>
      </c>
      <c r="K862" s="3">
        <v>4</v>
      </c>
      <c r="L862" s="3">
        <v>0</v>
      </c>
      <c r="M862" s="3">
        <v>0</v>
      </c>
      <c r="N862" s="3">
        <v>7</v>
      </c>
      <c r="O862" s="3">
        <v>0.03</v>
      </c>
      <c r="P862" s="3">
        <v>0</v>
      </c>
      <c r="Q862" s="3">
        <v>3</v>
      </c>
      <c r="R862" s="3">
        <v>0</v>
      </c>
    </row>
    <row r="863" spans="1:18">
      <c r="A863" s="3" t="s">
        <v>567</v>
      </c>
      <c r="B863" s="3" t="s">
        <v>568</v>
      </c>
      <c r="C863" s="3" t="s">
        <v>569</v>
      </c>
      <c r="D863" s="3" t="s">
        <v>570</v>
      </c>
      <c r="E863" s="3" t="s">
        <v>538</v>
      </c>
      <c r="F863" s="3">
        <v>9</v>
      </c>
      <c r="G863" s="3" t="s">
        <v>2454</v>
      </c>
      <c r="H863" s="3"/>
      <c r="I863" s="3" t="s">
        <v>2455</v>
      </c>
      <c r="J863" s="3">
        <v>2</v>
      </c>
      <c r="K863" s="3">
        <v>2</v>
      </c>
      <c r="L863" s="3">
        <v>0</v>
      </c>
      <c r="M863" s="3">
        <v>0</v>
      </c>
      <c r="N863" s="3">
        <v>2</v>
      </c>
      <c r="O863" s="3">
        <v>0.03</v>
      </c>
      <c r="P863" s="3">
        <v>0</v>
      </c>
      <c r="Q863" s="3">
        <v>0</v>
      </c>
      <c r="R863" s="3">
        <v>0</v>
      </c>
    </row>
    <row r="864" spans="1:18">
      <c r="A864" s="3" t="s">
        <v>1665</v>
      </c>
      <c r="B864" s="3" t="s">
        <v>1666</v>
      </c>
      <c r="C864" s="3" t="s">
        <v>1667</v>
      </c>
      <c r="D864" s="3" t="s">
        <v>570</v>
      </c>
      <c r="E864" s="3" t="s">
        <v>538</v>
      </c>
      <c r="F864" s="3">
        <v>9</v>
      </c>
      <c r="G864" s="3" t="s">
        <v>2454</v>
      </c>
      <c r="H864" s="3"/>
      <c r="I864" s="3" t="s">
        <v>2455</v>
      </c>
      <c r="J864" s="3">
        <v>11</v>
      </c>
      <c r="K864" s="3">
        <v>11</v>
      </c>
      <c r="L864" s="3">
        <v>0</v>
      </c>
      <c r="M864" s="3">
        <v>0</v>
      </c>
      <c r="N864" s="3">
        <v>14</v>
      </c>
      <c r="O864" s="3">
        <v>0.03</v>
      </c>
      <c r="P864" s="3">
        <v>0</v>
      </c>
      <c r="Q864" s="3">
        <v>3</v>
      </c>
      <c r="R864" s="3">
        <v>0</v>
      </c>
    </row>
    <row r="865" spans="1:18">
      <c r="A865" s="3" t="s">
        <v>878</v>
      </c>
      <c r="B865" s="3" t="s">
        <v>879</v>
      </c>
      <c r="C865" s="3" t="s">
        <v>880</v>
      </c>
      <c r="D865" s="3" t="s">
        <v>570</v>
      </c>
      <c r="E865" s="3" t="s">
        <v>538</v>
      </c>
      <c r="F865" s="3">
        <v>9</v>
      </c>
      <c r="G865" s="3" t="s">
        <v>2454</v>
      </c>
      <c r="H865" s="3"/>
      <c r="I865" s="3" t="s">
        <v>2455</v>
      </c>
      <c r="J865" s="3">
        <v>8</v>
      </c>
      <c r="K865" s="3">
        <v>8</v>
      </c>
      <c r="L865" s="3">
        <v>0</v>
      </c>
      <c r="M865" s="3">
        <v>0</v>
      </c>
      <c r="N865" s="3">
        <v>13</v>
      </c>
      <c r="O865" s="3">
        <v>0.03</v>
      </c>
      <c r="P865" s="3">
        <v>0</v>
      </c>
      <c r="Q865" s="3">
        <v>5</v>
      </c>
      <c r="R865" s="3">
        <v>0</v>
      </c>
    </row>
    <row r="866" spans="1:18">
      <c r="A866" s="3" t="s">
        <v>659</v>
      </c>
      <c r="B866" s="3" t="s">
        <v>660</v>
      </c>
      <c r="C866" s="3" t="s">
        <v>661</v>
      </c>
      <c r="D866" s="3" t="s">
        <v>570</v>
      </c>
      <c r="E866" s="3" t="s">
        <v>538</v>
      </c>
      <c r="F866" s="3">
        <v>9</v>
      </c>
      <c r="G866" s="3" t="s">
        <v>2454</v>
      </c>
      <c r="H866" s="3"/>
      <c r="I866" s="3" t="s">
        <v>2455</v>
      </c>
      <c r="J866" s="3">
        <v>8</v>
      </c>
      <c r="K866" s="3">
        <v>8</v>
      </c>
      <c r="L866" s="3">
        <v>0</v>
      </c>
      <c r="M866" s="3">
        <v>0</v>
      </c>
      <c r="N866" s="3">
        <v>11</v>
      </c>
      <c r="O866" s="3">
        <v>0.03</v>
      </c>
      <c r="P866" s="3">
        <v>0</v>
      </c>
      <c r="Q866" s="3">
        <v>3</v>
      </c>
      <c r="R866" s="3">
        <v>0</v>
      </c>
    </row>
    <row r="867" spans="1:18">
      <c r="A867" s="3" t="s">
        <v>3674</v>
      </c>
      <c r="B867" s="3" t="s">
        <v>3675</v>
      </c>
      <c r="C867" s="3" t="s">
        <v>3676</v>
      </c>
      <c r="D867" s="3" t="s">
        <v>570</v>
      </c>
      <c r="E867" s="3" t="s">
        <v>538</v>
      </c>
      <c r="F867" s="3">
        <v>9</v>
      </c>
      <c r="G867" s="3" t="s">
        <v>2454</v>
      </c>
      <c r="H867" s="3"/>
      <c r="I867" s="3" t="s">
        <v>2455</v>
      </c>
      <c r="J867" s="3">
        <v>0</v>
      </c>
      <c r="K867" s="3">
        <v>0</v>
      </c>
      <c r="L867" s="3">
        <v>0</v>
      </c>
      <c r="M867" s="3">
        <v>0</v>
      </c>
      <c r="N867" s="3">
        <v>0</v>
      </c>
      <c r="O867" s="3">
        <v>0.03</v>
      </c>
      <c r="P867" s="3">
        <v>0</v>
      </c>
      <c r="Q867" s="3">
        <v>0</v>
      </c>
      <c r="R867" s="3">
        <v>0</v>
      </c>
    </row>
    <row r="868" spans="1:18">
      <c r="A868" s="3" t="s">
        <v>1227</v>
      </c>
      <c r="B868" s="3" t="s">
        <v>1228</v>
      </c>
      <c r="C868" s="3" t="s">
        <v>1229</v>
      </c>
      <c r="D868" s="3" t="s">
        <v>1230</v>
      </c>
      <c r="E868" s="3" t="s">
        <v>538</v>
      </c>
      <c r="F868" s="3">
        <v>9</v>
      </c>
      <c r="G868" s="3" t="s">
        <v>2454</v>
      </c>
      <c r="H868" s="3"/>
      <c r="I868" s="3" t="s">
        <v>2455</v>
      </c>
      <c r="J868" s="3">
        <v>4</v>
      </c>
      <c r="K868" s="3">
        <v>4</v>
      </c>
      <c r="L868" s="3">
        <v>0</v>
      </c>
      <c r="M868" s="3">
        <v>0</v>
      </c>
      <c r="N868" s="3">
        <v>4</v>
      </c>
      <c r="O868" s="3">
        <v>0.03</v>
      </c>
      <c r="P868" s="3">
        <v>0</v>
      </c>
      <c r="Q868" s="3">
        <v>0</v>
      </c>
      <c r="R868" s="3">
        <v>0</v>
      </c>
    </row>
    <row r="869" spans="1:18">
      <c r="A869" s="3" t="s">
        <v>3677</v>
      </c>
      <c r="B869" s="3" t="s">
        <v>3678</v>
      </c>
      <c r="C869" s="3" t="s">
        <v>3679</v>
      </c>
      <c r="D869" s="3" t="s">
        <v>3680</v>
      </c>
      <c r="E869" s="3" t="s">
        <v>538</v>
      </c>
      <c r="F869" s="3">
        <v>9</v>
      </c>
      <c r="G869" s="3" t="s">
        <v>2454</v>
      </c>
      <c r="H869" s="3"/>
      <c r="I869" s="3" t="s">
        <v>2455</v>
      </c>
      <c r="J869" s="3">
        <v>0</v>
      </c>
      <c r="K869" s="3">
        <v>0</v>
      </c>
      <c r="L869" s="3">
        <v>0</v>
      </c>
      <c r="M869" s="3">
        <v>0</v>
      </c>
      <c r="N869" s="3">
        <v>10</v>
      </c>
      <c r="O869" s="3">
        <v>0.03</v>
      </c>
      <c r="P869" s="3">
        <v>0</v>
      </c>
      <c r="Q869" s="3">
        <v>10</v>
      </c>
      <c r="R869" s="3">
        <v>0</v>
      </c>
    </row>
    <row r="870" spans="1:18">
      <c r="A870" s="3" t="s">
        <v>816</v>
      </c>
      <c r="B870" s="3" t="s">
        <v>817</v>
      </c>
      <c r="C870" s="3" t="s">
        <v>818</v>
      </c>
      <c r="D870" s="3" t="s">
        <v>819</v>
      </c>
      <c r="E870" s="3" t="s">
        <v>538</v>
      </c>
      <c r="F870" s="3">
        <v>9</v>
      </c>
      <c r="G870" s="3" t="s">
        <v>2454</v>
      </c>
      <c r="H870" s="3"/>
      <c r="I870" s="3" t="s">
        <v>2455</v>
      </c>
      <c r="J870" s="3">
        <v>2</v>
      </c>
      <c r="K870" s="3">
        <v>2</v>
      </c>
      <c r="L870" s="3">
        <v>0</v>
      </c>
      <c r="M870" s="3">
        <v>0</v>
      </c>
      <c r="N870" s="3">
        <v>12</v>
      </c>
      <c r="O870" s="3">
        <v>0.03</v>
      </c>
      <c r="P870" s="3">
        <v>0</v>
      </c>
      <c r="Q870" s="3">
        <v>10</v>
      </c>
      <c r="R870" s="3">
        <v>0</v>
      </c>
    </row>
    <row r="871" spans="1:18">
      <c r="A871" s="3" t="s">
        <v>352</v>
      </c>
      <c r="B871" s="3" t="s">
        <v>353</v>
      </c>
      <c r="C871" s="3" t="s">
        <v>354</v>
      </c>
      <c r="D871" s="3" t="s">
        <v>355</v>
      </c>
      <c r="E871" s="3" t="s">
        <v>538</v>
      </c>
      <c r="F871" s="3">
        <v>9</v>
      </c>
      <c r="G871" s="3" t="s">
        <v>2454</v>
      </c>
      <c r="H871" s="3"/>
      <c r="I871" s="3" t="s">
        <v>2455</v>
      </c>
      <c r="J871" s="3">
        <v>14</v>
      </c>
      <c r="K871" s="3">
        <v>13</v>
      </c>
      <c r="L871" s="3">
        <v>0</v>
      </c>
      <c r="M871" s="3">
        <v>1</v>
      </c>
      <c r="N871" s="3">
        <v>14</v>
      </c>
      <c r="O871" s="3">
        <v>0.03</v>
      </c>
      <c r="P871" s="3">
        <v>0</v>
      </c>
      <c r="Q871" s="3">
        <v>0</v>
      </c>
      <c r="R871" s="3">
        <v>0</v>
      </c>
    </row>
    <row r="872" spans="1:18">
      <c r="A872" s="3" t="s">
        <v>312</v>
      </c>
      <c r="B872" s="3" t="s">
        <v>313</v>
      </c>
      <c r="C872" s="3" t="s">
        <v>314</v>
      </c>
      <c r="D872" s="3" t="s">
        <v>315</v>
      </c>
      <c r="E872" s="3" t="s">
        <v>538</v>
      </c>
      <c r="F872" s="3">
        <v>9</v>
      </c>
      <c r="G872" s="3" t="s">
        <v>2454</v>
      </c>
      <c r="H872" s="3"/>
      <c r="I872" s="3" t="s">
        <v>2455</v>
      </c>
      <c r="J872" s="3">
        <v>23</v>
      </c>
      <c r="K872" s="3">
        <v>22</v>
      </c>
      <c r="L872" s="3">
        <v>0</v>
      </c>
      <c r="M872" s="3">
        <v>1</v>
      </c>
      <c r="N872" s="3">
        <v>23</v>
      </c>
      <c r="O872" s="3">
        <v>0.03</v>
      </c>
      <c r="P872" s="3">
        <v>0</v>
      </c>
      <c r="Q872" s="3">
        <v>0</v>
      </c>
      <c r="R872" s="3">
        <v>0</v>
      </c>
    </row>
    <row r="873" spans="1:18">
      <c r="A873" s="3" t="s">
        <v>966</v>
      </c>
      <c r="B873" s="3" t="s">
        <v>967</v>
      </c>
      <c r="C873" s="3" t="s">
        <v>968</v>
      </c>
      <c r="D873" s="3" t="s">
        <v>969</v>
      </c>
      <c r="E873" s="3" t="s">
        <v>538</v>
      </c>
      <c r="F873" s="3">
        <v>9</v>
      </c>
      <c r="G873" s="3" t="s">
        <v>2454</v>
      </c>
      <c r="H873" s="3"/>
      <c r="I873" s="3" t="s">
        <v>2455</v>
      </c>
      <c r="J873" s="3">
        <v>3</v>
      </c>
      <c r="K873" s="3">
        <v>3</v>
      </c>
      <c r="L873" s="3">
        <v>0</v>
      </c>
      <c r="M873" s="3">
        <v>0</v>
      </c>
      <c r="N873" s="3">
        <v>8</v>
      </c>
      <c r="O873" s="3">
        <v>0.03</v>
      </c>
      <c r="P873" s="3">
        <v>0</v>
      </c>
      <c r="Q873" s="3">
        <v>5</v>
      </c>
      <c r="R873" s="3">
        <v>0</v>
      </c>
    </row>
    <row r="874" spans="1:18">
      <c r="A874" s="3" t="s">
        <v>3681</v>
      </c>
      <c r="B874" s="3" t="s">
        <v>3682</v>
      </c>
      <c r="C874" s="3" t="s">
        <v>945</v>
      </c>
      <c r="D874" s="3"/>
      <c r="E874" s="3" t="s">
        <v>2459</v>
      </c>
      <c r="F874" s="3"/>
      <c r="G874" s="3"/>
      <c r="H874" s="3"/>
      <c r="I874" s="3"/>
      <c r="J874" s="3">
        <v>0</v>
      </c>
      <c r="K874" s="3">
        <v>0</v>
      </c>
      <c r="L874" s="3">
        <v>0</v>
      </c>
      <c r="M874" s="3">
        <v>0</v>
      </c>
      <c r="N874" s="3">
        <v>0</v>
      </c>
      <c r="O874" s="3"/>
      <c r="P874" s="3">
        <v>0</v>
      </c>
      <c r="Q874" s="3">
        <v>0</v>
      </c>
      <c r="R874" s="3">
        <v>0</v>
      </c>
    </row>
    <row r="875" spans="1:18">
      <c r="A875" s="3" t="s">
        <v>3683</v>
      </c>
      <c r="B875" s="3" t="s">
        <v>3684</v>
      </c>
      <c r="C875" s="3" t="s">
        <v>1333</v>
      </c>
      <c r="D875" s="3"/>
      <c r="E875" s="3" t="s">
        <v>2459</v>
      </c>
      <c r="F875" s="3"/>
      <c r="G875" s="3"/>
      <c r="H875" s="3"/>
      <c r="I875" s="3"/>
      <c r="J875" s="3">
        <v>0</v>
      </c>
      <c r="K875" s="3">
        <v>0</v>
      </c>
      <c r="L875" s="3">
        <v>0</v>
      </c>
      <c r="M875" s="3">
        <v>0</v>
      </c>
      <c r="N875" s="3">
        <v>0</v>
      </c>
      <c r="O875" s="3"/>
      <c r="P875" s="3">
        <v>0</v>
      </c>
      <c r="Q875" s="3">
        <v>0</v>
      </c>
      <c r="R875" s="3">
        <v>0</v>
      </c>
    </row>
    <row r="876" spans="1:18">
      <c r="A876" s="3" t="s">
        <v>3685</v>
      </c>
      <c r="B876" s="3" t="s">
        <v>3686</v>
      </c>
      <c r="C876" s="3" t="s">
        <v>453</v>
      </c>
      <c r="D876" s="3"/>
      <c r="E876" s="3" t="s">
        <v>2459</v>
      </c>
      <c r="F876" s="3"/>
      <c r="G876" s="3"/>
      <c r="H876" s="3"/>
      <c r="I876" s="3"/>
      <c r="J876" s="3">
        <v>0</v>
      </c>
      <c r="K876" s="3">
        <v>0</v>
      </c>
      <c r="L876" s="3">
        <v>0</v>
      </c>
      <c r="M876" s="3">
        <v>0</v>
      </c>
      <c r="N876" s="3">
        <v>0</v>
      </c>
      <c r="O876" s="3"/>
      <c r="P876" s="3">
        <v>0</v>
      </c>
      <c r="Q876" s="3">
        <v>0</v>
      </c>
      <c r="R876" s="3">
        <v>0</v>
      </c>
    </row>
    <row r="877" spans="1:18">
      <c r="A877" s="3" t="s">
        <v>3687</v>
      </c>
      <c r="B877" s="3" t="s">
        <v>3688</v>
      </c>
      <c r="C877" s="3" t="s">
        <v>1987</v>
      </c>
      <c r="D877" s="3"/>
      <c r="E877" s="3" t="s">
        <v>2459</v>
      </c>
      <c r="F877" s="3"/>
      <c r="G877" s="3"/>
      <c r="H877" s="3"/>
      <c r="I877" s="3"/>
      <c r="J877" s="3">
        <v>0</v>
      </c>
      <c r="K877" s="3">
        <v>0</v>
      </c>
      <c r="L877" s="3">
        <v>0</v>
      </c>
      <c r="M877" s="3">
        <v>0</v>
      </c>
      <c r="N877" s="3">
        <v>0</v>
      </c>
      <c r="O877" s="3"/>
      <c r="P877" s="3">
        <v>0</v>
      </c>
      <c r="Q877" s="3">
        <v>0</v>
      </c>
      <c r="R877" s="3">
        <v>0</v>
      </c>
    </row>
    <row r="878" spans="1:18">
      <c r="A878" s="3" t="s">
        <v>3689</v>
      </c>
      <c r="B878" s="3" t="s">
        <v>3690</v>
      </c>
      <c r="C878" s="3" t="s">
        <v>631</v>
      </c>
      <c r="D878" s="3"/>
      <c r="E878" s="3" t="s">
        <v>2459</v>
      </c>
      <c r="F878" s="3"/>
      <c r="G878" s="3"/>
      <c r="H878" s="3"/>
      <c r="I878" s="3"/>
      <c r="J878" s="3">
        <v>0</v>
      </c>
      <c r="K878" s="3">
        <v>0</v>
      </c>
      <c r="L878" s="3">
        <v>0</v>
      </c>
      <c r="M878" s="3">
        <v>0</v>
      </c>
      <c r="N878" s="3">
        <v>0</v>
      </c>
      <c r="O878" s="3"/>
      <c r="P878" s="3">
        <v>0</v>
      </c>
      <c r="Q878" s="3">
        <v>0</v>
      </c>
      <c r="R878" s="3">
        <v>0</v>
      </c>
    </row>
    <row r="879" spans="1:18">
      <c r="A879" s="3" t="s">
        <v>3691</v>
      </c>
      <c r="B879" s="3" t="s">
        <v>3692</v>
      </c>
      <c r="C879" s="3" t="s">
        <v>2049</v>
      </c>
      <c r="D879" s="3"/>
      <c r="E879" s="3" t="s">
        <v>2459</v>
      </c>
      <c r="F879" s="3"/>
      <c r="G879" s="3"/>
      <c r="H879" s="3"/>
      <c r="I879" s="3"/>
      <c r="J879" s="3">
        <v>0</v>
      </c>
      <c r="K879" s="3">
        <v>0</v>
      </c>
      <c r="L879" s="3">
        <v>0</v>
      </c>
      <c r="M879" s="3">
        <v>0</v>
      </c>
      <c r="N879" s="3">
        <v>0</v>
      </c>
      <c r="O879" s="3"/>
      <c r="P879" s="3">
        <v>0</v>
      </c>
      <c r="Q879" s="3">
        <v>0</v>
      </c>
      <c r="R879" s="3">
        <v>0</v>
      </c>
    </row>
    <row r="880" spans="1:18">
      <c r="A880" s="3" t="s">
        <v>3693</v>
      </c>
      <c r="B880" s="3" t="s">
        <v>3694</v>
      </c>
      <c r="C880" s="3" t="s">
        <v>398</v>
      </c>
      <c r="D880" s="3"/>
      <c r="E880" s="3" t="s">
        <v>2459</v>
      </c>
      <c r="F880" s="3"/>
      <c r="G880" s="3"/>
      <c r="H880" s="3"/>
      <c r="I880" s="3"/>
      <c r="J880" s="3">
        <v>0</v>
      </c>
      <c r="K880" s="3">
        <v>0</v>
      </c>
      <c r="L880" s="3">
        <v>0</v>
      </c>
      <c r="M880" s="3">
        <v>0</v>
      </c>
      <c r="N880" s="3">
        <v>0</v>
      </c>
      <c r="O880" s="3"/>
      <c r="P880" s="3">
        <v>0</v>
      </c>
      <c r="Q880" s="3">
        <v>0</v>
      </c>
      <c r="R880" s="3">
        <v>0</v>
      </c>
    </row>
    <row r="881" spans="1:18">
      <c r="A881" s="3" t="s">
        <v>3695</v>
      </c>
      <c r="B881" s="3" t="s">
        <v>3696</v>
      </c>
      <c r="C881" s="3" t="s">
        <v>390</v>
      </c>
      <c r="D881" s="3"/>
      <c r="E881" s="3" t="s">
        <v>2459</v>
      </c>
      <c r="F881" s="3"/>
      <c r="G881" s="3"/>
      <c r="H881" s="3"/>
      <c r="I881" s="3"/>
      <c r="J881" s="3">
        <v>0</v>
      </c>
      <c r="K881" s="3">
        <v>0</v>
      </c>
      <c r="L881" s="3">
        <v>0</v>
      </c>
      <c r="M881" s="3">
        <v>0</v>
      </c>
      <c r="N881" s="3">
        <v>0</v>
      </c>
      <c r="O881" s="3"/>
      <c r="P881" s="3">
        <v>0</v>
      </c>
      <c r="Q881" s="3">
        <v>0</v>
      </c>
      <c r="R881" s="3">
        <v>0</v>
      </c>
    </row>
    <row r="882" spans="1:18">
      <c r="A882" s="3" t="s">
        <v>3697</v>
      </c>
      <c r="B882" s="3" t="s">
        <v>3698</v>
      </c>
      <c r="C882" s="3" t="s">
        <v>449</v>
      </c>
      <c r="D882" s="3"/>
      <c r="E882" s="3" t="s">
        <v>2459</v>
      </c>
      <c r="F882" s="3"/>
      <c r="G882" s="3"/>
      <c r="H882" s="3"/>
      <c r="I882" s="3"/>
      <c r="J882" s="3">
        <v>0</v>
      </c>
      <c r="K882" s="3">
        <v>0</v>
      </c>
      <c r="L882" s="3">
        <v>0</v>
      </c>
      <c r="M882" s="3">
        <v>0</v>
      </c>
      <c r="N882" s="3">
        <v>0</v>
      </c>
      <c r="O882" s="3"/>
      <c r="P882" s="3">
        <v>0</v>
      </c>
      <c r="Q882" s="3">
        <v>0</v>
      </c>
      <c r="R882" s="3">
        <v>0</v>
      </c>
    </row>
    <row r="883" spans="1:18">
      <c r="A883" s="3" t="s">
        <v>3699</v>
      </c>
      <c r="B883" s="3" t="s">
        <v>3700</v>
      </c>
      <c r="C883" s="3" t="s">
        <v>206</v>
      </c>
      <c r="D883" s="3"/>
      <c r="E883" s="3" t="s">
        <v>2459</v>
      </c>
      <c r="F883" s="3"/>
      <c r="G883" s="3"/>
      <c r="H883" s="3"/>
      <c r="I883" s="3"/>
      <c r="J883" s="3">
        <v>0</v>
      </c>
      <c r="K883" s="3">
        <v>0</v>
      </c>
      <c r="L883" s="3">
        <v>0</v>
      </c>
      <c r="M883" s="3">
        <v>0</v>
      </c>
      <c r="N883" s="3">
        <v>0</v>
      </c>
      <c r="O883" s="3"/>
      <c r="P883" s="3">
        <v>0</v>
      </c>
      <c r="Q883" s="3">
        <v>0</v>
      </c>
      <c r="R883" s="3">
        <v>0</v>
      </c>
    </row>
    <row r="884" spans="1:18">
      <c r="A884" s="3" t="s">
        <v>3701</v>
      </c>
      <c r="B884" s="3" t="s">
        <v>3702</v>
      </c>
      <c r="C884" s="3" t="s">
        <v>169</v>
      </c>
      <c r="D884" s="3"/>
      <c r="E884" s="3" t="s">
        <v>2459</v>
      </c>
      <c r="F884" s="3"/>
      <c r="G884" s="3"/>
      <c r="H884" s="3"/>
      <c r="I884" s="3"/>
      <c r="J884" s="3">
        <v>0</v>
      </c>
      <c r="K884" s="3">
        <v>0</v>
      </c>
      <c r="L884" s="3">
        <v>0</v>
      </c>
      <c r="M884" s="3">
        <v>0</v>
      </c>
      <c r="N884" s="3">
        <v>0</v>
      </c>
      <c r="O884" s="3"/>
      <c r="P884" s="3">
        <v>0</v>
      </c>
      <c r="Q884" s="3">
        <v>0</v>
      </c>
      <c r="R884" s="3">
        <v>0</v>
      </c>
    </row>
    <row r="885" spans="1:18">
      <c r="A885" s="3" t="s">
        <v>3703</v>
      </c>
      <c r="B885" s="3" t="s">
        <v>3704</v>
      </c>
      <c r="C885" s="3" t="s">
        <v>181</v>
      </c>
      <c r="D885" s="3"/>
      <c r="E885" s="3" t="s">
        <v>2459</v>
      </c>
      <c r="F885" s="3"/>
      <c r="G885" s="3"/>
      <c r="H885" s="3"/>
      <c r="I885" s="3"/>
      <c r="J885" s="3">
        <v>0</v>
      </c>
      <c r="K885" s="3">
        <v>0</v>
      </c>
      <c r="L885" s="3">
        <v>0</v>
      </c>
      <c r="M885" s="3">
        <v>0</v>
      </c>
      <c r="N885" s="3">
        <v>0</v>
      </c>
      <c r="O885" s="3"/>
      <c r="P885" s="3">
        <v>0</v>
      </c>
      <c r="Q885" s="3">
        <v>0</v>
      </c>
      <c r="R885" s="3">
        <v>0</v>
      </c>
    </row>
    <row r="886" spans="1:18">
      <c r="A886" s="3" t="s">
        <v>3705</v>
      </c>
      <c r="B886" s="3" t="s">
        <v>3706</v>
      </c>
      <c r="C886" s="3" t="s">
        <v>149</v>
      </c>
      <c r="D886" s="3"/>
      <c r="E886" s="3" t="s">
        <v>2459</v>
      </c>
      <c r="F886" s="3"/>
      <c r="G886" s="3"/>
      <c r="H886" s="3"/>
      <c r="I886" s="3"/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/>
      <c r="P886" s="3">
        <v>0</v>
      </c>
      <c r="Q886" s="3">
        <v>0</v>
      </c>
      <c r="R886" s="3">
        <v>0</v>
      </c>
    </row>
    <row r="887" spans="1:18">
      <c r="A887" s="3" t="s">
        <v>3707</v>
      </c>
      <c r="B887" s="3" t="s">
        <v>3708</v>
      </c>
      <c r="C887" s="3" t="s">
        <v>3297</v>
      </c>
      <c r="D887" s="3"/>
      <c r="E887" s="3" t="s">
        <v>2459</v>
      </c>
      <c r="F887" s="3"/>
      <c r="G887" s="3"/>
      <c r="H887" s="3"/>
      <c r="I887" s="3"/>
      <c r="J887" s="3">
        <v>0</v>
      </c>
      <c r="K887" s="3">
        <v>0</v>
      </c>
      <c r="L887" s="3">
        <v>0</v>
      </c>
      <c r="M887" s="3">
        <v>0</v>
      </c>
      <c r="N887" s="3">
        <v>0</v>
      </c>
      <c r="O887" s="3"/>
      <c r="P887" s="3">
        <v>0</v>
      </c>
      <c r="Q887" s="3">
        <v>0</v>
      </c>
      <c r="R887" s="3">
        <v>0</v>
      </c>
    </row>
    <row r="888" spans="1:18">
      <c r="A888" s="3" t="s">
        <v>3709</v>
      </c>
      <c r="B888" s="3" t="s">
        <v>3710</v>
      </c>
      <c r="C888" s="3" t="s">
        <v>188</v>
      </c>
      <c r="D888" s="3"/>
      <c r="E888" s="3" t="s">
        <v>2459</v>
      </c>
      <c r="F888" s="3"/>
      <c r="G888" s="3"/>
      <c r="H888" s="3"/>
      <c r="I888" s="3"/>
      <c r="J888" s="3">
        <v>0</v>
      </c>
      <c r="K888" s="3">
        <v>0</v>
      </c>
      <c r="L888" s="3">
        <v>0</v>
      </c>
      <c r="M888" s="3">
        <v>0</v>
      </c>
      <c r="N888" s="3">
        <v>0</v>
      </c>
      <c r="O888" s="3"/>
      <c r="P888" s="3">
        <v>0</v>
      </c>
      <c r="Q888" s="3">
        <v>0</v>
      </c>
      <c r="R888" s="3">
        <v>0</v>
      </c>
    </row>
    <row r="889" spans="1:18">
      <c r="A889" s="3" t="s">
        <v>3711</v>
      </c>
      <c r="B889" s="3" t="s">
        <v>3712</v>
      </c>
      <c r="C889" s="3" t="s">
        <v>184</v>
      </c>
      <c r="D889" s="3"/>
      <c r="E889" s="3" t="s">
        <v>2459</v>
      </c>
      <c r="F889" s="3"/>
      <c r="G889" s="3"/>
      <c r="H889" s="3"/>
      <c r="I889" s="3"/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/>
      <c r="P889" s="3">
        <v>0</v>
      </c>
      <c r="Q889" s="3">
        <v>0</v>
      </c>
      <c r="R889" s="3">
        <v>0</v>
      </c>
    </row>
    <row r="890" spans="1:18">
      <c r="A890" s="3" t="s">
        <v>3713</v>
      </c>
      <c r="B890" s="3" t="s">
        <v>3714</v>
      </c>
      <c r="C890" s="3" t="s">
        <v>145</v>
      </c>
      <c r="D890" s="3"/>
      <c r="E890" s="3" t="s">
        <v>2459</v>
      </c>
      <c r="F890" s="3"/>
      <c r="G890" s="3"/>
      <c r="H890" s="3"/>
      <c r="I890" s="3"/>
      <c r="J890" s="3">
        <v>0</v>
      </c>
      <c r="K890" s="3">
        <v>0</v>
      </c>
      <c r="L890" s="3">
        <v>0</v>
      </c>
      <c r="M890" s="3">
        <v>0</v>
      </c>
      <c r="N890" s="3">
        <v>0</v>
      </c>
      <c r="O890" s="3"/>
      <c r="P890" s="3">
        <v>0</v>
      </c>
      <c r="Q890" s="3">
        <v>0</v>
      </c>
      <c r="R890" s="3">
        <v>0</v>
      </c>
    </row>
    <row r="891" spans="1:18">
      <c r="A891" s="3" t="s">
        <v>3715</v>
      </c>
      <c r="B891" s="3" t="s">
        <v>3716</v>
      </c>
      <c r="C891" s="3" t="s">
        <v>254</v>
      </c>
      <c r="D891" s="3"/>
      <c r="E891" s="3" t="s">
        <v>2459</v>
      </c>
      <c r="F891" s="3"/>
      <c r="G891" s="3"/>
      <c r="H891" s="3"/>
      <c r="I891" s="3"/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/>
      <c r="P891" s="3">
        <v>0</v>
      </c>
      <c r="Q891" s="3">
        <v>0</v>
      </c>
      <c r="R891" s="3">
        <v>0</v>
      </c>
    </row>
    <row r="892" spans="1:18">
      <c r="A892" s="3" t="s">
        <v>3717</v>
      </c>
      <c r="B892" s="3" t="s">
        <v>3718</v>
      </c>
      <c r="C892" s="3" t="s">
        <v>153</v>
      </c>
      <c r="D892" s="3"/>
      <c r="E892" s="3" t="s">
        <v>2459</v>
      </c>
      <c r="F892" s="3"/>
      <c r="G892" s="3"/>
      <c r="H892" s="3"/>
      <c r="I892" s="3"/>
      <c r="J892" s="3">
        <v>0</v>
      </c>
      <c r="K892" s="3">
        <v>0</v>
      </c>
      <c r="L892" s="3">
        <v>0</v>
      </c>
      <c r="M892" s="3">
        <v>0</v>
      </c>
      <c r="N892" s="3">
        <v>0</v>
      </c>
      <c r="O892" s="3"/>
      <c r="P892" s="3">
        <v>0</v>
      </c>
      <c r="Q892" s="3">
        <v>0</v>
      </c>
      <c r="R892" s="3">
        <v>0</v>
      </c>
    </row>
    <row r="893" spans="1:18">
      <c r="A893" s="3" t="s">
        <v>3719</v>
      </c>
      <c r="B893" s="3" t="s">
        <v>3720</v>
      </c>
      <c r="C893" s="3" t="s">
        <v>192</v>
      </c>
      <c r="D893" s="3"/>
      <c r="E893" s="3" t="s">
        <v>2459</v>
      </c>
      <c r="F893" s="3"/>
      <c r="G893" s="3"/>
      <c r="H893" s="3"/>
      <c r="I893" s="3"/>
      <c r="J893" s="3">
        <v>0</v>
      </c>
      <c r="K893" s="3">
        <v>0</v>
      </c>
      <c r="L893" s="3">
        <v>0</v>
      </c>
      <c r="M893" s="3">
        <v>0</v>
      </c>
      <c r="N893" s="3">
        <v>0</v>
      </c>
      <c r="O893" s="3"/>
      <c r="P893" s="3">
        <v>0</v>
      </c>
      <c r="Q893" s="3">
        <v>0</v>
      </c>
      <c r="R893" s="3">
        <v>0</v>
      </c>
    </row>
    <row r="894" spans="1:18">
      <c r="A894" s="3" t="s">
        <v>3721</v>
      </c>
      <c r="B894" s="3" t="s">
        <v>3722</v>
      </c>
      <c r="C894" s="3" t="s">
        <v>165</v>
      </c>
      <c r="D894" s="3"/>
      <c r="E894" s="3" t="s">
        <v>2459</v>
      </c>
      <c r="F894" s="3"/>
      <c r="G894" s="3"/>
      <c r="H894" s="3"/>
      <c r="I894" s="3"/>
      <c r="J894" s="3">
        <v>0</v>
      </c>
      <c r="K894" s="3">
        <v>0</v>
      </c>
      <c r="L894" s="3">
        <v>0</v>
      </c>
      <c r="M894" s="3">
        <v>0</v>
      </c>
      <c r="N894" s="3">
        <v>0</v>
      </c>
      <c r="O894" s="3"/>
      <c r="P894" s="3">
        <v>0</v>
      </c>
      <c r="Q894" s="3">
        <v>0</v>
      </c>
      <c r="R894" s="3">
        <v>0</v>
      </c>
    </row>
    <row r="895" spans="1:18">
      <c r="A895" s="3" t="s">
        <v>3723</v>
      </c>
      <c r="B895" s="3" t="s">
        <v>3724</v>
      </c>
      <c r="C895" s="3" t="s">
        <v>141</v>
      </c>
      <c r="D895" s="3"/>
      <c r="E895" s="3" t="s">
        <v>2459</v>
      </c>
      <c r="F895" s="3"/>
      <c r="G895" s="3"/>
      <c r="H895" s="3"/>
      <c r="I895" s="3"/>
      <c r="J895" s="3">
        <v>0</v>
      </c>
      <c r="K895" s="3">
        <v>0</v>
      </c>
      <c r="L895" s="3">
        <v>0</v>
      </c>
      <c r="M895" s="3">
        <v>0</v>
      </c>
      <c r="N895" s="3">
        <v>0</v>
      </c>
      <c r="O895" s="3"/>
      <c r="P895" s="3">
        <v>0</v>
      </c>
      <c r="Q895" s="3">
        <v>0</v>
      </c>
      <c r="R895" s="3">
        <v>0</v>
      </c>
    </row>
    <row r="896" spans="1:18">
      <c r="A896" s="3" t="s">
        <v>3725</v>
      </c>
      <c r="B896" s="3" t="s">
        <v>3726</v>
      </c>
      <c r="C896" s="3" t="s">
        <v>196</v>
      </c>
      <c r="D896" s="3"/>
      <c r="E896" s="3" t="s">
        <v>2459</v>
      </c>
      <c r="F896" s="3"/>
      <c r="G896" s="3"/>
      <c r="H896" s="3"/>
      <c r="I896" s="3"/>
      <c r="J896" s="3">
        <v>0</v>
      </c>
      <c r="K896" s="3">
        <v>0</v>
      </c>
      <c r="L896" s="3">
        <v>0</v>
      </c>
      <c r="M896" s="3">
        <v>0</v>
      </c>
      <c r="N896" s="3">
        <v>0</v>
      </c>
      <c r="O896" s="3"/>
      <c r="P896" s="3">
        <v>0</v>
      </c>
      <c r="Q896" s="3">
        <v>0</v>
      </c>
      <c r="R896" s="3">
        <v>0</v>
      </c>
    </row>
    <row r="897" spans="1:18">
      <c r="A897" s="3" t="s">
        <v>3727</v>
      </c>
      <c r="B897" s="3" t="s">
        <v>3728</v>
      </c>
      <c r="C897" s="3" t="s">
        <v>3729</v>
      </c>
      <c r="D897" s="3" t="s">
        <v>3730</v>
      </c>
      <c r="E897" s="3" t="s">
        <v>538</v>
      </c>
      <c r="F897" s="3">
        <v>22.99</v>
      </c>
      <c r="G897" s="3" t="s">
        <v>2454</v>
      </c>
      <c r="H897" s="3"/>
      <c r="I897" s="3" t="s">
        <v>2455</v>
      </c>
      <c r="J897" s="3">
        <v>0</v>
      </c>
      <c r="K897" s="3">
        <v>0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</row>
    <row r="898" spans="1:18">
      <c r="A898" s="3" t="s">
        <v>1523</v>
      </c>
      <c r="B898" s="3" t="s">
        <v>1524</v>
      </c>
      <c r="C898" s="3" t="s">
        <v>1525</v>
      </c>
      <c r="D898" s="3" t="s">
        <v>1526</v>
      </c>
      <c r="E898" s="3" t="s">
        <v>538</v>
      </c>
      <c r="F898" s="3">
        <v>19.99</v>
      </c>
      <c r="G898" s="3" t="s">
        <v>2454</v>
      </c>
      <c r="H898" s="3"/>
      <c r="I898" s="3" t="s">
        <v>2455</v>
      </c>
      <c r="J898" s="3">
        <v>2</v>
      </c>
      <c r="K898" s="3">
        <v>2</v>
      </c>
      <c r="L898" s="3">
        <v>0</v>
      </c>
      <c r="M898" s="3">
        <v>0</v>
      </c>
      <c r="N898" s="3">
        <v>2</v>
      </c>
      <c r="O898" s="3">
        <v>0.05</v>
      </c>
      <c r="P898" s="3">
        <v>0</v>
      </c>
      <c r="Q898" s="3">
        <v>0</v>
      </c>
      <c r="R898" s="3">
        <v>0</v>
      </c>
    </row>
    <row r="899" spans="1:18">
      <c r="A899" s="3" t="s">
        <v>1385</v>
      </c>
      <c r="B899" s="3" t="s">
        <v>1386</v>
      </c>
      <c r="C899" s="3" t="s">
        <v>1387</v>
      </c>
      <c r="D899" s="3" t="s">
        <v>1388</v>
      </c>
      <c r="E899" s="3" t="s">
        <v>538</v>
      </c>
      <c r="F899" s="3">
        <v>69</v>
      </c>
      <c r="G899" s="3" t="s">
        <v>2454</v>
      </c>
      <c r="H899" s="3"/>
      <c r="I899" s="3" t="s">
        <v>2455</v>
      </c>
      <c r="J899" s="3">
        <v>9</v>
      </c>
      <c r="K899" s="3">
        <v>9</v>
      </c>
      <c r="L899" s="3">
        <v>0</v>
      </c>
      <c r="M899" s="3">
        <v>0</v>
      </c>
      <c r="N899" s="3">
        <v>9</v>
      </c>
      <c r="O899" s="3">
        <v>0.05</v>
      </c>
      <c r="P899" s="3">
        <v>0</v>
      </c>
      <c r="Q899" s="3">
        <v>0</v>
      </c>
      <c r="R899" s="3">
        <v>0</v>
      </c>
    </row>
    <row r="900" spans="1:18">
      <c r="A900" s="3" t="s">
        <v>2317</v>
      </c>
      <c r="B900" s="3" t="s">
        <v>2318</v>
      </c>
      <c r="C900" s="3" t="s">
        <v>2319</v>
      </c>
      <c r="D900" s="3" t="s">
        <v>2320</v>
      </c>
      <c r="E900" s="3" t="s">
        <v>538</v>
      </c>
      <c r="F900" s="3">
        <v>69</v>
      </c>
      <c r="G900" s="3" t="s">
        <v>2454</v>
      </c>
      <c r="H900" s="3"/>
      <c r="I900" s="3" t="s">
        <v>2455</v>
      </c>
      <c r="J900" s="3">
        <v>8</v>
      </c>
      <c r="K900" s="3">
        <v>8</v>
      </c>
      <c r="L900" s="3">
        <v>0</v>
      </c>
      <c r="M900" s="3">
        <v>0</v>
      </c>
      <c r="N900" s="3">
        <v>8</v>
      </c>
      <c r="O900" s="3">
        <v>0.05</v>
      </c>
      <c r="P900" s="3">
        <v>0</v>
      </c>
      <c r="Q900" s="3">
        <v>0</v>
      </c>
      <c r="R900" s="3">
        <v>0</v>
      </c>
    </row>
    <row r="901" spans="1:18">
      <c r="A901" s="3" t="s">
        <v>1402</v>
      </c>
      <c r="B901" s="3" t="s">
        <v>1403</v>
      </c>
      <c r="C901" s="3" t="s">
        <v>1404</v>
      </c>
      <c r="D901" s="3" t="s">
        <v>1405</v>
      </c>
      <c r="E901" s="3" t="s">
        <v>538</v>
      </c>
      <c r="F901" s="3">
        <v>69</v>
      </c>
      <c r="G901" s="3" t="s">
        <v>2454</v>
      </c>
      <c r="H901" s="3"/>
      <c r="I901" s="3" t="s">
        <v>2455</v>
      </c>
      <c r="J901" s="3">
        <v>13</v>
      </c>
      <c r="K901" s="3">
        <v>13</v>
      </c>
      <c r="L901" s="3">
        <v>0</v>
      </c>
      <c r="M901" s="3">
        <v>0</v>
      </c>
      <c r="N901" s="3">
        <v>13</v>
      </c>
      <c r="O901" s="3">
        <v>0.05</v>
      </c>
      <c r="P901" s="3">
        <v>0</v>
      </c>
      <c r="Q901" s="3">
        <v>0</v>
      </c>
      <c r="R901" s="3">
        <v>0</v>
      </c>
    </row>
    <row r="902" spans="1:18">
      <c r="A902" s="3" t="s">
        <v>913</v>
      </c>
      <c r="B902" s="3" t="s">
        <v>914</v>
      </c>
      <c r="C902" s="3" t="s">
        <v>915</v>
      </c>
      <c r="D902" s="3" t="s">
        <v>916</v>
      </c>
      <c r="E902" s="3" t="s">
        <v>538</v>
      </c>
      <c r="F902" s="3">
        <v>69</v>
      </c>
      <c r="G902" s="3" t="s">
        <v>2454</v>
      </c>
      <c r="H902" s="3"/>
      <c r="I902" s="3" t="s">
        <v>2455</v>
      </c>
      <c r="J902" s="3">
        <v>10</v>
      </c>
      <c r="K902" s="3">
        <v>10</v>
      </c>
      <c r="L902" s="3">
        <v>0</v>
      </c>
      <c r="M902" s="3">
        <v>0</v>
      </c>
      <c r="N902" s="3">
        <v>10</v>
      </c>
      <c r="O902" s="3">
        <v>0.05</v>
      </c>
      <c r="P902" s="3">
        <v>0</v>
      </c>
      <c r="Q902" s="3">
        <v>0</v>
      </c>
      <c r="R902" s="3">
        <v>0</v>
      </c>
    </row>
    <row r="903" spans="1:18">
      <c r="A903" s="3" t="s">
        <v>1298</v>
      </c>
      <c r="B903" s="3" t="s">
        <v>1299</v>
      </c>
      <c r="C903" s="3" t="s">
        <v>1300</v>
      </c>
      <c r="D903" s="3" t="s">
        <v>1301</v>
      </c>
      <c r="E903" s="3" t="s">
        <v>538</v>
      </c>
      <c r="F903" s="3">
        <v>12.99</v>
      </c>
      <c r="G903" s="3" t="s">
        <v>2454</v>
      </c>
      <c r="H903" s="3"/>
      <c r="I903" s="3" t="s">
        <v>2455</v>
      </c>
      <c r="J903" s="3">
        <v>8</v>
      </c>
      <c r="K903" s="3">
        <v>8</v>
      </c>
      <c r="L903" s="3">
        <v>0</v>
      </c>
      <c r="M903" s="3">
        <v>0</v>
      </c>
      <c r="N903" s="3">
        <v>8</v>
      </c>
      <c r="O903" s="3">
        <v>0.03</v>
      </c>
      <c r="P903" s="3">
        <v>0</v>
      </c>
      <c r="Q903" s="3">
        <v>0</v>
      </c>
      <c r="R903" s="3">
        <v>0</v>
      </c>
    </row>
    <row r="904" spans="1:18">
      <c r="A904" s="3" t="s">
        <v>2291</v>
      </c>
      <c r="B904" s="3" t="s">
        <v>2292</v>
      </c>
      <c r="C904" s="3" t="s">
        <v>2293</v>
      </c>
      <c r="D904" s="3" t="s">
        <v>2294</v>
      </c>
      <c r="E904" s="3" t="s">
        <v>538</v>
      </c>
      <c r="F904" s="3">
        <v>12.99</v>
      </c>
      <c r="G904" s="3" t="s">
        <v>2454</v>
      </c>
      <c r="H904" s="3"/>
      <c r="I904" s="3" t="s">
        <v>2455</v>
      </c>
      <c r="J904" s="3">
        <v>1</v>
      </c>
      <c r="K904" s="3">
        <v>1</v>
      </c>
      <c r="L904" s="3">
        <v>0</v>
      </c>
      <c r="M904" s="3">
        <v>0</v>
      </c>
      <c r="N904" s="3">
        <v>1</v>
      </c>
      <c r="O904" s="3">
        <v>0.03</v>
      </c>
      <c r="P904" s="3">
        <v>0</v>
      </c>
      <c r="Q904" s="3">
        <v>0</v>
      </c>
      <c r="R904" s="3">
        <v>0</v>
      </c>
    </row>
    <row r="905" spans="1:18">
      <c r="A905" s="3" t="s">
        <v>3731</v>
      </c>
      <c r="B905" s="3" t="s">
        <v>3732</v>
      </c>
      <c r="C905" s="3" t="s">
        <v>3733</v>
      </c>
      <c r="D905" s="3" t="s">
        <v>3734</v>
      </c>
      <c r="E905" s="3" t="s">
        <v>538</v>
      </c>
      <c r="F905" s="3">
        <v>12.99</v>
      </c>
      <c r="G905" s="3" t="s">
        <v>2454</v>
      </c>
      <c r="H905" s="3"/>
      <c r="I905" s="3" t="s">
        <v>2455</v>
      </c>
      <c r="J905" s="3">
        <v>0</v>
      </c>
      <c r="K905" s="3">
        <v>0</v>
      </c>
      <c r="L905" s="3">
        <v>0</v>
      </c>
      <c r="M905" s="3">
        <v>0</v>
      </c>
      <c r="N905" s="3">
        <v>0</v>
      </c>
      <c r="O905" s="3">
        <v>0.03</v>
      </c>
      <c r="P905" s="3">
        <v>0</v>
      </c>
      <c r="Q905" s="3">
        <v>0</v>
      </c>
      <c r="R905" s="3">
        <v>0</v>
      </c>
    </row>
    <row r="906" spans="1:18">
      <c r="A906" s="3" t="s">
        <v>1021</v>
      </c>
      <c r="B906" s="3" t="s">
        <v>1022</v>
      </c>
      <c r="C906" s="3" t="s">
        <v>1023</v>
      </c>
      <c r="D906" s="3" t="s">
        <v>1024</v>
      </c>
      <c r="E906" s="3" t="s">
        <v>538</v>
      </c>
      <c r="F906" s="3">
        <v>15.99</v>
      </c>
      <c r="G906" s="3" t="s">
        <v>2454</v>
      </c>
      <c r="H906" s="3"/>
      <c r="I906" s="3" t="s">
        <v>2455</v>
      </c>
      <c r="J906" s="3">
        <v>9</v>
      </c>
      <c r="K906" s="3">
        <v>9</v>
      </c>
      <c r="L906" s="3">
        <v>0</v>
      </c>
      <c r="M906" s="3">
        <v>0</v>
      </c>
      <c r="N906" s="3">
        <v>9</v>
      </c>
      <c r="O906" s="3">
        <v>0.07</v>
      </c>
      <c r="P906" s="3">
        <v>0</v>
      </c>
      <c r="Q906" s="3">
        <v>0</v>
      </c>
      <c r="R906" s="3">
        <v>0</v>
      </c>
    </row>
    <row r="907" spans="1:18">
      <c r="A907" s="3" t="s">
        <v>368</v>
      </c>
      <c r="B907" s="3" t="s">
        <v>369</v>
      </c>
      <c r="C907" s="3" t="s">
        <v>370</v>
      </c>
      <c r="D907" s="3" t="s">
        <v>371</v>
      </c>
      <c r="E907" s="3" t="s">
        <v>538</v>
      </c>
      <c r="F907" s="3">
        <v>15.99</v>
      </c>
      <c r="G907" s="3" t="s">
        <v>2454</v>
      </c>
      <c r="H907" s="3"/>
      <c r="I907" s="3" t="s">
        <v>2455</v>
      </c>
      <c r="J907" s="3">
        <v>6</v>
      </c>
      <c r="K907" s="3">
        <v>5</v>
      </c>
      <c r="L907" s="3">
        <v>0</v>
      </c>
      <c r="M907" s="3">
        <v>1</v>
      </c>
      <c r="N907" s="3">
        <v>6</v>
      </c>
      <c r="O907" s="3">
        <v>0.07</v>
      </c>
      <c r="P907" s="3">
        <v>0</v>
      </c>
      <c r="Q907" s="3">
        <v>0</v>
      </c>
      <c r="R907" s="3">
        <v>0</v>
      </c>
    </row>
    <row r="908" spans="1:18">
      <c r="A908" s="3" t="s">
        <v>308</v>
      </c>
      <c r="B908" s="3" t="s">
        <v>309</v>
      </c>
      <c r="C908" s="3" t="s">
        <v>310</v>
      </c>
      <c r="D908" s="3" t="s">
        <v>311</v>
      </c>
      <c r="E908" s="3" t="s">
        <v>538</v>
      </c>
      <c r="F908" s="3">
        <v>15.99</v>
      </c>
      <c r="G908" s="3" t="s">
        <v>2454</v>
      </c>
      <c r="H908" s="3"/>
      <c r="I908" s="3" t="s">
        <v>2455</v>
      </c>
      <c r="J908" s="3">
        <v>13</v>
      </c>
      <c r="K908" s="3">
        <v>11</v>
      </c>
      <c r="L908" s="3">
        <v>0</v>
      </c>
      <c r="M908" s="3">
        <v>2</v>
      </c>
      <c r="N908" s="3">
        <v>13</v>
      </c>
      <c r="O908" s="3">
        <v>0.07</v>
      </c>
      <c r="P908" s="3">
        <v>0</v>
      </c>
      <c r="Q908" s="3">
        <v>0</v>
      </c>
      <c r="R908" s="3">
        <v>0</v>
      </c>
    </row>
    <row r="909" spans="1:18">
      <c r="A909" s="3" t="s">
        <v>3735</v>
      </c>
      <c r="B909" s="3" t="s">
        <v>3736</v>
      </c>
      <c r="C909" s="3" t="s">
        <v>3737</v>
      </c>
      <c r="D909" s="3" t="s">
        <v>3738</v>
      </c>
      <c r="E909" s="3" t="s">
        <v>538</v>
      </c>
      <c r="F909" s="3">
        <v>24.99</v>
      </c>
      <c r="G909" s="3" t="s">
        <v>2454</v>
      </c>
      <c r="H909" s="3"/>
      <c r="I909" s="3" t="s">
        <v>2455</v>
      </c>
      <c r="J909" s="3">
        <v>0</v>
      </c>
      <c r="K909" s="3">
        <v>0</v>
      </c>
      <c r="L909" s="3">
        <v>0</v>
      </c>
      <c r="M909" s="3">
        <v>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</row>
    <row r="910" spans="1:18">
      <c r="A910" s="3" t="s">
        <v>1009</v>
      </c>
      <c r="B910" s="3" t="s">
        <v>1010</v>
      </c>
      <c r="C910" s="3" t="s">
        <v>1011</v>
      </c>
      <c r="D910" s="3" t="s">
        <v>3739</v>
      </c>
      <c r="E910" s="3" t="s">
        <v>538</v>
      </c>
      <c r="F910" s="3">
        <v>13.99</v>
      </c>
      <c r="G910" s="3" t="s">
        <v>2454</v>
      </c>
      <c r="H910" s="3"/>
      <c r="I910" s="3" t="s">
        <v>2455</v>
      </c>
      <c r="J910" s="3">
        <v>2</v>
      </c>
      <c r="K910" s="3">
        <v>1</v>
      </c>
      <c r="L910" s="3">
        <v>1</v>
      </c>
      <c r="M910" s="3">
        <v>0</v>
      </c>
      <c r="N910" s="3">
        <v>2</v>
      </c>
      <c r="O910" s="3">
        <v>0.06</v>
      </c>
      <c r="P910" s="3">
        <v>0</v>
      </c>
      <c r="Q910" s="3">
        <v>0</v>
      </c>
      <c r="R910" s="3">
        <v>0</v>
      </c>
    </row>
    <row r="911" spans="1:18">
      <c r="A911" s="3" t="s">
        <v>1914</v>
      </c>
      <c r="B911" s="3" t="s">
        <v>1915</v>
      </c>
      <c r="C911" s="3" t="s">
        <v>1916</v>
      </c>
      <c r="D911" s="3" t="s">
        <v>1917</v>
      </c>
      <c r="E911" s="3" t="s">
        <v>538</v>
      </c>
      <c r="F911" s="3">
        <v>13.99</v>
      </c>
      <c r="G911" s="3" t="s">
        <v>2454</v>
      </c>
      <c r="H911" s="3"/>
      <c r="I911" s="3" t="s">
        <v>2455</v>
      </c>
      <c r="J911" s="3">
        <v>4</v>
      </c>
      <c r="K911" s="3">
        <v>4</v>
      </c>
      <c r="L911" s="3">
        <v>0</v>
      </c>
      <c r="M911" s="3">
        <v>0</v>
      </c>
      <c r="N911" s="3">
        <v>4</v>
      </c>
      <c r="O911" s="3">
        <v>0.06</v>
      </c>
      <c r="P911" s="3">
        <v>0</v>
      </c>
      <c r="Q911" s="3">
        <v>0</v>
      </c>
      <c r="R911" s="3">
        <v>0</v>
      </c>
    </row>
    <row r="912" spans="1:18">
      <c r="A912" s="3" t="s">
        <v>2371</v>
      </c>
      <c r="B912" s="3" t="s">
        <v>2372</v>
      </c>
      <c r="C912" s="3" t="s">
        <v>2373</v>
      </c>
      <c r="D912" s="3" t="s">
        <v>2374</v>
      </c>
      <c r="E912" s="3" t="s">
        <v>538</v>
      </c>
      <c r="F912" s="3">
        <v>12.99</v>
      </c>
      <c r="G912" s="3" t="s">
        <v>2454</v>
      </c>
      <c r="H912" s="3"/>
      <c r="I912" s="3" t="s">
        <v>2455</v>
      </c>
      <c r="J912" s="3">
        <v>5</v>
      </c>
      <c r="K912" s="3">
        <v>5</v>
      </c>
      <c r="L912" s="3">
        <v>0</v>
      </c>
      <c r="M912" s="3">
        <v>0</v>
      </c>
      <c r="N912" s="3">
        <v>5</v>
      </c>
      <c r="O912" s="3">
        <v>0.08</v>
      </c>
      <c r="P912" s="3">
        <v>0</v>
      </c>
      <c r="Q912" s="3">
        <v>0</v>
      </c>
      <c r="R912" s="3">
        <v>0</v>
      </c>
    </row>
    <row r="913" spans="1:18">
      <c r="A913" s="3" t="s">
        <v>1644</v>
      </c>
      <c r="B913" s="3" t="s">
        <v>1645</v>
      </c>
      <c r="C913" s="3" t="s">
        <v>1646</v>
      </c>
      <c r="D913" s="3" t="s">
        <v>1647</v>
      </c>
      <c r="E913" s="3" t="s">
        <v>538</v>
      </c>
      <c r="F913" s="3">
        <v>12.99</v>
      </c>
      <c r="G913" s="3" t="s">
        <v>2454</v>
      </c>
      <c r="H913" s="3"/>
      <c r="I913" s="3" t="s">
        <v>2455</v>
      </c>
      <c r="J913" s="3">
        <v>3</v>
      </c>
      <c r="K913" s="3">
        <v>3</v>
      </c>
      <c r="L913" s="3">
        <v>0</v>
      </c>
      <c r="M913" s="3">
        <v>0</v>
      </c>
      <c r="N913" s="3">
        <v>3</v>
      </c>
      <c r="O913" s="3">
        <v>0.06</v>
      </c>
      <c r="P913" s="3">
        <v>0</v>
      </c>
      <c r="Q913" s="3">
        <v>0</v>
      </c>
      <c r="R913" s="3">
        <v>0</v>
      </c>
    </row>
    <row r="914" spans="1:18">
      <c r="A914" s="3" t="s">
        <v>1118</v>
      </c>
      <c r="B914" s="3" t="s">
        <v>1119</v>
      </c>
      <c r="C914" s="3" t="s">
        <v>1120</v>
      </c>
      <c r="D914" s="3" t="s">
        <v>1121</v>
      </c>
      <c r="E914" s="3" t="s">
        <v>538</v>
      </c>
      <c r="F914" s="3">
        <v>12.99</v>
      </c>
      <c r="G914" s="3" t="s">
        <v>2454</v>
      </c>
      <c r="H914" s="3"/>
      <c r="I914" s="3" t="s">
        <v>2455</v>
      </c>
      <c r="J914" s="3">
        <v>4</v>
      </c>
      <c r="K914" s="3">
        <v>4</v>
      </c>
      <c r="L914" s="3">
        <v>0</v>
      </c>
      <c r="M914" s="3">
        <v>0</v>
      </c>
      <c r="N914" s="3">
        <v>4</v>
      </c>
      <c r="O914" s="3">
        <v>0.06</v>
      </c>
      <c r="P914" s="3">
        <v>0</v>
      </c>
      <c r="Q914" s="3">
        <v>0</v>
      </c>
      <c r="R914" s="3">
        <v>0</v>
      </c>
    </row>
    <row r="915" spans="1:18">
      <c r="A915" s="3" t="s">
        <v>1989</v>
      </c>
      <c r="B915" s="3" t="s">
        <v>1990</v>
      </c>
      <c r="C915" s="3" t="s">
        <v>1991</v>
      </c>
      <c r="D915" s="3" t="s">
        <v>1992</v>
      </c>
      <c r="E915" s="3" t="s">
        <v>538</v>
      </c>
      <c r="F915" s="3">
        <v>13.99</v>
      </c>
      <c r="G915" s="3" t="s">
        <v>2454</v>
      </c>
      <c r="H915" s="3"/>
      <c r="I915" s="3" t="s">
        <v>2455</v>
      </c>
      <c r="J915" s="3">
        <v>20</v>
      </c>
      <c r="K915" s="3">
        <v>20</v>
      </c>
      <c r="L915" s="3">
        <v>0</v>
      </c>
      <c r="M915" s="3">
        <v>0</v>
      </c>
      <c r="N915" s="3">
        <v>20</v>
      </c>
      <c r="O915" s="3">
        <v>0.06</v>
      </c>
      <c r="P915" s="3">
        <v>0</v>
      </c>
      <c r="Q915" s="3">
        <v>0</v>
      </c>
      <c r="R915" s="3">
        <v>0</v>
      </c>
    </row>
    <row r="916" spans="1:18">
      <c r="A916" s="3" t="s">
        <v>2333</v>
      </c>
      <c r="B916" s="3" t="s">
        <v>2334</v>
      </c>
      <c r="C916" s="3" t="s">
        <v>2335</v>
      </c>
      <c r="D916" s="3" t="s">
        <v>2336</v>
      </c>
      <c r="E916" s="3" t="s">
        <v>538</v>
      </c>
      <c r="F916" s="3">
        <v>12.99</v>
      </c>
      <c r="G916" s="3" t="s">
        <v>2454</v>
      </c>
      <c r="H916" s="3"/>
      <c r="I916" s="3" t="s">
        <v>2455</v>
      </c>
      <c r="J916" s="3">
        <v>4</v>
      </c>
      <c r="K916" s="3">
        <v>4</v>
      </c>
      <c r="L916" s="3">
        <v>0</v>
      </c>
      <c r="M916" s="3">
        <v>0</v>
      </c>
      <c r="N916" s="3">
        <v>4</v>
      </c>
      <c r="O916" s="3">
        <v>0.06</v>
      </c>
      <c r="P916" s="3">
        <v>0</v>
      </c>
      <c r="Q916" s="3">
        <v>0</v>
      </c>
      <c r="R916" s="3">
        <v>0</v>
      </c>
    </row>
    <row r="917" spans="1:18">
      <c r="A917" s="3" t="s">
        <v>2000</v>
      </c>
      <c r="B917" s="3" t="s">
        <v>2001</v>
      </c>
      <c r="C917" s="3" t="s">
        <v>2002</v>
      </c>
      <c r="D917" s="3" t="s">
        <v>2003</v>
      </c>
      <c r="E917" s="3" t="s">
        <v>538</v>
      </c>
      <c r="F917" s="3">
        <v>12.99</v>
      </c>
      <c r="G917" s="3" t="s">
        <v>2454</v>
      </c>
      <c r="H917" s="3"/>
      <c r="I917" s="3" t="s">
        <v>2455</v>
      </c>
      <c r="J917" s="3">
        <v>5</v>
      </c>
      <c r="K917" s="3">
        <v>5</v>
      </c>
      <c r="L917" s="3">
        <v>0</v>
      </c>
      <c r="M917" s="3">
        <v>0</v>
      </c>
      <c r="N917" s="3">
        <v>5</v>
      </c>
      <c r="O917" s="3">
        <v>0.06</v>
      </c>
      <c r="P917" s="3">
        <v>0</v>
      </c>
      <c r="Q917" s="3">
        <v>0</v>
      </c>
      <c r="R917" s="3">
        <v>0</v>
      </c>
    </row>
    <row r="918" spans="1:18">
      <c r="A918" s="3" t="s">
        <v>1744</v>
      </c>
      <c r="B918" s="3" t="s">
        <v>1745</v>
      </c>
      <c r="C918" s="3" t="s">
        <v>1746</v>
      </c>
      <c r="D918" s="3" t="s">
        <v>1747</v>
      </c>
      <c r="E918" s="3" t="s">
        <v>538</v>
      </c>
      <c r="F918" s="3">
        <v>13.99</v>
      </c>
      <c r="G918" s="3" t="s">
        <v>2454</v>
      </c>
      <c r="H918" s="3"/>
      <c r="I918" s="3" t="s">
        <v>2455</v>
      </c>
      <c r="J918" s="3">
        <v>8</v>
      </c>
      <c r="K918" s="3">
        <v>8</v>
      </c>
      <c r="L918" s="3">
        <v>0</v>
      </c>
      <c r="M918" s="3">
        <v>0</v>
      </c>
      <c r="N918" s="3">
        <v>8</v>
      </c>
      <c r="O918" s="3">
        <v>0.06</v>
      </c>
      <c r="P918" s="3">
        <v>0</v>
      </c>
      <c r="Q918" s="3">
        <v>0</v>
      </c>
      <c r="R918" s="3">
        <v>0</v>
      </c>
    </row>
    <row r="919" spans="1:18">
      <c r="A919" s="3" t="s">
        <v>1074</v>
      </c>
      <c r="B919" s="3" t="s">
        <v>1075</v>
      </c>
      <c r="C919" s="3" t="s">
        <v>1076</v>
      </c>
      <c r="D919" s="3" t="s">
        <v>1077</v>
      </c>
      <c r="E919" s="3" t="s">
        <v>538</v>
      </c>
      <c r="F919" s="3">
        <v>13.99</v>
      </c>
      <c r="G919" s="3" t="s">
        <v>2454</v>
      </c>
      <c r="H919" s="3"/>
      <c r="I919" s="3" t="s">
        <v>2455</v>
      </c>
      <c r="J919" s="3">
        <v>1</v>
      </c>
      <c r="K919" s="3">
        <v>1</v>
      </c>
      <c r="L919" s="3">
        <v>0</v>
      </c>
      <c r="M919" s="3">
        <v>0</v>
      </c>
      <c r="N919" s="3">
        <v>1</v>
      </c>
      <c r="O919" s="3">
        <v>0.06</v>
      </c>
      <c r="P919" s="3">
        <v>0</v>
      </c>
      <c r="Q919" s="3">
        <v>0</v>
      </c>
      <c r="R919" s="3">
        <v>0</v>
      </c>
    </row>
    <row r="920" spans="1:18">
      <c r="A920" s="3" t="s">
        <v>1553</v>
      </c>
      <c r="B920" s="3" t="s">
        <v>1554</v>
      </c>
      <c r="C920" s="3" t="s">
        <v>1555</v>
      </c>
      <c r="D920" s="3" t="s">
        <v>1556</v>
      </c>
      <c r="E920" s="3" t="s">
        <v>538</v>
      </c>
      <c r="F920" s="3">
        <v>13.99</v>
      </c>
      <c r="G920" s="3" t="s">
        <v>2454</v>
      </c>
      <c r="H920" s="3"/>
      <c r="I920" s="3" t="s">
        <v>2455</v>
      </c>
      <c r="J920" s="3">
        <v>15</v>
      </c>
      <c r="K920" s="3">
        <v>15</v>
      </c>
      <c r="L920" s="3">
        <v>0</v>
      </c>
      <c r="M920" s="3">
        <v>0</v>
      </c>
      <c r="N920" s="3">
        <v>15</v>
      </c>
      <c r="O920" s="3">
        <v>0.06</v>
      </c>
      <c r="P920" s="3">
        <v>0</v>
      </c>
      <c r="Q920" s="3">
        <v>0</v>
      </c>
      <c r="R920" s="3">
        <v>0</v>
      </c>
    </row>
    <row r="921" spans="1:18">
      <c r="A921" s="3" t="s">
        <v>1468</v>
      </c>
      <c r="B921" s="3" t="s">
        <v>1469</v>
      </c>
      <c r="C921" s="3" t="s">
        <v>1470</v>
      </c>
      <c r="D921" s="3" t="s">
        <v>1471</v>
      </c>
      <c r="E921" s="3" t="s">
        <v>538</v>
      </c>
      <c r="F921" s="3">
        <v>13.99</v>
      </c>
      <c r="G921" s="3" t="s">
        <v>2454</v>
      </c>
      <c r="H921" s="3"/>
      <c r="I921" s="3" t="s">
        <v>2455</v>
      </c>
      <c r="J921" s="3">
        <v>8</v>
      </c>
      <c r="K921" s="3">
        <v>8</v>
      </c>
      <c r="L921" s="3">
        <v>0</v>
      </c>
      <c r="M921" s="3">
        <v>0</v>
      </c>
      <c r="N921" s="3">
        <v>8</v>
      </c>
      <c r="O921" s="3">
        <v>0.06</v>
      </c>
      <c r="P921" s="3">
        <v>0</v>
      </c>
      <c r="Q921" s="3">
        <v>0</v>
      </c>
      <c r="R921" s="3">
        <v>0</v>
      </c>
    </row>
    <row r="922" spans="1:18">
      <c r="A922" s="3" t="s">
        <v>356</v>
      </c>
      <c r="B922" s="3" t="s">
        <v>357</v>
      </c>
      <c r="C922" s="3" t="s">
        <v>358</v>
      </c>
      <c r="D922" s="3" t="s">
        <v>359</v>
      </c>
      <c r="E922" s="3" t="s">
        <v>538</v>
      </c>
      <c r="F922" s="3">
        <v>20</v>
      </c>
      <c r="G922" s="3" t="s">
        <v>2454</v>
      </c>
      <c r="H922" s="3"/>
      <c r="I922" s="3" t="s">
        <v>2455</v>
      </c>
      <c r="J922" s="3">
        <v>27</v>
      </c>
      <c r="K922" s="3">
        <v>25</v>
      </c>
      <c r="L922" s="3">
        <v>0</v>
      </c>
      <c r="M922" s="3">
        <v>2</v>
      </c>
      <c r="N922" s="3">
        <v>27</v>
      </c>
      <c r="O922" s="3">
        <v>0.07</v>
      </c>
      <c r="P922" s="3">
        <v>0</v>
      </c>
      <c r="Q922" s="3">
        <v>0</v>
      </c>
      <c r="R922" s="3">
        <v>0</v>
      </c>
    </row>
    <row r="923" spans="1:18">
      <c r="A923" s="3" t="s">
        <v>2080</v>
      </c>
      <c r="B923" s="3" t="s">
        <v>2081</v>
      </c>
      <c r="C923" s="3" t="s">
        <v>2082</v>
      </c>
      <c r="D923" s="3" t="s">
        <v>2083</v>
      </c>
      <c r="E923" s="3" t="s">
        <v>538</v>
      </c>
      <c r="F923" s="3">
        <v>20</v>
      </c>
      <c r="G923" s="3" t="s">
        <v>2454</v>
      </c>
      <c r="H923" s="3"/>
      <c r="I923" s="3" t="s">
        <v>2455</v>
      </c>
      <c r="J923" s="3">
        <v>23</v>
      </c>
      <c r="K923" s="3">
        <v>23</v>
      </c>
      <c r="L923" s="3">
        <v>0</v>
      </c>
      <c r="M923" s="3">
        <v>0</v>
      </c>
      <c r="N923" s="3">
        <v>23</v>
      </c>
      <c r="O923" s="3">
        <v>0.07</v>
      </c>
      <c r="P923" s="3">
        <v>0</v>
      </c>
      <c r="Q923" s="3">
        <v>0</v>
      </c>
      <c r="R923" s="3">
        <v>0</v>
      </c>
    </row>
    <row r="924" spans="1:18">
      <c r="A924" s="3" t="s">
        <v>320</v>
      </c>
      <c r="B924" s="3" t="s">
        <v>321</v>
      </c>
      <c r="C924" s="3" t="s">
        <v>322</v>
      </c>
      <c r="D924" s="3" t="s">
        <v>323</v>
      </c>
      <c r="E924" s="3" t="s">
        <v>538</v>
      </c>
      <c r="F924" s="3">
        <v>20</v>
      </c>
      <c r="G924" s="3" t="s">
        <v>2454</v>
      </c>
      <c r="H924" s="3"/>
      <c r="I924" s="3" t="s">
        <v>2455</v>
      </c>
      <c r="J924" s="3">
        <v>6</v>
      </c>
      <c r="K924" s="3">
        <v>4</v>
      </c>
      <c r="L924" s="3">
        <v>1</v>
      </c>
      <c r="M924" s="3">
        <v>1</v>
      </c>
      <c r="N924" s="3">
        <v>11</v>
      </c>
      <c r="O924" s="3">
        <v>0.07</v>
      </c>
      <c r="P924" s="3">
        <v>0</v>
      </c>
      <c r="Q924" s="3">
        <v>5</v>
      </c>
      <c r="R924" s="3">
        <v>0</v>
      </c>
    </row>
    <row r="925" spans="1:18">
      <c r="A925" s="3" t="s">
        <v>316</v>
      </c>
      <c r="B925" s="3" t="s">
        <v>317</v>
      </c>
      <c r="C925" s="3" t="s">
        <v>318</v>
      </c>
      <c r="D925" s="3" t="s">
        <v>319</v>
      </c>
      <c r="E925" s="3" t="s">
        <v>538</v>
      </c>
      <c r="F925" s="3">
        <v>20</v>
      </c>
      <c r="G925" s="3" t="s">
        <v>2454</v>
      </c>
      <c r="H925" s="3"/>
      <c r="I925" s="3" t="s">
        <v>2455</v>
      </c>
      <c r="J925" s="3">
        <v>31</v>
      </c>
      <c r="K925" s="3">
        <v>28</v>
      </c>
      <c r="L925" s="3">
        <v>0</v>
      </c>
      <c r="M925" s="3">
        <v>3</v>
      </c>
      <c r="N925" s="3">
        <v>31</v>
      </c>
      <c r="O925" s="3">
        <v>0.07</v>
      </c>
      <c r="P925" s="3">
        <v>0</v>
      </c>
      <c r="Q925" s="3">
        <v>0</v>
      </c>
      <c r="R925" s="3">
        <v>0</v>
      </c>
    </row>
    <row r="926" spans="1:18">
      <c r="A926" s="3" t="s">
        <v>348</v>
      </c>
      <c r="B926" s="3" t="s">
        <v>349</v>
      </c>
      <c r="C926" s="3" t="s">
        <v>350</v>
      </c>
      <c r="D926" s="3" t="s">
        <v>351</v>
      </c>
      <c r="E926" s="3" t="s">
        <v>538</v>
      </c>
      <c r="F926" s="3">
        <v>20</v>
      </c>
      <c r="G926" s="3" t="s">
        <v>2454</v>
      </c>
      <c r="H926" s="3"/>
      <c r="I926" s="3" t="s">
        <v>2455</v>
      </c>
      <c r="J926" s="3">
        <v>14</v>
      </c>
      <c r="K926" s="3">
        <v>13</v>
      </c>
      <c r="L926" s="3">
        <v>0</v>
      </c>
      <c r="M926" s="3">
        <v>1</v>
      </c>
      <c r="N926" s="3">
        <v>19</v>
      </c>
      <c r="O926" s="3">
        <v>0.07</v>
      </c>
      <c r="P926" s="3">
        <v>0</v>
      </c>
      <c r="Q926" s="3">
        <v>5</v>
      </c>
      <c r="R926" s="3">
        <v>0</v>
      </c>
    </row>
    <row r="927" spans="1:18">
      <c r="A927" s="3" t="s">
        <v>328</v>
      </c>
      <c r="B927" s="3" t="s">
        <v>329</v>
      </c>
      <c r="C927" s="3" t="s">
        <v>330</v>
      </c>
      <c r="D927" s="3" t="s">
        <v>331</v>
      </c>
      <c r="E927" s="3" t="s">
        <v>538</v>
      </c>
      <c r="F927" s="3">
        <v>20</v>
      </c>
      <c r="G927" s="3" t="s">
        <v>2454</v>
      </c>
      <c r="H927" s="3"/>
      <c r="I927" s="3" t="s">
        <v>2455</v>
      </c>
      <c r="J927" s="3">
        <v>18</v>
      </c>
      <c r="K927" s="3">
        <v>16</v>
      </c>
      <c r="L927" s="3">
        <v>0</v>
      </c>
      <c r="M927" s="3">
        <v>2</v>
      </c>
      <c r="N927" s="3">
        <v>28</v>
      </c>
      <c r="O927" s="3">
        <v>0.07</v>
      </c>
      <c r="P927" s="3">
        <v>0</v>
      </c>
      <c r="Q927" s="3">
        <v>10</v>
      </c>
      <c r="R927" s="3">
        <v>0</v>
      </c>
    </row>
    <row r="928" spans="1:18">
      <c r="A928" s="3" t="s">
        <v>360</v>
      </c>
      <c r="B928" s="3" t="s">
        <v>361</v>
      </c>
      <c r="C928" s="3" t="s">
        <v>362</v>
      </c>
      <c r="D928" s="3" t="s">
        <v>363</v>
      </c>
      <c r="E928" s="3" t="s">
        <v>538</v>
      </c>
      <c r="F928" s="3">
        <v>20</v>
      </c>
      <c r="G928" s="3" t="s">
        <v>2454</v>
      </c>
      <c r="H928" s="3"/>
      <c r="I928" s="3" t="s">
        <v>2455</v>
      </c>
      <c r="J928" s="3">
        <v>22</v>
      </c>
      <c r="K928" s="3">
        <v>20</v>
      </c>
      <c r="L928" s="3">
        <v>0</v>
      </c>
      <c r="M928" s="3">
        <v>2</v>
      </c>
      <c r="N928" s="3">
        <v>22</v>
      </c>
      <c r="O928" s="3">
        <v>0.07</v>
      </c>
      <c r="P928" s="3">
        <v>0</v>
      </c>
      <c r="Q928" s="3">
        <v>0</v>
      </c>
      <c r="R928" s="3">
        <v>0</v>
      </c>
    </row>
    <row r="929" spans="1:18">
      <c r="A929" s="3" t="s">
        <v>1549</v>
      </c>
      <c r="B929" s="3" t="s">
        <v>1550</v>
      </c>
      <c r="C929" s="3" t="s">
        <v>1551</v>
      </c>
      <c r="D929" s="3" t="s">
        <v>1552</v>
      </c>
      <c r="E929" s="3" t="s">
        <v>538</v>
      </c>
      <c r="F929" s="3">
        <v>20</v>
      </c>
      <c r="G929" s="3" t="s">
        <v>2454</v>
      </c>
      <c r="H929" s="3"/>
      <c r="I929" s="3" t="s">
        <v>2455</v>
      </c>
      <c r="J929" s="3">
        <v>23</v>
      </c>
      <c r="K929" s="3">
        <v>23</v>
      </c>
      <c r="L929" s="3">
        <v>0</v>
      </c>
      <c r="M929" s="3">
        <v>0</v>
      </c>
      <c r="N929" s="3">
        <v>33</v>
      </c>
      <c r="O929" s="3">
        <v>0.07</v>
      </c>
      <c r="P929" s="3">
        <v>0</v>
      </c>
      <c r="Q929" s="3">
        <v>10</v>
      </c>
      <c r="R929" s="3">
        <v>0</v>
      </c>
    </row>
    <row r="930" spans="1:18">
      <c r="A930" s="3" t="s">
        <v>758</v>
      </c>
      <c r="B930" s="3" t="s">
        <v>759</v>
      </c>
      <c r="C930" s="3" t="s">
        <v>760</v>
      </c>
      <c r="D930" s="3" t="s">
        <v>761</v>
      </c>
      <c r="E930" s="3" t="s">
        <v>538</v>
      </c>
      <c r="F930" s="3">
        <v>20</v>
      </c>
      <c r="G930" s="3" t="s">
        <v>2454</v>
      </c>
      <c r="H930" s="3"/>
      <c r="I930" s="3" t="s">
        <v>2455</v>
      </c>
      <c r="J930" s="3">
        <v>24</v>
      </c>
      <c r="K930" s="3">
        <v>24</v>
      </c>
      <c r="L930" s="3">
        <v>0</v>
      </c>
      <c r="M930" s="3">
        <v>0</v>
      </c>
      <c r="N930" s="3">
        <v>29</v>
      </c>
      <c r="O930" s="3">
        <v>0.07</v>
      </c>
      <c r="P930" s="3">
        <v>0</v>
      </c>
      <c r="Q930" s="3">
        <v>5</v>
      </c>
      <c r="R930" s="3">
        <v>0</v>
      </c>
    </row>
    <row r="931" spans="1:18">
      <c r="A931" s="3" t="s">
        <v>1457</v>
      </c>
      <c r="B931" s="3" t="s">
        <v>1458</v>
      </c>
      <c r="C931" s="3" t="s">
        <v>1459</v>
      </c>
      <c r="D931" s="3" t="s">
        <v>1460</v>
      </c>
      <c r="E931" s="3" t="s">
        <v>538</v>
      </c>
      <c r="F931" s="3">
        <v>20</v>
      </c>
      <c r="G931" s="3" t="s">
        <v>2454</v>
      </c>
      <c r="H931" s="3"/>
      <c r="I931" s="3" t="s">
        <v>2455</v>
      </c>
      <c r="J931" s="3">
        <v>34</v>
      </c>
      <c r="K931" s="3">
        <v>34</v>
      </c>
      <c r="L931" s="3">
        <v>0</v>
      </c>
      <c r="M931" s="3">
        <v>0</v>
      </c>
      <c r="N931" s="3">
        <v>34</v>
      </c>
      <c r="O931" s="3">
        <v>0.07</v>
      </c>
      <c r="P931" s="3">
        <v>0</v>
      </c>
      <c r="Q931" s="3">
        <v>0</v>
      </c>
      <c r="R931" s="3">
        <v>0</v>
      </c>
    </row>
    <row r="932" spans="1:18">
      <c r="A932" s="3" t="s">
        <v>1148</v>
      </c>
      <c r="B932" s="3" t="s">
        <v>1149</v>
      </c>
      <c r="C932" s="3" t="s">
        <v>1150</v>
      </c>
      <c r="D932" s="3" t="s">
        <v>1151</v>
      </c>
      <c r="E932" s="3" t="s">
        <v>538</v>
      </c>
      <c r="F932" s="3">
        <v>20</v>
      </c>
      <c r="G932" s="3" t="s">
        <v>2454</v>
      </c>
      <c r="H932" s="3"/>
      <c r="I932" s="3" t="s">
        <v>2455</v>
      </c>
      <c r="J932" s="3">
        <v>20</v>
      </c>
      <c r="K932" s="3">
        <v>20</v>
      </c>
      <c r="L932" s="3">
        <v>0</v>
      </c>
      <c r="M932" s="3">
        <v>0</v>
      </c>
      <c r="N932" s="3">
        <v>20</v>
      </c>
      <c r="O932" s="3">
        <v>0.07</v>
      </c>
      <c r="P932" s="3">
        <v>0</v>
      </c>
      <c r="Q932" s="3">
        <v>0</v>
      </c>
      <c r="R932" s="3">
        <v>0</v>
      </c>
    </row>
    <row r="933" spans="1:18">
      <c r="A933" s="3" t="s">
        <v>995</v>
      </c>
      <c r="B933" s="3" t="s">
        <v>996</v>
      </c>
      <c r="C933" s="3" t="s">
        <v>997</v>
      </c>
      <c r="D933" s="3" t="s">
        <v>998</v>
      </c>
      <c r="E933" s="3" t="s">
        <v>538</v>
      </c>
      <c r="F933" s="3">
        <v>20</v>
      </c>
      <c r="G933" s="3" t="s">
        <v>2454</v>
      </c>
      <c r="H933" s="3"/>
      <c r="I933" s="3" t="s">
        <v>2455</v>
      </c>
      <c r="J933" s="3">
        <v>34</v>
      </c>
      <c r="K933" s="3">
        <v>34</v>
      </c>
      <c r="L933" s="3">
        <v>0</v>
      </c>
      <c r="M933" s="3">
        <v>0</v>
      </c>
      <c r="N933" s="3">
        <v>34</v>
      </c>
      <c r="O933" s="3">
        <v>0.07</v>
      </c>
      <c r="P933" s="3">
        <v>0</v>
      </c>
      <c r="Q933" s="3">
        <v>0</v>
      </c>
      <c r="R933" s="3">
        <v>0</v>
      </c>
    </row>
    <row r="934" spans="1:18">
      <c r="A934" s="3" t="s">
        <v>3740</v>
      </c>
      <c r="B934" s="3" t="s">
        <v>3741</v>
      </c>
      <c r="C934" s="3" t="s">
        <v>3742</v>
      </c>
      <c r="D934" s="3" t="s">
        <v>3743</v>
      </c>
      <c r="E934" s="3" t="s">
        <v>538</v>
      </c>
      <c r="F934" s="3">
        <v>20</v>
      </c>
      <c r="G934" s="3" t="s">
        <v>2454</v>
      </c>
      <c r="H934" s="3"/>
      <c r="I934" s="3" t="s">
        <v>2455</v>
      </c>
      <c r="J934" s="3">
        <v>0</v>
      </c>
      <c r="K934" s="3">
        <v>0</v>
      </c>
      <c r="L934" s="3">
        <v>0</v>
      </c>
      <c r="M934" s="3">
        <v>0</v>
      </c>
      <c r="N934" s="3">
        <v>25</v>
      </c>
      <c r="O934" s="3">
        <v>0.07</v>
      </c>
      <c r="P934" s="3">
        <v>0</v>
      </c>
      <c r="Q934" s="3">
        <v>0</v>
      </c>
      <c r="R934" s="3">
        <v>25</v>
      </c>
    </row>
    <row r="935" spans="1:18">
      <c r="A935" s="3" t="s">
        <v>336</v>
      </c>
      <c r="B935" s="3" t="s">
        <v>337</v>
      </c>
      <c r="C935" s="3" t="s">
        <v>338</v>
      </c>
      <c r="D935" s="3" t="s">
        <v>339</v>
      </c>
      <c r="E935" s="3" t="s">
        <v>538</v>
      </c>
      <c r="F935" s="3">
        <v>20</v>
      </c>
      <c r="G935" s="3" t="s">
        <v>2454</v>
      </c>
      <c r="H935" s="3"/>
      <c r="I935" s="3" t="s">
        <v>2455</v>
      </c>
      <c r="J935" s="3">
        <v>22</v>
      </c>
      <c r="K935" s="3">
        <v>20</v>
      </c>
      <c r="L935" s="3">
        <v>0</v>
      </c>
      <c r="M935" s="3">
        <v>2</v>
      </c>
      <c r="N935" s="3">
        <v>62</v>
      </c>
      <c r="O935" s="3">
        <v>0.07</v>
      </c>
      <c r="P935" s="3">
        <v>0</v>
      </c>
      <c r="Q935" s="3">
        <v>40</v>
      </c>
      <c r="R935" s="3">
        <v>0</v>
      </c>
    </row>
    <row r="936" spans="1:18">
      <c r="A936" s="3" t="s">
        <v>364</v>
      </c>
      <c r="B936" s="3" t="s">
        <v>365</v>
      </c>
      <c r="C936" s="3" t="s">
        <v>366</v>
      </c>
      <c r="D936" s="3" t="s">
        <v>367</v>
      </c>
      <c r="E936" s="3" t="s">
        <v>538</v>
      </c>
      <c r="F936" s="3">
        <v>20</v>
      </c>
      <c r="G936" s="3" t="s">
        <v>2454</v>
      </c>
      <c r="H936" s="3"/>
      <c r="I936" s="3" t="s">
        <v>2455</v>
      </c>
      <c r="J936" s="3">
        <v>26</v>
      </c>
      <c r="K936" s="3">
        <v>21</v>
      </c>
      <c r="L936" s="3">
        <v>1</v>
      </c>
      <c r="M936" s="3">
        <v>4</v>
      </c>
      <c r="N936" s="3">
        <v>56</v>
      </c>
      <c r="O936" s="3">
        <v>0.07</v>
      </c>
      <c r="P936" s="3">
        <v>0</v>
      </c>
      <c r="Q936" s="3">
        <v>30</v>
      </c>
      <c r="R936" s="3">
        <v>0</v>
      </c>
    </row>
    <row r="937" spans="1:18">
      <c r="A937" s="3" t="s">
        <v>1208</v>
      </c>
      <c r="B937" s="3" t="s">
        <v>1209</v>
      </c>
      <c r="C937" s="3" t="s">
        <v>1210</v>
      </c>
      <c r="D937" s="3" t="s">
        <v>1211</v>
      </c>
      <c r="E937" s="3" t="s">
        <v>538</v>
      </c>
      <c r="F937" s="3">
        <v>20</v>
      </c>
      <c r="G937" s="3" t="s">
        <v>2454</v>
      </c>
      <c r="H937" s="3"/>
      <c r="I937" s="3" t="s">
        <v>2455</v>
      </c>
      <c r="J937" s="3">
        <v>11</v>
      </c>
      <c r="K937" s="3">
        <v>11</v>
      </c>
      <c r="L937" s="3">
        <v>0</v>
      </c>
      <c r="M937" s="3">
        <v>0</v>
      </c>
      <c r="N937" s="3">
        <v>21</v>
      </c>
      <c r="O937" s="3">
        <v>0.08</v>
      </c>
      <c r="P937" s="3">
        <v>0</v>
      </c>
      <c r="Q937" s="3">
        <v>0</v>
      </c>
      <c r="R937" s="3">
        <v>10</v>
      </c>
    </row>
    <row r="938" spans="1:18">
      <c r="A938" s="3" t="s">
        <v>633</v>
      </c>
      <c r="B938" s="3" t="s">
        <v>634</v>
      </c>
      <c r="C938" s="3" t="s">
        <v>635</v>
      </c>
      <c r="D938" s="3" t="s">
        <v>636</v>
      </c>
      <c r="E938" s="3" t="s">
        <v>538</v>
      </c>
      <c r="F938" s="3">
        <v>20</v>
      </c>
      <c r="G938" s="3" t="s">
        <v>2454</v>
      </c>
      <c r="H938" s="3"/>
      <c r="I938" s="3" t="s">
        <v>2455</v>
      </c>
      <c r="J938" s="3">
        <v>22</v>
      </c>
      <c r="K938" s="3">
        <v>22</v>
      </c>
      <c r="L938" s="3">
        <v>0</v>
      </c>
      <c r="M938" s="3">
        <v>0</v>
      </c>
      <c r="N938" s="3">
        <v>22</v>
      </c>
      <c r="O938" s="3">
        <v>0.08</v>
      </c>
      <c r="P938" s="3">
        <v>0</v>
      </c>
      <c r="Q938" s="3">
        <v>0</v>
      </c>
      <c r="R938" s="3">
        <v>0</v>
      </c>
    </row>
    <row r="939" spans="1:18">
      <c r="A939" s="3" t="s">
        <v>340</v>
      </c>
      <c r="B939" s="3" t="s">
        <v>341</v>
      </c>
      <c r="C939" s="3" t="s">
        <v>342</v>
      </c>
      <c r="D939" s="3" t="s">
        <v>343</v>
      </c>
      <c r="E939" s="3" t="s">
        <v>538</v>
      </c>
      <c r="F939" s="3">
        <v>20</v>
      </c>
      <c r="G939" s="3" t="s">
        <v>2454</v>
      </c>
      <c r="H939" s="3"/>
      <c r="I939" s="3" t="s">
        <v>2455</v>
      </c>
      <c r="J939" s="3">
        <v>21</v>
      </c>
      <c r="K939" s="3">
        <v>13</v>
      </c>
      <c r="L939" s="3">
        <v>0</v>
      </c>
      <c r="M939" s="3">
        <v>8</v>
      </c>
      <c r="N939" s="3">
        <v>21</v>
      </c>
      <c r="O939" s="3">
        <v>0.08</v>
      </c>
      <c r="P939" s="3">
        <v>0</v>
      </c>
      <c r="Q939" s="3">
        <v>0</v>
      </c>
      <c r="R939" s="3">
        <v>0</v>
      </c>
    </row>
    <row r="940" spans="1:18">
      <c r="A940" s="3" t="s">
        <v>1302</v>
      </c>
      <c r="B940" s="3" t="s">
        <v>1303</v>
      </c>
      <c r="C940" s="3" t="s">
        <v>1304</v>
      </c>
      <c r="D940" s="3" t="s">
        <v>1305</v>
      </c>
      <c r="E940" s="3" t="s">
        <v>538</v>
      </c>
      <c r="F940" s="3">
        <v>20</v>
      </c>
      <c r="G940" s="3" t="s">
        <v>2454</v>
      </c>
      <c r="H940" s="3"/>
      <c r="I940" s="3" t="s">
        <v>2455</v>
      </c>
      <c r="J940" s="3">
        <v>15</v>
      </c>
      <c r="K940" s="3">
        <v>15</v>
      </c>
      <c r="L940" s="3">
        <v>0</v>
      </c>
      <c r="M940" s="3">
        <v>0</v>
      </c>
      <c r="N940" s="3">
        <v>15</v>
      </c>
      <c r="O940" s="3">
        <v>0.08</v>
      </c>
      <c r="P940" s="3">
        <v>0</v>
      </c>
      <c r="Q940" s="3">
        <v>0</v>
      </c>
      <c r="R940" s="3">
        <v>0</v>
      </c>
    </row>
    <row r="941" spans="1:18">
      <c r="A941" s="3" t="s">
        <v>1768</v>
      </c>
      <c r="B941" s="3" t="s">
        <v>1769</v>
      </c>
      <c r="C941" s="3" t="s">
        <v>1770</v>
      </c>
      <c r="D941" s="3" t="s">
        <v>1771</v>
      </c>
      <c r="E941" s="3" t="s">
        <v>538</v>
      </c>
      <c r="F941" s="3">
        <v>20</v>
      </c>
      <c r="G941" s="3" t="s">
        <v>2454</v>
      </c>
      <c r="H941" s="3"/>
      <c r="I941" s="3" t="s">
        <v>2455</v>
      </c>
      <c r="J941" s="3">
        <v>10</v>
      </c>
      <c r="K941" s="3">
        <v>10</v>
      </c>
      <c r="L941" s="3">
        <v>0</v>
      </c>
      <c r="M941" s="3">
        <v>0</v>
      </c>
      <c r="N941" s="3">
        <v>30</v>
      </c>
      <c r="O941" s="3">
        <v>0.08</v>
      </c>
      <c r="P941" s="3">
        <v>0</v>
      </c>
      <c r="Q941" s="3">
        <v>0</v>
      </c>
      <c r="R941" s="3">
        <v>20</v>
      </c>
    </row>
    <row r="942" spans="1:18">
      <c r="A942" s="3" t="s">
        <v>1371</v>
      </c>
      <c r="B942" s="3" t="s">
        <v>1372</v>
      </c>
      <c r="C942" s="3" t="s">
        <v>1373</v>
      </c>
      <c r="D942" s="3" t="s">
        <v>1374</v>
      </c>
      <c r="E942" s="3" t="s">
        <v>538</v>
      </c>
      <c r="F942" s="3">
        <v>20</v>
      </c>
      <c r="G942" s="3" t="s">
        <v>2454</v>
      </c>
      <c r="H942" s="3"/>
      <c r="I942" s="3" t="s">
        <v>2455</v>
      </c>
      <c r="J942" s="3">
        <v>46</v>
      </c>
      <c r="K942" s="3">
        <v>46</v>
      </c>
      <c r="L942" s="3">
        <v>0</v>
      </c>
      <c r="M942" s="3">
        <v>0</v>
      </c>
      <c r="N942" s="3">
        <v>46</v>
      </c>
      <c r="O942" s="3">
        <v>0.08</v>
      </c>
      <c r="P942" s="3">
        <v>0</v>
      </c>
      <c r="Q942" s="3">
        <v>0</v>
      </c>
      <c r="R942" s="3">
        <v>0</v>
      </c>
    </row>
    <row r="943" spans="1:18">
      <c r="A943" s="3" t="s">
        <v>3744</v>
      </c>
      <c r="B943" s="3" t="s">
        <v>3745</v>
      </c>
      <c r="C943" s="3" t="s">
        <v>3746</v>
      </c>
      <c r="D943" s="3" t="s">
        <v>3747</v>
      </c>
      <c r="E943" s="3" t="s">
        <v>538</v>
      </c>
      <c r="F943" s="3">
        <v>20</v>
      </c>
      <c r="G943" s="3" t="s">
        <v>2454</v>
      </c>
      <c r="H943" s="3"/>
      <c r="I943" s="3" t="s">
        <v>2455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0.08</v>
      </c>
      <c r="P943" s="3">
        <v>0</v>
      </c>
      <c r="Q943" s="3">
        <v>0</v>
      </c>
      <c r="R943" s="3">
        <v>0</v>
      </c>
    </row>
    <row r="944" spans="1:18">
      <c r="A944" s="3" t="s">
        <v>2313</v>
      </c>
      <c r="B944" s="3" t="s">
        <v>2314</v>
      </c>
      <c r="C944" s="3" t="s">
        <v>2315</v>
      </c>
      <c r="D944" s="3" t="s">
        <v>2316</v>
      </c>
      <c r="E944" s="3" t="s">
        <v>538</v>
      </c>
      <c r="F944" s="3">
        <v>20</v>
      </c>
      <c r="G944" s="3" t="s">
        <v>2454</v>
      </c>
      <c r="H944" s="3"/>
      <c r="I944" s="3" t="s">
        <v>2455</v>
      </c>
      <c r="J944" s="3">
        <v>17</v>
      </c>
      <c r="K944" s="3">
        <v>17</v>
      </c>
      <c r="L944" s="3">
        <v>0</v>
      </c>
      <c r="M944" s="3">
        <v>0</v>
      </c>
      <c r="N944" s="3">
        <v>17</v>
      </c>
      <c r="O944" s="3">
        <v>0.08</v>
      </c>
      <c r="P944" s="3">
        <v>0</v>
      </c>
      <c r="Q944" s="3">
        <v>0</v>
      </c>
      <c r="R944" s="3">
        <v>0</v>
      </c>
    </row>
    <row r="945" spans="1:18">
      <c r="A945" s="3" t="s">
        <v>372</v>
      </c>
      <c r="B945" s="3" t="s">
        <v>373</v>
      </c>
      <c r="C945" s="3" t="s">
        <v>374</v>
      </c>
      <c r="D945" s="3" t="s">
        <v>375</v>
      </c>
      <c r="E945" s="3" t="s">
        <v>538</v>
      </c>
      <c r="F945" s="3">
        <v>20</v>
      </c>
      <c r="G945" s="3" t="s">
        <v>2454</v>
      </c>
      <c r="H945" s="3"/>
      <c r="I945" s="3" t="s">
        <v>2455</v>
      </c>
      <c r="J945" s="3">
        <v>30</v>
      </c>
      <c r="K945" s="3">
        <v>26</v>
      </c>
      <c r="L945" s="3">
        <v>0</v>
      </c>
      <c r="M945" s="3">
        <v>4</v>
      </c>
      <c r="N945" s="3">
        <v>30</v>
      </c>
      <c r="O945" s="3">
        <v>0.08</v>
      </c>
      <c r="P945" s="3">
        <v>0</v>
      </c>
      <c r="Q945" s="3">
        <v>0</v>
      </c>
      <c r="R945" s="3">
        <v>0</v>
      </c>
    </row>
    <row r="946" spans="1:18">
      <c r="A946" s="3" t="s">
        <v>1078</v>
      </c>
      <c r="B946" s="3" t="s">
        <v>1079</v>
      </c>
      <c r="C946" s="3" t="s">
        <v>1080</v>
      </c>
      <c r="D946" s="3" t="s">
        <v>1081</v>
      </c>
      <c r="E946" s="3" t="s">
        <v>538</v>
      </c>
      <c r="F946" s="3">
        <v>20</v>
      </c>
      <c r="G946" s="3" t="s">
        <v>2454</v>
      </c>
      <c r="H946" s="3"/>
      <c r="I946" s="3" t="s">
        <v>2455</v>
      </c>
      <c r="J946" s="3">
        <v>30</v>
      </c>
      <c r="K946" s="3">
        <v>30</v>
      </c>
      <c r="L946" s="3">
        <v>0</v>
      </c>
      <c r="M946" s="3">
        <v>0</v>
      </c>
      <c r="N946" s="3">
        <v>33</v>
      </c>
      <c r="O946" s="3">
        <v>0.08</v>
      </c>
      <c r="P946" s="3">
        <v>0</v>
      </c>
      <c r="Q946" s="3">
        <v>0</v>
      </c>
      <c r="R946" s="3">
        <v>3</v>
      </c>
    </row>
    <row r="947" spans="1:18">
      <c r="A947" s="3" t="s">
        <v>344</v>
      </c>
      <c r="B947" s="3" t="s">
        <v>345</v>
      </c>
      <c r="C947" s="3" t="s">
        <v>346</v>
      </c>
      <c r="D947" s="3" t="s">
        <v>347</v>
      </c>
      <c r="E947" s="3" t="s">
        <v>538</v>
      </c>
      <c r="F947" s="3">
        <v>20</v>
      </c>
      <c r="G947" s="3" t="s">
        <v>2454</v>
      </c>
      <c r="H947" s="3"/>
      <c r="I947" s="3" t="s">
        <v>2455</v>
      </c>
      <c r="J947" s="3">
        <v>17</v>
      </c>
      <c r="K947" s="3">
        <v>12</v>
      </c>
      <c r="L947" s="3">
        <v>0</v>
      </c>
      <c r="M947" s="3">
        <v>5</v>
      </c>
      <c r="N947" s="3">
        <v>17</v>
      </c>
      <c r="O947" s="3">
        <v>0.08</v>
      </c>
      <c r="P947" s="3">
        <v>0</v>
      </c>
      <c r="Q947" s="3">
        <v>0</v>
      </c>
      <c r="R947" s="3">
        <v>0</v>
      </c>
    </row>
    <row r="948" spans="1:18">
      <c r="A948" s="3" t="s">
        <v>1219</v>
      </c>
      <c r="B948" s="3" t="s">
        <v>1220</v>
      </c>
      <c r="C948" s="3" t="s">
        <v>1221</v>
      </c>
      <c r="D948" s="3" t="s">
        <v>1222</v>
      </c>
      <c r="E948" s="3" t="s">
        <v>538</v>
      </c>
      <c r="F948" s="3">
        <v>20</v>
      </c>
      <c r="G948" s="3" t="s">
        <v>2454</v>
      </c>
      <c r="H948" s="3"/>
      <c r="I948" s="3" t="s">
        <v>2455</v>
      </c>
      <c r="J948" s="3">
        <v>24</v>
      </c>
      <c r="K948" s="3">
        <v>24</v>
      </c>
      <c r="L948" s="3">
        <v>0</v>
      </c>
      <c r="M948" s="3">
        <v>0</v>
      </c>
      <c r="N948" s="3">
        <v>49</v>
      </c>
      <c r="O948" s="3">
        <v>0.08</v>
      </c>
      <c r="P948" s="3">
        <v>25</v>
      </c>
      <c r="Q948" s="3">
        <v>0</v>
      </c>
      <c r="R948" s="3">
        <v>0</v>
      </c>
    </row>
    <row r="949" spans="1:18">
      <c r="A949" s="3" t="s">
        <v>1017</v>
      </c>
      <c r="B949" s="3" t="s">
        <v>1018</v>
      </c>
      <c r="C949" s="3" t="s">
        <v>1019</v>
      </c>
      <c r="D949" s="3" t="s">
        <v>1020</v>
      </c>
      <c r="E949" s="3" t="s">
        <v>538</v>
      </c>
      <c r="F949" s="3">
        <v>20</v>
      </c>
      <c r="G949" s="3" t="s">
        <v>2454</v>
      </c>
      <c r="H949" s="3"/>
      <c r="I949" s="3" t="s">
        <v>2455</v>
      </c>
      <c r="J949" s="3">
        <v>19</v>
      </c>
      <c r="K949" s="3">
        <v>19</v>
      </c>
      <c r="L949" s="3">
        <v>0</v>
      </c>
      <c r="M949" s="3">
        <v>0</v>
      </c>
      <c r="N949" s="3">
        <v>19</v>
      </c>
      <c r="O949" s="3">
        <v>0.08</v>
      </c>
      <c r="P949" s="3">
        <v>0</v>
      </c>
      <c r="Q949" s="3">
        <v>0</v>
      </c>
      <c r="R949" s="3">
        <v>0</v>
      </c>
    </row>
    <row r="950" spans="1:18">
      <c r="A950" s="3" t="s">
        <v>332</v>
      </c>
      <c r="B950" s="3" t="s">
        <v>333</v>
      </c>
      <c r="C950" s="3" t="s">
        <v>334</v>
      </c>
      <c r="D950" s="3" t="s">
        <v>335</v>
      </c>
      <c r="E950" s="3" t="s">
        <v>538</v>
      </c>
      <c r="F950" s="3">
        <v>20</v>
      </c>
      <c r="G950" s="3" t="s">
        <v>2454</v>
      </c>
      <c r="H950" s="3"/>
      <c r="I950" s="3" t="s">
        <v>2455</v>
      </c>
      <c r="J950" s="3">
        <v>24</v>
      </c>
      <c r="K950" s="3">
        <v>23</v>
      </c>
      <c r="L950" s="3">
        <v>0</v>
      </c>
      <c r="M950" s="3">
        <v>1</v>
      </c>
      <c r="N950" s="3">
        <v>24</v>
      </c>
      <c r="O950" s="3">
        <v>0.08</v>
      </c>
      <c r="P950" s="3">
        <v>0</v>
      </c>
      <c r="Q950" s="3">
        <v>0</v>
      </c>
      <c r="R950" s="3">
        <v>0</v>
      </c>
    </row>
    <row r="951" spans="1:18">
      <c r="A951" s="3" t="s">
        <v>824</v>
      </c>
      <c r="B951" s="3" t="s">
        <v>825</v>
      </c>
      <c r="C951" s="3" t="s">
        <v>826</v>
      </c>
      <c r="D951" s="3" t="s">
        <v>827</v>
      </c>
      <c r="E951" s="3" t="s">
        <v>538</v>
      </c>
      <c r="F951" s="3">
        <v>20</v>
      </c>
      <c r="G951" s="3" t="s">
        <v>2454</v>
      </c>
      <c r="H951" s="3"/>
      <c r="I951" s="3" t="s">
        <v>2455</v>
      </c>
      <c r="J951" s="3">
        <v>9</v>
      </c>
      <c r="K951" s="3">
        <v>9</v>
      </c>
      <c r="L951" s="3">
        <v>0</v>
      </c>
      <c r="M951" s="3">
        <v>0</v>
      </c>
      <c r="N951" s="3">
        <v>9</v>
      </c>
      <c r="O951" s="3">
        <v>0.08</v>
      </c>
      <c r="P951" s="3">
        <v>0</v>
      </c>
      <c r="Q951" s="3">
        <v>0</v>
      </c>
      <c r="R951" s="3">
        <v>0</v>
      </c>
    </row>
    <row r="952" spans="1:18">
      <c r="A952" s="3" t="s">
        <v>801</v>
      </c>
      <c r="B952" s="3" t="s">
        <v>802</v>
      </c>
      <c r="C952" s="3" t="s">
        <v>803</v>
      </c>
      <c r="D952" s="3" t="s">
        <v>804</v>
      </c>
      <c r="E952" s="3" t="s">
        <v>538</v>
      </c>
      <c r="F952" s="3">
        <v>20</v>
      </c>
      <c r="G952" s="3" t="s">
        <v>2454</v>
      </c>
      <c r="H952" s="3"/>
      <c r="I952" s="3" t="s">
        <v>2455</v>
      </c>
      <c r="J952" s="3">
        <v>12</v>
      </c>
      <c r="K952" s="3">
        <v>12</v>
      </c>
      <c r="L952" s="3">
        <v>0</v>
      </c>
      <c r="M952" s="3">
        <v>0</v>
      </c>
      <c r="N952" s="3">
        <v>12</v>
      </c>
      <c r="O952" s="3">
        <v>0.08</v>
      </c>
      <c r="P952" s="3">
        <v>0</v>
      </c>
      <c r="Q952" s="3">
        <v>0</v>
      </c>
      <c r="R952" s="3">
        <v>0</v>
      </c>
    </row>
    <row r="953" spans="1:18">
      <c r="A953" s="3" t="s">
        <v>1442</v>
      </c>
      <c r="B953" s="3" t="s">
        <v>1443</v>
      </c>
      <c r="C953" s="3" t="s">
        <v>1444</v>
      </c>
      <c r="D953" s="3" t="s">
        <v>1445</v>
      </c>
      <c r="E953" s="3" t="s">
        <v>538</v>
      </c>
      <c r="F953" s="3">
        <v>20</v>
      </c>
      <c r="G953" s="3" t="s">
        <v>2454</v>
      </c>
      <c r="H953" s="3"/>
      <c r="I953" s="3" t="s">
        <v>2455</v>
      </c>
      <c r="J953" s="3">
        <v>14</v>
      </c>
      <c r="K953" s="3">
        <v>13</v>
      </c>
      <c r="L953" s="3">
        <v>1</v>
      </c>
      <c r="M953" s="3">
        <v>0</v>
      </c>
      <c r="N953" s="3">
        <v>14</v>
      </c>
      <c r="O953" s="3">
        <v>0.08</v>
      </c>
      <c r="P953" s="3">
        <v>0</v>
      </c>
      <c r="Q953" s="3">
        <v>0</v>
      </c>
      <c r="R953" s="3">
        <v>0</v>
      </c>
    </row>
    <row r="954" spans="1:18">
      <c r="A954" s="3" t="s">
        <v>1754</v>
      </c>
      <c r="B954" s="3" t="s">
        <v>1755</v>
      </c>
      <c r="C954" s="3" t="s">
        <v>1756</v>
      </c>
      <c r="D954" s="3" t="s">
        <v>1757</v>
      </c>
      <c r="E954" s="3" t="s">
        <v>538</v>
      </c>
      <c r="F954" s="3">
        <v>20</v>
      </c>
      <c r="G954" s="3" t="s">
        <v>2454</v>
      </c>
      <c r="H954" s="3"/>
      <c r="I954" s="3" t="s">
        <v>2455</v>
      </c>
      <c r="J954" s="3">
        <v>26</v>
      </c>
      <c r="K954" s="3">
        <v>26</v>
      </c>
      <c r="L954" s="3">
        <v>0</v>
      </c>
      <c r="M954" s="3">
        <v>0</v>
      </c>
      <c r="N954" s="3">
        <v>26</v>
      </c>
      <c r="O954" s="3">
        <v>0.08</v>
      </c>
      <c r="P954" s="3">
        <v>0</v>
      </c>
      <c r="Q954" s="3">
        <v>0</v>
      </c>
      <c r="R954" s="3">
        <v>0</v>
      </c>
    </row>
    <row r="955" spans="1:18">
      <c r="A955" s="3" t="s">
        <v>597</v>
      </c>
      <c r="B955" s="3" t="s">
        <v>598</v>
      </c>
      <c r="C955" s="3" t="s">
        <v>599</v>
      </c>
      <c r="D955" s="3" t="s">
        <v>600</v>
      </c>
      <c r="E955" s="3" t="s">
        <v>538</v>
      </c>
      <c r="F955" s="3">
        <v>12.99</v>
      </c>
      <c r="G955" s="3" t="s">
        <v>2454</v>
      </c>
      <c r="H955" s="3"/>
      <c r="I955" s="3" t="s">
        <v>2455</v>
      </c>
      <c r="J955" s="3">
        <v>4</v>
      </c>
      <c r="K955" s="3">
        <v>4</v>
      </c>
      <c r="L955" s="3">
        <v>0</v>
      </c>
      <c r="M955" s="3">
        <v>0</v>
      </c>
      <c r="N955" s="3">
        <v>4</v>
      </c>
      <c r="O955" s="3">
        <v>0.04</v>
      </c>
      <c r="P955" s="3">
        <v>0</v>
      </c>
      <c r="Q955" s="3">
        <v>0</v>
      </c>
      <c r="R955" s="3">
        <v>0</v>
      </c>
    </row>
    <row r="956" spans="1:18">
      <c r="A956" s="3" t="s">
        <v>324</v>
      </c>
      <c r="B956" s="3" t="s">
        <v>325</v>
      </c>
      <c r="C956" s="3" t="s">
        <v>326</v>
      </c>
      <c r="D956" s="3" t="s">
        <v>327</v>
      </c>
      <c r="E956" s="3" t="s">
        <v>538</v>
      </c>
      <c r="F956" s="3">
        <v>12.99</v>
      </c>
      <c r="G956" s="3" t="s">
        <v>2454</v>
      </c>
      <c r="H956" s="3"/>
      <c r="I956" s="3" t="s">
        <v>2455</v>
      </c>
      <c r="J956" s="3">
        <v>12</v>
      </c>
      <c r="K956" s="3">
        <v>10</v>
      </c>
      <c r="L956" s="3">
        <v>0</v>
      </c>
      <c r="M956" s="3">
        <v>2</v>
      </c>
      <c r="N956" s="3">
        <v>12</v>
      </c>
      <c r="O956" s="3">
        <v>0.04</v>
      </c>
      <c r="P956" s="3">
        <v>0</v>
      </c>
      <c r="Q956" s="3">
        <v>0</v>
      </c>
      <c r="R956" s="3">
        <v>0</v>
      </c>
    </row>
    <row r="957" spans="1:18">
      <c r="A957" s="3" t="s">
        <v>591</v>
      </c>
      <c r="B957" s="3" t="s">
        <v>592</v>
      </c>
      <c r="C957" s="3" t="s">
        <v>593</v>
      </c>
      <c r="D957" s="3" t="s">
        <v>594</v>
      </c>
      <c r="E957" s="3" t="s">
        <v>538</v>
      </c>
      <c r="F957" s="3">
        <v>12.99</v>
      </c>
      <c r="G957" s="3" t="s">
        <v>2454</v>
      </c>
      <c r="H957" s="3"/>
      <c r="I957" s="3" t="s">
        <v>2455</v>
      </c>
      <c r="J957" s="3">
        <v>0</v>
      </c>
      <c r="K957" s="3">
        <v>0</v>
      </c>
      <c r="L957" s="3">
        <v>0</v>
      </c>
      <c r="M957" s="3">
        <v>0</v>
      </c>
      <c r="N957" s="3">
        <v>0</v>
      </c>
      <c r="O957" s="3">
        <v>0.04</v>
      </c>
      <c r="P957" s="3">
        <v>0</v>
      </c>
      <c r="Q957" s="3">
        <v>0</v>
      </c>
      <c r="R957" s="3">
        <v>0</v>
      </c>
    </row>
    <row r="958" spans="1:18">
      <c r="A958" s="3" t="s">
        <v>3748</v>
      </c>
      <c r="B958" s="3" t="s">
        <v>3749</v>
      </c>
      <c r="C958" s="3" t="s">
        <v>3750</v>
      </c>
      <c r="D958" s="3" t="s">
        <v>3751</v>
      </c>
      <c r="E958" s="3" t="s">
        <v>538</v>
      </c>
      <c r="F958" s="3">
        <v>12.99</v>
      </c>
      <c r="G958" s="3" t="s">
        <v>2454</v>
      </c>
      <c r="H958" s="3"/>
      <c r="I958" s="3" t="s">
        <v>2455</v>
      </c>
      <c r="J958" s="3">
        <v>0</v>
      </c>
      <c r="K958" s="3">
        <v>0</v>
      </c>
      <c r="L958" s="3">
        <v>0</v>
      </c>
      <c r="M958" s="3">
        <v>0</v>
      </c>
      <c r="N958" s="3">
        <v>0</v>
      </c>
      <c r="O958" s="3">
        <v>0.04</v>
      </c>
      <c r="P958" s="3">
        <v>0</v>
      </c>
      <c r="Q958" s="3">
        <v>0</v>
      </c>
      <c r="R958" s="3">
        <v>0</v>
      </c>
    </row>
    <row r="959" spans="1:18">
      <c r="A959" s="3" t="s">
        <v>924</v>
      </c>
      <c r="B959" s="3" t="s">
        <v>925</v>
      </c>
      <c r="C959" s="3" t="s">
        <v>926</v>
      </c>
      <c r="D959" s="3" t="s">
        <v>927</v>
      </c>
      <c r="E959" s="3" t="s">
        <v>538</v>
      </c>
      <c r="F959" s="3">
        <v>12.99</v>
      </c>
      <c r="G959" s="3" t="s">
        <v>2454</v>
      </c>
      <c r="H959" s="3"/>
      <c r="I959" s="3" t="s">
        <v>2455</v>
      </c>
      <c r="J959" s="3">
        <v>5</v>
      </c>
      <c r="K959" s="3">
        <v>5</v>
      </c>
      <c r="L959" s="3">
        <v>0</v>
      </c>
      <c r="M959" s="3">
        <v>0</v>
      </c>
      <c r="N959" s="3">
        <v>5</v>
      </c>
      <c r="O959" s="3">
        <v>0.04</v>
      </c>
      <c r="P959" s="3">
        <v>0</v>
      </c>
      <c r="Q959" s="3">
        <v>0</v>
      </c>
      <c r="R959" s="3">
        <v>0</v>
      </c>
    </row>
    <row r="960" spans="1:18">
      <c r="A960" s="3" t="s">
        <v>2329</v>
      </c>
      <c r="B960" s="3" t="s">
        <v>2330</v>
      </c>
      <c r="C960" s="3" t="s">
        <v>2331</v>
      </c>
      <c r="D960" s="3" t="s">
        <v>2332</v>
      </c>
      <c r="E960" s="3" t="s">
        <v>538</v>
      </c>
      <c r="F960" s="3">
        <v>12.99</v>
      </c>
      <c r="G960" s="3" t="s">
        <v>2454</v>
      </c>
      <c r="H960" s="3"/>
      <c r="I960" s="3" t="s">
        <v>2455</v>
      </c>
      <c r="J960" s="3">
        <v>7</v>
      </c>
      <c r="K960" s="3">
        <v>7</v>
      </c>
      <c r="L960" s="3">
        <v>0</v>
      </c>
      <c r="M960" s="3">
        <v>0</v>
      </c>
      <c r="N960" s="3">
        <v>7</v>
      </c>
      <c r="O960" s="3">
        <v>0.04</v>
      </c>
      <c r="P960" s="3">
        <v>0</v>
      </c>
      <c r="Q960" s="3">
        <v>0</v>
      </c>
      <c r="R960" s="3">
        <v>0</v>
      </c>
    </row>
    <row r="961" spans="1:18">
      <c r="A961" s="3" t="s">
        <v>2043</v>
      </c>
      <c r="B961" s="3" t="s">
        <v>2044</v>
      </c>
      <c r="C961" s="3" t="s">
        <v>2045</v>
      </c>
      <c r="D961" s="3" t="s">
        <v>2046</v>
      </c>
      <c r="E961" s="3" t="s">
        <v>538</v>
      </c>
      <c r="F961" s="3">
        <v>12.99</v>
      </c>
      <c r="G961" s="3" t="s">
        <v>2454</v>
      </c>
      <c r="H961" s="3"/>
      <c r="I961" s="3" t="s">
        <v>2455</v>
      </c>
      <c r="J961" s="3">
        <v>7</v>
      </c>
      <c r="K961" s="3">
        <v>7</v>
      </c>
      <c r="L961" s="3">
        <v>0</v>
      </c>
      <c r="M961" s="3">
        <v>0</v>
      </c>
      <c r="N961" s="3">
        <v>7</v>
      </c>
      <c r="O961" s="3">
        <v>0.04</v>
      </c>
      <c r="P961" s="3">
        <v>0</v>
      </c>
      <c r="Q961" s="3">
        <v>0</v>
      </c>
      <c r="R961" s="3">
        <v>0</v>
      </c>
    </row>
    <row r="962" spans="1:18">
      <c r="A962" s="3" t="s">
        <v>424</v>
      </c>
      <c r="B962" s="3" t="s">
        <v>425</v>
      </c>
      <c r="C962" s="3" t="s">
        <v>426</v>
      </c>
      <c r="D962" s="3" t="s">
        <v>427</v>
      </c>
      <c r="E962" s="3" t="s">
        <v>538</v>
      </c>
      <c r="F962" s="3">
        <v>12.99</v>
      </c>
      <c r="G962" s="3" t="s">
        <v>2454</v>
      </c>
      <c r="H962" s="3"/>
      <c r="I962" s="3" t="s">
        <v>2455</v>
      </c>
      <c r="J962" s="3">
        <v>7</v>
      </c>
      <c r="K962" s="3">
        <v>5</v>
      </c>
      <c r="L962" s="3">
        <v>0</v>
      </c>
      <c r="M962" s="3">
        <v>2</v>
      </c>
      <c r="N962" s="3">
        <v>7</v>
      </c>
      <c r="O962" s="3">
        <v>0.04</v>
      </c>
      <c r="P962" s="3">
        <v>0</v>
      </c>
      <c r="Q962" s="3">
        <v>0</v>
      </c>
      <c r="R962" s="3">
        <v>0</v>
      </c>
    </row>
    <row r="963" spans="1:18">
      <c r="A963" s="3" t="s">
        <v>3752</v>
      </c>
      <c r="B963" s="3" t="s">
        <v>3753</v>
      </c>
      <c r="C963" s="3" t="s">
        <v>3754</v>
      </c>
      <c r="D963" s="3" t="s">
        <v>3755</v>
      </c>
      <c r="E963" s="3" t="s">
        <v>538</v>
      </c>
      <c r="F963" s="3">
        <v>25.99</v>
      </c>
      <c r="G963" s="3" t="s">
        <v>2454</v>
      </c>
      <c r="H963" s="3"/>
      <c r="I963" s="3" t="s">
        <v>2455</v>
      </c>
      <c r="J963" s="3">
        <v>0</v>
      </c>
      <c r="K963" s="3">
        <v>0</v>
      </c>
      <c r="L963" s="3">
        <v>0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</row>
    <row r="964" spans="1:18">
      <c r="A964" s="3" t="s">
        <v>3756</v>
      </c>
      <c r="B964" s="3" t="s">
        <v>3757</v>
      </c>
      <c r="C964" s="3" t="s">
        <v>3758</v>
      </c>
      <c r="D964" s="3" t="s">
        <v>3759</v>
      </c>
      <c r="E964" s="3" t="s">
        <v>538</v>
      </c>
      <c r="F964" s="3">
        <v>25.99</v>
      </c>
      <c r="G964" s="3" t="s">
        <v>2454</v>
      </c>
      <c r="H964" s="3"/>
      <c r="I964" s="3" t="s">
        <v>2455</v>
      </c>
      <c r="J964" s="3">
        <v>0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</row>
    <row r="965" spans="1:18">
      <c r="A965" s="3" t="s">
        <v>3760</v>
      </c>
      <c r="B965" s="3" t="s">
        <v>3761</v>
      </c>
      <c r="C965" s="3" t="s">
        <v>3762</v>
      </c>
      <c r="D965" s="3" t="s">
        <v>3763</v>
      </c>
      <c r="E965" s="3" t="s">
        <v>538</v>
      </c>
      <c r="F965" s="3">
        <v>25.99</v>
      </c>
      <c r="G965" s="3" t="s">
        <v>2454</v>
      </c>
      <c r="H965" s="3"/>
      <c r="I965" s="3" t="s">
        <v>2455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</row>
    <row r="966" spans="1:18">
      <c r="A966" s="3" t="s">
        <v>3764</v>
      </c>
      <c r="B966" s="3" t="s">
        <v>3765</v>
      </c>
      <c r="C966" s="3" t="s">
        <v>3766</v>
      </c>
      <c r="D966" s="3" t="s">
        <v>3767</v>
      </c>
      <c r="E966" s="3" t="s">
        <v>538</v>
      </c>
      <c r="F966" s="3">
        <v>25.99</v>
      </c>
      <c r="G966" s="3" t="s">
        <v>2454</v>
      </c>
      <c r="H966" s="3"/>
      <c r="I966" s="3" t="s">
        <v>2455</v>
      </c>
      <c r="J966" s="3">
        <v>0</v>
      </c>
      <c r="K966" s="3">
        <v>0</v>
      </c>
      <c r="L966" s="3">
        <v>0</v>
      </c>
      <c r="M966" s="3">
        <v>0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</row>
    <row r="967" spans="1:18">
      <c r="A967" s="3" t="s">
        <v>3768</v>
      </c>
      <c r="B967" s="3" t="s">
        <v>3769</v>
      </c>
      <c r="C967" s="3" t="s">
        <v>3770</v>
      </c>
      <c r="D967" s="3" t="s">
        <v>3771</v>
      </c>
      <c r="E967" s="3" t="s">
        <v>538</v>
      </c>
      <c r="F967" s="3">
        <v>25.99</v>
      </c>
      <c r="G967" s="3" t="s">
        <v>2454</v>
      </c>
      <c r="H967" s="3"/>
      <c r="I967" s="3" t="s">
        <v>2455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</row>
    <row r="968" spans="1:18">
      <c r="A968" s="3" t="s">
        <v>380</v>
      </c>
      <c r="B968" s="3" t="s">
        <v>381</v>
      </c>
      <c r="C968" s="3" t="s">
        <v>382</v>
      </c>
      <c r="D968" s="3" t="s">
        <v>383</v>
      </c>
      <c r="E968" s="3" t="s">
        <v>538</v>
      </c>
      <c r="F968" s="3">
        <v>27.99</v>
      </c>
      <c r="G968" s="3" t="s">
        <v>2454</v>
      </c>
      <c r="H968" s="3"/>
      <c r="I968" s="3" t="s">
        <v>2455</v>
      </c>
      <c r="J968" s="3">
        <v>78</v>
      </c>
      <c r="K968" s="3">
        <v>74</v>
      </c>
      <c r="L968" s="3">
        <v>0</v>
      </c>
      <c r="M968" s="3">
        <v>4</v>
      </c>
      <c r="N968" s="3">
        <v>78</v>
      </c>
      <c r="O968" s="3">
        <v>0.03</v>
      </c>
      <c r="P968" s="3">
        <v>0</v>
      </c>
      <c r="Q968" s="3">
        <v>0</v>
      </c>
      <c r="R968" s="3">
        <v>0</v>
      </c>
    </row>
    <row r="969" spans="1:18">
      <c r="A969" s="3" t="s">
        <v>435</v>
      </c>
      <c r="B969" s="3" t="s">
        <v>436</v>
      </c>
      <c r="C969" s="3" t="s">
        <v>437</v>
      </c>
      <c r="D969" s="3" t="s">
        <v>438</v>
      </c>
      <c r="E969" s="3" t="s">
        <v>538</v>
      </c>
      <c r="F969" s="3">
        <v>27.99</v>
      </c>
      <c r="G969" s="3" t="s">
        <v>2454</v>
      </c>
      <c r="H969" s="3"/>
      <c r="I969" s="3" t="s">
        <v>2455</v>
      </c>
      <c r="J969" s="3">
        <v>61</v>
      </c>
      <c r="K969" s="3">
        <v>56</v>
      </c>
      <c r="L969" s="3">
        <v>0</v>
      </c>
      <c r="M969" s="3">
        <v>5</v>
      </c>
      <c r="N969" s="3">
        <v>61</v>
      </c>
      <c r="O969" s="3">
        <v>0.03</v>
      </c>
      <c r="P969" s="3">
        <v>0</v>
      </c>
      <c r="Q969" s="3">
        <v>0</v>
      </c>
      <c r="R969" s="3">
        <v>0</v>
      </c>
    </row>
    <row r="970" spans="1:18">
      <c r="A970" s="3" t="s">
        <v>985</v>
      </c>
      <c r="B970" s="3" t="s">
        <v>986</v>
      </c>
      <c r="C970" s="3" t="s">
        <v>987</v>
      </c>
      <c r="D970" s="3" t="s">
        <v>988</v>
      </c>
      <c r="E970" s="3" t="s">
        <v>538</v>
      </c>
      <c r="F970" s="3">
        <v>27.99</v>
      </c>
      <c r="G970" s="3" t="s">
        <v>2454</v>
      </c>
      <c r="H970" s="3"/>
      <c r="I970" s="3" t="s">
        <v>2455</v>
      </c>
      <c r="J970" s="3">
        <v>81</v>
      </c>
      <c r="K970" s="3">
        <v>81</v>
      </c>
      <c r="L970" s="3">
        <v>0</v>
      </c>
      <c r="M970" s="3">
        <v>0</v>
      </c>
      <c r="N970" s="3">
        <v>81</v>
      </c>
      <c r="O970" s="3">
        <v>0.03</v>
      </c>
      <c r="P970" s="3">
        <v>0</v>
      </c>
      <c r="Q970" s="3">
        <v>0</v>
      </c>
      <c r="R970" s="3">
        <v>0</v>
      </c>
    </row>
    <row r="971" spans="1:18">
      <c r="A971" s="3" t="s">
        <v>451</v>
      </c>
      <c r="B971" s="3" t="s">
        <v>452</v>
      </c>
      <c r="C971" s="3" t="s">
        <v>453</v>
      </c>
      <c r="D971" s="3" t="s">
        <v>454</v>
      </c>
      <c r="E971" s="3" t="s">
        <v>538</v>
      </c>
      <c r="F971" s="3">
        <v>22.99</v>
      </c>
      <c r="G971" s="3" t="s">
        <v>2454</v>
      </c>
      <c r="H971" s="3"/>
      <c r="I971" s="3" t="s">
        <v>2455</v>
      </c>
      <c r="J971" s="3">
        <v>51</v>
      </c>
      <c r="K971" s="3">
        <v>50</v>
      </c>
      <c r="L971" s="3">
        <v>0</v>
      </c>
      <c r="M971" s="3">
        <v>1</v>
      </c>
      <c r="N971" s="3">
        <v>101</v>
      </c>
      <c r="O971" s="3">
        <v>0.09</v>
      </c>
      <c r="P971" s="3">
        <v>0</v>
      </c>
      <c r="Q971" s="3">
        <v>50</v>
      </c>
      <c r="R971" s="3">
        <v>0</v>
      </c>
    </row>
    <row r="972" spans="1:18">
      <c r="A972" s="3" t="s">
        <v>2047</v>
      </c>
      <c r="B972" s="3" t="s">
        <v>2048</v>
      </c>
      <c r="C972" s="3" t="s">
        <v>2049</v>
      </c>
      <c r="D972" s="3" t="s">
        <v>2050</v>
      </c>
      <c r="E972" s="3" t="s">
        <v>538</v>
      </c>
      <c r="F972" s="3">
        <v>22.99</v>
      </c>
      <c r="G972" s="3" t="s">
        <v>2454</v>
      </c>
      <c r="H972" s="3"/>
      <c r="I972" s="3" t="s">
        <v>2455</v>
      </c>
      <c r="J972" s="3">
        <v>59</v>
      </c>
      <c r="K972" s="3">
        <v>59</v>
      </c>
      <c r="L972" s="3">
        <v>0</v>
      </c>
      <c r="M972" s="3">
        <v>0</v>
      </c>
      <c r="N972" s="3">
        <v>109</v>
      </c>
      <c r="O972" s="3">
        <v>0.09</v>
      </c>
      <c r="P972" s="3">
        <v>0</v>
      </c>
      <c r="Q972" s="3">
        <v>50</v>
      </c>
      <c r="R972" s="3">
        <v>0</v>
      </c>
    </row>
    <row r="973" spans="1:18">
      <c r="A973" s="3" t="s">
        <v>943</v>
      </c>
      <c r="B973" s="3" t="s">
        <v>944</v>
      </c>
      <c r="C973" s="3" t="s">
        <v>945</v>
      </c>
      <c r="D973" s="3" t="s">
        <v>946</v>
      </c>
      <c r="E973" s="3" t="s">
        <v>538</v>
      </c>
      <c r="F973" s="3">
        <v>22.99</v>
      </c>
      <c r="G973" s="3" t="s">
        <v>2454</v>
      </c>
      <c r="H973" s="3"/>
      <c r="I973" s="3" t="s">
        <v>2455</v>
      </c>
      <c r="J973" s="3">
        <v>17</v>
      </c>
      <c r="K973" s="3">
        <v>17</v>
      </c>
      <c r="L973" s="3">
        <v>0</v>
      </c>
      <c r="M973" s="3">
        <v>0</v>
      </c>
      <c r="N973" s="3">
        <v>67</v>
      </c>
      <c r="O973" s="3">
        <v>0.09</v>
      </c>
      <c r="P973" s="3">
        <v>0</v>
      </c>
      <c r="Q973" s="3">
        <v>50</v>
      </c>
      <c r="R973" s="3">
        <v>0</v>
      </c>
    </row>
    <row r="974" spans="1:18">
      <c r="A974" s="3" t="s">
        <v>1331</v>
      </c>
      <c r="B974" s="3" t="s">
        <v>1332</v>
      </c>
      <c r="C974" s="3" t="s">
        <v>1333</v>
      </c>
      <c r="D974" s="3" t="s">
        <v>1334</v>
      </c>
      <c r="E974" s="3" t="s">
        <v>538</v>
      </c>
      <c r="F974" s="3">
        <v>22.99</v>
      </c>
      <c r="G974" s="3" t="s">
        <v>2454</v>
      </c>
      <c r="H974" s="3"/>
      <c r="I974" s="3" t="s">
        <v>2455</v>
      </c>
      <c r="J974" s="3">
        <v>19</v>
      </c>
      <c r="K974" s="3">
        <v>19</v>
      </c>
      <c r="L974" s="3">
        <v>0</v>
      </c>
      <c r="M974" s="3">
        <v>0</v>
      </c>
      <c r="N974" s="3">
        <v>19</v>
      </c>
      <c r="O974" s="3">
        <v>0.09</v>
      </c>
      <c r="P974" s="3">
        <v>0</v>
      </c>
      <c r="Q974" s="3">
        <v>0</v>
      </c>
      <c r="R974" s="3">
        <v>0</v>
      </c>
    </row>
    <row r="975" spans="1:18">
      <c r="A975" s="3" t="s">
        <v>1985</v>
      </c>
      <c r="B975" s="3" t="s">
        <v>1986</v>
      </c>
      <c r="C975" s="3" t="s">
        <v>1987</v>
      </c>
      <c r="D975" s="3" t="s">
        <v>1988</v>
      </c>
      <c r="E975" s="3" t="s">
        <v>538</v>
      </c>
      <c r="F975" s="3">
        <v>22.99</v>
      </c>
      <c r="G975" s="3" t="s">
        <v>2454</v>
      </c>
      <c r="H975" s="3"/>
      <c r="I975" s="3" t="s">
        <v>2455</v>
      </c>
      <c r="J975" s="3">
        <v>18</v>
      </c>
      <c r="K975" s="3">
        <v>18</v>
      </c>
      <c r="L975" s="3">
        <v>0</v>
      </c>
      <c r="M975" s="3">
        <v>0</v>
      </c>
      <c r="N975" s="3">
        <v>18</v>
      </c>
      <c r="O975" s="3">
        <v>0.09</v>
      </c>
      <c r="P975" s="3">
        <v>0</v>
      </c>
      <c r="Q975" s="3">
        <v>0</v>
      </c>
      <c r="R975" s="3">
        <v>0</v>
      </c>
    </row>
    <row r="976" spans="1:18">
      <c r="A976" s="3" t="s">
        <v>629</v>
      </c>
      <c r="B976" s="3" t="s">
        <v>630</v>
      </c>
      <c r="C976" s="3" t="s">
        <v>631</v>
      </c>
      <c r="D976" s="3" t="s">
        <v>632</v>
      </c>
      <c r="E976" s="3" t="s">
        <v>538</v>
      </c>
      <c r="F976" s="3">
        <v>22.99</v>
      </c>
      <c r="G976" s="3" t="s">
        <v>2454</v>
      </c>
      <c r="H976" s="3"/>
      <c r="I976" s="3" t="s">
        <v>2455</v>
      </c>
      <c r="J976" s="3">
        <v>17</v>
      </c>
      <c r="K976" s="3">
        <v>17</v>
      </c>
      <c r="L976" s="3">
        <v>0</v>
      </c>
      <c r="M976" s="3">
        <v>0</v>
      </c>
      <c r="N976" s="3">
        <v>67</v>
      </c>
      <c r="O976" s="3">
        <v>0.09</v>
      </c>
      <c r="P976" s="3">
        <v>0</v>
      </c>
      <c r="Q976" s="3">
        <v>50</v>
      </c>
      <c r="R976" s="3">
        <v>0</v>
      </c>
    </row>
    <row r="977" spans="1:18">
      <c r="A977" s="3" t="s">
        <v>388</v>
      </c>
      <c r="B977" s="3" t="s">
        <v>389</v>
      </c>
      <c r="C977" s="3" t="s">
        <v>390</v>
      </c>
      <c r="D977" s="3" t="s">
        <v>391</v>
      </c>
      <c r="E977" s="3" t="s">
        <v>538</v>
      </c>
      <c r="F977" s="3">
        <v>22.99</v>
      </c>
      <c r="G977" s="3" t="s">
        <v>2454</v>
      </c>
      <c r="H977" s="3"/>
      <c r="I977" s="3" t="s">
        <v>2455</v>
      </c>
      <c r="J977" s="3">
        <v>76</v>
      </c>
      <c r="K977" s="3">
        <v>29</v>
      </c>
      <c r="L977" s="3">
        <v>0</v>
      </c>
      <c r="M977" s="3">
        <v>47</v>
      </c>
      <c r="N977" s="3">
        <v>176</v>
      </c>
      <c r="O977" s="3">
        <v>0.06</v>
      </c>
      <c r="P977" s="3">
        <v>100</v>
      </c>
      <c r="Q977" s="3">
        <v>0</v>
      </c>
      <c r="R977" s="3">
        <v>0</v>
      </c>
    </row>
    <row r="978" spans="1:18">
      <c r="A978" s="3" t="s">
        <v>396</v>
      </c>
      <c r="B978" s="3" t="s">
        <v>397</v>
      </c>
      <c r="C978" s="3" t="s">
        <v>398</v>
      </c>
      <c r="D978" s="3" t="s">
        <v>399</v>
      </c>
      <c r="E978" s="3" t="s">
        <v>538</v>
      </c>
      <c r="F978" s="3">
        <v>22.99</v>
      </c>
      <c r="G978" s="3" t="s">
        <v>2454</v>
      </c>
      <c r="H978" s="3"/>
      <c r="I978" s="3" t="s">
        <v>2455</v>
      </c>
      <c r="J978" s="3">
        <v>85</v>
      </c>
      <c r="K978" s="3">
        <v>29</v>
      </c>
      <c r="L978" s="3">
        <v>0</v>
      </c>
      <c r="M978" s="3">
        <v>56</v>
      </c>
      <c r="N978" s="3">
        <v>85</v>
      </c>
      <c r="O978" s="3">
        <v>0.06</v>
      </c>
      <c r="P978" s="3">
        <v>0</v>
      </c>
      <c r="Q978" s="3">
        <v>0</v>
      </c>
      <c r="R978" s="3">
        <v>0</v>
      </c>
    </row>
    <row r="979" spans="1:18">
      <c r="A979" s="3" t="s">
        <v>447</v>
      </c>
      <c r="B979" s="3" t="s">
        <v>448</v>
      </c>
      <c r="C979" s="3" t="s">
        <v>449</v>
      </c>
      <c r="D979" s="3" t="s">
        <v>450</v>
      </c>
      <c r="E979" s="3" t="s">
        <v>538</v>
      </c>
      <c r="F979" s="3">
        <v>22.99</v>
      </c>
      <c r="G979" s="3" t="s">
        <v>2454</v>
      </c>
      <c r="H979" s="3"/>
      <c r="I979" s="3" t="s">
        <v>2455</v>
      </c>
      <c r="J979" s="3">
        <v>167</v>
      </c>
      <c r="K979" s="3">
        <v>62</v>
      </c>
      <c r="L979" s="3">
        <v>1</v>
      </c>
      <c r="M979" s="3">
        <v>104</v>
      </c>
      <c r="N979" s="3">
        <v>167</v>
      </c>
      <c r="O979" s="3">
        <v>0.06</v>
      </c>
      <c r="P979" s="3">
        <v>0</v>
      </c>
      <c r="Q979" s="3">
        <v>0</v>
      </c>
      <c r="R979" s="3">
        <v>0</v>
      </c>
    </row>
    <row r="980" spans="1:18">
      <c r="A980" s="3" t="s">
        <v>2204</v>
      </c>
      <c r="B980" s="3" t="s">
        <v>2205</v>
      </c>
      <c r="C980" s="3" t="s">
        <v>2206</v>
      </c>
      <c r="D980" s="3" t="s">
        <v>1589</v>
      </c>
      <c r="E980" s="3" t="s">
        <v>538</v>
      </c>
      <c r="F980" s="3">
        <v>22.99</v>
      </c>
      <c r="G980" s="3" t="s">
        <v>2454</v>
      </c>
      <c r="H980" s="3"/>
      <c r="I980" s="3" t="s">
        <v>2455</v>
      </c>
      <c r="J980" s="3">
        <v>12</v>
      </c>
      <c r="K980" s="3">
        <v>12</v>
      </c>
      <c r="L980" s="3">
        <v>0</v>
      </c>
      <c r="M980" s="3">
        <v>0</v>
      </c>
      <c r="N980" s="3">
        <v>32</v>
      </c>
      <c r="O980" s="3">
        <v>0.06</v>
      </c>
      <c r="P980" s="3">
        <v>20</v>
      </c>
      <c r="Q980" s="3">
        <v>0</v>
      </c>
      <c r="R980" s="3">
        <v>0</v>
      </c>
    </row>
    <row r="981" spans="1:18">
      <c r="A981" s="3" t="s">
        <v>2160</v>
      </c>
      <c r="B981" s="3" t="s">
        <v>2161</v>
      </c>
      <c r="C981" s="3" t="s">
        <v>2162</v>
      </c>
      <c r="D981" s="3" t="s">
        <v>1589</v>
      </c>
      <c r="E981" s="3" t="s">
        <v>538</v>
      </c>
      <c r="F981" s="3">
        <v>22.99</v>
      </c>
      <c r="G981" s="3" t="s">
        <v>2454</v>
      </c>
      <c r="H981" s="3"/>
      <c r="I981" s="3" t="s">
        <v>2455</v>
      </c>
      <c r="J981" s="3">
        <v>14</v>
      </c>
      <c r="K981" s="3">
        <v>14</v>
      </c>
      <c r="L981" s="3">
        <v>0</v>
      </c>
      <c r="M981" s="3">
        <v>0</v>
      </c>
      <c r="N981" s="3">
        <v>34</v>
      </c>
      <c r="O981" s="3">
        <v>0.06</v>
      </c>
      <c r="P981" s="3">
        <v>20</v>
      </c>
      <c r="Q981" s="3">
        <v>0</v>
      </c>
      <c r="R981" s="3">
        <v>0</v>
      </c>
    </row>
    <row r="982" spans="1:18">
      <c r="A982" s="3" t="s">
        <v>2029</v>
      </c>
      <c r="B982" s="3" t="s">
        <v>2030</v>
      </c>
      <c r="C982" s="3" t="s">
        <v>2031</v>
      </c>
      <c r="D982" s="3" t="s">
        <v>1589</v>
      </c>
      <c r="E982" s="3" t="s">
        <v>538</v>
      </c>
      <c r="F982" s="3">
        <v>22.99</v>
      </c>
      <c r="G982" s="3" t="s">
        <v>2454</v>
      </c>
      <c r="H982" s="3"/>
      <c r="I982" s="3" t="s">
        <v>2455</v>
      </c>
      <c r="J982" s="3">
        <v>15</v>
      </c>
      <c r="K982" s="3">
        <v>15</v>
      </c>
      <c r="L982" s="3">
        <v>0</v>
      </c>
      <c r="M982" s="3">
        <v>0</v>
      </c>
      <c r="N982" s="3">
        <v>35</v>
      </c>
      <c r="O982" s="3">
        <v>0.06</v>
      </c>
      <c r="P982" s="3">
        <v>20</v>
      </c>
      <c r="Q982" s="3">
        <v>0</v>
      </c>
      <c r="R982" s="3">
        <v>0</v>
      </c>
    </row>
    <row r="983" spans="1:18">
      <c r="A983" s="3" t="s">
        <v>1586</v>
      </c>
      <c r="B983" s="3" t="s">
        <v>1587</v>
      </c>
      <c r="C983" s="3" t="s">
        <v>1588</v>
      </c>
      <c r="D983" s="3" t="s">
        <v>1589</v>
      </c>
      <c r="E983" s="3" t="s">
        <v>538</v>
      </c>
      <c r="F983" s="3">
        <v>22.99</v>
      </c>
      <c r="G983" s="3" t="s">
        <v>2454</v>
      </c>
      <c r="H983" s="3"/>
      <c r="I983" s="3" t="s">
        <v>2455</v>
      </c>
      <c r="J983" s="3">
        <v>15</v>
      </c>
      <c r="K983" s="3">
        <v>15</v>
      </c>
      <c r="L983" s="3">
        <v>0</v>
      </c>
      <c r="M983" s="3">
        <v>0</v>
      </c>
      <c r="N983" s="3">
        <v>35</v>
      </c>
      <c r="O983" s="3">
        <v>0.06</v>
      </c>
      <c r="P983" s="3">
        <v>20</v>
      </c>
      <c r="Q983" s="3">
        <v>0</v>
      </c>
      <c r="R983" s="3">
        <v>0</v>
      </c>
    </row>
    <row r="984" spans="1:18">
      <c r="A984" s="3" t="s">
        <v>3772</v>
      </c>
      <c r="B984" s="3" t="s">
        <v>3773</v>
      </c>
      <c r="C984" s="3" t="s">
        <v>3774</v>
      </c>
      <c r="D984" s="3" t="s">
        <v>3775</v>
      </c>
      <c r="E984" s="3" t="s">
        <v>538</v>
      </c>
      <c r="F984" s="3">
        <v>23.99</v>
      </c>
      <c r="G984" s="3" t="s">
        <v>2454</v>
      </c>
      <c r="H984" s="3"/>
      <c r="I984" s="3" t="s">
        <v>2455</v>
      </c>
      <c r="J984" s="3">
        <v>0</v>
      </c>
      <c r="K984" s="3">
        <v>0</v>
      </c>
      <c r="L984" s="3">
        <v>0</v>
      </c>
      <c r="M984" s="3">
        <v>0</v>
      </c>
      <c r="N984" s="3">
        <v>37</v>
      </c>
      <c r="O984" s="3">
        <v>0.06</v>
      </c>
      <c r="P984" s="3">
        <v>2</v>
      </c>
      <c r="Q984" s="3">
        <v>35</v>
      </c>
      <c r="R984" s="3">
        <v>0</v>
      </c>
    </row>
    <row r="985" spans="1:18">
      <c r="A985" s="3" t="s">
        <v>3776</v>
      </c>
      <c r="B985" s="3" t="s">
        <v>3777</v>
      </c>
      <c r="C985" s="3" t="s">
        <v>3778</v>
      </c>
      <c r="D985" s="3" t="s">
        <v>3775</v>
      </c>
      <c r="E985" s="3" t="s">
        <v>538</v>
      </c>
      <c r="F985" s="3">
        <v>23.99</v>
      </c>
      <c r="G985" s="3" t="s">
        <v>2454</v>
      </c>
      <c r="H985" s="3"/>
      <c r="I985" s="3" t="s">
        <v>2455</v>
      </c>
      <c r="J985" s="3">
        <v>0</v>
      </c>
      <c r="K985" s="3">
        <v>0</v>
      </c>
      <c r="L985" s="3">
        <v>0</v>
      </c>
      <c r="M985" s="3">
        <v>0</v>
      </c>
      <c r="N985" s="3">
        <v>37</v>
      </c>
      <c r="O985" s="3">
        <v>0.06</v>
      </c>
      <c r="P985" s="3">
        <v>2</v>
      </c>
      <c r="Q985" s="3">
        <v>35</v>
      </c>
      <c r="R985" s="3">
        <v>0</v>
      </c>
    </row>
    <row r="986" spans="1:18">
      <c r="A986" s="3" t="s">
        <v>3779</v>
      </c>
      <c r="B986" s="3" t="s">
        <v>3780</v>
      </c>
      <c r="C986" s="3" t="s">
        <v>3781</v>
      </c>
      <c r="D986" s="3" t="s">
        <v>3775</v>
      </c>
      <c r="E986" s="3" t="s">
        <v>538</v>
      </c>
      <c r="F986" s="3">
        <v>23.99</v>
      </c>
      <c r="G986" s="3" t="s">
        <v>2454</v>
      </c>
      <c r="H986" s="3"/>
      <c r="I986" s="3" t="s">
        <v>2455</v>
      </c>
      <c r="J986" s="3">
        <v>0</v>
      </c>
      <c r="K986" s="3">
        <v>0</v>
      </c>
      <c r="L986" s="3">
        <v>0</v>
      </c>
      <c r="M986" s="3">
        <v>0</v>
      </c>
      <c r="N986" s="3">
        <v>37</v>
      </c>
      <c r="O986" s="3">
        <v>0.06</v>
      </c>
      <c r="P986" s="3">
        <v>2</v>
      </c>
      <c r="Q986" s="3">
        <v>35</v>
      </c>
      <c r="R986" s="3">
        <v>0</v>
      </c>
    </row>
    <row r="987" spans="1:18">
      <c r="A987" s="3" t="s">
        <v>3782</v>
      </c>
      <c r="B987" s="3" t="s">
        <v>3783</v>
      </c>
      <c r="C987" s="3" t="s">
        <v>3784</v>
      </c>
      <c r="D987" s="3" t="s">
        <v>3775</v>
      </c>
      <c r="E987" s="3" t="s">
        <v>538</v>
      </c>
      <c r="F987" s="3">
        <v>23.99</v>
      </c>
      <c r="G987" s="3" t="s">
        <v>2454</v>
      </c>
      <c r="H987" s="3"/>
      <c r="I987" s="3" t="s">
        <v>2455</v>
      </c>
      <c r="J987" s="3">
        <v>0</v>
      </c>
      <c r="K987" s="3">
        <v>0</v>
      </c>
      <c r="L987" s="3">
        <v>0</v>
      </c>
      <c r="M987" s="3">
        <v>0</v>
      </c>
      <c r="N987" s="3">
        <v>37</v>
      </c>
      <c r="O987" s="3">
        <v>0.06</v>
      </c>
      <c r="P987" s="3">
        <v>2</v>
      </c>
      <c r="Q987" s="3">
        <v>35</v>
      </c>
      <c r="R987" s="3">
        <v>0</v>
      </c>
    </row>
    <row r="988" spans="1:18">
      <c r="A988" s="3" t="s">
        <v>3785</v>
      </c>
      <c r="B988" s="3" t="s">
        <v>3786</v>
      </c>
      <c r="C988" s="3" t="s">
        <v>3787</v>
      </c>
      <c r="D988" s="3" t="s">
        <v>3775</v>
      </c>
      <c r="E988" s="3" t="s">
        <v>538</v>
      </c>
      <c r="F988" s="3">
        <v>23.99</v>
      </c>
      <c r="G988" s="3" t="s">
        <v>2454</v>
      </c>
      <c r="H988" s="3"/>
      <c r="I988" s="3" t="s">
        <v>2455</v>
      </c>
      <c r="J988" s="3">
        <v>0</v>
      </c>
      <c r="K988" s="3">
        <v>0</v>
      </c>
      <c r="L988" s="3">
        <v>0</v>
      </c>
      <c r="M988" s="3">
        <v>0</v>
      </c>
      <c r="N988" s="3">
        <v>37</v>
      </c>
      <c r="O988" s="3">
        <v>0.06</v>
      </c>
      <c r="P988" s="3">
        <v>2</v>
      </c>
      <c r="Q988" s="3">
        <v>35</v>
      </c>
      <c r="R988" s="3">
        <v>0</v>
      </c>
    </row>
    <row r="989" spans="1:18">
      <c r="A989" s="3" t="s">
        <v>3788</v>
      </c>
      <c r="B989" s="3" t="s">
        <v>3789</v>
      </c>
      <c r="C989" s="3" t="s">
        <v>3790</v>
      </c>
      <c r="D989" s="3" t="s">
        <v>3775</v>
      </c>
      <c r="E989" s="3" t="s">
        <v>538</v>
      </c>
      <c r="F989" s="3">
        <v>23.99</v>
      </c>
      <c r="G989" s="3" t="s">
        <v>2454</v>
      </c>
      <c r="H989" s="3"/>
      <c r="I989" s="3" t="s">
        <v>2455</v>
      </c>
      <c r="J989" s="3">
        <v>0</v>
      </c>
      <c r="K989" s="3">
        <v>0</v>
      </c>
      <c r="L989" s="3">
        <v>0</v>
      </c>
      <c r="M989" s="3">
        <v>0</v>
      </c>
      <c r="N989" s="3">
        <v>37</v>
      </c>
      <c r="O989" s="3">
        <v>0.06</v>
      </c>
      <c r="P989" s="3">
        <v>2</v>
      </c>
      <c r="Q989" s="3">
        <v>35</v>
      </c>
      <c r="R989" s="3">
        <v>0</v>
      </c>
    </row>
    <row r="990" spans="1:18">
      <c r="A990" s="3" t="s">
        <v>3791</v>
      </c>
      <c r="B990" s="3" t="s">
        <v>3792</v>
      </c>
      <c r="C990" s="3" t="s">
        <v>3793</v>
      </c>
      <c r="D990" s="3" t="s">
        <v>3794</v>
      </c>
      <c r="E990" s="3" t="s">
        <v>538</v>
      </c>
      <c r="F990" s="3">
        <v>24.99</v>
      </c>
      <c r="G990" s="3" t="s">
        <v>2454</v>
      </c>
      <c r="H990" s="3"/>
      <c r="I990" s="3" t="s">
        <v>2455</v>
      </c>
      <c r="J990" s="3">
        <v>0</v>
      </c>
      <c r="K990" s="3">
        <v>0</v>
      </c>
      <c r="L990" s="3">
        <v>0</v>
      </c>
      <c r="M990" s="3">
        <v>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</row>
    <row r="991" spans="1:18">
      <c r="A991" s="3" t="s">
        <v>3795</v>
      </c>
      <c r="B991" s="3" t="s">
        <v>3796</v>
      </c>
      <c r="C991" s="3" t="s">
        <v>3797</v>
      </c>
      <c r="D991" s="3" t="s">
        <v>3794</v>
      </c>
      <c r="E991" s="3" t="s">
        <v>538</v>
      </c>
      <c r="F991" s="3">
        <v>24.99</v>
      </c>
      <c r="G991" s="3" t="s">
        <v>2454</v>
      </c>
      <c r="H991" s="3"/>
      <c r="I991" s="3" t="s">
        <v>2455</v>
      </c>
      <c r="J991" s="3">
        <v>0</v>
      </c>
      <c r="K991" s="3">
        <v>0</v>
      </c>
      <c r="L991" s="3">
        <v>0</v>
      </c>
      <c r="M991" s="3">
        <v>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</row>
    <row r="992" spans="1:18">
      <c r="A992" s="3" t="s">
        <v>2379</v>
      </c>
      <c r="B992" s="3" t="s">
        <v>2380</v>
      </c>
      <c r="C992" s="3" t="s">
        <v>2381</v>
      </c>
      <c r="D992" s="3" t="s">
        <v>2382</v>
      </c>
      <c r="E992" s="3" t="s">
        <v>538</v>
      </c>
      <c r="F992" s="3">
        <v>20</v>
      </c>
      <c r="G992" s="3" t="s">
        <v>2454</v>
      </c>
      <c r="H992" s="3"/>
      <c r="I992" s="3" t="s">
        <v>2455</v>
      </c>
      <c r="J992" s="3">
        <v>30</v>
      </c>
      <c r="K992" s="3">
        <v>29</v>
      </c>
      <c r="L992" s="3">
        <v>1</v>
      </c>
      <c r="M992" s="3">
        <v>0</v>
      </c>
      <c r="N992" s="3">
        <v>30</v>
      </c>
      <c r="O992" s="3">
        <v>0.03</v>
      </c>
      <c r="P992" s="3">
        <v>0</v>
      </c>
      <c r="Q992" s="3">
        <v>0</v>
      </c>
      <c r="R992" s="3">
        <v>0</v>
      </c>
    </row>
    <row r="993" spans="1:18">
      <c r="A993" s="3" t="s">
        <v>1234</v>
      </c>
      <c r="B993" s="3" t="s">
        <v>1235</v>
      </c>
      <c r="C993" s="3" t="s">
        <v>1236</v>
      </c>
      <c r="D993" s="3" t="s">
        <v>1237</v>
      </c>
      <c r="E993" s="3" t="s">
        <v>538</v>
      </c>
      <c r="F993" s="3">
        <v>20</v>
      </c>
      <c r="G993" s="3" t="s">
        <v>2454</v>
      </c>
      <c r="H993" s="3"/>
      <c r="I993" s="3" t="s">
        <v>2455</v>
      </c>
      <c r="J993" s="3">
        <v>24</v>
      </c>
      <c r="K993" s="3">
        <v>23</v>
      </c>
      <c r="L993" s="3">
        <v>1</v>
      </c>
      <c r="M993" s="3">
        <v>0</v>
      </c>
      <c r="N993" s="3">
        <v>29</v>
      </c>
      <c r="O993" s="3">
        <v>0.03</v>
      </c>
      <c r="P993" s="3">
        <v>0</v>
      </c>
      <c r="Q993" s="3">
        <v>5</v>
      </c>
      <c r="R993" s="3">
        <v>0</v>
      </c>
    </row>
    <row r="994" spans="1:18">
      <c r="A994" s="3" t="s">
        <v>463</v>
      </c>
      <c r="B994" s="3" t="s">
        <v>464</v>
      </c>
      <c r="C994" s="3" t="s">
        <v>465</v>
      </c>
      <c r="D994" s="3" t="s">
        <v>466</v>
      </c>
      <c r="E994" s="3" t="s">
        <v>538</v>
      </c>
      <c r="F994" s="3">
        <v>20</v>
      </c>
      <c r="G994" s="3" t="s">
        <v>2454</v>
      </c>
      <c r="H994" s="3"/>
      <c r="I994" s="3" t="s">
        <v>2455</v>
      </c>
      <c r="J994" s="3">
        <v>29</v>
      </c>
      <c r="K994" s="3">
        <v>28</v>
      </c>
      <c r="L994" s="3">
        <v>0</v>
      </c>
      <c r="M994" s="3">
        <v>1</v>
      </c>
      <c r="N994" s="3">
        <v>29</v>
      </c>
      <c r="O994" s="3">
        <v>0.03</v>
      </c>
      <c r="P994" s="3">
        <v>0</v>
      </c>
      <c r="Q994" s="3">
        <v>0</v>
      </c>
      <c r="R994" s="3">
        <v>0</v>
      </c>
    </row>
    <row r="995" spans="1:18">
      <c r="A995" s="3" t="s">
        <v>999</v>
      </c>
      <c r="B995" s="3" t="s">
        <v>1000</v>
      </c>
      <c r="C995" s="3" t="s">
        <v>1001</v>
      </c>
      <c r="D995" s="3" t="s">
        <v>1002</v>
      </c>
      <c r="E995" s="3" t="s">
        <v>538</v>
      </c>
      <c r="F995" s="3">
        <v>20</v>
      </c>
      <c r="G995" s="3" t="s">
        <v>2454</v>
      </c>
      <c r="H995" s="3"/>
      <c r="I995" s="3" t="s">
        <v>2455</v>
      </c>
      <c r="J995" s="3">
        <v>62</v>
      </c>
      <c r="K995" s="3">
        <v>62</v>
      </c>
      <c r="L995" s="3">
        <v>0</v>
      </c>
      <c r="M995" s="3">
        <v>0</v>
      </c>
      <c r="N995" s="3">
        <v>62</v>
      </c>
      <c r="O995" s="3">
        <v>0.03</v>
      </c>
      <c r="P995" s="3">
        <v>0</v>
      </c>
      <c r="Q995" s="3">
        <v>0</v>
      </c>
      <c r="R995" s="3">
        <v>0</v>
      </c>
    </row>
    <row r="996" spans="1:18">
      <c r="A996" s="3" t="s">
        <v>2194</v>
      </c>
      <c r="B996" s="3" t="s">
        <v>2195</v>
      </c>
      <c r="C996" s="3" t="s">
        <v>2196</v>
      </c>
      <c r="D996" s="3" t="s">
        <v>2197</v>
      </c>
      <c r="E996" s="3" t="s">
        <v>538</v>
      </c>
      <c r="F996" s="3">
        <v>20</v>
      </c>
      <c r="G996" s="3" t="s">
        <v>2454</v>
      </c>
      <c r="H996" s="3"/>
      <c r="I996" s="3" t="s">
        <v>2455</v>
      </c>
      <c r="J996" s="3">
        <v>16</v>
      </c>
      <c r="K996" s="3">
        <v>16</v>
      </c>
      <c r="L996" s="3">
        <v>0</v>
      </c>
      <c r="M996" s="3">
        <v>0</v>
      </c>
      <c r="N996" s="3">
        <v>16</v>
      </c>
      <c r="O996" s="3">
        <v>0.03</v>
      </c>
      <c r="P996" s="3">
        <v>0</v>
      </c>
      <c r="Q996" s="3">
        <v>0</v>
      </c>
      <c r="R996" s="3">
        <v>0</v>
      </c>
    </row>
    <row r="997" spans="1:18">
      <c r="A997" s="3" t="s">
        <v>1096</v>
      </c>
      <c r="B997" s="3" t="s">
        <v>1097</v>
      </c>
      <c r="C997" s="3" t="s">
        <v>1098</v>
      </c>
      <c r="D997" s="3" t="s">
        <v>1099</v>
      </c>
      <c r="E997" s="3" t="s">
        <v>538</v>
      </c>
      <c r="F997" s="3">
        <v>20</v>
      </c>
      <c r="G997" s="3" t="s">
        <v>2454</v>
      </c>
      <c r="H997" s="3"/>
      <c r="I997" s="3" t="s">
        <v>2455</v>
      </c>
      <c r="J997" s="3">
        <v>22</v>
      </c>
      <c r="K997" s="3">
        <v>21</v>
      </c>
      <c r="L997" s="3">
        <v>1</v>
      </c>
      <c r="M997" s="3">
        <v>0</v>
      </c>
      <c r="N997" s="3">
        <v>22</v>
      </c>
      <c r="O997" s="3">
        <v>0.03</v>
      </c>
      <c r="P997" s="3">
        <v>0</v>
      </c>
      <c r="Q997" s="3">
        <v>0</v>
      </c>
      <c r="R997" s="3">
        <v>0</v>
      </c>
    </row>
    <row r="998" spans="1:18">
      <c r="A998" s="3" t="s">
        <v>416</v>
      </c>
      <c r="B998" s="3" t="s">
        <v>417</v>
      </c>
      <c r="C998" s="3" t="s">
        <v>418</v>
      </c>
      <c r="D998" s="3" t="s">
        <v>419</v>
      </c>
      <c r="E998" s="3" t="s">
        <v>538</v>
      </c>
      <c r="F998" s="3">
        <v>49.99</v>
      </c>
      <c r="G998" s="3" t="s">
        <v>2454</v>
      </c>
      <c r="H998" s="3"/>
      <c r="I998" s="3" t="s">
        <v>2455</v>
      </c>
      <c r="J998" s="3">
        <v>64</v>
      </c>
      <c r="K998" s="3">
        <v>59</v>
      </c>
      <c r="L998" s="3">
        <v>1</v>
      </c>
      <c r="M998" s="3">
        <v>4</v>
      </c>
      <c r="N998" s="3">
        <v>89</v>
      </c>
      <c r="O998" s="3">
        <v>0.09</v>
      </c>
      <c r="P998" s="3">
        <v>0</v>
      </c>
      <c r="Q998" s="3">
        <v>25</v>
      </c>
      <c r="R998" s="3">
        <v>0</v>
      </c>
    </row>
    <row r="999" spans="1:18">
      <c r="A999" s="3" t="s">
        <v>404</v>
      </c>
      <c r="B999" s="3" t="s">
        <v>405</v>
      </c>
      <c r="C999" s="3" t="s">
        <v>406</v>
      </c>
      <c r="D999" s="3" t="s">
        <v>407</v>
      </c>
      <c r="E999" s="3" t="s">
        <v>538</v>
      </c>
      <c r="F999" s="3">
        <v>49.99</v>
      </c>
      <c r="G999" s="3" t="s">
        <v>2454</v>
      </c>
      <c r="H999" s="3"/>
      <c r="I999" s="3" t="s">
        <v>2455</v>
      </c>
      <c r="J999" s="3">
        <v>91</v>
      </c>
      <c r="K999" s="3">
        <v>89</v>
      </c>
      <c r="L999" s="3">
        <v>1</v>
      </c>
      <c r="M999" s="3">
        <v>1</v>
      </c>
      <c r="N999" s="3">
        <v>121</v>
      </c>
      <c r="O999" s="3">
        <v>0.09</v>
      </c>
      <c r="P999" s="3">
        <v>0</v>
      </c>
      <c r="Q999" s="3">
        <v>30</v>
      </c>
      <c r="R999" s="3">
        <v>0</v>
      </c>
    </row>
    <row r="1000" spans="1:18">
      <c r="A1000" s="3" t="s">
        <v>455</v>
      </c>
      <c r="B1000" s="3" t="s">
        <v>456</v>
      </c>
      <c r="C1000" s="3" t="s">
        <v>457</v>
      </c>
      <c r="D1000" s="3" t="s">
        <v>458</v>
      </c>
      <c r="E1000" s="3" t="s">
        <v>538</v>
      </c>
      <c r="F1000" s="3">
        <v>49.99</v>
      </c>
      <c r="G1000" s="3" t="s">
        <v>2454</v>
      </c>
      <c r="H1000" s="3"/>
      <c r="I1000" s="3" t="s">
        <v>2455</v>
      </c>
      <c r="J1000" s="3">
        <v>51</v>
      </c>
      <c r="K1000" s="3">
        <v>48</v>
      </c>
      <c r="L1000" s="3">
        <v>1</v>
      </c>
      <c r="M1000" s="3">
        <v>2</v>
      </c>
      <c r="N1000" s="3">
        <v>161</v>
      </c>
      <c r="O1000" s="3">
        <v>0.09</v>
      </c>
      <c r="P1000" s="3">
        <v>0</v>
      </c>
      <c r="Q1000" s="3">
        <v>110</v>
      </c>
      <c r="R1000" s="3">
        <v>0</v>
      </c>
    </row>
    <row r="1001" spans="1:18">
      <c r="A1001" s="3" t="s">
        <v>439</v>
      </c>
      <c r="B1001" s="3" t="s">
        <v>440</v>
      </c>
      <c r="C1001" s="3" t="s">
        <v>441</v>
      </c>
      <c r="D1001" s="3" t="s">
        <v>442</v>
      </c>
      <c r="E1001" s="3" t="s">
        <v>538</v>
      </c>
      <c r="F1001" s="3">
        <v>49.99</v>
      </c>
      <c r="G1001" s="3" t="s">
        <v>2454</v>
      </c>
      <c r="H1001" s="3"/>
      <c r="I1001" s="3" t="s">
        <v>2455</v>
      </c>
      <c r="J1001" s="3">
        <v>151</v>
      </c>
      <c r="K1001" s="3">
        <v>119</v>
      </c>
      <c r="L1001" s="3">
        <v>0</v>
      </c>
      <c r="M1001" s="3">
        <v>32</v>
      </c>
      <c r="N1001" s="3">
        <v>151</v>
      </c>
      <c r="O1001" s="3">
        <v>0.09</v>
      </c>
      <c r="P1001" s="3">
        <v>0</v>
      </c>
      <c r="Q1001" s="3">
        <v>0</v>
      </c>
      <c r="R1001" s="3">
        <v>0</v>
      </c>
    </row>
    <row r="1002" spans="1:18">
      <c r="A1002" s="3" t="s">
        <v>412</v>
      </c>
      <c r="B1002" s="3" t="s">
        <v>413</v>
      </c>
      <c r="C1002" s="3" t="s">
        <v>414</v>
      </c>
      <c r="D1002" s="3" t="s">
        <v>415</v>
      </c>
      <c r="E1002" s="3" t="s">
        <v>538</v>
      </c>
      <c r="F1002" s="3">
        <v>22.99</v>
      </c>
      <c r="G1002" s="3" t="s">
        <v>2454</v>
      </c>
      <c r="H1002" s="3"/>
      <c r="I1002" s="3" t="s">
        <v>2455</v>
      </c>
      <c r="J1002" s="3">
        <v>141</v>
      </c>
      <c r="K1002" s="3">
        <v>137</v>
      </c>
      <c r="L1002" s="3">
        <v>1</v>
      </c>
      <c r="M1002" s="3">
        <v>3</v>
      </c>
      <c r="N1002" s="3">
        <v>141</v>
      </c>
      <c r="O1002" s="3">
        <v>0.09</v>
      </c>
      <c r="P1002" s="3">
        <v>0</v>
      </c>
      <c r="Q1002" s="3">
        <v>0</v>
      </c>
      <c r="R1002" s="3">
        <v>0</v>
      </c>
    </row>
    <row r="1003" spans="1:18">
      <c r="A1003" s="3" t="s">
        <v>428</v>
      </c>
      <c r="B1003" s="3" t="s">
        <v>429</v>
      </c>
      <c r="C1003" s="3" t="s">
        <v>430</v>
      </c>
      <c r="D1003" s="3" t="s">
        <v>431</v>
      </c>
      <c r="E1003" s="3" t="s">
        <v>538</v>
      </c>
      <c r="F1003" s="3">
        <v>19.99</v>
      </c>
      <c r="G1003" s="3" t="s">
        <v>2454</v>
      </c>
      <c r="H1003" s="3"/>
      <c r="I1003" s="3" t="s">
        <v>2455</v>
      </c>
      <c r="J1003" s="3">
        <v>13</v>
      </c>
      <c r="K1003" s="3">
        <v>12</v>
      </c>
      <c r="L1003" s="3">
        <v>0</v>
      </c>
      <c r="M1003" s="3">
        <v>1</v>
      </c>
      <c r="N1003" s="3">
        <v>13</v>
      </c>
      <c r="O1003" s="3">
        <v>0.04</v>
      </c>
      <c r="P1003" s="3">
        <v>0</v>
      </c>
      <c r="Q1003" s="3">
        <v>0</v>
      </c>
      <c r="R1003" s="3">
        <v>0</v>
      </c>
    </row>
    <row r="1004" spans="1:18">
      <c r="A1004" s="3" t="s">
        <v>2367</v>
      </c>
      <c r="B1004" s="3" t="s">
        <v>2368</v>
      </c>
      <c r="C1004" s="3" t="s">
        <v>2369</v>
      </c>
      <c r="D1004" s="3" t="s">
        <v>2370</v>
      </c>
      <c r="E1004" s="3" t="s">
        <v>538</v>
      </c>
      <c r="F1004" s="3">
        <v>19.99</v>
      </c>
      <c r="G1004" s="3" t="s">
        <v>2454</v>
      </c>
      <c r="H1004" s="3"/>
      <c r="I1004" s="3" t="s">
        <v>2455</v>
      </c>
      <c r="J1004" s="3">
        <v>6</v>
      </c>
      <c r="K1004" s="3">
        <v>6</v>
      </c>
      <c r="L1004" s="3">
        <v>0</v>
      </c>
      <c r="M1004" s="3">
        <v>0</v>
      </c>
      <c r="N1004" s="3">
        <v>6</v>
      </c>
      <c r="O1004" s="3">
        <v>0.04</v>
      </c>
      <c r="P1004" s="3">
        <v>0</v>
      </c>
      <c r="Q1004" s="3">
        <v>0</v>
      </c>
      <c r="R1004" s="3">
        <v>0</v>
      </c>
    </row>
    <row r="1005" spans="1:18">
      <c r="A1005" s="3" t="s">
        <v>625</v>
      </c>
      <c r="B1005" s="3" t="s">
        <v>626</v>
      </c>
      <c r="C1005" s="3" t="s">
        <v>627</v>
      </c>
      <c r="D1005" s="3" t="s">
        <v>628</v>
      </c>
      <c r="E1005" s="3" t="s">
        <v>538</v>
      </c>
      <c r="F1005" s="3">
        <v>19.99</v>
      </c>
      <c r="G1005" s="3" t="s">
        <v>2454</v>
      </c>
      <c r="H1005" s="3"/>
      <c r="I1005" s="3" t="s">
        <v>2455</v>
      </c>
      <c r="J1005" s="3">
        <v>7</v>
      </c>
      <c r="K1005" s="3">
        <v>7</v>
      </c>
      <c r="L1005" s="3">
        <v>0</v>
      </c>
      <c r="M1005" s="3">
        <v>0</v>
      </c>
      <c r="N1005" s="3">
        <v>7</v>
      </c>
      <c r="O1005" s="3">
        <v>0.04</v>
      </c>
      <c r="P1005" s="3">
        <v>0</v>
      </c>
      <c r="Q1005" s="3">
        <v>0</v>
      </c>
      <c r="R1005" s="3">
        <v>0</v>
      </c>
    </row>
    <row r="1006" spans="1:18">
      <c r="A1006" s="3" t="s">
        <v>376</v>
      </c>
      <c r="B1006" s="3" t="s">
        <v>377</v>
      </c>
      <c r="C1006" s="3" t="s">
        <v>378</v>
      </c>
      <c r="D1006" s="3" t="s">
        <v>379</v>
      </c>
      <c r="E1006" s="3" t="s">
        <v>538</v>
      </c>
      <c r="F1006" s="3">
        <v>19.99</v>
      </c>
      <c r="G1006" s="3" t="s">
        <v>2454</v>
      </c>
      <c r="H1006" s="3"/>
      <c r="I1006" s="3" t="s">
        <v>2455</v>
      </c>
      <c r="J1006" s="3">
        <v>10</v>
      </c>
      <c r="K1006" s="3">
        <v>9</v>
      </c>
      <c r="L1006" s="3">
        <v>0</v>
      </c>
      <c r="M1006" s="3">
        <v>1</v>
      </c>
      <c r="N1006" s="3">
        <v>10</v>
      </c>
      <c r="O1006" s="3">
        <v>0.04</v>
      </c>
      <c r="P1006" s="3">
        <v>0</v>
      </c>
      <c r="Q1006" s="3">
        <v>0</v>
      </c>
      <c r="R1006" s="3">
        <v>0</v>
      </c>
    </row>
    <row r="1007" spans="1:18">
      <c r="A1007" s="3" t="s">
        <v>1427</v>
      </c>
      <c r="B1007" s="3" t="s">
        <v>1428</v>
      </c>
      <c r="C1007" s="3" t="s">
        <v>1429</v>
      </c>
      <c r="D1007" s="3" t="s">
        <v>403</v>
      </c>
      <c r="E1007" s="3" t="s">
        <v>538</v>
      </c>
      <c r="F1007" s="3">
        <v>10</v>
      </c>
      <c r="G1007" s="3" t="s">
        <v>2454</v>
      </c>
      <c r="H1007" s="3"/>
      <c r="I1007" s="3" t="s">
        <v>2455</v>
      </c>
      <c r="J1007" s="3">
        <v>6</v>
      </c>
      <c r="K1007" s="3">
        <v>6</v>
      </c>
      <c r="L1007" s="3">
        <v>0</v>
      </c>
      <c r="M1007" s="3">
        <v>0</v>
      </c>
      <c r="N1007" s="3">
        <v>6</v>
      </c>
      <c r="O1007" s="3">
        <v>0.05</v>
      </c>
      <c r="P1007" s="3">
        <v>0</v>
      </c>
      <c r="Q1007" s="3">
        <v>0</v>
      </c>
      <c r="R1007" s="3">
        <v>0</v>
      </c>
    </row>
    <row r="1008" spans="1:18">
      <c r="A1008" s="3" t="s">
        <v>3798</v>
      </c>
      <c r="B1008" s="3" t="s">
        <v>3799</v>
      </c>
      <c r="C1008" s="3" t="s">
        <v>3800</v>
      </c>
      <c r="D1008" s="3" t="s">
        <v>3801</v>
      </c>
      <c r="E1008" s="3" t="s">
        <v>538</v>
      </c>
      <c r="F1008" s="3">
        <v>13.99</v>
      </c>
      <c r="G1008" s="3" t="s">
        <v>2454</v>
      </c>
      <c r="H1008" s="3"/>
      <c r="I1008" s="3" t="s">
        <v>2455</v>
      </c>
      <c r="J1008" s="3">
        <v>0</v>
      </c>
      <c r="K1008" s="3">
        <v>0</v>
      </c>
      <c r="L1008" s="3">
        <v>0</v>
      </c>
      <c r="M1008" s="3">
        <v>0</v>
      </c>
      <c r="N1008" s="3">
        <v>0</v>
      </c>
      <c r="O1008" s="3">
        <v>0.05</v>
      </c>
      <c r="P1008" s="3">
        <v>0</v>
      </c>
      <c r="Q1008" s="3">
        <v>0</v>
      </c>
      <c r="R1008" s="3">
        <v>0</v>
      </c>
    </row>
    <row r="1009" spans="1:18">
      <c r="A1009" s="3" t="s">
        <v>432</v>
      </c>
      <c r="B1009" s="3" t="s">
        <v>433</v>
      </c>
      <c r="C1009" s="3" t="s">
        <v>434</v>
      </c>
      <c r="D1009" s="3" t="s">
        <v>403</v>
      </c>
      <c r="E1009" s="3" t="s">
        <v>538</v>
      </c>
      <c r="F1009" s="3">
        <v>13.99</v>
      </c>
      <c r="G1009" s="3" t="s">
        <v>2454</v>
      </c>
      <c r="H1009" s="3"/>
      <c r="I1009" s="3" t="s">
        <v>2455</v>
      </c>
      <c r="J1009" s="3">
        <v>3</v>
      </c>
      <c r="K1009" s="3">
        <v>1</v>
      </c>
      <c r="L1009" s="3">
        <v>0</v>
      </c>
      <c r="M1009" s="3">
        <v>2</v>
      </c>
      <c r="N1009" s="3">
        <v>3</v>
      </c>
      <c r="O1009" s="3">
        <v>0.05</v>
      </c>
      <c r="P1009" s="3">
        <v>0</v>
      </c>
      <c r="Q1009" s="3">
        <v>0</v>
      </c>
      <c r="R1009" s="3">
        <v>0</v>
      </c>
    </row>
    <row r="1010" spans="1:18">
      <c r="A1010" s="3" t="s">
        <v>864</v>
      </c>
      <c r="B1010" s="3" t="s">
        <v>865</v>
      </c>
      <c r="C1010" s="3" t="s">
        <v>866</v>
      </c>
      <c r="D1010" s="3" t="s">
        <v>403</v>
      </c>
      <c r="E1010" s="3" t="s">
        <v>538</v>
      </c>
      <c r="F1010" s="3">
        <v>13.99</v>
      </c>
      <c r="G1010" s="3" t="s">
        <v>2454</v>
      </c>
      <c r="H1010" s="3"/>
      <c r="I1010" s="3" t="s">
        <v>2455</v>
      </c>
      <c r="J1010" s="3">
        <v>4</v>
      </c>
      <c r="K1010" s="3">
        <v>4</v>
      </c>
      <c r="L1010" s="3">
        <v>0</v>
      </c>
      <c r="M1010" s="3">
        <v>0</v>
      </c>
      <c r="N1010" s="3">
        <v>4</v>
      </c>
      <c r="O1010" s="3">
        <v>0.06</v>
      </c>
      <c r="P1010" s="3">
        <v>0</v>
      </c>
      <c r="Q1010" s="3">
        <v>0</v>
      </c>
      <c r="R1010" s="3">
        <v>0</v>
      </c>
    </row>
    <row r="1011" spans="1:18">
      <c r="A1011" s="3" t="s">
        <v>2270</v>
      </c>
      <c r="B1011" s="3" t="s">
        <v>2271</v>
      </c>
      <c r="C1011" s="3" t="s">
        <v>2272</v>
      </c>
      <c r="D1011" s="3" t="s">
        <v>403</v>
      </c>
      <c r="E1011" s="3" t="s">
        <v>538</v>
      </c>
      <c r="F1011" s="3">
        <v>10</v>
      </c>
      <c r="G1011" s="3" t="s">
        <v>2454</v>
      </c>
      <c r="H1011" s="3"/>
      <c r="I1011" s="3" t="s">
        <v>2455</v>
      </c>
      <c r="J1011" s="3">
        <v>15</v>
      </c>
      <c r="K1011" s="3">
        <v>15</v>
      </c>
      <c r="L1011" s="3">
        <v>0</v>
      </c>
      <c r="M1011" s="3">
        <v>0</v>
      </c>
      <c r="N1011" s="3">
        <v>15</v>
      </c>
      <c r="O1011" s="3">
        <v>0.05</v>
      </c>
      <c r="P1011" s="3">
        <v>0</v>
      </c>
      <c r="Q1011" s="3">
        <v>0</v>
      </c>
      <c r="R1011" s="3">
        <v>0</v>
      </c>
    </row>
    <row r="1012" spans="1:18">
      <c r="A1012" s="3" t="s">
        <v>3802</v>
      </c>
      <c r="B1012" s="3" t="s">
        <v>3803</v>
      </c>
      <c r="C1012" s="3" t="s">
        <v>3804</v>
      </c>
      <c r="D1012" s="3"/>
      <c r="E1012" s="3" t="s">
        <v>2459</v>
      </c>
      <c r="F1012" s="3"/>
      <c r="G1012" s="3"/>
      <c r="H1012" s="3"/>
      <c r="I1012" s="3"/>
      <c r="J1012" s="3">
        <v>0</v>
      </c>
      <c r="K1012" s="3">
        <v>0</v>
      </c>
      <c r="L1012" s="3">
        <v>0</v>
      </c>
      <c r="M1012" s="3">
        <v>0</v>
      </c>
      <c r="N1012" s="3">
        <v>0</v>
      </c>
      <c r="O1012" s="3"/>
      <c r="P1012" s="3">
        <v>0</v>
      </c>
      <c r="Q1012" s="3">
        <v>0</v>
      </c>
      <c r="R1012" s="3">
        <v>0</v>
      </c>
    </row>
    <row r="1013" spans="1:18">
      <c r="A1013" s="3" t="s">
        <v>3805</v>
      </c>
      <c r="B1013" s="3" t="s">
        <v>3806</v>
      </c>
      <c r="C1013" s="3" t="s">
        <v>3807</v>
      </c>
      <c r="D1013" s="3" t="s">
        <v>3801</v>
      </c>
      <c r="E1013" s="3" t="s">
        <v>538</v>
      </c>
      <c r="F1013" s="3">
        <v>13.99</v>
      </c>
      <c r="G1013" s="3" t="s">
        <v>2454</v>
      </c>
      <c r="H1013" s="3"/>
      <c r="I1013" s="3" t="s">
        <v>2455</v>
      </c>
      <c r="J1013" s="3">
        <v>0</v>
      </c>
      <c r="K1013" s="3">
        <v>0</v>
      </c>
      <c r="L1013" s="3">
        <v>0</v>
      </c>
      <c r="M1013" s="3">
        <v>0</v>
      </c>
      <c r="N1013" s="3">
        <v>0</v>
      </c>
      <c r="O1013" s="3">
        <v>0.05</v>
      </c>
      <c r="P1013" s="3">
        <v>0</v>
      </c>
      <c r="Q1013" s="3">
        <v>0</v>
      </c>
      <c r="R1013" s="3">
        <v>0</v>
      </c>
    </row>
    <row r="1014" spans="1:18">
      <c r="A1014" s="3" t="s">
        <v>400</v>
      </c>
      <c r="B1014" s="3" t="s">
        <v>401</v>
      </c>
      <c r="C1014" s="3" t="s">
        <v>402</v>
      </c>
      <c r="D1014" s="3" t="s">
        <v>403</v>
      </c>
      <c r="E1014" s="3" t="s">
        <v>538</v>
      </c>
      <c r="F1014" s="3">
        <v>13.99</v>
      </c>
      <c r="G1014" s="3" t="s">
        <v>2454</v>
      </c>
      <c r="H1014" s="3"/>
      <c r="I1014" s="3" t="s">
        <v>2455</v>
      </c>
      <c r="J1014" s="3">
        <v>13</v>
      </c>
      <c r="K1014" s="3">
        <v>2</v>
      </c>
      <c r="L1014" s="3">
        <v>2</v>
      </c>
      <c r="M1014" s="3">
        <v>9</v>
      </c>
      <c r="N1014" s="3">
        <v>13</v>
      </c>
      <c r="O1014" s="3">
        <v>0.06</v>
      </c>
      <c r="P1014" s="3">
        <v>0</v>
      </c>
      <c r="Q1014" s="3">
        <v>0</v>
      </c>
      <c r="R1014" s="3">
        <v>0</v>
      </c>
    </row>
    <row r="1015" spans="1:18">
      <c r="A1015" s="3" t="s">
        <v>1700</v>
      </c>
      <c r="B1015" s="3" t="s">
        <v>1701</v>
      </c>
      <c r="C1015" s="3" t="s">
        <v>1702</v>
      </c>
      <c r="D1015" s="3" t="s">
        <v>403</v>
      </c>
      <c r="E1015" s="3" t="s">
        <v>538</v>
      </c>
      <c r="F1015" s="3">
        <v>13.99</v>
      </c>
      <c r="G1015" s="3" t="s">
        <v>2454</v>
      </c>
      <c r="H1015" s="3"/>
      <c r="I1015" s="3" t="s">
        <v>2455</v>
      </c>
      <c r="J1015" s="3">
        <v>35</v>
      </c>
      <c r="K1015" s="3">
        <v>35</v>
      </c>
      <c r="L1015" s="3">
        <v>0</v>
      </c>
      <c r="M1015" s="3">
        <v>0</v>
      </c>
      <c r="N1015" s="3">
        <v>35</v>
      </c>
      <c r="O1015" s="3">
        <v>0.06</v>
      </c>
      <c r="P1015" s="3">
        <v>0</v>
      </c>
      <c r="Q1015" s="3">
        <v>0</v>
      </c>
      <c r="R1015" s="3">
        <v>0</v>
      </c>
    </row>
    <row r="1016" spans="1:18">
      <c r="A1016" s="3" t="s">
        <v>601</v>
      </c>
      <c r="B1016" s="3" t="s">
        <v>602</v>
      </c>
      <c r="C1016" s="3" t="s">
        <v>603</v>
      </c>
      <c r="D1016" s="3" t="s">
        <v>604</v>
      </c>
      <c r="E1016" s="3" t="s">
        <v>538</v>
      </c>
      <c r="F1016" s="3">
        <v>16.99</v>
      </c>
      <c r="G1016" s="3" t="s">
        <v>2454</v>
      </c>
      <c r="H1016" s="3"/>
      <c r="I1016" s="3" t="s">
        <v>2455</v>
      </c>
      <c r="J1016" s="3">
        <v>18</v>
      </c>
      <c r="K1016" s="3">
        <v>17</v>
      </c>
      <c r="L1016" s="3">
        <v>1</v>
      </c>
      <c r="M1016" s="3">
        <v>0</v>
      </c>
      <c r="N1016" s="3">
        <v>18</v>
      </c>
      <c r="O1016" s="3">
        <v>0.04</v>
      </c>
      <c r="P1016" s="3">
        <v>0</v>
      </c>
      <c r="Q1016" s="3">
        <v>0</v>
      </c>
      <c r="R1016" s="3">
        <v>0</v>
      </c>
    </row>
    <row r="1017" spans="1:18">
      <c r="A1017" s="3" t="s">
        <v>3808</v>
      </c>
      <c r="B1017" s="3" t="s">
        <v>3809</v>
      </c>
      <c r="C1017" s="3" t="s">
        <v>3810</v>
      </c>
      <c r="D1017" s="3" t="s">
        <v>3811</v>
      </c>
      <c r="E1017" s="3" t="s">
        <v>538</v>
      </c>
      <c r="F1017" s="3">
        <v>19.99</v>
      </c>
      <c r="G1017" s="3" t="s">
        <v>2454</v>
      </c>
      <c r="H1017" s="3"/>
      <c r="I1017" s="3" t="s">
        <v>2455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0.04</v>
      </c>
      <c r="P1017" s="3">
        <v>0</v>
      </c>
      <c r="Q1017" s="3">
        <v>0</v>
      </c>
      <c r="R1017" s="3">
        <v>0</v>
      </c>
    </row>
    <row r="1018" spans="1:18">
      <c r="A1018" s="3" t="s">
        <v>3812</v>
      </c>
      <c r="B1018" s="3" t="s">
        <v>3813</v>
      </c>
      <c r="C1018" s="3" t="s">
        <v>3814</v>
      </c>
      <c r="D1018" s="3" t="s">
        <v>3815</v>
      </c>
      <c r="E1018" s="3" t="s">
        <v>538</v>
      </c>
      <c r="F1018" s="3">
        <v>19.99</v>
      </c>
      <c r="G1018" s="3" t="s">
        <v>2454</v>
      </c>
      <c r="H1018" s="3"/>
      <c r="I1018" s="3" t="s">
        <v>2455</v>
      </c>
      <c r="J1018" s="3">
        <v>0</v>
      </c>
      <c r="K1018" s="3">
        <v>0</v>
      </c>
      <c r="L1018" s="3">
        <v>0</v>
      </c>
      <c r="M1018" s="3">
        <v>0</v>
      </c>
      <c r="N1018" s="3">
        <v>0</v>
      </c>
      <c r="O1018" s="3">
        <v>0.03</v>
      </c>
      <c r="P1018" s="3">
        <v>0</v>
      </c>
      <c r="Q1018" s="3">
        <v>0</v>
      </c>
      <c r="R1018" s="3">
        <v>0</v>
      </c>
    </row>
    <row r="1019" spans="1:18">
      <c r="A1019" s="3" t="s">
        <v>3816</v>
      </c>
      <c r="B1019" s="3" t="s">
        <v>3817</v>
      </c>
      <c r="C1019" s="3" t="s">
        <v>3818</v>
      </c>
      <c r="D1019" s="3" t="s">
        <v>3819</v>
      </c>
      <c r="E1019" s="3" t="s">
        <v>538</v>
      </c>
      <c r="F1019" s="3">
        <v>19.99</v>
      </c>
      <c r="G1019" s="3" t="s">
        <v>2454</v>
      </c>
      <c r="H1019" s="3"/>
      <c r="I1019" s="3" t="s">
        <v>2455</v>
      </c>
      <c r="J1019" s="3">
        <v>0</v>
      </c>
      <c r="K1019" s="3">
        <v>0</v>
      </c>
      <c r="L1019" s="3">
        <v>0</v>
      </c>
      <c r="M1019" s="3">
        <v>0</v>
      </c>
      <c r="N1019" s="3">
        <v>0</v>
      </c>
      <c r="O1019" s="3">
        <v>0.05</v>
      </c>
      <c r="P1019" s="3">
        <v>0</v>
      </c>
      <c r="Q1019" s="3">
        <v>0</v>
      </c>
      <c r="R1019" s="3">
        <v>0</v>
      </c>
    </row>
    <row r="1020" spans="1:18">
      <c r="A1020" s="3" t="s">
        <v>3820</v>
      </c>
      <c r="B1020" s="3" t="s">
        <v>3821</v>
      </c>
      <c r="C1020" s="3" t="s">
        <v>3822</v>
      </c>
      <c r="D1020" s="3" t="s">
        <v>3823</v>
      </c>
      <c r="E1020" s="3" t="s">
        <v>538</v>
      </c>
      <c r="F1020" s="3">
        <v>19.99</v>
      </c>
      <c r="G1020" s="3" t="s">
        <v>2454</v>
      </c>
      <c r="H1020" s="3"/>
      <c r="I1020" s="3" t="s">
        <v>2455</v>
      </c>
      <c r="J1020" s="3">
        <v>0</v>
      </c>
      <c r="K1020" s="3">
        <v>0</v>
      </c>
      <c r="L1020" s="3">
        <v>0</v>
      </c>
      <c r="M1020" s="3">
        <v>0</v>
      </c>
      <c r="N1020" s="3">
        <v>0</v>
      </c>
      <c r="O1020" s="3">
        <v>0.04</v>
      </c>
      <c r="P1020" s="3">
        <v>0</v>
      </c>
      <c r="Q1020" s="3">
        <v>0</v>
      </c>
      <c r="R1020" s="3">
        <v>0</v>
      </c>
    </row>
    <row r="1021" spans="1:18">
      <c r="A1021" s="3" t="s">
        <v>1461</v>
      </c>
      <c r="B1021" s="3" t="s">
        <v>1462</v>
      </c>
      <c r="C1021" s="3" t="s">
        <v>1463</v>
      </c>
      <c r="D1021" s="3" t="s">
        <v>403</v>
      </c>
      <c r="E1021" s="3" t="s">
        <v>538</v>
      </c>
      <c r="F1021" s="3">
        <v>10</v>
      </c>
      <c r="G1021" s="3" t="s">
        <v>2454</v>
      </c>
      <c r="H1021" s="3"/>
      <c r="I1021" s="3" t="s">
        <v>2455</v>
      </c>
      <c r="J1021" s="3">
        <v>4</v>
      </c>
      <c r="K1021" s="3">
        <v>4</v>
      </c>
      <c r="L1021" s="3">
        <v>0</v>
      </c>
      <c r="M1021" s="3">
        <v>0</v>
      </c>
      <c r="N1021" s="3">
        <v>4</v>
      </c>
      <c r="O1021" s="3">
        <v>0.05</v>
      </c>
      <c r="P1021" s="3">
        <v>0</v>
      </c>
      <c r="Q1021" s="3">
        <v>0</v>
      </c>
      <c r="R1021" s="3">
        <v>0</v>
      </c>
    </row>
    <row r="1022" spans="1:18">
      <c r="A1022" s="3" t="s">
        <v>1911</v>
      </c>
      <c r="B1022" s="3" t="s">
        <v>1912</v>
      </c>
      <c r="C1022" s="3" t="s">
        <v>1913</v>
      </c>
      <c r="D1022" s="3" t="s">
        <v>403</v>
      </c>
      <c r="E1022" s="3" t="s">
        <v>538</v>
      </c>
      <c r="F1022" s="3">
        <v>13.99</v>
      </c>
      <c r="G1022" s="3" t="s">
        <v>2454</v>
      </c>
      <c r="H1022" s="3"/>
      <c r="I1022" s="3" t="s">
        <v>2455</v>
      </c>
      <c r="J1022" s="3">
        <v>8</v>
      </c>
      <c r="K1022" s="3">
        <v>8</v>
      </c>
      <c r="L1022" s="3">
        <v>0</v>
      </c>
      <c r="M1022" s="3">
        <v>0</v>
      </c>
      <c r="N1022" s="3">
        <v>8</v>
      </c>
      <c r="O1022" s="3">
        <v>0.05</v>
      </c>
      <c r="P1022" s="3">
        <v>0</v>
      </c>
      <c r="Q1022" s="3">
        <v>0</v>
      </c>
      <c r="R1022" s="3">
        <v>0</v>
      </c>
    </row>
    <row r="1023" spans="1:18">
      <c r="A1023" s="3" t="s">
        <v>575</v>
      </c>
      <c r="B1023" s="3" t="s">
        <v>576</v>
      </c>
      <c r="C1023" s="3" t="s">
        <v>577</v>
      </c>
      <c r="D1023" s="3" t="s">
        <v>578</v>
      </c>
      <c r="E1023" s="3" t="s">
        <v>538</v>
      </c>
      <c r="F1023" s="3">
        <v>24.49</v>
      </c>
      <c r="G1023" s="3" t="s">
        <v>2454</v>
      </c>
      <c r="H1023" s="3"/>
      <c r="I1023" s="3" t="s">
        <v>2455</v>
      </c>
      <c r="J1023" s="3">
        <v>9</v>
      </c>
      <c r="K1023" s="3">
        <v>9</v>
      </c>
      <c r="L1023" s="3">
        <v>0</v>
      </c>
      <c r="M1023" s="3">
        <v>0</v>
      </c>
      <c r="N1023" s="3">
        <v>9</v>
      </c>
      <c r="O1023" s="3">
        <v>0.11</v>
      </c>
      <c r="P1023" s="3">
        <v>0</v>
      </c>
      <c r="Q1023" s="3">
        <v>0</v>
      </c>
      <c r="R1023" s="3">
        <v>0</v>
      </c>
    </row>
    <row r="1024" spans="1:18">
      <c r="A1024" s="3" t="s">
        <v>2340</v>
      </c>
      <c r="B1024" s="3" t="s">
        <v>2341</v>
      </c>
      <c r="C1024" s="3" t="s">
        <v>2342</v>
      </c>
      <c r="D1024" s="3" t="s">
        <v>2343</v>
      </c>
      <c r="E1024" s="3" t="s">
        <v>538</v>
      </c>
      <c r="F1024" s="3">
        <v>9.99</v>
      </c>
      <c r="G1024" s="3" t="s">
        <v>2454</v>
      </c>
      <c r="H1024" s="3"/>
      <c r="I1024" s="3" t="s">
        <v>2455</v>
      </c>
      <c r="J1024" s="3">
        <v>22</v>
      </c>
      <c r="K1024" s="3">
        <v>21</v>
      </c>
      <c r="L1024" s="3">
        <v>1</v>
      </c>
      <c r="M1024" s="3">
        <v>0</v>
      </c>
      <c r="N1024" s="3">
        <v>22</v>
      </c>
      <c r="O1024" s="3">
        <v>0.03</v>
      </c>
      <c r="P1024" s="3">
        <v>0</v>
      </c>
      <c r="Q1024" s="3">
        <v>0</v>
      </c>
      <c r="R1024" s="3">
        <v>0</v>
      </c>
    </row>
    <row r="1025" spans="1:18">
      <c r="A1025" s="3" t="s">
        <v>408</v>
      </c>
      <c r="B1025" s="3" t="s">
        <v>409</v>
      </c>
      <c r="C1025" s="3" t="s">
        <v>410</v>
      </c>
      <c r="D1025" s="3" t="s">
        <v>411</v>
      </c>
      <c r="E1025" s="3" t="s">
        <v>538</v>
      </c>
      <c r="F1025" s="3">
        <v>9.99</v>
      </c>
      <c r="G1025" s="3" t="s">
        <v>2454</v>
      </c>
      <c r="H1025" s="3"/>
      <c r="I1025" s="3" t="s">
        <v>2455</v>
      </c>
      <c r="J1025" s="3">
        <v>26</v>
      </c>
      <c r="K1025" s="3">
        <v>4</v>
      </c>
      <c r="L1025" s="3">
        <v>0</v>
      </c>
      <c r="M1025" s="3">
        <v>22</v>
      </c>
      <c r="N1025" s="3">
        <v>57</v>
      </c>
      <c r="O1025" s="3">
        <v>0.06</v>
      </c>
      <c r="P1025" s="3">
        <v>2</v>
      </c>
      <c r="Q1025" s="3">
        <v>29</v>
      </c>
      <c r="R1025" s="3">
        <v>0</v>
      </c>
    </row>
    <row r="1026" spans="1:18">
      <c r="A1026" s="3" t="s">
        <v>459</v>
      </c>
      <c r="B1026" s="3" t="s">
        <v>460</v>
      </c>
      <c r="C1026" s="3" t="s">
        <v>461</v>
      </c>
      <c r="D1026" s="3" t="s">
        <v>462</v>
      </c>
      <c r="E1026" s="3" t="s">
        <v>538</v>
      </c>
      <c r="F1026" s="3">
        <v>9.99</v>
      </c>
      <c r="G1026" s="3" t="s">
        <v>2454</v>
      </c>
      <c r="H1026" s="3"/>
      <c r="I1026" s="3" t="s">
        <v>2455</v>
      </c>
      <c r="J1026" s="3">
        <v>16</v>
      </c>
      <c r="K1026" s="3">
        <v>0</v>
      </c>
      <c r="L1026" s="3">
        <v>0</v>
      </c>
      <c r="M1026" s="3">
        <v>16</v>
      </c>
      <c r="N1026" s="3">
        <v>17</v>
      </c>
      <c r="O1026" s="3">
        <v>0.05</v>
      </c>
      <c r="P1026" s="3">
        <v>1</v>
      </c>
      <c r="Q1026" s="3">
        <v>0</v>
      </c>
      <c r="R1026" s="3">
        <v>0</v>
      </c>
    </row>
    <row r="1027" spans="1:18">
      <c r="A1027" s="3" t="s">
        <v>420</v>
      </c>
      <c r="B1027" s="3" t="s">
        <v>421</v>
      </c>
      <c r="C1027" s="3" t="s">
        <v>422</v>
      </c>
      <c r="D1027" s="3" t="s">
        <v>423</v>
      </c>
      <c r="E1027" s="3" t="s">
        <v>538</v>
      </c>
      <c r="F1027" s="3">
        <v>9.99</v>
      </c>
      <c r="G1027" s="3" t="s">
        <v>2454</v>
      </c>
      <c r="H1027" s="3"/>
      <c r="I1027" s="3" t="s">
        <v>2455</v>
      </c>
      <c r="J1027" s="3">
        <v>9</v>
      </c>
      <c r="K1027" s="3">
        <v>8</v>
      </c>
      <c r="L1027" s="3">
        <v>0</v>
      </c>
      <c r="M1027" s="3">
        <v>1</v>
      </c>
      <c r="N1027" s="3">
        <v>9</v>
      </c>
      <c r="O1027" s="3">
        <v>0.06</v>
      </c>
      <c r="P1027" s="3">
        <v>0</v>
      </c>
      <c r="Q1027" s="3">
        <v>0</v>
      </c>
      <c r="R1027" s="3">
        <v>0</v>
      </c>
    </row>
    <row r="1028" spans="1:18">
      <c r="A1028" s="3" t="s">
        <v>3824</v>
      </c>
      <c r="B1028" s="3" t="s">
        <v>3825</v>
      </c>
      <c r="C1028" s="3" t="s">
        <v>3826</v>
      </c>
      <c r="D1028" s="3" t="s">
        <v>3827</v>
      </c>
      <c r="E1028" s="3" t="s">
        <v>538</v>
      </c>
      <c r="F1028" s="3">
        <v>72.1</v>
      </c>
      <c r="G1028" s="3" t="s">
        <v>2454</v>
      </c>
      <c r="H1028" s="3"/>
      <c r="I1028" s="3" t="s">
        <v>2455</v>
      </c>
      <c r="J1028" s="3">
        <v>3</v>
      </c>
      <c r="K1028" s="3">
        <v>0</v>
      </c>
      <c r="L1028" s="3">
        <v>3</v>
      </c>
      <c r="M1028" s="3">
        <v>0</v>
      </c>
      <c r="N1028" s="3">
        <v>3</v>
      </c>
      <c r="O1028" s="3">
        <v>0.13</v>
      </c>
      <c r="P1028" s="3">
        <v>0</v>
      </c>
      <c r="Q1028" s="3">
        <v>0</v>
      </c>
      <c r="R1028" s="3">
        <v>0</v>
      </c>
    </row>
    <row r="1029" spans="1:18">
      <c r="A1029" s="3" t="s">
        <v>384</v>
      </c>
      <c r="B1029" s="3" t="s">
        <v>385</v>
      </c>
      <c r="C1029" s="3" t="s">
        <v>386</v>
      </c>
      <c r="D1029" s="3" t="s">
        <v>2189</v>
      </c>
      <c r="E1029" s="3" t="s">
        <v>538</v>
      </c>
      <c r="F1029" s="3">
        <v>10.9</v>
      </c>
      <c r="G1029" s="3" t="s">
        <v>2454</v>
      </c>
      <c r="H1029" s="3"/>
      <c r="I1029" s="3" t="s">
        <v>2455</v>
      </c>
      <c r="J1029" s="3">
        <v>77</v>
      </c>
      <c r="K1029" s="3">
        <v>60</v>
      </c>
      <c r="L1029" s="3">
        <v>0</v>
      </c>
      <c r="M1029" s="3">
        <v>17</v>
      </c>
      <c r="N1029" s="3">
        <v>98</v>
      </c>
      <c r="O1029" s="3">
        <v>0.17</v>
      </c>
      <c r="P1029" s="3">
        <v>1</v>
      </c>
      <c r="Q1029" s="3">
        <v>20</v>
      </c>
      <c r="R1029" s="3">
        <v>0</v>
      </c>
    </row>
    <row r="1030" spans="1:18">
      <c r="A1030" s="3" t="s">
        <v>2036</v>
      </c>
      <c r="B1030" s="3" t="s">
        <v>2037</v>
      </c>
      <c r="C1030" s="3" t="s">
        <v>2038</v>
      </c>
      <c r="D1030" s="3" t="s">
        <v>2039</v>
      </c>
      <c r="E1030" s="3" t="s">
        <v>538</v>
      </c>
      <c r="F1030" s="3">
        <v>9.99</v>
      </c>
      <c r="G1030" s="3" t="s">
        <v>2454</v>
      </c>
      <c r="H1030" s="3"/>
      <c r="I1030" s="3" t="s">
        <v>2455</v>
      </c>
      <c r="J1030" s="3">
        <v>10</v>
      </c>
      <c r="K1030" s="3">
        <v>10</v>
      </c>
      <c r="L1030" s="3">
        <v>0</v>
      </c>
      <c r="M1030" s="3">
        <v>0</v>
      </c>
      <c r="N1030" s="3">
        <v>10</v>
      </c>
      <c r="O1030" s="3">
        <v>0.12</v>
      </c>
      <c r="P1030" s="3">
        <v>0</v>
      </c>
      <c r="Q1030" s="3">
        <v>0</v>
      </c>
      <c r="R1030" s="3">
        <v>0</v>
      </c>
    </row>
    <row r="1031" spans="1:18">
      <c r="A1031" s="3" t="s">
        <v>467</v>
      </c>
      <c r="B1031" s="3" t="s">
        <v>468</v>
      </c>
      <c r="C1031" s="3" t="s">
        <v>469</v>
      </c>
      <c r="D1031" s="3" t="s">
        <v>470</v>
      </c>
      <c r="E1031" s="3" t="s">
        <v>538</v>
      </c>
      <c r="F1031" s="3">
        <v>9.99</v>
      </c>
      <c r="G1031" s="3" t="s">
        <v>2454</v>
      </c>
      <c r="H1031" s="3"/>
      <c r="I1031" s="3" t="s">
        <v>2455</v>
      </c>
      <c r="J1031" s="3">
        <v>156</v>
      </c>
      <c r="K1031" s="3">
        <v>111</v>
      </c>
      <c r="L1031" s="3">
        <v>3</v>
      </c>
      <c r="M1031" s="3">
        <v>42</v>
      </c>
      <c r="N1031" s="3">
        <v>190</v>
      </c>
      <c r="O1031" s="3">
        <v>0.06</v>
      </c>
      <c r="P1031" s="3">
        <v>1</v>
      </c>
      <c r="Q1031" s="3">
        <v>33</v>
      </c>
      <c r="R1031" s="3">
        <v>0</v>
      </c>
    </row>
    <row r="1032" spans="1:18">
      <c r="A1032" s="3" t="s">
        <v>443</v>
      </c>
      <c r="B1032" s="3" t="s">
        <v>444</v>
      </c>
      <c r="C1032" s="3" t="s">
        <v>445</v>
      </c>
      <c r="D1032" s="3" t="s">
        <v>446</v>
      </c>
      <c r="E1032" s="3" t="s">
        <v>538</v>
      </c>
      <c r="F1032" s="3">
        <v>9.99</v>
      </c>
      <c r="G1032" s="3" t="s">
        <v>2454</v>
      </c>
      <c r="H1032" s="3"/>
      <c r="I1032" s="3" t="s">
        <v>2455</v>
      </c>
      <c r="J1032" s="3">
        <v>102</v>
      </c>
      <c r="K1032" s="3">
        <v>47</v>
      </c>
      <c r="L1032" s="3">
        <v>0</v>
      </c>
      <c r="M1032" s="3">
        <v>55</v>
      </c>
      <c r="N1032" s="3">
        <v>115</v>
      </c>
      <c r="O1032" s="3">
        <v>0.08</v>
      </c>
      <c r="P1032" s="3">
        <v>12</v>
      </c>
      <c r="Q1032" s="3">
        <v>0</v>
      </c>
      <c r="R1032" s="3">
        <v>1</v>
      </c>
    </row>
    <row r="1033" spans="1:18">
      <c r="A1033" s="3" t="s">
        <v>392</v>
      </c>
      <c r="B1033" s="3" t="s">
        <v>393</v>
      </c>
      <c r="C1033" s="3" t="s">
        <v>394</v>
      </c>
      <c r="D1033" s="3" t="s">
        <v>395</v>
      </c>
      <c r="E1033" s="3" t="s">
        <v>538</v>
      </c>
      <c r="F1033" s="3">
        <v>12.9</v>
      </c>
      <c r="G1033" s="3" t="s">
        <v>2454</v>
      </c>
      <c r="H1033" s="3"/>
      <c r="I1033" s="3" t="s">
        <v>2455</v>
      </c>
      <c r="J1033" s="3">
        <v>31</v>
      </c>
      <c r="K1033" s="3">
        <v>29</v>
      </c>
      <c r="L1033" s="3">
        <v>0</v>
      </c>
      <c r="M1033" s="3">
        <v>2</v>
      </c>
      <c r="N1033" s="3">
        <v>31</v>
      </c>
      <c r="O1033" s="3">
        <v>0.14</v>
      </c>
      <c r="P1033" s="3">
        <v>0</v>
      </c>
      <c r="Q1033" s="3">
        <v>0</v>
      </c>
      <c r="R1033" s="3">
        <v>0</v>
      </c>
    </row>
    <row r="1034" spans="1:18">
      <c r="A1034" s="3" t="s">
        <v>1320</v>
      </c>
      <c r="B1034" s="3" t="s">
        <v>1321</v>
      </c>
      <c r="C1034" s="3" t="s">
        <v>1322</v>
      </c>
      <c r="D1034" s="3" t="s">
        <v>1323</v>
      </c>
      <c r="E1034" s="3" t="s">
        <v>538</v>
      </c>
      <c r="F1034" s="3">
        <v>12.99</v>
      </c>
      <c r="G1034" s="3" t="s">
        <v>2454</v>
      </c>
      <c r="H1034" s="3"/>
      <c r="I1034" s="3" t="s">
        <v>2455</v>
      </c>
      <c r="J1034" s="3">
        <v>23</v>
      </c>
      <c r="K1034" s="3">
        <v>23</v>
      </c>
      <c r="L1034" s="3">
        <v>0</v>
      </c>
      <c r="M1034" s="3">
        <v>0</v>
      </c>
      <c r="N1034" s="3">
        <v>23</v>
      </c>
      <c r="O1034" s="3">
        <v>0.07</v>
      </c>
      <c r="P1034" s="3">
        <v>0</v>
      </c>
      <c r="Q1034" s="3">
        <v>0</v>
      </c>
      <c r="R1034" s="3">
        <v>0</v>
      </c>
    </row>
    <row r="1035" spans="1:18">
      <c r="A1035" s="3" t="s">
        <v>2273</v>
      </c>
      <c r="B1035" s="3" t="s">
        <v>2274</v>
      </c>
      <c r="C1035" s="3" t="s">
        <v>2275</v>
      </c>
      <c r="D1035" s="3" t="s">
        <v>2276</v>
      </c>
      <c r="E1035" s="3" t="s">
        <v>538</v>
      </c>
      <c r="F1035" s="3">
        <v>24.49</v>
      </c>
      <c r="G1035" s="3" t="s">
        <v>2454</v>
      </c>
      <c r="H1035" s="3"/>
      <c r="I1035" s="3" t="s">
        <v>2455</v>
      </c>
      <c r="J1035" s="3">
        <v>1</v>
      </c>
      <c r="K1035" s="3">
        <v>1</v>
      </c>
      <c r="L1035" s="3">
        <v>0</v>
      </c>
      <c r="M1035" s="3">
        <v>0</v>
      </c>
      <c r="N1035" s="3">
        <v>1</v>
      </c>
      <c r="O1035" s="3">
        <v>0.18</v>
      </c>
      <c r="P1035" s="3">
        <v>0</v>
      </c>
      <c r="Q1035" s="3">
        <v>0</v>
      </c>
      <c r="R1035" s="3">
        <v>0</v>
      </c>
    </row>
    <row r="1036" spans="1:18">
      <c r="A1036" s="3" t="s">
        <v>3828</v>
      </c>
      <c r="B1036" s="3" t="s">
        <v>3829</v>
      </c>
      <c r="C1036" s="3" t="s">
        <v>3830</v>
      </c>
      <c r="D1036" s="3"/>
      <c r="E1036" s="3" t="s">
        <v>2459</v>
      </c>
      <c r="F1036" s="3"/>
      <c r="G1036" s="3"/>
      <c r="H1036" s="3"/>
      <c r="I1036" s="3"/>
      <c r="J1036" s="3">
        <v>0</v>
      </c>
      <c r="K1036" s="3">
        <v>0</v>
      </c>
      <c r="L1036" s="3">
        <v>0</v>
      </c>
      <c r="M1036" s="3">
        <v>0</v>
      </c>
      <c r="N1036" s="3">
        <v>0</v>
      </c>
      <c r="O1036" s="3"/>
      <c r="P1036" s="3">
        <v>0</v>
      </c>
      <c r="Q1036" s="3">
        <v>0</v>
      </c>
      <c r="R1036" s="3">
        <v>0</v>
      </c>
    </row>
    <row r="1037" spans="1:18">
      <c r="A1037" s="3" t="s">
        <v>2252</v>
      </c>
      <c r="B1037" s="3" t="s">
        <v>2253</v>
      </c>
      <c r="C1037" s="3" t="s">
        <v>2254</v>
      </c>
      <c r="D1037" s="3" t="s">
        <v>2255</v>
      </c>
      <c r="E1037" s="3" t="s">
        <v>538</v>
      </c>
      <c r="F1037" s="3">
        <v>132.3</v>
      </c>
      <c r="G1037" s="3" t="s">
        <v>2454</v>
      </c>
      <c r="H1037" s="3"/>
      <c r="I1037" s="3" t="s">
        <v>2455</v>
      </c>
      <c r="J1037" s="3">
        <v>2</v>
      </c>
      <c r="K1037" s="3">
        <v>2</v>
      </c>
      <c r="L1037" s="3">
        <v>0</v>
      </c>
      <c r="M1037" s="3">
        <v>0</v>
      </c>
      <c r="N1037" s="3">
        <v>2</v>
      </c>
      <c r="O1037" s="3">
        <v>0</v>
      </c>
      <c r="P1037" s="3">
        <v>0</v>
      </c>
      <c r="Q1037" s="3">
        <v>0</v>
      </c>
      <c r="R1037" s="3">
        <v>0</v>
      </c>
    </row>
    <row r="1038" spans="1:18">
      <c r="A1038" s="3" t="s">
        <v>491</v>
      </c>
      <c r="B1038" s="3" t="s">
        <v>492</v>
      </c>
      <c r="C1038" s="3" t="s">
        <v>493</v>
      </c>
      <c r="D1038" s="3" t="s">
        <v>494</v>
      </c>
      <c r="E1038" s="3" t="s">
        <v>538</v>
      </c>
      <c r="F1038" s="3">
        <v>16.99</v>
      </c>
      <c r="G1038" s="3" t="s">
        <v>2454</v>
      </c>
      <c r="H1038" s="3"/>
      <c r="I1038" s="3" t="s">
        <v>2455</v>
      </c>
      <c r="J1038" s="3">
        <v>20</v>
      </c>
      <c r="K1038" s="3">
        <v>17</v>
      </c>
      <c r="L1038" s="3">
        <v>1</v>
      </c>
      <c r="M1038" s="3">
        <v>2</v>
      </c>
      <c r="N1038" s="3">
        <v>40</v>
      </c>
      <c r="O1038" s="3">
        <v>0.07</v>
      </c>
      <c r="P1038" s="3">
        <v>20</v>
      </c>
      <c r="Q1038" s="3">
        <v>0</v>
      </c>
      <c r="R1038" s="3">
        <v>0</v>
      </c>
    </row>
    <row r="1039" spans="1:18">
      <c r="A1039" s="3" t="s">
        <v>928</v>
      </c>
      <c r="B1039" s="3" t="s">
        <v>929</v>
      </c>
      <c r="C1039" s="3" t="s">
        <v>930</v>
      </c>
      <c r="D1039" s="3" t="s">
        <v>931</v>
      </c>
      <c r="E1039" s="3" t="s">
        <v>538</v>
      </c>
      <c r="F1039" s="3">
        <v>21.99</v>
      </c>
      <c r="G1039" s="3" t="s">
        <v>2454</v>
      </c>
      <c r="H1039" s="3"/>
      <c r="I1039" s="3" t="s">
        <v>2455</v>
      </c>
      <c r="J1039" s="3">
        <v>1</v>
      </c>
      <c r="K1039" s="3">
        <v>1</v>
      </c>
      <c r="L1039" s="3">
        <v>0</v>
      </c>
      <c r="M1039" s="3">
        <v>0</v>
      </c>
      <c r="N1039" s="3">
        <v>26</v>
      </c>
      <c r="O1039" s="3">
        <v>0.12</v>
      </c>
      <c r="P1039" s="3">
        <v>0</v>
      </c>
      <c r="Q1039" s="3">
        <v>25</v>
      </c>
      <c r="R1039" s="3">
        <v>0</v>
      </c>
    </row>
    <row r="1040" spans="1:18">
      <c r="A1040" s="3" t="s">
        <v>475</v>
      </c>
      <c r="B1040" s="3" t="s">
        <v>476</v>
      </c>
      <c r="C1040" s="3" t="s">
        <v>477</v>
      </c>
      <c r="D1040" s="3" t="s">
        <v>478</v>
      </c>
      <c r="E1040" s="3" t="s">
        <v>538</v>
      </c>
      <c r="F1040" s="3">
        <v>25.99</v>
      </c>
      <c r="G1040" s="3" t="s">
        <v>2454</v>
      </c>
      <c r="H1040" s="3"/>
      <c r="I1040" s="3" t="s">
        <v>2455</v>
      </c>
      <c r="J1040" s="3">
        <v>12</v>
      </c>
      <c r="K1040" s="3">
        <v>11</v>
      </c>
      <c r="L1040" s="3">
        <v>0</v>
      </c>
      <c r="M1040" s="3">
        <v>1</v>
      </c>
      <c r="N1040" s="3">
        <v>27</v>
      </c>
      <c r="O1040" s="3">
        <v>0.15</v>
      </c>
      <c r="P1040" s="3">
        <v>10</v>
      </c>
      <c r="Q1040" s="3">
        <v>5</v>
      </c>
      <c r="R1040" s="3">
        <v>0</v>
      </c>
    </row>
    <row r="1041" spans="1:18">
      <c r="A1041" s="3" t="s">
        <v>495</v>
      </c>
      <c r="B1041" s="3" t="s">
        <v>496</v>
      </c>
      <c r="C1041" s="3" t="s">
        <v>497</v>
      </c>
      <c r="D1041" s="3" t="s">
        <v>498</v>
      </c>
      <c r="E1041" s="3" t="s">
        <v>538</v>
      </c>
      <c r="F1041" s="3">
        <v>16.99</v>
      </c>
      <c r="G1041" s="3" t="s">
        <v>2454</v>
      </c>
      <c r="H1041" s="3"/>
      <c r="I1041" s="3" t="s">
        <v>2455</v>
      </c>
      <c r="J1041" s="3">
        <v>11</v>
      </c>
      <c r="K1041" s="3">
        <v>0</v>
      </c>
      <c r="L1041" s="3">
        <v>0</v>
      </c>
      <c r="M1041" s="3">
        <v>11</v>
      </c>
      <c r="N1041" s="3">
        <v>21</v>
      </c>
      <c r="O1041" s="3">
        <v>0.09</v>
      </c>
      <c r="P1041" s="3">
        <v>10</v>
      </c>
      <c r="Q1041" s="3">
        <v>0</v>
      </c>
      <c r="R1041" s="3">
        <v>0</v>
      </c>
    </row>
    <row r="1042" spans="1:18">
      <c r="A1042" s="3" t="s">
        <v>483</v>
      </c>
      <c r="B1042" s="3" t="s">
        <v>484</v>
      </c>
      <c r="C1042" s="3" t="s">
        <v>485</v>
      </c>
      <c r="D1042" s="3" t="s">
        <v>486</v>
      </c>
      <c r="E1042" s="3" t="s">
        <v>538</v>
      </c>
      <c r="F1042" s="3">
        <v>21.99</v>
      </c>
      <c r="G1042" s="3" t="s">
        <v>2454</v>
      </c>
      <c r="H1042" s="3"/>
      <c r="I1042" s="3" t="s">
        <v>2455</v>
      </c>
      <c r="J1042" s="3">
        <v>10</v>
      </c>
      <c r="K1042" s="3">
        <v>7</v>
      </c>
      <c r="L1042" s="3">
        <v>0</v>
      </c>
      <c r="M1042" s="3">
        <v>3</v>
      </c>
      <c r="N1042" s="3">
        <v>20</v>
      </c>
      <c r="O1042" s="3">
        <v>0.17</v>
      </c>
      <c r="P1042" s="3">
        <v>10</v>
      </c>
      <c r="Q1042" s="3">
        <v>0</v>
      </c>
      <c r="R1042" s="3">
        <v>0</v>
      </c>
    </row>
    <row r="1043" spans="1:18">
      <c r="A1043" s="3" t="s">
        <v>3831</v>
      </c>
      <c r="B1043" s="3" t="s">
        <v>3832</v>
      </c>
      <c r="C1043" s="3" t="s">
        <v>3833</v>
      </c>
      <c r="D1043" s="3" t="s">
        <v>3834</v>
      </c>
      <c r="E1043" s="3" t="s">
        <v>538</v>
      </c>
      <c r="F1043" s="3">
        <v>25.99</v>
      </c>
      <c r="G1043" s="3" t="s">
        <v>2454</v>
      </c>
      <c r="H1043" s="3"/>
      <c r="I1043" s="3" t="s">
        <v>2455</v>
      </c>
      <c r="J1043" s="3">
        <v>0</v>
      </c>
      <c r="K1043" s="3">
        <v>0</v>
      </c>
      <c r="L1043" s="3">
        <v>0</v>
      </c>
      <c r="M1043" s="3">
        <v>0</v>
      </c>
      <c r="N1043" s="3">
        <v>12</v>
      </c>
      <c r="O1043" s="3">
        <v>0.15</v>
      </c>
      <c r="P1043" s="3">
        <v>0</v>
      </c>
      <c r="Q1043" s="3">
        <v>3</v>
      </c>
      <c r="R1043" s="3">
        <v>9</v>
      </c>
    </row>
    <row r="1044" spans="1:18">
      <c r="A1044" s="3" t="s">
        <v>3835</v>
      </c>
      <c r="B1044" s="3" t="s">
        <v>3836</v>
      </c>
      <c r="C1044" s="3" t="s">
        <v>3837</v>
      </c>
      <c r="D1044" s="3" t="s">
        <v>239</v>
      </c>
      <c r="E1044" s="3" t="s">
        <v>538</v>
      </c>
      <c r="F1044" s="3">
        <v>22.99</v>
      </c>
      <c r="G1044" s="3" t="s">
        <v>2454</v>
      </c>
      <c r="H1044" s="3"/>
      <c r="I1044" s="3" t="s">
        <v>2455</v>
      </c>
      <c r="J1044" s="3">
        <v>0</v>
      </c>
      <c r="K1044" s="3">
        <v>0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</row>
    <row r="1045" spans="1:18">
      <c r="A1045" s="3" t="s">
        <v>3838</v>
      </c>
      <c r="B1045" s="3" t="s">
        <v>3839</v>
      </c>
      <c r="C1045" s="3" t="s">
        <v>3840</v>
      </c>
      <c r="D1045" s="3" t="s">
        <v>3841</v>
      </c>
      <c r="E1045" s="3" t="s">
        <v>538</v>
      </c>
      <c r="F1045" s="3">
        <v>85.1</v>
      </c>
      <c r="G1045" s="3" t="s">
        <v>2454</v>
      </c>
      <c r="H1045" s="3"/>
      <c r="I1045" s="3" t="s">
        <v>2455</v>
      </c>
      <c r="J1045" s="3">
        <v>0</v>
      </c>
      <c r="K1045" s="3">
        <v>0</v>
      </c>
      <c r="L1045" s="3">
        <v>0</v>
      </c>
      <c r="M1045" s="3">
        <v>0</v>
      </c>
      <c r="N1045" s="3">
        <v>0</v>
      </c>
      <c r="O1045" s="3">
        <v>0.19</v>
      </c>
      <c r="P1045" s="3">
        <v>0</v>
      </c>
      <c r="Q1045" s="3">
        <v>0</v>
      </c>
      <c r="R1045" s="3">
        <v>0</v>
      </c>
    </row>
    <row r="1046" spans="1:18">
      <c r="A1046" s="3" t="s">
        <v>3842</v>
      </c>
      <c r="B1046" s="3" t="s">
        <v>3843</v>
      </c>
      <c r="C1046" s="3" t="s">
        <v>3844</v>
      </c>
      <c r="D1046" s="3" t="s">
        <v>3845</v>
      </c>
      <c r="E1046" s="3" t="s">
        <v>538</v>
      </c>
      <c r="F1046" s="3">
        <v>21.99</v>
      </c>
      <c r="G1046" s="3" t="s">
        <v>2454</v>
      </c>
      <c r="H1046" s="3"/>
      <c r="I1046" s="3" t="s">
        <v>2455</v>
      </c>
      <c r="J1046" s="3">
        <v>0</v>
      </c>
      <c r="K1046" s="3">
        <v>0</v>
      </c>
      <c r="L1046" s="3">
        <v>0</v>
      </c>
      <c r="M1046" s="3">
        <v>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</row>
    <row r="1047" spans="1:18">
      <c r="A1047" s="3" t="s">
        <v>3846</v>
      </c>
      <c r="B1047" s="3" t="s">
        <v>3847</v>
      </c>
      <c r="C1047" s="3" t="s">
        <v>3848</v>
      </c>
      <c r="D1047" s="3" t="s">
        <v>3849</v>
      </c>
      <c r="E1047" s="3" t="s">
        <v>538</v>
      </c>
      <c r="F1047" s="3">
        <v>12.9</v>
      </c>
      <c r="G1047" s="3" t="s">
        <v>2454</v>
      </c>
      <c r="H1047" s="3"/>
      <c r="I1047" s="3" t="s">
        <v>2455</v>
      </c>
      <c r="J1047" s="3">
        <v>0</v>
      </c>
      <c r="K1047" s="3">
        <v>0</v>
      </c>
      <c r="L1047" s="3">
        <v>0</v>
      </c>
      <c r="M1047" s="3">
        <v>0</v>
      </c>
      <c r="N1047" s="3">
        <v>0</v>
      </c>
      <c r="O1047" s="3">
        <v>0.12</v>
      </c>
      <c r="P1047" s="3">
        <v>0</v>
      </c>
      <c r="Q1047" s="3">
        <v>0</v>
      </c>
      <c r="R1047" s="3">
        <v>0</v>
      </c>
    </row>
    <row r="1048" spans="1:18">
      <c r="A1048" s="3" t="s">
        <v>471</v>
      </c>
      <c r="B1048" s="3" t="s">
        <v>472</v>
      </c>
      <c r="C1048" s="3" t="s">
        <v>473</v>
      </c>
      <c r="D1048" s="3" t="s">
        <v>474</v>
      </c>
      <c r="E1048" s="3" t="s">
        <v>538</v>
      </c>
      <c r="F1048" s="3">
        <v>44.99</v>
      </c>
      <c r="G1048" s="3" t="s">
        <v>2454</v>
      </c>
      <c r="H1048" s="3"/>
      <c r="I1048" s="3" t="s">
        <v>2455</v>
      </c>
      <c r="J1048" s="3">
        <v>130</v>
      </c>
      <c r="K1048" s="3">
        <v>124</v>
      </c>
      <c r="L1048" s="3">
        <v>0</v>
      </c>
      <c r="M1048" s="3">
        <v>6</v>
      </c>
      <c r="N1048" s="3">
        <v>240</v>
      </c>
      <c r="O1048" s="3">
        <v>0.08</v>
      </c>
      <c r="P1048" s="3">
        <v>0</v>
      </c>
      <c r="Q1048" s="3">
        <v>110</v>
      </c>
      <c r="R1048" s="3">
        <v>0</v>
      </c>
    </row>
    <row r="1049" spans="1:18">
      <c r="A1049" s="3" t="s">
        <v>3850</v>
      </c>
      <c r="B1049" s="3" t="s">
        <v>3851</v>
      </c>
      <c r="C1049" s="3" t="s">
        <v>2827</v>
      </c>
      <c r="D1049" s="3" t="s">
        <v>3852</v>
      </c>
      <c r="E1049" s="3" t="s">
        <v>538</v>
      </c>
      <c r="F1049" s="3">
        <v>15.99</v>
      </c>
      <c r="G1049" s="3" t="s">
        <v>2454</v>
      </c>
      <c r="H1049" s="3"/>
      <c r="I1049" s="3" t="s">
        <v>2455</v>
      </c>
      <c r="J1049" s="3">
        <v>0</v>
      </c>
      <c r="K1049" s="3">
        <v>0</v>
      </c>
      <c r="L1049" s="3">
        <v>0</v>
      </c>
      <c r="M1049" s="3">
        <v>0</v>
      </c>
      <c r="N1049" s="3">
        <v>0</v>
      </c>
      <c r="O1049" s="3">
        <v>0.41</v>
      </c>
      <c r="P1049" s="3">
        <v>0</v>
      </c>
      <c r="Q1049" s="3">
        <v>0</v>
      </c>
      <c r="R1049" s="3">
        <v>0</v>
      </c>
    </row>
    <row r="1050" spans="1:18">
      <c r="A1050" s="3" t="s">
        <v>3853</v>
      </c>
      <c r="B1050" s="3" t="s">
        <v>3854</v>
      </c>
      <c r="C1050" s="3" t="s">
        <v>2830</v>
      </c>
      <c r="D1050" s="3" t="s">
        <v>3855</v>
      </c>
      <c r="E1050" s="3" t="s">
        <v>538</v>
      </c>
      <c r="F1050" s="3">
        <v>15.99</v>
      </c>
      <c r="G1050" s="3" t="s">
        <v>2454</v>
      </c>
      <c r="H1050" s="3"/>
      <c r="I1050" s="3" t="s">
        <v>2455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0.08</v>
      </c>
      <c r="P1050" s="3">
        <v>0</v>
      </c>
      <c r="Q1050" s="3">
        <v>0</v>
      </c>
      <c r="R1050" s="3">
        <v>0</v>
      </c>
    </row>
    <row r="1051" spans="1:18">
      <c r="A1051" s="3" t="s">
        <v>3856</v>
      </c>
      <c r="B1051" s="3" t="s">
        <v>3857</v>
      </c>
      <c r="C1051" s="3" t="s">
        <v>2833</v>
      </c>
      <c r="D1051" s="3" t="s">
        <v>3858</v>
      </c>
      <c r="E1051" s="3" t="s">
        <v>538</v>
      </c>
      <c r="F1051" s="3">
        <v>15.99</v>
      </c>
      <c r="G1051" s="3" t="s">
        <v>2454</v>
      </c>
      <c r="H1051" s="3"/>
      <c r="I1051" s="3" t="s">
        <v>2455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0.59</v>
      </c>
      <c r="P1051" s="3">
        <v>0</v>
      </c>
      <c r="Q1051" s="3">
        <v>0</v>
      </c>
      <c r="R1051" s="3">
        <v>0</v>
      </c>
    </row>
    <row r="1052" spans="1:18">
      <c r="A1052" s="3" t="s">
        <v>3859</v>
      </c>
      <c r="B1052" s="3" t="s">
        <v>3860</v>
      </c>
      <c r="C1052" s="3" t="s">
        <v>2836</v>
      </c>
      <c r="D1052" s="3" t="s">
        <v>3861</v>
      </c>
      <c r="E1052" s="3" t="s">
        <v>538</v>
      </c>
      <c r="F1052" s="3">
        <v>15.99</v>
      </c>
      <c r="G1052" s="3" t="s">
        <v>2454</v>
      </c>
      <c r="H1052" s="3"/>
      <c r="I1052" s="3" t="s">
        <v>2455</v>
      </c>
      <c r="J1052" s="3">
        <v>0</v>
      </c>
      <c r="K1052" s="3">
        <v>0</v>
      </c>
      <c r="L1052" s="3">
        <v>0</v>
      </c>
      <c r="M1052" s="3">
        <v>0</v>
      </c>
      <c r="N1052" s="3">
        <v>0</v>
      </c>
      <c r="O1052" s="3">
        <v>0.13</v>
      </c>
      <c r="P1052" s="3">
        <v>0</v>
      </c>
      <c r="Q1052" s="3">
        <v>0</v>
      </c>
      <c r="R1052" s="3">
        <v>0</v>
      </c>
    </row>
    <row r="1053" spans="1:18">
      <c r="A1053" s="3" t="s">
        <v>3862</v>
      </c>
      <c r="B1053" s="3" t="s">
        <v>3863</v>
      </c>
      <c r="C1053" s="3" t="s">
        <v>2839</v>
      </c>
      <c r="D1053" s="3" t="s">
        <v>3864</v>
      </c>
      <c r="E1053" s="3" t="s">
        <v>538</v>
      </c>
      <c r="F1053" s="3">
        <v>15.99</v>
      </c>
      <c r="G1053" s="3" t="s">
        <v>2454</v>
      </c>
      <c r="H1053" s="3"/>
      <c r="I1053" s="3" t="s">
        <v>2455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0.14</v>
      </c>
      <c r="P1053" s="3">
        <v>0</v>
      </c>
      <c r="Q1053" s="3">
        <v>0</v>
      </c>
      <c r="R1053" s="3">
        <v>0</v>
      </c>
    </row>
    <row r="1054" spans="1:18">
      <c r="A1054" s="3" t="s">
        <v>3865</v>
      </c>
      <c r="B1054" s="3" t="s">
        <v>3866</v>
      </c>
      <c r="C1054" s="3" t="s">
        <v>3867</v>
      </c>
      <c r="D1054" s="3" t="s">
        <v>3868</v>
      </c>
      <c r="E1054" s="3" t="s">
        <v>538</v>
      </c>
      <c r="F1054" s="3">
        <v>22.99</v>
      </c>
      <c r="G1054" s="3" t="s">
        <v>2454</v>
      </c>
      <c r="H1054" s="3"/>
      <c r="I1054" s="3" t="s">
        <v>2455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0.02</v>
      </c>
      <c r="P1054" s="3">
        <v>0</v>
      </c>
      <c r="Q1054" s="3">
        <v>0</v>
      </c>
      <c r="R1054" s="3">
        <v>0</v>
      </c>
    </row>
    <row r="1055" spans="1:18">
      <c r="A1055" s="3" t="s">
        <v>3869</v>
      </c>
      <c r="B1055" s="3" t="s">
        <v>3870</v>
      </c>
      <c r="C1055" s="3" t="s">
        <v>3871</v>
      </c>
      <c r="D1055" s="3" t="s">
        <v>3872</v>
      </c>
      <c r="E1055" s="3" t="s">
        <v>538</v>
      </c>
      <c r="F1055" s="3">
        <v>22.99</v>
      </c>
      <c r="G1055" s="3" t="s">
        <v>2454</v>
      </c>
      <c r="H1055" s="3"/>
      <c r="I1055" s="3" t="s">
        <v>2455</v>
      </c>
      <c r="J1055" s="3">
        <v>0</v>
      </c>
      <c r="K1055" s="3">
        <v>0</v>
      </c>
      <c r="L1055" s="3">
        <v>0</v>
      </c>
      <c r="M1055" s="3">
        <v>0</v>
      </c>
      <c r="N1055" s="3">
        <v>0</v>
      </c>
      <c r="O1055" s="3">
        <v>0.02</v>
      </c>
      <c r="P1055" s="3">
        <v>0</v>
      </c>
      <c r="Q1055" s="3">
        <v>0</v>
      </c>
      <c r="R1055" s="3">
        <v>0</v>
      </c>
    </row>
    <row r="1056" spans="1:18">
      <c r="A1056" s="3" t="s">
        <v>3873</v>
      </c>
      <c r="B1056" s="3" t="s">
        <v>3874</v>
      </c>
      <c r="C1056" s="3" t="s">
        <v>3875</v>
      </c>
      <c r="D1056" s="3" t="s">
        <v>3876</v>
      </c>
      <c r="E1056" s="3" t="s">
        <v>538</v>
      </c>
      <c r="F1056" s="3">
        <v>22.99</v>
      </c>
      <c r="G1056" s="3" t="s">
        <v>2454</v>
      </c>
      <c r="H1056" s="3"/>
      <c r="I1056" s="3" t="s">
        <v>2455</v>
      </c>
      <c r="J1056" s="3">
        <v>0</v>
      </c>
      <c r="K1056" s="3">
        <v>0</v>
      </c>
      <c r="L1056" s="3">
        <v>0</v>
      </c>
      <c r="M1056" s="3">
        <v>0</v>
      </c>
      <c r="N1056" s="3">
        <v>0</v>
      </c>
      <c r="O1056" s="3">
        <v>0.02</v>
      </c>
      <c r="P1056" s="3">
        <v>0</v>
      </c>
      <c r="Q1056" s="3">
        <v>0</v>
      </c>
      <c r="R1056" s="3">
        <v>0</v>
      </c>
    </row>
    <row r="1057" spans="1:18">
      <c r="A1057" s="3" t="s">
        <v>3877</v>
      </c>
      <c r="B1057" s="3" t="s">
        <v>3878</v>
      </c>
      <c r="C1057" s="3" t="s">
        <v>3879</v>
      </c>
      <c r="D1057" s="3" t="s">
        <v>3880</v>
      </c>
      <c r="E1057" s="3" t="s">
        <v>538</v>
      </c>
      <c r="F1057" s="3">
        <v>22.99</v>
      </c>
      <c r="G1057" s="3" t="s">
        <v>2454</v>
      </c>
      <c r="H1057" s="3"/>
      <c r="I1057" s="3" t="s">
        <v>2455</v>
      </c>
      <c r="J1057" s="3">
        <v>0</v>
      </c>
      <c r="K1057" s="3">
        <v>0</v>
      </c>
      <c r="L1057" s="3">
        <v>0</v>
      </c>
      <c r="M1057" s="3">
        <v>0</v>
      </c>
      <c r="N1057" s="3">
        <v>0</v>
      </c>
      <c r="O1057" s="3">
        <v>0.02</v>
      </c>
      <c r="P1057" s="3">
        <v>0</v>
      </c>
      <c r="Q1057" s="3">
        <v>0</v>
      </c>
      <c r="R1057" s="3">
        <v>0</v>
      </c>
    </row>
    <row r="1058" spans="1:18">
      <c r="A1058" s="3" t="s">
        <v>3881</v>
      </c>
      <c r="B1058" s="3" t="s">
        <v>3882</v>
      </c>
      <c r="C1058" s="3" t="s">
        <v>3883</v>
      </c>
      <c r="D1058" s="3" t="s">
        <v>3884</v>
      </c>
      <c r="E1058" s="3" t="s">
        <v>538</v>
      </c>
      <c r="F1058" s="3">
        <v>22.99</v>
      </c>
      <c r="G1058" s="3" t="s">
        <v>2454</v>
      </c>
      <c r="H1058" s="3"/>
      <c r="I1058" s="3" t="s">
        <v>2455</v>
      </c>
      <c r="J1058" s="3">
        <v>1</v>
      </c>
      <c r="K1058" s="3">
        <v>0</v>
      </c>
      <c r="L1058" s="3">
        <v>1</v>
      </c>
      <c r="M1058" s="3">
        <v>0</v>
      </c>
      <c r="N1058" s="3">
        <v>1</v>
      </c>
      <c r="O1058" s="3">
        <v>0.02</v>
      </c>
      <c r="P1058" s="3">
        <v>0</v>
      </c>
      <c r="Q1058" s="3">
        <v>0</v>
      </c>
      <c r="R1058" s="3">
        <v>0</v>
      </c>
    </row>
    <row r="1059" spans="1:18">
      <c r="A1059" s="3" t="s">
        <v>3885</v>
      </c>
      <c r="B1059" s="3" t="s">
        <v>3886</v>
      </c>
      <c r="C1059" s="3" t="s">
        <v>3887</v>
      </c>
      <c r="D1059" s="3" t="s">
        <v>3888</v>
      </c>
      <c r="E1059" s="3" t="s">
        <v>538</v>
      </c>
      <c r="F1059" s="3">
        <v>22.99</v>
      </c>
      <c r="G1059" s="3" t="s">
        <v>2454</v>
      </c>
      <c r="H1059" s="3"/>
      <c r="I1059" s="3" t="s">
        <v>2455</v>
      </c>
      <c r="J1059" s="3">
        <v>0</v>
      </c>
      <c r="K1059" s="3">
        <v>0</v>
      </c>
      <c r="L1059" s="3">
        <v>0</v>
      </c>
      <c r="M1059" s="3">
        <v>0</v>
      </c>
      <c r="N1059" s="3">
        <v>0</v>
      </c>
      <c r="O1059" s="3">
        <v>0.16</v>
      </c>
      <c r="P1059" s="3">
        <v>0</v>
      </c>
      <c r="Q1059" s="3">
        <v>0</v>
      </c>
      <c r="R1059" s="3">
        <v>0</v>
      </c>
    </row>
    <row r="1060" spans="1:18">
      <c r="A1060" s="3" t="s">
        <v>3889</v>
      </c>
      <c r="B1060" s="3" t="s">
        <v>3890</v>
      </c>
      <c r="C1060" s="3" t="s">
        <v>3891</v>
      </c>
      <c r="D1060" s="3" t="s">
        <v>3892</v>
      </c>
      <c r="E1060" s="3" t="s">
        <v>538</v>
      </c>
      <c r="F1060" s="3">
        <v>22.99</v>
      </c>
      <c r="G1060" s="3" t="s">
        <v>2454</v>
      </c>
      <c r="H1060" s="3"/>
      <c r="I1060" s="3" t="s">
        <v>2455</v>
      </c>
      <c r="J1060" s="3">
        <v>0</v>
      </c>
      <c r="K1060" s="3">
        <v>0</v>
      </c>
      <c r="L1060" s="3">
        <v>0</v>
      </c>
      <c r="M1060" s="3">
        <v>0</v>
      </c>
      <c r="N1060" s="3">
        <v>0</v>
      </c>
      <c r="O1060" s="3">
        <v>0.02</v>
      </c>
      <c r="P1060" s="3">
        <v>0</v>
      </c>
      <c r="Q1060" s="3">
        <v>0</v>
      </c>
      <c r="R1060" s="3">
        <v>0</v>
      </c>
    </row>
    <row r="1061" spans="1:18">
      <c r="A1061" s="3" t="s">
        <v>2240</v>
      </c>
      <c r="B1061" s="3" t="s">
        <v>2241</v>
      </c>
      <c r="C1061" s="3" t="s">
        <v>2242</v>
      </c>
      <c r="D1061" s="3" t="s">
        <v>2243</v>
      </c>
      <c r="E1061" s="3" t="s">
        <v>538</v>
      </c>
      <c r="F1061" s="3">
        <v>20.99</v>
      </c>
      <c r="G1061" s="3" t="s">
        <v>2454</v>
      </c>
      <c r="H1061" s="3"/>
      <c r="I1061" s="3" t="s">
        <v>2455</v>
      </c>
      <c r="J1061" s="3">
        <v>10</v>
      </c>
      <c r="K1061" s="3">
        <v>10</v>
      </c>
      <c r="L1061" s="3">
        <v>0</v>
      </c>
      <c r="M1061" s="3">
        <v>0</v>
      </c>
      <c r="N1061" s="3">
        <v>10</v>
      </c>
      <c r="O1061" s="3">
        <v>0.23</v>
      </c>
      <c r="P1061" s="3">
        <v>0</v>
      </c>
      <c r="Q1061" s="3">
        <v>0</v>
      </c>
      <c r="R1061" s="3">
        <v>0</v>
      </c>
    </row>
    <row r="1062" spans="1:18">
      <c r="A1062" s="3" t="s">
        <v>487</v>
      </c>
      <c r="B1062" s="3" t="s">
        <v>488</v>
      </c>
      <c r="C1062" s="3" t="s">
        <v>489</v>
      </c>
      <c r="D1062" s="3" t="s">
        <v>490</v>
      </c>
      <c r="E1062" s="3" t="s">
        <v>538</v>
      </c>
      <c r="F1062" s="3">
        <v>16</v>
      </c>
      <c r="G1062" s="3" t="s">
        <v>2454</v>
      </c>
      <c r="H1062" s="3"/>
      <c r="I1062" s="3" t="s">
        <v>2455</v>
      </c>
      <c r="J1062" s="3">
        <v>7</v>
      </c>
      <c r="K1062" s="3">
        <v>5</v>
      </c>
      <c r="L1062" s="3">
        <v>1</v>
      </c>
      <c r="M1062" s="3">
        <v>1</v>
      </c>
      <c r="N1062" s="3">
        <v>7</v>
      </c>
      <c r="O1062" s="3">
        <v>0.21</v>
      </c>
      <c r="P1062" s="3">
        <v>0</v>
      </c>
      <c r="Q1062" s="3">
        <v>0</v>
      </c>
      <c r="R1062" s="3">
        <v>0</v>
      </c>
    </row>
    <row r="1063" spans="1:18">
      <c r="A1063" s="3" t="s">
        <v>3893</v>
      </c>
      <c r="B1063" s="3" t="s">
        <v>3894</v>
      </c>
      <c r="C1063" s="3" t="s">
        <v>3895</v>
      </c>
      <c r="D1063" s="3"/>
      <c r="E1063" s="3" t="s">
        <v>2459</v>
      </c>
      <c r="F1063" s="3"/>
      <c r="G1063" s="3"/>
      <c r="H1063" s="3"/>
      <c r="I1063" s="3"/>
      <c r="J1063" s="3">
        <v>4</v>
      </c>
      <c r="K1063" s="3">
        <v>0</v>
      </c>
      <c r="L1063" s="3">
        <v>4</v>
      </c>
      <c r="M1063" s="3">
        <v>0</v>
      </c>
      <c r="N1063" s="3">
        <v>4</v>
      </c>
      <c r="O1063" s="3"/>
      <c r="P1063" s="3">
        <v>0</v>
      </c>
      <c r="Q1063" s="3">
        <v>0</v>
      </c>
      <c r="R1063" s="3">
        <v>0</v>
      </c>
    </row>
    <row r="1064" spans="1:18">
      <c r="A1064" s="3" t="s">
        <v>3896</v>
      </c>
      <c r="B1064" s="3" t="s">
        <v>3897</v>
      </c>
      <c r="C1064" s="3" t="s">
        <v>3898</v>
      </c>
      <c r="D1064" s="3"/>
      <c r="E1064" s="3" t="s">
        <v>2459</v>
      </c>
      <c r="F1064" s="3"/>
      <c r="G1064" s="3"/>
      <c r="H1064" s="3"/>
      <c r="I1064" s="3"/>
      <c r="J1064" s="3">
        <v>2</v>
      </c>
      <c r="K1064" s="3">
        <v>0</v>
      </c>
      <c r="L1064" s="3">
        <v>2</v>
      </c>
      <c r="M1064" s="3">
        <v>0</v>
      </c>
      <c r="N1064" s="3">
        <v>2</v>
      </c>
      <c r="O1064" s="3"/>
      <c r="P1064" s="3">
        <v>0</v>
      </c>
      <c r="Q1064" s="3">
        <v>0</v>
      </c>
      <c r="R1064" s="3">
        <v>0</v>
      </c>
    </row>
    <row r="1065" spans="1:18">
      <c r="A1065" s="3" t="s">
        <v>3899</v>
      </c>
      <c r="B1065" s="3" t="s">
        <v>3900</v>
      </c>
      <c r="C1065" s="3" t="s">
        <v>3901</v>
      </c>
      <c r="D1065" s="3"/>
      <c r="E1065" s="3" t="s">
        <v>2459</v>
      </c>
      <c r="F1065" s="3"/>
      <c r="G1065" s="3"/>
      <c r="H1065" s="3"/>
      <c r="I1065" s="3"/>
      <c r="J1065" s="3">
        <v>2</v>
      </c>
      <c r="K1065" s="3">
        <v>0</v>
      </c>
      <c r="L1065" s="3">
        <v>2</v>
      </c>
      <c r="M1065" s="3">
        <v>0</v>
      </c>
      <c r="N1065" s="3">
        <v>2</v>
      </c>
      <c r="O1065" s="3"/>
      <c r="P1065" s="3">
        <v>0</v>
      </c>
      <c r="Q1065" s="3">
        <v>0</v>
      </c>
      <c r="R1065" s="3">
        <v>0</v>
      </c>
    </row>
    <row r="1066" spans="1:18">
      <c r="A1066" s="3" t="s">
        <v>3902</v>
      </c>
      <c r="B1066" s="3" t="s">
        <v>3903</v>
      </c>
      <c r="C1066" s="3" t="s">
        <v>3904</v>
      </c>
      <c r="D1066" s="3"/>
      <c r="E1066" s="3" t="s">
        <v>2459</v>
      </c>
      <c r="F1066" s="3"/>
      <c r="G1066" s="3"/>
      <c r="H1066" s="3"/>
      <c r="I1066" s="3"/>
      <c r="J1066" s="3">
        <v>4</v>
      </c>
      <c r="K1066" s="3">
        <v>0</v>
      </c>
      <c r="L1066" s="3">
        <v>4</v>
      </c>
      <c r="M1066" s="3">
        <v>0</v>
      </c>
      <c r="N1066" s="3">
        <v>4</v>
      </c>
      <c r="O1066" s="3"/>
      <c r="P1066" s="3">
        <v>0</v>
      </c>
      <c r="Q1066" s="3">
        <v>0</v>
      </c>
      <c r="R1066" s="3">
        <v>0</v>
      </c>
    </row>
    <row r="1067" spans="1:18">
      <c r="A1067" s="3" t="s">
        <v>3905</v>
      </c>
      <c r="B1067" s="3" t="s">
        <v>3906</v>
      </c>
      <c r="C1067" s="3" t="s">
        <v>3907</v>
      </c>
      <c r="D1067" s="3"/>
      <c r="E1067" s="3" t="s">
        <v>2459</v>
      </c>
      <c r="F1067" s="3"/>
      <c r="G1067" s="3"/>
      <c r="H1067" s="3"/>
      <c r="I1067" s="3"/>
      <c r="J1067" s="3">
        <v>3</v>
      </c>
      <c r="K1067" s="3">
        <v>0</v>
      </c>
      <c r="L1067" s="3">
        <v>3</v>
      </c>
      <c r="M1067" s="3">
        <v>0</v>
      </c>
      <c r="N1067" s="3">
        <v>3</v>
      </c>
      <c r="O1067" s="3"/>
      <c r="P1067" s="3">
        <v>0</v>
      </c>
      <c r="Q1067" s="3">
        <v>0</v>
      </c>
      <c r="R1067" s="3">
        <v>0</v>
      </c>
    </row>
    <row r="1068" spans="1:18">
      <c r="A1068" s="3" t="s">
        <v>3908</v>
      </c>
      <c r="B1068" s="3" t="s">
        <v>3909</v>
      </c>
      <c r="C1068" s="3" t="s">
        <v>3910</v>
      </c>
      <c r="D1068" s="3"/>
      <c r="E1068" s="3" t="s">
        <v>2459</v>
      </c>
      <c r="F1068" s="3"/>
      <c r="G1068" s="3"/>
      <c r="H1068" s="3"/>
      <c r="I1068" s="3"/>
      <c r="J1068" s="3">
        <v>3</v>
      </c>
      <c r="K1068" s="3">
        <v>0</v>
      </c>
      <c r="L1068" s="3">
        <v>3</v>
      </c>
      <c r="M1068" s="3">
        <v>0</v>
      </c>
      <c r="N1068" s="3">
        <v>3</v>
      </c>
      <c r="O1068" s="3"/>
      <c r="P1068" s="3">
        <v>0</v>
      </c>
      <c r="Q1068" s="3">
        <v>0</v>
      </c>
      <c r="R1068" s="3">
        <v>0</v>
      </c>
    </row>
    <row r="1069" spans="1:18">
      <c r="A1069" s="3" t="s">
        <v>3911</v>
      </c>
      <c r="B1069" s="3" t="s">
        <v>3912</v>
      </c>
      <c r="C1069" s="3" t="s">
        <v>3913</v>
      </c>
      <c r="D1069" s="3"/>
      <c r="E1069" s="3" t="s">
        <v>2459</v>
      </c>
      <c r="F1069" s="3"/>
      <c r="G1069" s="3"/>
      <c r="H1069" s="3"/>
      <c r="I1069" s="3"/>
      <c r="J1069" s="3">
        <v>1</v>
      </c>
      <c r="K1069" s="3">
        <v>0</v>
      </c>
      <c r="L1069" s="3">
        <v>1</v>
      </c>
      <c r="M1069" s="3">
        <v>0</v>
      </c>
      <c r="N1069" s="3">
        <v>1</v>
      </c>
      <c r="O1069" s="3"/>
      <c r="P1069" s="3">
        <v>0</v>
      </c>
      <c r="Q1069" s="3">
        <v>0</v>
      </c>
      <c r="R1069" s="3">
        <v>0</v>
      </c>
    </row>
    <row r="1070" spans="1:18">
      <c r="A1070" s="3" t="s">
        <v>3914</v>
      </c>
      <c r="B1070" s="3" t="s">
        <v>3915</v>
      </c>
      <c r="C1070" s="3" t="s">
        <v>3916</v>
      </c>
      <c r="D1070" s="3"/>
      <c r="E1070" s="3" t="s">
        <v>2459</v>
      </c>
      <c r="F1070" s="3"/>
      <c r="G1070" s="3"/>
      <c r="H1070" s="3"/>
      <c r="I1070" s="3"/>
      <c r="J1070" s="3">
        <v>4</v>
      </c>
      <c r="K1070" s="3">
        <v>0</v>
      </c>
      <c r="L1070" s="3">
        <v>4</v>
      </c>
      <c r="M1070" s="3">
        <v>0</v>
      </c>
      <c r="N1070" s="3">
        <v>4</v>
      </c>
      <c r="O1070" s="3"/>
      <c r="P1070" s="3">
        <v>0</v>
      </c>
      <c r="Q1070" s="3">
        <v>0</v>
      </c>
      <c r="R1070" s="3">
        <v>0</v>
      </c>
    </row>
    <row r="1071" spans="1:18">
      <c r="A1071" s="3" t="s">
        <v>3917</v>
      </c>
      <c r="B1071" s="3" t="s">
        <v>3918</v>
      </c>
      <c r="C1071" s="3" t="s">
        <v>3919</v>
      </c>
      <c r="D1071" s="3"/>
      <c r="E1071" s="3" t="s">
        <v>2459</v>
      </c>
      <c r="F1071" s="3"/>
      <c r="G1071" s="3"/>
      <c r="H1071" s="3"/>
      <c r="I1071" s="3"/>
      <c r="J1071" s="3">
        <v>2</v>
      </c>
      <c r="K1071" s="3">
        <v>0</v>
      </c>
      <c r="L1071" s="3">
        <v>2</v>
      </c>
      <c r="M1071" s="3">
        <v>0</v>
      </c>
      <c r="N1071" s="3">
        <v>2</v>
      </c>
      <c r="O1071" s="3"/>
      <c r="P1071" s="3">
        <v>0</v>
      </c>
      <c r="Q1071" s="3">
        <v>0</v>
      </c>
      <c r="R1071" s="3">
        <v>0</v>
      </c>
    </row>
    <row r="1072" spans="1:18">
      <c r="A1072" s="3" t="s">
        <v>3920</v>
      </c>
      <c r="B1072" s="3" t="s">
        <v>3921</v>
      </c>
      <c r="C1072" s="3" t="s">
        <v>3922</v>
      </c>
      <c r="D1072" s="3"/>
      <c r="E1072" s="3" t="s">
        <v>2459</v>
      </c>
      <c r="F1072" s="3"/>
      <c r="G1072" s="3"/>
      <c r="H1072" s="3"/>
      <c r="I1072" s="3"/>
      <c r="J1072" s="3">
        <v>2</v>
      </c>
      <c r="K1072" s="3">
        <v>0</v>
      </c>
      <c r="L1072" s="3">
        <v>2</v>
      </c>
      <c r="M1072" s="3">
        <v>0</v>
      </c>
      <c r="N1072" s="3">
        <v>2</v>
      </c>
      <c r="O1072" s="3"/>
      <c r="P1072" s="3">
        <v>0</v>
      </c>
      <c r="Q1072" s="3">
        <v>0</v>
      </c>
      <c r="R1072" s="3">
        <v>0</v>
      </c>
    </row>
    <row r="1073" spans="1:18">
      <c r="A1073" s="3" t="s">
        <v>3923</v>
      </c>
      <c r="B1073" s="3" t="s">
        <v>3924</v>
      </c>
      <c r="C1073" s="3" t="s">
        <v>3925</v>
      </c>
      <c r="D1073" s="3"/>
      <c r="E1073" s="3" t="s">
        <v>2459</v>
      </c>
      <c r="F1073" s="3"/>
      <c r="G1073" s="3"/>
      <c r="H1073" s="3"/>
      <c r="I1073" s="3"/>
      <c r="J1073" s="3">
        <v>1</v>
      </c>
      <c r="K1073" s="3">
        <v>0</v>
      </c>
      <c r="L1073" s="3">
        <v>1</v>
      </c>
      <c r="M1073" s="3">
        <v>0</v>
      </c>
      <c r="N1073" s="3">
        <v>1</v>
      </c>
      <c r="O1073" s="3"/>
      <c r="P1073" s="3">
        <v>0</v>
      </c>
      <c r="Q1073" s="3">
        <v>0</v>
      </c>
      <c r="R1073" s="3">
        <v>0</v>
      </c>
    </row>
    <row r="1074" spans="1:18">
      <c r="A1074" s="3" t="s">
        <v>3926</v>
      </c>
      <c r="B1074" s="3" t="s">
        <v>3927</v>
      </c>
      <c r="C1074" s="3" t="s">
        <v>3928</v>
      </c>
      <c r="D1074" s="3"/>
      <c r="E1074" s="3" t="s">
        <v>2459</v>
      </c>
      <c r="F1074" s="3"/>
      <c r="G1074" s="3"/>
      <c r="H1074" s="3"/>
      <c r="I1074" s="3"/>
      <c r="J1074" s="3">
        <v>2</v>
      </c>
      <c r="K1074" s="3">
        <v>0</v>
      </c>
      <c r="L1074" s="3">
        <v>2</v>
      </c>
      <c r="M1074" s="3">
        <v>0</v>
      </c>
      <c r="N1074" s="3">
        <v>2</v>
      </c>
      <c r="O1074" s="3"/>
      <c r="P1074" s="3">
        <v>0</v>
      </c>
      <c r="Q1074" s="3">
        <v>0</v>
      </c>
      <c r="R1074" s="3">
        <v>0</v>
      </c>
    </row>
    <row r="1075" spans="1:18">
      <c r="A1075" s="3" t="s">
        <v>3929</v>
      </c>
      <c r="B1075" s="3" t="s">
        <v>3930</v>
      </c>
      <c r="C1075" s="3" t="s">
        <v>3931</v>
      </c>
      <c r="D1075" s="3"/>
      <c r="E1075" s="3" t="s">
        <v>2459</v>
      </c>
      <c r="F1075" s="3"/>
      <c r="G1075" s="3"/>
      <c r="H1075" s="3"/>
      <c r="I1075" s="3"/>
      <c r="J1075" s="3">
        <v>1</v>
      </c>
      <c r="K1075" s="3">
        <v>0</v>
      </c>
      <c r="L1075" s="3">
        <v>1</v>
      </c>
      <c r="M1075" s="3">
        <v>0</v>
      </c>
      <c r="N1075" s="3">
        <v>1</v>
      </c>
      <c r="O1075" s="3"/>
      <c r="P1075" s="3">
        <v>0</v>
      </c>
      <c r="Q1075" s="3">
        <v>0</v>
      </c>
      <c r="R1075" s="3">
        <v>0</v>
      </c>
    </row>
    <row r="1076" spans="1:18">
      <c r="A1076" s="3" t="s">
        <v>3932</v>
      </c>
      <c r="B1076" s="3" t="s">
        <v>3933</v>
      </c>
      <c r="C1076" s="3" t="s">
        <v>3934</v>
      </c>
      <c r="D1076" s="3"/>
      <c r="E1076" s="3" t="s">
        <v>2459</v>
      </c>
      <c r="F1076" s="3"/>
      <c r="G1076" s="3"/>
      <c r="H1076" s="3"/>
      <c r="I1076" s="3"/>
      <c r="J1076" s="3">
        <v>1</v>
      </c>
      <c r="K1076" s="3">
        <v>0</v>
      </c>
      <c r="L1076" s="3">
        <v>1</v>
      </c>
      <c r="M1076" s="3">
        <v>0</v>
      </c>
      <c r="N1076" s="3">
        <v>1</v>
      </c>
      <c r="O1076" s="3"/>
      <c r="P1076" s="3">
        <v>0</v>
      </c>
      <c r="Q1076" s="3">
        <v>0</v>
      </c>
      <c r="R1076" s="3">
        <v>0</v>
      </c>
    </row>
    <row r="1077" spans="1:18">
      <c r="A1077" s="3" t="s">
        <v>3935</v>
      </c>
      <c r="B1077" s="3" t="s">
        <v>3936</v>
      </c>
      <c r="C1077" s="3" t="s">
        <v>3937</v>
      </c>
      <c r="D1077" s="3"/>
      <c r="E1077" s="3" t="s">
        <v>2459</v>
      </c>
      <c r="F1077" s="3"/>
      <c r="G1077" s="3"/>
      <c r="H1077" s="3"/>
      <c r="I1077" s="3"/>
      <c r="J1077" s="3">
        <v>4</v>
      </c>
      <c r="K1077" s="3">
        <v>0</v>
      </c>
      <c r="L1077" s="3">
        <v>4</v>
      </c>
      <c r="M1077" s="3">
        <v>0</v>
      </c>
      <c r="N1077" s="3">
        <v>4</v>
      </c>
      <c r="O1077" s="3"/>
      <c r="P1077" s="3">
        <v>0</v>
      </c>
      <c r="Q1077" s="3">
        <v>0</v>
      </c>
      <c r="R1077" s="3">
        <v>0</v>
      </c>
    </row>
    <row r="1078" spans="1:18">
      <c r="A1078" s="3" t="s">
        <v>3938</v>
      </c>
      <c r="B1078" s="3" t="s">
        <v>3939</v>
      </c>
      <c r="C1078" s="3" t="s">
        <v>3940</v>
      </c>
      <c r="D1078" s="3"/>
      <c r="E1078" s="3" t="s">
        <v>2459</v>
      </c>
      <c r="F1078" s="3"/>
      <c r="G1078" s="3"/>
      <c r="H1078" s="3"/>
      <c r="I1078" s="3"/>
      <c r="J1078" s="3">
        <v>3</v>
      </c>
      <c r="K1078" s="3">
        <v>0</v>
      </c>
      <c r="L1078" s="3">
        <v>3</v>
      </c>
      <c r="M1078" s="3">
        <v>0</v>
      </c>
      <c r="N1078" s="3">
        <v>3</v>
      </c>
      <c r="O1078" s="3"/>
      <c r="P1078" s="3">
        <v>0</v>
      </c>
      <c r="Q1078" s="3">
        <v>0</v>
      </c>
      <c r="R1078" s="3">
        <v>0</v>
      </c>
    </row>
    <row r="1079" spans="1:18">
      <c r="A1079" s="3" t="s">
        <v>1279</v>
      </c>
      <c r="B1079" s="3" t="s">
        <v>1280</v>
      </c>
      <c r="C1079" s="3" t="s">
        <v>1281</v>
      </c>
      <c r="D1079" s="3" t="s">
        <v>482</v>
      </c>
      <c r="E1079" s="3" t="s">
        <v>538</v>
      </c>
      <c r="F1079" s="3">
        <v>13.99</v>
      </c>
      <c r="G1079" s="3" t="s">
        <v>2454</v>
      </c>
      <c r="H1079" s="3"/>
      <c r="I1079" s="3" t="s">
        <v>2455</v>
      </c>
      <c r="J1079" s="3">
        <v>3</v>
      </c>
      <c r="K1079" s="3">
        <v>3</v>
      </c>
      <c r="L1079" s="3">
        <v>0</v>
      </c>
      <c r="M1079" s="3">
        <v>0</v>
      </c>
      <c r="N1079" s="3">
        <v>3</v>
      </c>
      <c r="O1079" s="3">
        <v>0.07</v>
      </c>
      <c r="P1079" s="3">
        <v>0</v>
      </c>
      <c r="Q1079" s="3">
        <v>0</v>
      </c>
      <c r="R1079" s="3">
        <v>0</v>
      </c>
    </row>
    <row r="1080" spans="1:18">
      <c r="A1080" s="3" t="s">
        <v>479</v>
      </c>
      <c r="B1080" s="3" t="s">
        <v>480</v>
      </c>
      <c r="C1080" s="3" t="s">
        <v>481</v>
      </c>
      <c r="D1080" s="3" t="s">
        <v>482</v>
      </c>
      <c r="E1080" s="3" t="s">
        <v>538</v>
      </c>
      <c r="F1080" s="3">
        <v>13.99</v>
      </c>
      <c r="G1080" s="3" t="s">
        <v>2454</v>
      </c>
      <c r="H1080" s="3"/>
      <c r="I1080" s="3" t="s">
        <v>2455</v>
      </c>
      <c r="J1080" s="3">
        <v>6</v>
      </c>
      <c r="K1080" s="3">
        <v>4</v>
      </c>
      <c r="L1080" s="3">
        <v>0</v>
      </c>
      <c r="M1080" s="3">
        <v>2</v>
      </c>
      <c r="N1080" s="3">
        <v>8</v>
      </c>
      <c r="O1080" s="3">
        <v>0.07</v>
      </c>
      <c r="P1080" s="3">
        <v>0</v>
      </c>
      <c r="Q1080" s="3">
        <v>2</v>
      </c>
      <c r="R1080" s="3">
        <v>0</v>
      </c>
    </row>
    <row r="1081" spans="1:18">
      <c r="A1081" s="3" t="s">
        <v>1723</v>
      </c>
      <c r="B1081" s="3" t="s">
        <v>1724</v>
      </c>
      <c r="C1081" s="3" t="s">
        <v>1725</v>
      </c>
      <c r="D1081" s="3" t="s">
        <v>482</v>
      </c>
      <c r="E1081" s="3" t="s">
        <v>538</v>
      </c>
      <c r="F1081" s="3">
        <v>13.99</v>
      </c>
      <c r="G1081" s="3" t="s">
        <v>2454</v>
      </c>
      <c r="H1081" s="3"/>
      <c r="I1081" s="3" t="s">
        <v>2455</v>
      </c>
      <c r="J1081" s="3">
        <v>2</v>
      </c>
      <c r="K1081" s="3">
        <v>2</v>
      </c>
      <c r="L1081" s="3">
        <v>0</v>
      </c>
      <c r="M1081" s="3">
        <v>0</v>
      </c>
      <c r="N1081" s="3">
        <v>2</v>
      </c>
      <c r="O1081" s="3">
        <v>0.07</v>
      </c>
      <c r="P1081" s="3">
        <v>0</v>
      </c>
      <c r="Q1081" s="3">
        <v>0</v>
      </c>
      <c r="R1081" s="3">
        <v>0</v>
      </c>
    </row>
    <row r="1082" spans="1:18">
      <c r="A1082" s="3" t="s">
        <v>1392</v>
      </c>
      <c r="B1082" s="3" t="s">
        <v>1393</v>
      </c>
      <c r="C1082" s="3" t="s">
        <v>1394</v>
      </c>
      <c r="D1082" s="3" t="s">
        <v>482</v>
      </c>
      <c r="E1082" s="3" t="s">
        <v>538</v>
      </c>
      <c r="F1082" s="3">
        <v>13.99</v>
      </c>
      <c r="G1082" s="3" t="s">
        <v>2454</v>
      </c>
      <c r="H1082" s="3"/>
      <c r="I1082" s="3" t="s">
        <v>2455</v>
      </c>
      <c r="J1082" s="3">
        <v>2</v>
      </c>
      <c r="K1082" s="3">
        <v>2</v>
      </c>
      <c r="L1082" s="3">
        <v>0</v>
      </c>
      <c r="M1082" s="3">
        <v>0</v>
      </c>
      <c r="N1082" s="3">
        <v>7</v>
      </c>
      <c r="O1082" s="3">
        <v>0.07</v>
      </c>
      <c r="P1082" s="3">
        <v>0</v>
      </c>
      <c r="Q1082" s="3">
        <v>5</v>
      </c>
      <c r="R1082" s="3">
        <v>0</v>
      </c>
    </row>
    <row r="1083" spans="1:18">
      <c r="A1083" s="3" t="s">
        <v>1930</v>
      </c>
      <c r="B1083" s="3" t="s">
        <v>1931</v>
      </c>
      <c r="C1083" s="3" t="s">
        <v>1932</v>
      </c>
      <c r="D1083" s="3" t="s">
        <v>482</v>
      </c>
      <c r="E1083" s="3" t="s">
        <v>538</v>
      </c>
      <c r="F1083" s="3">
        <v>13.99</v>
      </c>
      <c r="G1083" s="3" t="s">
        <v>2454</v>
      </c>
      <c r="H1083" s="3"/>
      <c r="I1083" s="3" t="s">
        <v>2455</v>
      </c>
      <c r="J1083" s="3">
        <v>9</v>
      </c>
      <c r="K1083" s="3">
        <v>9</v>
      </c>
      <c r="L1083" s="3">
        <v>0</v>
      </c>
      <c r="M1083" s="3">
        <v>0</v>
      </c>
      <c r="N1083" s="3">
        <v>9</v>
      </c>
      <c r="O1083" s="3">
        <v>0.07</v>
      </c>
      <c r="P1083" s="3">
        <v>0</v>
      </c>
      <c r="Q1083" s="3">
        <v>0</v>
      </c>
      <c r="R1083" s="3">
        <v>0</v>
      </c>
    </row>
    <row r="1084" spans="1:18">
      <c r="A1084" s="3" t="s">
        <v>2413</v>
      </c>
      <c r="B1084" s="3" t="s">
        <v>2414</v>
      </c>
      <c r="C1084" s="3" t="s">
        <v>2415</v>
      </c>
      <c r="D1084" s="3" t="s">
        <v>482</v>
      </c>
      <c r="E1084" s="3" t="s">
        <v>538</v>
      </c>
      <c r="F1084" s="3">
        <v>13.99</v>
      </c>
      <c r="G1084" s="3" t="s">
        <v>2454</v>
      </c>
      <c r="H1084" s="3"/>
      <c r="I1084" s="3" t="s">
        <v>2455</v>
      </c>
      <c r="J1084" s="3">
        <v>7</v>
      </c>
      <c r="K1084" s="3">
        <v>7</v>
      </c>
      <c r="L1084" s="3">
        <v>0</v>
      </c>
      <c r="M1084" s="3">
        <v>0</v>
      </c>
      <c r="N1084" s="3">
        <v>7</v>
      </c>
      <c r="O1084" s="3">
        <v>0.07</v>
      </c>
      <c r="P1084" s="3">
        <v>0</v>
      </c>
      <c r="Q1084" s="3">
        <v>0</v>
      </c>
      <c r="R1084" s="3">
        <v>0</v>
      </c>
    </row>
    <row r="1085" spans="1:18">
      <c r="A1085" s="3" t="s">
        <v>1671</v>
      </c>
      <c r="B1085" s="3" t="s">
        <v>1672</v>
      </c>
      <c r="C1085" s="3" t="s">
        <v>1673</v>
      </c>
      <c r="D1085" s="3" t="s">
        <v>482</v>
      </c>
      <c r="E1085" s="3" t="s">
        <v>538</v>
      </c>
      <c r="F1085" s="3">
        <v>13.99</v>
      </c>
      <c r="G1085" s="3" t="s">
        <v>2454</v>
      </c>
      <c r="H1085" s="3"/>
      <c r="I1085" s="3" t="s">
        <v>2455</v>
      </c>
      <c r="J1085" s="3">
        <v>9</v>
      </c>
      <c r="K1085" s="3">
        <v>9</v>
      </c>
      <c r="L1085" s="3">
        <v>0</v>
      </c>
      <c r="M1085" s="3">
        <v>0</v>
      </c>
      <c r="N1085" s="3">
        <v>9</v>
      </c>
      <c r="O1085" s="3">
        <v>0.07</v>
      </c>
      <c r="P1085" s="3">
        <v>0</v>
      </c>
      <c r="Q1085" s="3">
        <v>0</v>
      </c>
      <c r="R1085" s="3">
        <v>0</v>
      </c>
    </row>
    <row r="1086" spans="1:18">
      <c r="A1086" s="3" t="s">
        <v>978</v>
      </c>
      <c r="B1086" s="3" t="s">
        <v>979</v>
      </c>
      <c r="C1086" s="3" t="s">
        <v>980</v>
      </c>
      <c r="D1086" s="3" t="s">
        <v>482</v>
      </c>
      <c r="E1086" s="3" t="s">
        <v>538</v>
      </c>
      <c r="F1086" s="3">
        <v>13.99</v>
      </c>
      <c r="G1086" s="3" t="s">
        <v>2454</v>
      </c>
      <c r="H1086" s="3"/>
      <c r="I1086" s="3" t="s">
        <v>2455</v>
      </c>
      <c r="J1086" s="3">
        <v>9</v>
      </c>
      <c r="K1086" s="3">
        <v>9</v>
      </c>
      <c r="L1086" s="3">
        <v>0</v>
      </c>
      <c r="M1086" s="3">
        <v>0</v>
      </c>
      <c r="N1086" s="3">
        <v>9</v>
      </c>
      <c r="O1086" s="3">
        <v>0.07</v>
      </c>
      <c r="P1086" s="3">
        <v>0</v>
      </c>
      <c r="Q1086" s="3">
        <v>0</v>
      </c>
      <c r="R1086" s="3">
        <v>0</v>
      </c>
    </row>
    <row r="1087" spans="1:18">
      <c r="A1087" s="3" t="s">
        <v>3941</v>
      </c>
      <c r="B1087" s="3" t="s">
        <v>3942</v>
      </c>
      <c r="C1087" s="3" t="s">
        <v>3943</v>
      </c>
      <c r="D1087" s="3"/>
      <c r="E1087" s="3" t="s">
        <v>2459</v>
      </c>
      <c r="F1087" s="3"/>
      <c r="G1087" s="3"/>
      <c r="H1087" s="3"/>
      <c r="I1087" s="3"/>
      <c r="J1087" s="3">
        <v>5</v>
      </c>
      <c r="K1087" s="3">
        <v>0</v>
      </c>
      <c r="L1087" s="3">
        <v>5</v>
      </c>
      <c r="M1087" s="3">
        <v>0</v>
      </c>
      <c r="N1087" s="3">
        <v>5</v>
      </c>
      <c r="O1087" s="3"/>
      <c r="P1087" s="3">
        <v>0</v>
      </c>
      <c r="Q1087" s="3">
        <v>0</v>
      </c>
      <c r="R1087" s="3">
        <v>0</v>
      </c>
    </row>
    <row r="1088" spans="1:18">
      <c r="A1088" s="3" t="s">
        <v>3944</v>
      </c>
      <c r="B1088" s="3" t="s">
        <v>3945</v>
      </c>
      <c r="C1088" s="3" t="s">
        <v>3946</v>
      </c>
      <c r="D1088" s="3"/>
      <c r="E1088" s="3" t="s">
        <v>2459</v>
      </c>
      <c r="F1088" s="3"/>
      <c r="G1088" s="3"/>
      <c r="H1088" s="3"/>
      <c r="I1088" s="3"/>
      <c r="J1088" s="3">
        <v>4</v>
      </c>
      <c r="K1088" s="3">
        <v>0</v>
      </c>
      <c r="L1088" s="3">
        <v>4</v>
      </c>
      <c r="M1088" s="3">
        <v>0</v>
      </c>
      <c r="N1088" s="3">
        <v>4</v>
      </c>
      <c r="O1088" s="3"/>
      <c r="P1088" s="3">
        <v>0</v>
      </c>
      <c r="Q1088" s="3">
        <v>0</v>
      </c>
      <c r="R1088" s="3">
        <v>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089"/>
  <sheetViews>
    <sheetView tabSelected="1" topLeftCell="B1" workbookViewId="0">
      <selection activeCell="B3" sqref="B3:N108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500</v>
      </c>
      <c r="B1" t="s">
        <v>3947</v>
      </c>
      <c r="C1" t="s">
        <v>3948</v>
      </c>
      <c r="D1" t="s">
        <v>3949</v>
      </c>
      <c r="E1" t="s">
        <v>3950</v>
      </c>
      <c r="F1" t="s">
        <v>3951</v>
      </c>
      <c r="G1" t="s">
        <v>3952</v>
      </c>
      <c r="H1" s="2" t="s">
        <v>3953</v>
      </c>
      <c r="I1" t="s">
        <v>3954</v>
      </c>
      <c r="J1" t="s">
        <v>507</v>
      </c>
      <c r="K1" t="s">
        <v>508</v>
      </c>
      <c r="L1" t="s">
        <v>509</v>
      </c>
      <c r="M1" t="s">
        <v>510</v>
      </c>
      <c r="N1" t="s">
        <v>3955</v>
      </c>
    </row>
    <row r="2" s="1" customFormat="1" spans="1:14">
      <c r="A2" s="1" t="s">
        <v>3956</v>
      </c>
      <c r="B2" s="1">
        <f>SUM(B3:B65536)</f>
        <v>9459</v>
      </c>
      <c r="C2" s="1">
        <f t="shared" ref="C2:N2" si="0">SUM(C3:C65536)</f>
        <v>183</v>
      </c>
      <c r="D2" s="1">
        <f t="shared" si="0"/>
        <v>2710</v>
      </c>
      <c r="E2" s="1">
        <f t="shared" si="0"/>
        <v>220</v>
      </c>
      <c r="F2" s="1">
        <f t="shared" si="0"/>
        <v>2930</v>
      </c>
      <c r="G2" s="1">
        <f t="shared" si="0"/>
        <v>1047</v>
      </c>
      <c r="H2" s="1">
        <f t="shared" si="0"/>
        <v>250</v>
      </c>
      <c r="I2" s="1">
        <f t="shared" si="0"/>
        <v>155</v>
      </c>
      <c r="J2" s="1">
        <f t="shared" si="0"/>
        <v>436</v>
      </c>
      <c r="K2" s="1">
        <f t="shared" si="0"/>
        <v>613</v>
      </c>
      <c r="L2" s="1">
        <f t="shared" si="0"/>
        <v>558</v>
      </c>
      <c r="M2" s="1">
        <f t="shared" si="0"/>
        <v>98</v>
      </c>
      <c r="N2" s="1">
        <f t="shared" si="0"/>
        <v>1705</v>
      </c>
    </row>
    <row r="3" spans="1:14">
      <c r="A3" s="3" t="s">
        <v>8</v>
      </c>
      <c r="B3">
        <f>IFERROR(VLOOKUP(A3,管理亚马逊库存!A:K,11,0),"")</f>
        <v>0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1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0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0</v>
      </c>
      <c r="H4">
        <f>IFERROR(VLOOKUP(A4,预留库存!A:H,8,0),0)</f>
        <v>1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16</v>
      </c>
      <c r="B5">
        <f>IFERROR(VLOOKUP(A5,管理亚马逊库存!A:K,11,0),"")</f>
        <v>35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0</v>
      </c>
      <c r="H5">
        <f>IFERROR(VLOOKUP(A5,预留库存!A:H,8,0),0)</f>
        <v>0</v>
      </c>
      <c r="I5">
        <f>IFERROR(VLOOKUP(A5,预留库存!A:F,6,0),0)</f>
        <v>1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13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3</v>
      </c>
      <c r="H6">
        <f>IFERROR(VLOOKUP(A6,预留库存!A:H,8,0),0)</f>
        <v>0</v>
      </c>
      <c r="I6">
        <f>IFERROR(VLOOKUP(A6,预留库存!A:F,6,0),0)</f>
        <v>3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23</v>
      </c>
      <c r="B7">
        <f>IFERROR(VLOOKUP(A7,管理亚马逊库存!A:K,11,0),"")</f>
        <v>54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26</v>
      </c>
      <c r="B8">
        <f>IFERROR(VLOOKUP(A8,管理亚马逊库存!A:K,11,0),"")</f>
        <v>27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1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29</v>
      </c>
      <c r="B9">
        <f>IFERROR(VLOOKUP(A9,管理亚马逊库存!A:K,11,0),"")</f>
        <v>27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2</v>
      </c>
      <c r="H9">
        <f>IFERROR(VLOOKUP(A9,预留库存!A:H,8,0),0)</f>
        <v>0</v>
      </c>
      <c r="I9">
        <f>IFERROR(VLOOKUP(A9,预留库存!A:F,6,0),0)</f>
        <v>1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32</v>
      </c>
      <c r="B10">
        <f>IFERROR(VLOOKUP(A10,管理亚马逊库存!A:K,11,0),"")</f>
        <v>27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2</v>
      </c>
      <c r="H10">
        <f>IFERROR(VLOOKUP(A10,预留库存!A:H,8,0),0)</f>
        <v>0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35</v>
      </c>
      <c r="B11">
        <f>IFERROR(VLOOKUP(A11,管理亚马逊库存!A:K,11,0),"")</f>
        <v>7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1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38</v>
      </c>
      <c r="B12">
        <f>IFERROR(VLOOKUP(A12,管理亚马逊库存!A:K,11,0),"")</f>
        <v>21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1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41</v>
      </c>
      <c r="B13">
        <f>IFERROR(VLOOKUP(A13,管理亚马逊库存!A:K,11,0),"")</f>
        <v>30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1</v>
      </c>
      <c r="H13">
        <f>IFERROR(VLOOKUP(A13,预留库存!A:H,8,0),0)</f>
        <v>1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44</v>
      </c>
      <c r="B14">
        <f>IFERROR(VLOOKUP(A14,管理亚马逊库存!A:K,11,0),"")</f>
        <v>7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0</v>
      </c>
      <c r="H14">
        <f>IFERROR(VLOOKUP(A14,预留库存!A:H,8,0),0)</f>
        <v>2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48</v>
      </c>
      <c r="B15">
        <f>IFERROR(VLOOKUP(A15,管理亚马逊库存!A:K,11,0),"")</f>
        <v>47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1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51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1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55</v>
      </c>
      <c r="B17">
        <f>IFERROR(VLOOKUP(A17,管理亚马逊库存!A:K,11,0),"")</f>
        <v>88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6</v>
      </c>
      <c r="H17">
        <f>IFERROR(VLOOKUP(A17,预留库存!A:H,8,0),0)</f>
        <v>2</v>
      </c>
      <c r="I17">
        <f>IFERROR(VLOOKUP(A17,预留库存!A:F,6,0),0)</f>
        <v>2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59</v>
      </c>
      <c r="B18">
        <f>IFERROR(VLOOKUP(A18,管理亚马逊库存!A:K,11,0),"")</f>
        <v>11</v>
      </c>
      <c r="C18">
        <f>IFERROR(VLOOKUP(A18,管理亚马逊库存!A:L,12,0),"")</f>
        <v>0</v>
      </c>
      <c r="D18">
        <f>IFERROR(VLOOKUP(A18,管理亚马逊库存!A:Q,17,0),"")</f>
        <v>5</v>
      </c>
      <c r="E18">
        <f>IFERROR(VLOOKUP(A18,管理亚马逊库存!A:R,18,0),"")</f>
        <v>0</v>
      </c>
      <c r="F18">
        <f t="shared" si="1"/>
        <v>5</v>
      </c>
      <c r="G18">
        <f>IFERROR(VLOOKUP(A18,预留库存!A:G,7,0),0)</f>
        <v>0</v>
      </c>
      <c r="H18">
        <f>IFERROR(VLOOKUP(A18,预留库存!A:H,8,0),0)</f>
        <v>1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63</v>
      </c>
      <c r="B19">
        <f>IFERROR(VLOOKUP(A19,管理亚马逊库存!A:K,11,0),"")</f>
        <v>4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0</v>
      </c>
      <c r="H19">
        <f>IFERROR(VLOOKUP(A19,预留库存!A:H,8,0),0)</f>
        <v>0</v>
      </c>
      <c r="I19">
        <f>IFERROR(VLOOKUP(A19,预留库存!A:F,6,0),0)</f>
        <v>1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67</v>
      </c>
      <c r="B20">
        <f>IFERROR(VLOOKUP(A20,管理亚马逊库存!A:K,11,0),"")</f>
        <v>5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1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71</v>
      </c>
      <c r="B21">
        <f>IFERROR(VLOOKUP(A21,管理亚马逊库存!A:K,11,0),"")</f>
        <v>5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1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75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6</v>
      </c>
      <c r="E22">
        <f>IFERROR(VLOOKUP(A22,管理亚马逊库存!A:R,18,0),"")</f>
        <v>0</v>
      </c>
      <c r="F22">
        <f t="shared" si="1"/>
        <v>6</v>
      </c>
      <c r="G22">
        <f>IFERROR(VLOOKUP(A22,预留库存!A:G,7,0),0)</f>
        <v>3</v>
      </c>
      <c r="H22">
        <f>IFERROR(VLOOKUP(A22,预留库存!A:H,8,0),0)</f>
        <v>0</v>
      </c>
      <c r="I22">
        <f>IFERROR(VLOOKUP(A22,预留库存!A:F,6,0),0)</f>
        <v>1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79</v>
      </c>
      <c r="B23">
        <f>IFERROR(VLOOKUP(A23,管理亚马逊库存!A:K,11,0),"")</f>
        <v>8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1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83</v>
      </c>
      <c r="B24">
        <f>IFERROR(VLOOKUP(A24,管理亚马逊库存!A:K,11,0),"")</f>
        <v>13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2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87</v>
      </c>
      <c r="B25">
        <f>IFERROR(VLOOKUP(A25,管理亚马逊库存!A:K,11,0),"")</f>
        <v>58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1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91</v>
      </c>
      <c r="B26">
        <f>IFERROR(VLOOKUP(A26,管理亚马逊库存!A:K,11,0),"")</f>
        <v>14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4</v>
      </c>
      <c r="H26">
        <f>IFERROR(VLOOKUP(A26,预留库存!A:H,8,0),0)</f>
        <v>0</v>
      </c>
      <c r="I26">
        <f>IFERROR(VLOOKUP(A26,预留库存!A:F,6,0),0)</f>
        <v>2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95</v>
      </c>
      <c r="B27">
        <f>IFERROR(VLOOKUP(A27,管理亚马逊库存!A:K,11,0),"")</f>
        <v>1</v>
      </c>
      <c r="C27">
        <f>IFERROR(VLOOKUP(A27,管理亚马逊库存!A:L,12,0),"")</f>
        <v>0</v>
      </c>
      <c r="D27">
        <f>IFERROR(VLOOKUP(A27,管理亚马逊库存!A:Q,17,0),"")</f>
        <v>12</v>
      </c>
      <c r="E27">
        <f>IFERROR(VLOOKUP(A27,管理亚马逊库存!A:R,18,0),"")</f>
        <v>0</v>
      </c>
      <c r="F27">
        <f t="shared" si="1"/>
        <v>12</v>
      </c>
      <c r="G27">
        <f>IFERROR(VLOOKUP(A27,预留库存!A:G,7,0),0)</f>
        <v>4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99</v>
      </c>
      <c r="B28">
        <f>IFERROR(VLOOKUP(A28,管理亚马逊库存!A:K,11,0),"")</f>
        <v>4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IFERROR(VLOOKUP(A28,库龄!B:K,9,0),0)</f>
        <v>1</v>
      </c>
      <c r="K28">
        <f>IFERROR(VLOOKUP(A28,库龄!B:L,10,0),0)</f>
        <v>1</v>
      </c>
      <c r="L28">
        <f>IFERROR(VLOOKUP(A28,库龄!B:M,11,0),0)</f>
        <v>4</v>
      </c>
      <c r="M28">
        <f>IFERROR(VLOOKUP(A28,库龄!B:N,12,0),0)</f>
        <v>0</v>
      </c>
      <c r="N28">
        <f t="shared" si="2"/>
        <v>6</v>
      </c>
    </row>
    <row r="29" spans="1:14">
      <c r="A29" s="3" t="s">
        <v>103</v>
      </c>
      <c r="B29">
        <f>IFERROR(VLOOKUP(A29,管理亚马逊库存!A:K,11,0),"")</f>
        <v>41</v>
      </c>
      <c r="C29">
        <f>IFERROR(VLOOKUP(A29,管理亚马逊库存!A:L,12,0),"")</f>
        <v>1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2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107</v>
      </c>
      <c r="B30">
        <f>IFERROR(VLOOKUP(A30,管理亚马逊库存!A:K,11,0),"")</f>
        <v>0</v>
      </c>
      <c r="C30">
        <f>IFERROR(VLOOKUP(A30,管理亚马逊库存!A:L,12,0),"")</f>
        <v>0</v>
      </c>
      <c r="D30">
        <f>IFERROR(VLOOKUP(A30,管理亚马逊库存!A:Q,17,0),"")</f>
        <v>20</v>
      </c>
      <c r="E30">
        <f>IFERROR(VLOOKUP(A30,管理亚马逊库存!A:R,18,0),"")</f>
        <v>0</v>
      </c>
      <c r="F30">
        <f t="shared" si="1"/>
        <v>20</v>
      </c>
      <c r="G30">
        <f>IFERROR(VLOOKUP(A30,预留库存!A:G,7,0),0)</f>
        <v>15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111</v>
      </c>
      <c r="B31">
        <f>IFERROR(VLOOKUP(A31,管理亚马逊库存!A:K,11,0),"")</f>
        <v>25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115</v>
      </c>
      <c r="B32">
        <f>IFERROR(VLOOKUP(A32,管理亚马逊库存!A:K,11,0),"")</f>
        <v>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2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119</v>
      </c>
      <c r="B33">
        <f>IFERROR(VLOOKUP(A33,管理亚马逊库存!A:K,11,0),"")</f>
        <v>3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4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123</v>
      </c>
      <c r="B34">
        <f>IFERROR(VLOOKUP(A34,管理亚马逊库存!A:K,11,0),"")</f>
        <v>6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5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127</v>
      </c>
      <c r="B35">
        <f>IFERROR(VLOOKUP(A35,管理亚马逊库存!A:K,11,0),"")</f>
        <v>5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1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131</v>
      </c>
      <c r="B36">
        <f>IFERROR(VLOOKUP(A36,管理亚马逊库存!A:K,11,0),"")</f>
        <v>4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10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135</v>
      </c>
      <c r="B37">
        <f>IFERROR(VLOOKUP(A37,管理亚马逊库存!A:K,11,0),"")</f>
        <v>8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139</v>
      </c>
      <c r="B38">
        <f>IFERROR(VLOOKUP(A38,管理亚马逊库存!A:K,11,0),"")</f>
        <v>101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57</v>
      </c>
      <c r="H38">
        <f>IFERROR(VLOOKUP(A38,预留库存!A:H,8,0),0)</f>
        <v>3</v>
      </c>
      <c r="I38">
        <f>IFERROR(VLOOKUP(A38,预留库存!A:F,6,0),0)</f>
        <v>2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143</v>
      </c>
      <c r="B39">
        <f>IFERROR(VLOOKUP(A39,管理亚马逊库存!A:K,11,0),"")</f>
        <v>369</v>
      </c>
      <c r="C39">
        <f>IFERROR(VLOOKUP(A39,管理亚马逊库存!A:L,12,0),"")</f>
        <v>4</v>
      </c>
      <c r="D39">
        <f>IFERROR(VLOOKUP(A39,管理亚马逊库存!A:Q,17,0),"")</f>
        <v>400</v>
      </c>
      <c r="E39">
        <f>IFERROR(VLOOKUP(A39,管理亚马逊库存!A:R,18,0),"")</f>
        <v>1</v>
      </c>
      <c r="F39">
        <f t="shared" si="1"/>
        <v>401</v>
      </c>
      <c r="G39">
        <f>IFERROR(VLOOKUP(A39,预留库存!A:G,7,0),0)</f>
        <v>116</v>
      </c>
      <c r="H39">
        <f>IFERROR(VLOOKUP(A39,预留库存!A:H,8,0),0)</f>
        <v>26</v>
      </c>
      <c r="I39">
        <f>IFERROR(VLOOKUP(A39,预留库存!A:F,6,0),0)</f>
        <v>33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147</v>
      </c>
      <c r="B40">
        <f>IFERROR(VLOOKUP(A40,管理亚马逊库存!A:K,11,0),"")</f>
        <v>212</v>
      </c>
      <c r="C40">
        <f>IFERROR(VLOOKUP(A40,管理亚马逊库存!A:L,12,0),"")</f>
        <v>4</v>
      </c>
      <c r="D40">
        <f>IFERROR(VLOOKUP(A40,管理亚马逊库存!A:Q,17,0),"")</f>
        <v>89</v>
      </c>
      <c r="E40">
        <f>IFERROR(VLOOKUP(A40,管理亚马逊库存!A:R,18,0),"")</f>
        <v>140</v>
      </c>
      <c r="F40">
        <f t="shared" si="1"/>
        <v>229</v>
      </c>
      <c r="G40">
        <f>IFERROR(VLOOKUP(A40,预留库存!A:G,7,0),0)</f>
        <v>198</v>
      </c>
      <c r="H40">
        <f>IFERROR(VLOOKUP(A40,预留库存!A:H,8,0),0)</f>
        <v>28</v>
      </c>
      <c r="I40">
        <f>IFERROR(VLOOKUP(A40,预留库存!A:F,6,0),0)</f>
        <v>26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151</v>
      </c>
      <c r="B41">
        <f>IFERROR(VLOOKUP(A41,管理亚马逊库存!A:K,11,0),"")</f>
        <v>288</v>
      </c>
      <c r="C41">
        <f>IFERROR(VLOOKUP(A41,管理亚马逊库存!A:L,12,0),"")</f>
        <v>6</v>
      </c>
      <c r="D41">
        <f>IFERROR(VLOOKUP(A41,管理亚马逊库存!A:Q,17,0),"")</f>
        <v>93</v>
      </c>
      <c r="E41">
        <f>IFERROR(VLOOKUP(A41,管理亚马逊库存!A:R,18,0),"")</f>
        <v>0</v>
      </c>
      <c r="F41">
        <f t="shared" si="1"/>
        <v>93</v>
      </c>
      <c r="G41">
        <f>IFERROR(VLOOKUP(A41,预留库存!A:G,7,0),0)</f>
        <v>6</v>
      </c>
      <c r="H41">
        <f>IFERROR(VLOOKUP(A41,预留库存!A:H,8,0),0)</f>
        <v>13</v>
      </c>
      <c r="I41">
        <f>IFERROR(VLOOKUP(A41,预留库存!A:F,6,0),0)</f>
        <v>8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155</v>
      </c>
      <c r="B42">
        <f>IFERROR(VLOOKUP(A42,管理亚马逊库存!A:K,11,0),"")</f>
        <v>11</v>
      </c>
      <c r="C42">
        <f>IFERROR(VLOOKUP(A42,管理亚马逊库存!A:L,12,0),"")</f>
        <v>3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5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159</v>
      </c>
      <c r="B43">
        <f>IFERROR(VLOOKUP(A43,管理亚马逊库存!A:K,11,0),"")</f>
        <v>3</v>
      </c>
      <c r="C43">
        <f>IFERROR(VLOOKUP(A43,管理亚马逊库存!A:L,12,0),"")</f>
        <v>6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12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163</v>
      </c>
      <c r="B44">
        <f>IFERROR(VLOOKUP(A44,管理亚马逊库存!A:K,11,0),"")</f>
        <v>158</v>
      </c>
      <c r="C44">
        <f>IFERROR(VLOOKUP(A44,管理亚马逊库存!A:L,12,0),"")</f>
        <v>4</v>
      </c>
      <c r="D44">
        <f>IFERROR(VLOOKUP(A44,管理亚马逊库存!A:Q,17,0),"")</f>
        <v>280</v>
      </c>
      <c r="E44">
        <f>IFERROR(VLOOKUP(A44,管理亚马逊库存!A:R,18,0),"")</f>
        <v>0</v>
      </c>
      <c r="F44">
        <f t="shared" si="1"/>
        <v>280</v>
      </c>
      <c r="G44">
        <f>IFERROR(VLOOKUP(A44,预留库存!A:G,7,0),0)</f>
        <v>2</v>
      </c>
      <c r="H44">
        <f>IFERROR(VLOOKUP(A44,预留库存!A:H,8,0),0)</f>
        <v>2</v>
      </c>
      <c r="I44">
        <f>IFERROR(VLOOKUP(A44,预留库存!A:F,6,0),0)</f>
        <v>2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167</v>
      </c>
      <c r="B45">
        <f>IFERROR(VLOOKUP(A45,管理亚马逊库存!A:K,11,0),"")</f>
        <v>116</v>
      </c>
      <c r="C45">
        <f>IFERROR(VLOOKUP(A45,管理亚马逊库存!A:L,12,0),"")</f>
        <v>2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96</v>
      </c>
      <c r="H45">
        <f>IFERROR(VLOOKUP(A45,预留库存!A:H,8,0),0)</f>
        <v>9</v>
      </c>
      <c r="I45">
        <f>IFERROR(VLOOKUP(A45,预留库存!A:F,6,0),0)</f>
        <v>1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0</v>
      </c>
    </row>
    <row r="46" spans="1:14">
      <c r="A46" s="3" t="s">
        <v>171</v>
      </c>
      <c r="B46">
        <f>IFERROR(VLOOKUP(A46,管理亚马逊库存!A:K,11,0),"")</f>
        <v>9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3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175</v>
      </c>
      <c r="B47">
        <f>IFERROR(VLOOKUP(A47,管理亚马逊库存!A:K,11,0),"")</f>
        <v>5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179</v>
      </c>
      <c r="B48">
        <f>IFERROR(VLOOKUP(A48,管理亚马逊库存!A:K,11,0),"")</f>
        <v>103</v>
      </c>
      <c r="C48">
        <f>IFERROR(VLOOKUP(A48,管理亚马逊库存!A:L,12,0),"")</f>
        <v>0</v>
      </c>
      <c r="D48">
        <f>IFERROR(VLOOKUP(A48,管理亚马逊库存!A:Q,17,0),"")</f>
        <v>20</v>
      </c>
      <c r="E48">
        <f>IFERROR(VLOOKUP(A48,管理亚马逊库存!A:R,18,0),"")</f>
        <v>0</v>
      </c>
      <c r="F48">
        <f t="shared" si="1"/>
        <v>20</v>
      </c>
      <c r="G48">
        <f>IFERROR(VLOOKUP(A48,预留库存!A:G,7,0),0)</f>
        <v>1</v>
      </c>
      <c r="H48">
        <f>IFERROR(VLOOKUP(A48,预留库存!A:H,8,0),0)</f>
        <v>2</v>
      </c>
      <c r="I48">
        <f>IFERROR(VLOOKUP(A48,预留库存!A:F,6,0),0)</f>
        <v>2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182</v>
      </c>
      <c r="B49">
        <f>IFERROR(VLOOKUP(A49,管理亚马逊库存!A:K,11,0),"")</f>
        <v>319</v>
      </c>
      <c r="C49">
        <f>IFERROR(VLOOKUP(A49,管理亚马逊库存!A:L,12,0),"")</f>
        <v>3</v>
      </c>
      <c r="D49">
        <f>IFERROR(VLOOKUP(A49,管理亚马逊库存!A:Q,17,0),"")</f>
        <v>97</v>
      </c>
      <c r="E49">
        <f>IFERROR(VLOOKUP(A49,管理亚马逊库存!A:R,18,0),"")</f>
        <v>0</v>
      </c>
      <c r="F49">
        <f t="shared" si="1"/>
        <v>97</v>
      </c>
      <c r="G49">
        <f>IFERROR(VLOOKUP(A49,预留库存!A:G,7,0),0)</f>
        <v>3</v>
      </c>
      <c r="H49">
        <f>IFERROR(VLOOKUP(A49,预留库存!A:H,8,0),0)</f>
        <v>14</v>
      </c>
      <c r="I49">
        <f>IFERROR(VLOOKUP(A49,预留库存!A:F,6,0),0)</f>
        <v>6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0</v>
      </c>
    </row>
    <row r="50" spans="1:14">
      <c r="A50" s="3" t="s">
        <v>186</v>
      </c>
      <c r="B50">
        <f>IFERROR(VLOOKUP(A50,管理亚马逊库存!A:K,11,0),"")</f>
        <v>343</v>
      </c>
      <c r="C50">
        <f>IFERROR(VLOOKUP(A50,管理亚马逊库存!A:L,12,0),"")</f>
        <v>2</v>
      </c>
      <c r="D50">
        <f>IFERROR(VLOOKUP(A50,管理亚马逊库存!A:Q,17,0),"")</f>
        <v>80</v>
      </c>
      <c r="E50">
        <f>IFERROR(VLOOKUP(A50,管理亚马逊库存!A:R,18,0),"")</f>
        <v>0</v>
      </c>
      <c r="F50">
        <f t="shared" si="1"/>
        <v>80</v>
      </c>
      <c r="G50">
        <f>IFERROR(VLOOKUP(A50,预留库存!A:G,7,0),0)</f>
        <v>7</v>
      </c>
      <c r="H50">
        <f>IFERROR(VLOOKUP(A50,预留库存!A:H,8,0),0)</f>
        <v>9</v>
      </c>
      <c r="I50">
        <f>IFERROR(VLOOKUP(A50,预留库存!A:F,6,0),0)</f>
        <v>1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190</v>
      </c>
      <c r="B51">
        <f>IFERROR(VLOOKUP(A51,管理亚马逊库存!A:K,11,0),"")</f>
        <v>67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31</v>
      </c>
      <c r="H51">
        <f>IFERROR(VLOOKUP(A51,预留库存!A:H,8,0),0)</f>
        <v>3</v>
      </c>
      <c r="I51">
        <f>IFERROR(VLOOKUP(A51,预留库存!A:F,6,0),0)</f>
        <v>1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194</v>
      </c>
      <c r="B52">
        <f>IFERROR(VLOOKUP(A52,管理亚马逊库存!A:K,11,0),"")</f>
        <v>206</v>
      </c>
      <c r="C52">
        <f>IFERROR(VLOOKUP(A52,管理亚马逊库存!A:L,12,0),"")</f>
        <v>0</v>
      </c>
      <c r="D52">
        <f>IFERROR(VLOOKUP(A52,管理亚马逊库存!A:Q,17,0),"")</f>
        <v>110</v>
      </c>
      <c r="E52">
        <f>IFERROR(VLOOKUP(A52,管理亚马逊库存!A:R,18,0),"")</f>
        <v>0</v>
      </c>
      <c r="F52">
        <f t="shared" si="1"/>
        <v>110</v>
      </c>
      <c r="G52">
        <f>IFERROR(VLOOKUP(A52,预留库存!A:G,7,0),0)</f>
        <v>2</v>
      </c>
      <c r="H52">
        <f>IFERROR(VLOOKUP(A52,预留库存!A:H,8,0),0)</f>
        <v>5</v>
      </c>
      <c r="I52">
        <f>IFERROR(VLOOKUP(A52,预留库存!A:F,6,0),0)</f>
        <v>4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198</v>
      </c>
      <c r="B53">
        <f>IFERROR(VLOOKUP(A53,管理亚马逊库存!A:K,11,0),"")</f>
        <v>12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2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201</v>
      </c>
      <c r="B54">
        <f>IFERROR(VLOOKUP(A54,管理亚马逊库存!A:K,11,0),"")</f>
        <v>4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1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204</v>
      </c>
      <c r="B55">
        <f>IFERROR(VLOOKUP(A55,管理亚马逊库存!A:K,11,0),"")</f>
        <v>30</v>
      </c>
      <c r="C55">
        <f>IFERROR(VLOOKUP(A55,管理亚马逊库存!A:L,12,0),"")</f>
        <v>5</v>
      </c>
      <c r="D55">
        <f>IFERROR(VLOOKUP(A55,管理亚马逊库存!A:Q,17,0),"")</f>
        <v>370</v>
      </c>
      <c r="E55">
        <f>IFERROR(VLOOKUP(A55,管理亚马逊库存!A:R,18,0),"")</f>
        <v>0</v>
      </c>
      <c r="F55">
        <f t="shared" si="1"/>
        <v>370</v>
      </c>
      <c r="G55">
        <f>IFERROR(VLOOKUP(A55,预留库存!A:G,7,0),0)</f>
        <v>1</v>
      </c>
      <c r="H55">
        <f>IFERROR(VLOOKUP(A55,预留库存!A:H,8,0),0)</f>
        <v>7</v>
      </c>
      <c r="I55">
        <f>IFERROR(VLOOKUP(A55,预留库存!A:F,6,0),0)</f>
        <v>2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208</v>
      </c>
      <c r="B56">
        <f>IFERROR(VLOOKUP(A56,管理亚马逊库存!A:K,11,0),"")</f>
        <v>0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2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212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1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216</v>
      </c>
      <c r="B58">
        <f>IFERROR(VLOOKUP(A58,管理亚马逊库存!A:K,11,0),"")</f>
        <v>0</v>
      </c>
      <c r="C58">
        <f>IFERROR(VLOOKUP(A58,管理亚马逊库存!A:L,12,0),"")</f>
        <v>0</v>
      </c>
      <c r="D58">
        <f>IFERROR(VLOOKUP(A58,管理亚马逊库存!A:Q,17,0),"")</f>
        <v>14</v>
      </c>
      <c r="E58">
        <f>IFERROR(VLOOKUP(A58,管理亚马逊库存!A:R,18,0),"")</f>
        <v>0</v>
      </c>
      <c r="F58">
        <f t="shared" si="1"/>
        <v>14</v>
      </c>
      <c r="G58">
        <f>IFERROR(VLOOKUP(A58,预留库存!A:G,7,0),0)</f>
        <v>3</v>
      </c>
      <c r="H58">
        <f>IFERROR(VLOOKUP(A58,预留库存!A:H,8,0),0)</f>
        <v>1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220</v>
      </c>
      <c r="B59">
        <f>IFERROR(VLOOKUP(A59,管理亚马逊库存!A:K,11,0),"")</f>
        <v>6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12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224</v>
      </c>
      <c r="B60">
        <f>IFERROR(VLOOKUP(A60,管理亚马逊库存!A:K,11,0),"")</f>
        <v>10</v>
      </c>
      <c r="C60">
        <f>IFERROR(VLOOKUP(A60,管理亚马逊库存!A:L,12,0),"")</f>
        <v>0</v>
      </c>
      <c r="D60">
        <f>IFERROR(VLOOKUP(A60,管理亚马逊库存!A:Q,17,0),"")</f>
        <v>5</v>
      </c>
      <c r="E60">
        <f>IFERROR(VLOOKUP(A60,管理亚马逊库存!A:R,18,0),"")</f>
        <v>0</v>
      </c>
      <c r="F60">
        <f t="shared" si="1"/>
        <v>5</v>
      </c>
      <c r="G60">
        <f>IFERROR(VLOOKUP(A60,预留库存!A:G,7,0),0)</f>
        <v>0</v>
      </c>
      <c r="H60">
        <f>IFERROR(VLOOKUP(A60,预留库存!A:H,8,0),0)</f>
        <v>1</v>
      </c>
      <c r="I60">
        <f>IFERROR(VLOOKUP(A60,预留库存!A:F,6,0),0)</f>
        <v>0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228</v>
      </c>
      <c r="B61">
        <f>IFERROR(VLOOKUP(A61,管理亚马逊库存!A:K,11,0),"")</f>
        <v>2</v>
      </c>
      <c r="C61">
        <f>IFERROR(VLOOKUP(A61,管理亚马逊库存!A:L,12,0),"")</f>
        <v>0</v>
      </c>
      <c r="D61">
        <f>IFERROR(VLOOKUP(A61,管理亚马逊库存!A:Q,17,0),"")</f>
        <v>25</v>
      </c>
      <c r="E61">
        <f>IFERROR(VLOOKUP(A61,管理亚马逊库存!A:R,18,0),"")</f>
        <v>0</v>
      </c>
      <c r="F61">
        <f t="shared" si="1"/>
        <v>25</v>
      </c>
      <c r="G61">
        <f>IFERROR(VLOOKUP(A61,预留库存!A:G,7,0),0)</f>
        <v>3</v>
      </c>
      <c r="H61">
        <f>IFERROR(VLOOKUP(A61,预留库存!A:H,8,0),0)</f>
        <v>1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232</v>
      </c>
      <c r="B62">
        <f>IFERROR(VLOOKUP(A62,管理亚马逊库存!A:K,11,0),"")</f>
        <v>0</v>
      </c>
      <c r="C62">
        <f>IFERROR(VLOOKUP(A62,管理亚马逊库存!A:L,12,0),"")</f>
        <v>1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5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236</v>
      </c>
      <c r="B63">
        <f>IFERROR(VLOOKUP(A63,管理亚马逊库存!A:K,11,0),"")</f>
        <v>2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2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240</v>
      </c>
      <c r="B64">
        <f>IFERROR(VLOOKUP(A64,管理亚马逊库存!A:K,11,0),"")</f>
        <v>0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4</v>
      </c>
      <c r="H64">
        <f>IFERROR(VLOOKUP(A64,预留库存!A:H,8,0),0)</f>
        <v>1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244</v>
      </c>
      <c r="B65">
        <f>IFERROR(VLOOKUP(A65,管理亚马逊库存!A:K,11,0),"")</f>
        <v>6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1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3</v>
      </c>
      <c r="L65">
        <f>IFERROR(VLOOKUP(A65,库龄!B:M,11,0),0)</f>
        <v>4</v>
      </c>
      <c r="M65">
        <f>IFERROR(VLOOKUP(A65,库龄!B:N,12,0),0)</f>
        <v>0</v>
      </c>
      <c r="N65">
        <f t="shared" si="2"/>
        <v>7</v>
      </c>
    </row>
    <row r="66" spans="1:14">
      <c r="A66" s="3" t="s">
        <v>248</v>
      </c>
      <c r="B66">
        <f>IFERROR(VLOOKUP(A66,管理亚马逊库存!A:K,11,0),"")</f>
        <v>0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1</v>
      </c>
      <c r="J66">
        <f>IFERROR(VLOOKUP(A66,库龄!B:K,9,0),0)</f>
        <v>0</v>
      </c>
      <c r="K66">
        <f>IFERROR(VLOOKUP(A66,库龄!B:L,10,0),0)</f>
        <v>3</v>
      </c>
      <c r="L66">
        <f>IFERROR(VLOOKUP(A66,库龄!B:M,11,0),0)</f>
        <v>0</v>
      </c>
      <c r="M66">
        <f>IFERROR(VLOOKUP(A66,库龄!B:N,12,0),0)</f>
        <v>0</v>
      </c>
      <c r="N66">
        <f t="shared" si="2"/>
        <v>3</v>
      </c>
    </row>
    <row r="67" spans="1:14">
      <c r="A67" s="3" t="s">
        <v>252</v>
      </c>
      <c r="B67">
        <f>IFERROR(VLOOKUP(A67,管理亚马逊库存!A:K,11,0),"")</f>
        <v>325</v>
      </c>
      <c r="C67">
        <f>IFERROR(VLOOKUP(A67,管理亚马逊库存!A:L,12,0),"")</f>
        <v>4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3</v>
      </c>
      <c r="I67">
        <f>IFERROR(VLOOKUP(A67,预留库存!A:F,6,0),0)</f>
        <v>1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256</v>
      </c>
      <c r="B68">
        <f>IFERROR(VLOOKUP(A68,管理亚马逊库存!A:K,11,0),"")</f>
        <v>1</v>
      </c>
      <c r="C68">
        <f>IFERROR(VLOOKUP(A68,管理亚马逊库存!A:L,12,0),"")</f>
        <v>0</v>
      </c>
      <c r="D68">
        <f>IFERROR(VLOOKUP(A68,管理亚马逊库存!A:Q,17,0),"")</f>
        <v>5</v>
      </c>
      <c r="E68">
        <f>IFERROR(VLOOKUP(A68,管理亚马逊库存!A:R,18,0),"")</f>
        <v>5</v>
      </c>
      <c r="F68">
        <f t="shared" si="3"/>
        <v>10</v>
      </c>
      <c r="G68">
        <f>IFERROR(VLOOKUP(A68,预留库存!A:G,7,0),0)</f>
        <v>0</v>
      </c>
      <c r="H68">
        <f>IFERROR(VLOOKUP(A68,预留库存!A:H,8,0),0)</f>
        <v>1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260</v>
      </c>
      <c r="B69">
        <f>IFERROR(VLOOKUP(A69,管理亚马逊库存!A:K,11,0),"")</f>
        <v>12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2</v>
      </c>
      <c r="H69">
        <f>IFERROR(VLOOKUP(A69,预留库存!A:H,8,0),0)</f>
        <v>1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264</v>
      </c>
      <c r="B70">
        <f>IFERROR(VLOOKUP(A70,管理亚马逊库存!A:K,11,0),"")</f>
        <v>7</v>
      </c>
      <c r="C70">
        <f>IFERROR(VLOOKUP(A70,管理亚马逊库存!A:L,12,0),"")</f>
        <v>0</v>
      </c>
      <c r="D70">
        <f>IFERROR(VLOOKUP(A70,管理亚马逊库存!A:Q,17,0),"")</f>
        <v>4</v>
      </c>
      <c r="E70">
        <f>IFERROR(VLOOKUP(A70,管理亚马逊库存!A:R,18,0),"")</f>
        <v>0</v>
      </c>
      <c r="F70">
        <f t="shared" si="3"/>
        <v>4</v>
      </c>
      <c r="G70">
        <f>IFERROR(VLOOKUP(A70,预留库存!A:G,7,0),0)</f>
        <v>4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268</v>
      </c>
      <c r="B71">
        <f>IFERROR(VLOOKUP(A71,管理亚马逊库存!A:K,11,0),"")</f>
        <v>19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0</v>
      </c>
      <c r="I71">
        <f>IFERROR(VLOOKUP(A71,预留库存!A:F,6,0),0)</f>
        <v>1</v>
      </c>
      <c r="J71">
        <f>IFERROR(VLOOKUP(A71,库龄!B:K,9,0),0)</f>
        <v>0</v>
      </c>
      <c r="K71">
        <f>IFERROR(VLOOKUP(A71,库龄!B:L,10,0),0)</f>
        <v>1</v>
      </c>
      <c r="L71">
        <f>IFERROR(VLOOKUP(A71,库龄!B:M,11,0),0)</f>
        <v>15</v>
      </c>
      <c r="M71">
        <f>IFERROR(VLOOKUP(A71,库龄!B:N,12,0),0)</f>
        <v>0</v>
      </c>
      <c r="N71">
        <f t="shared" si="4"/>
        <v>16</v>
      </c>
    </row>
    <row r="72" spans="1:14">
      <c r="A72" s="3" t="s">
        <v>272</v>
      </c>
      <c r="B72">
        <f>IFERROR(VLOOKUP(A72,管理亚马逊库存!A:K,11,0),"")</f>
        <v>8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1</v>
      </c>
      <c r="I72">
        <f>IFERROR(VLOOKUP(A72,预留库存!A:F,6,0),0)</f>
        <v>1</v>
      </c>
      <c r="J72">
        <f>IFERROR(VLOOKUP(A72,库龄!B:K,9,0),0)</f>
        <v>2</v>
      </c>
      <c r="K72">
        <f>IFERROR(VLOOKUP(A72,库龄!B:L,10,0),0)</f>
        <v>1</v>
      </c>
      <c r="L72">
        <f>IFERROR(VLOOKUP(A72,库龄!B:M,11,0),0)</f>
        <v>2</v>
      </c>
      <c r="M72">
        <f>IFERROR(VLOOKUP(A72,库龄!B:N,12,0),0)</f>
        <v>0</v>
      </c>
      <c r="N72">
        <f t="shared" si="4"/>
        <v>5</v>
      </c>
    </row>
    <row r="73" spans="1:14">
      <c r="A73" s="3" t="s">
        <v>276</v>
      </c>
      <c r="B73">
        <f>IFERROR(VLOOKUP(A73,管理亚马逊库存!A:K,11,0),"")</f>
        <v>9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11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280</v>
      </c>
      <c r="B74">
        <f>IFERROR(VLOOKUP(A74,管理亚马逊库存!A:K,11,0),"")</f>
        <v>5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10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0</v>
      </c>
      <c r="K74">
        <f>IFERROR(VLOOKUP(A74,库龄!B:L,10,0),0)</f>
        <v>2</v>
      </c>
      <c r="L74">
        <f>IFERROR(VLOOKUP(A74,库龄!B:M,11,0),0)</f>
        <v>0</v>
      </c>
      <c r="M74">
        <f>IFERROR(VLOOKUP(A74,库龄!B:N,12,0),0)</f>
        <v>0</v>
      </c>
      <c r="N74">
        <f t="shared" si="4"/>
        <v>2</v>
      </c>
    </row>
    <row r="75" spans="1:14">
      <c r="A75" s="3" t="s">
        <v>284</v>
      </c>
      <c r="B75">
        <f>IFERROR(VLOOKUP(A75,管理亚马逊库存!A:K,11,0),"")</f>
        <v>0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5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288</v>
      </c>
      <c r="B76">
        <f>IFERROR(VLOOKUP(A76,管理亚马逊库存!A:K,11,0),"")</f>
        <v>6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3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292</v>
      </c>
      <c r="B77">
        <f>IFERROR(VLOOKUP(A77,管理亚马逊库存!A:K,11,0),"")</f>
        <v>2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1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296</v>
      </c>
      <c r="B78">
        <f>IFERROR(VLOOKUP(A78,管理亚马逊库存!A:K,11,0),"")</f>
        <v>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3</v>
      </c>
      <c r="I78">
        <f>IFERROR(VLOOKUP(A78,预留库存!A:F,6,0),0)</f>
        <v>0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300</v>
      </c>
      <c r="B79">
        <f>IFERROR(VLOOKUP(A79,管理亚马逊库存!A:K,11,0),"")</f>
        <v>6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1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7</v>
      </c>
      <c r="L79">
        <f>IFERROR(VLOOKUP(A79,库龄!B:M,11,0),0)</f>
        <v>0</v>
      </c>
      <c r="M79">
        <f>IFERROR(VLOOKUP(A79,库龄!B:N,12,0),0)</f>
        <v>0</v>
      </c>
      <c r="N79">
        <f t="shared" si="4"/>
        <v>7</v>
      </c>
    </row>
    <row r="80" spans="1:14">
      <c r="A80" s="3" t="s">
        <v>304</v>
      </c>
      <c r="B80">
        <f>IFERROR(VLOOKUP(A80,管理亚马逊库存!A:K,11,0),"")</f>
        <v>4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6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308</v>
      </c>
      <c r="B81">
        <f>IFERROR(VLOOKUP(A81,管理亚马逊库存!A:K,11,0),"")</f>
        <v>11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1</v>
      </c>
      <c r="H81">
        <f>IFERROR(VLOOKUP(A81,预留库存!A:H,8,0),0)</f>
        <v>1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312</v>
      </c>
      <c r="B82">
        <f>IFERROR(VLOOKUP(A82,管理亚马逊库存!A:K,11,0),"")</f>
        <v>22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1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316</v>
      </c>
      <c r="B83">
        <f>IFERROR(VLOOKUP(A83,管理亚马逊库存!A:K,11,0),"")</f>
        <v>28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1</v>
      </c>
      <c r="H83">
        <f>IFERROR(VLOOKUP(A83,预留库存!A:H,8,0),0)</f>
        <v>1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320</v>
      </c>
      <c r="B84">
        <f>IFERROR(VLOOKUP(A84,管理亚马逊库存!A:K,11,0),"")</f>
        <v>4</v>
      </c>
      <c r="C84">
        <f>IFERROR(VLOOKUP(A84,管理亚马逊库存!A:L,12,0),"")</f>
        <v>1</v>
      </c>
      <c r="D84">
        <f>IFERROR(VLOOKUP(A84,管理亚马逊库存!A:Q,17,0),"")</f>
        <v>5</v>
      </c>
      <c r="E84">
        <f>IFERROR(VLOOKUP(A84,管理亚马逊库存!A:R,18,0),"")</f>
        <v>0</v>
      </c>
      <c r="F84">
        <f t="shared" si="3"/>
        <v>5</v>
      </c>
      <c r="G84">
        <f>IFERROR(VLOOKUP(A84,预留库存!A:G,7,0),0)</f>
        <v>0</v>
      </c>
      <c r="H84">
        <f>IFERROR(VLOOKUP(A84,预留库存!A:H,8,0),0)</f>
        <v>1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324</v>
      </c>
      <c r="B85">
        <f>IFERROR(VLOOKUP(A85,管理亚马逊库存!A:K,11,0),"")</f>
        <v>10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1</v>
      </c>
      <c r="H85">
        <f>IFERROR(VLOOKUP(A85,预留库存!A:H,8,0),0)</f>
        <v>0</v>
      </c>
      <c r="I85">
        <f>IFERROR(VLOOKUP(A85,预留库存!A:F,6,0),0)</f>
        <v>1</v>
      </c>
      <c r="J85">
        <f>IFERROR(VLOOKUP(A85,库龄!B:K,9,0),0)</f>
        <v>1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1</v>
      </c>
    </row>
    <row r="86" spans="1:14">
      <c r="A86" s="3" t="s">
        <v>328</v>
      </c>
      <c r="B86">
        <f>IFERROR(VLOOKUP(A86,管理亚马逊库存!A:K,11,0),"")</f>
        <v>16</v>
      </c>
      <c r="C86">
        <f>IFERROR(VLOOKUP(A86,管理亚马逊库存!A:L,12,0),"")</f>
        <v>0</v>
      </c>
      <c r="D86">
        <f>IFERROR(VLOOKUP(A86,管理亚马逊库存!A:Q,17,0),"")</f>
        <v>10</v>
      </c>
      <c r="E86">
        <f>IFERROR(VLOOKUP(A86,管理亚马逊库存!A:R,18,0),"")</f>
        <v>0</v>
      </c>
      <c r="F86">
        <f t="shared" si="3"/>
        <v>10</v>
      </c>
      <c r="G86">
        <f>IFERROR(VLOOKUP(A86,预留库存!A:G,7,0),0)</f>
        <v>1</v>
      </c>
      <c r="H86">
        <f>IFERROR(VLOOKUP(A86,预留库存!A:H,8,0),0)</f>
        <v>0</v>
      </c>
      <c r="I86">
        <f>IFERROR(VLOOKUP(A86,预留库存!A:F,6,0),0)</f>
        <v>1</v>
      </c>
      <c r="J86">
        <f>IFERROR(VLOOKUP(A86,库龄!B:K,9,0),0)</f>
        <v>0</v>
      </c>
      <c r="K86">
        <f>IFERROR(VLOOKUP(A86,库龄!B:L,10,0),0)</f>
        <v>0</v>
      </c>
      <c r="L86">
        <f>IFERROR(VLOOKUP(A86,库龄!B:M,11,0),0)</f>
        <v>0</v>
      </c>
      <c r="M86">
        <f>IFERROR(VLOOKUP(A86,库龄!B:N,12,0),0)</f>
        <v>0</v>
      </c>
      <c r="N86">
        <f t="shared" si="4"/>
        <v>0</v>
      </c>
    </row>
    <row r="87" spans="1:14">
      <c r="A87" s="3" t="s">
        <v>332</v>
      </c>
      <c r="B87">
        <f>IFERROR(VLOOKUP(A87,管理亚马逊库存!A:K,11,0),"")</f>
        <v>23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1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336</v>
      </c>
      <c r="B88">
        <f>IFERROR(VLOOKUP(A88,管理亚马逊库存!A:K,11,0),"")</f>
        <v>20</v>
      </c>
      <c r="C88">
        <f>IFERROR(VLOOKUP(A88,管理亚马逊库存!A:L,12,0),"")</f>
        <v>0</v>
      </c>
      <c r="D88">
        <f>IFERROR(VLOOKUP(A88,管理亚马逊库存!A:Q,17,0),"")</f>
        <v>40</v>
      </c>
      <c r="E88">
        <f>IFERROR(VLOOKUP(A88,管理亚马逊库存!A:R,18,0),"")</f>
        <v>0</v>
      </c>
      <c r="F88">
        <f t="shared" si="3"/>
        <v>40</v>
      </c>
      <c r="G88">
        <f>IFERROR(VLOOKUP(A88,预留库存!A:G,7,0),0)</f>
        <v>0</v>
      </c>
      <c r="H88">
        <f>IFERROR(VLOOKUP(A88,预留库存!A:H,8,0),0)</f>
        <v>2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340</v>
      </c>
      <c r="B89">
        <f>IFERROR(VLOOKUP(A89,管理亚马逊库存!A:K,11,0),"")</f>
        <v>13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8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344</v>
      </c>
      <c r="B90">
        <f>IFERROR(VLOOKUP(A90,管理亚马逊库存!A:K,11,0),"")</f>
        <v>12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5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0</v>
      </c>
    </row>
    <row r="91" spans="1:14">
      <c r="A91" s="3" t="s">
        <v>348</v>
      </c>
      <c r="B91">
        <f>IFERROR(VLOOKUP(A91,管理亚马逊库存!A:K,11,0),"")</f>
        <v>13</v>
      </c>
      <c r="C91">
        <f>IFERROR(VLOOKUP(A91,管理亚马逊库存!A:L,12,0),"")</f>
        <v>0</v>
      </c>
      <c r="D91">
        <f>IFERROR(VLOOKUP(A91,管理亚马逊库存!A:Q,17,0),"")</f>
        <v>5</v>
      </c>
      <c r="E91">
        <f>IFERROR(VLOOKUP(A91,管理亚马逊库存!A:R,18,0),"")</f>
        <v>0</v>
      </c>
      <c r="F91">
        <f t="shared" si="3"/>
        <v>5</v>
      </c>
      <c r="G91">
        <f>IFERROR(VLOOKUP(A91,预留库存!A:G,7,0),0)</f>
        <v>0</v>
      </c>
      <c r="H91">
        <f>IFERROR(VLOOKUP(A91,预留库存!A:H,8,0),0)</f>
        <v>1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352</v>
      </c>
      <c r="B92">
        <f>IFERROR(VLOOKUP(A92,管理亚马逊库存!A:K,11,0),"")</f>
        <v>13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1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356</v>
      </c>
      <c r="B93">
        <f>IFERROR(VLOOKUP(A93,管理亚马逊库存!A:K,11,0),"")</f>
        <v>25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1</v>
      </c>
      <c r="H93">
        <f>IFERROR(VLOOKUP(A93,预留库存!A:H,8,0),0)</f>
        <v>0</v>
      </c>
      <c r="I93">
        <f>IFERROR(VLOOKUP(A93,预留库存!A:F,6,0),0)</f>
        <v>1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360</v>
      </c>
      <c r="B94">
        <f>IFERROR(VLOOKUP(A94,管理亚马逊库存!A:K,11,0),"")</f>
        <v>20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1</v>
      </c>
      <c r="H94">
        <f>IFERROR(VLOOKUP(A94,预留库存!A:H,8,0),0)</f>
        <v>0</v>
      </c>
      <c r="I94">
        <f>IFERROR(VLOOKUP(A94,预留库存!A:F,6,0),0)</f>
        <v>1</v>
      </c>
      <c r="J94">
        <f>IFERROR(VLOOKUP(A94,库龄!B:K,9,0),0)</f>
        <v>0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0</v>
      </c>
    </row>
    <row r="95" spans="1:14">
      <c r="A95" s="3" t="s">
        <v>364</v>
      </c>
      <c r="B95">
        <f>IFERROR(VLOOKUP(A95,管理亚马逊库存!A:K,11,0),"")</f>
        <v>21</v>
      </c>
      <c r="C95">
        <f>IFERROR(VLOOKUP(A95,管理亚马逊库存!A:L,12,0),"")</f>
        <v>1</v>
      </c>
      <c r="D95">
        <f>IFERROR(VLOOKUP(A95,管理亚马逊库存!A:Q,17,0),"")</f>
        <v>30</v>
      </c>
      <c r="E95">
        <f>IFERROR(VLOOKUP(A95,管理亚马逊库存!A:R,18,0),"")</f>
        <v>0</v>
      </c>
      <c r="F95">
        <f t="shared" si="3"/>
        <v>30</v>
      </c>
      <c r="G95">
        <f>IFERROR(VLOOKUP(A95,预留库存!A:G,7,0),0)</f>
        <v>2</v>
      </c>
      <c r="H95">
        <f>IFERROR(VLOOKUP(A95,预留库存!A:H,8,0),0)</f>
        <v>1</v>
      </c>
      <c r="I95">
        <f>IFERROR(VLOOKUP(A95,预留库存!A:F,6,0),0)</f>
        <v>1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368</v>
      </c>
      <c r="B96">
        <f>IFERROR(VLOOKUP(A96,管理亚马逊库存!A:K,11,0),"")</f>
        <v>5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1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372</v>
      </c>
      <c r="B97">
        <f>IFERROR(VLOOKUP(A97,管理亚马逊库存!A:K,11,0),"")</f>
        <v>26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4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376</v>
      </c>
      <c r="B98">
        <f>IFERROR(VLOOKUP(A98,管理亚马逊库存!A:K,11,0),"")</f>
        <v>9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1</v>
      </c>
      <c r="I98">
        <f>IFERROR(VLOOKUP(A98,预留库存!A:F,6,0),0)</f>
        <v>0</v>
      </c>
      <c r="J98">
        <f>IFERROR(VLOOKUP(A98,库龄!B:K,9,0),0)</f>
        <v>3</v>
      </c>
      <c r="K98">
        <f>IFERROR(VLOOKUP(A98,库龄!B:L,10,0),0)</f>
        <v>3</v>
      </c>
      <c r="L98">
        <f>IFERROR(VLOOKUP(A98,库龄!B:M,11,0),0)</f>
        <v>4</v>
      </c>
      <c r="M98">
        <f>IFERROR(VLOOKUP(A98,库龄!B:N,12,0),0)</f>
        <v>0</v>
      </c>
      <c r="N98">
        <f t="shared" si="4"/>
        <v>10</v>
      </c>
    </row>
    <row r="99" spans="1:14">
      <c r="A99" s="3" t="s">
        <v>380</v>
      </c>
      <c r="B99">
        <f>IFERROR(VLOOKUP(A99,管理亚马逊库存!A:K,11,0),"")</f>
        <v>74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1</v>
      </c>
      <c r="H99">
        <f>IFERROR(VLOOKUP(A99,预留库存!A:H,8,0),0)</f>
        <v>1</v>
      </c>
      <c r="I99">
        <f>IFERROR(VLOOKUP(A99,预留库存!A:F,6,0),0)</f>
        <v>2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384</v>
      </c>
      <c r="B100">
        <f>IFERROR(VLOOKUP(A100,管理亚马逊库存!A:K,11,0),"")</f>
        <v>60</v>
      </c>
      <c r="C100">
        <f>IFERROR(VLOOKUP(A100,管理亚马逊库存!A:L,12,0),"")</f>
        <v>0</v>
      </c>
      <c r="D100">
        <f>IFERROR(VLOOKUP(A100,管理亚马逊库存!A:Q,17,0),"")</f>
        <v>20</v>
      </c>
      <c r="E100">
        <f>IFERROR(VLOOKUP(A100,管理亚马逊库存!A:R,18,0),"")</f>
        <v>0</v>
      </c>
      <c r="F100">
        <f t="shared" si="3"/>
        <v>20</v>
      </c>
      <c r="G100">
        <f>IFERROR(VLOOKUP(A100,预留库存!A:G,7,0),0)</f>
        <v>15</v>
      </c>
      <c r="H100">
        <f>IFERROR(VLOOKUP(A100,预留库存!A:H,8,0),0)</f>
        <v>1</v>
      </c>
      <c r="I100">
        <f>IFERROR(VLOOKUP(A100,预留库存!A:F,6,0),0)</f>
        <v>1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388</v>
      </c>
      <c r="B101">
        <f>IFERROR(VLOOKUP(A101,管理亚马逊库存!A:K,11,0),"")</f>
        <v>29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39</v>
      </c>
      <c r="H101">
        <f>IFERROR(VLOOKUP(A101,预留库存!A:H,8,0),0)</f>
        <v>3</v>
      </c>
      <c r="I101">
        <f>IFERROR(VLOOKUP(A101,预留库存!A:F,6,0),0)</f>
        <v>5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0</v>
      </c>
    </row>
    <row r="102" spans="1:14">
      <c r="A102" s="3" t="s">
        <v>392</v>
      </c>
      <c r="B102">
        <f>IFERROR(VLOOKUP(A102,管理亚马逊库存!A:K,11,0),"")</f>
        <v>29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1</v>
      </c>
      <c r="I102">
        <f>IFERROR(VLOOKUP(A102,预留库存!A:F,6,0),0)</f>
        <v>1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396</v>
      </c>
      <c r="B103">
        <f>IFERROR(VLOOKUP(A103,管理亚马逊库存!A:K,11,0),"")</f>
        <v>29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50</v>
      </c>
      <c r="H103">
        <f>IFERROR(VLOOKUP(A103,预留库存!A:H,8,0),0)</f>
        <v>5</v>
      </c>
      <c r="I103">
        <f>IFERROR(VLOOKUP(A103,预留库存!A:F,6,0),0)</f>
        <v>1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400</v>
      </c>
      <c r="B104">
        <f>IFERROR(VLOOKUP(A104,管理亚马逊库存!A:K,11,0),"")</f>
        <v>2</v>
      </c>
      <c r="C104">
        <f>IFERROR(VLOOKUP(A104,管理亚马逊库存!A:L,12,0),"")</f>
        <v>2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9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1</v>
      </c>
      <c r="L104">
        <f>IFERROR(VLOOKUP(A104,库龄!B:M,11,0),0)</f>
        <v>12</v>
      </c>
      <c r="M104">
        <f>IFERROR(VLOOKUP(A104,库龄!B:N,12,0),0)</f>
        <v>0</v>
      </c>
      <c r="N104">
        <f t="shared" si="4"/>
        <v>13</v>
      </c>
    </row>
    <row r="105" spans="1:14">
      <c r="A105" s="3" t="s">
        <v>404</v>
      </c>
      <c r="B105">
        <f>IFERROR(VLOOKUP(A105,管理亚马逊库存!A:K,11,0),"")</f>
        <v>89</v>
      </c>
      <c r="C105">
        <f>IFERROR(VLOOKUP(A105,管理亚马逊库存!A:L,12,0),"")</f>
        <v>1</v>
      </c>
      <c r="D105">
        <f>IFERROR(VLOOKUP(A105,管理亚马逊库存!A:Q,17,0),"")</f>
        <v>30</v>
      </c>
      <c r="E105">
        <f>IFERROR(VLOOKUP(A105,管理亚马逊库存!A:R,18,0),"")</f>
        <v>0</v>
      </c>
      <c r="F105">
        <f t="shared" si="3"/>
        <v>30</v>
      </c>
      <c r="G105">
        <f>IFERROR(VLOOKUP(A105,预留库存!A:G,7,0),0)</f>
        <v>0</v>
      </c>
      <c r="H105">
        <f>IFERROR(VLOOKUP(A105,预留库存!A:H,8,0),0)</f>
        <v>1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408</v>
      </c>
      <c r="B106">
        <f>IFERROR(VLOOKUP(A106,管理亚马逊库存!A:K,11,0),"")</f>
        <v>4</v>
      </c>
      <c r="C106">
        <f>IFERROR(VLOOKUP(A106,管理亚马逊库存!A:L,12,0),"")</f>
        <v>0</v>
      </c>
      <c r="D106">
        <f>IFERROR(VLOOKUP(A106,管理亚马逊库存!A:Q,17,0),"")</f>
        <v>29</v>
      </c>
      <c r="E106">
        <f>IFERROR(VLOOKUP(A106,管理亚马逊库存!A:R,18,0),"")</f>
        <v>0</v>
      </c>
      <c r="F106">
        <f t="shared" si="3"/>
        <v>29</v>
      </c>
      <c r="G106">
        <f>IFERROR(VLOOKUP(A106,预留库存!A:G,7,0),0)</f>
        <v>22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412</v>
      </c>
      <c r="B107">
        <f>IFERROR(VLOOKUP(A107,管理亚马逊库存!A:K,11,0),"")</f>
        <v>137</v>
      </c>
      <c r="C107">
        <f>IFERROR(VLOOKUP(A107,管理亚马逊库存!A:L,12,0),"")</f>
        <v>1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2</v>
      </c>
      <c r="H107">
        <f>IFERROR(VLOOKUP(A107,预留库存!A:H,8,0),0)</f>
        <v>0</v>
      </c>
      <c r="I107">
        <f>IFERROR(VLOOKUP(A107,预留库存!A:F,6,0),0)</f>
        <v>1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416</v>
      </c>
      <c r="B108">
        <f>IFERROR(VLOOKUP(A108,管理亚马逊库存!A:K,11,0),"")</f>
        <v>59</v>
      </c>
      <c r="C108">
        <f>IFERROR(VLOOKUP(A108,管理亚马逊库存!A:L,12,0),"")</f>
        <v>1</v>
      </c>
      <c r="D108">
        <f>IFERROR(VLOOKUP(A108,管理亚马逊库存!A:Q,17,0),"")</f>
        <v>25</v>
      </c>
      <c r="E108">
        <f>IFERROR(VLOOKUP(A108,管理亚马逊库存!A:R,18,0),"")</f>
        <v>0</v>
      </c>
      <c r="F108">
        <f t="shared" si="3"/>
        <v>25</v>
      </c>
      <c r="G108">
        <f>IFERROR(VLOOKUP(A108,预留库存!A:G,7,0),0)</f>
        <v>1</v>
      </c>
      <c r="H108">
        <f>IFERROR(VLOOKUP(A108,预留库存!A:H,8,0),0)</f>
        <v>2</v>
      </c>
      <c r="I108">
        <f>IFERROR(VLOOKUP(A108,预留库存!A:F,6,0),0)</f>
        <v>1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420</v>
      </c>
      <c r="B109">
        <f>IFERROR(VLOOKUP(A109,管理亚马逊库存!A:K,11,0),"")</f>
        <v>8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1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424</v>
      </c>
      <c r="B110">
        <f>IFERROR(VLOOKUP(A110,管理亚马逊库存!A:K,11,0),"")</f>
        <v>5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1</v>
      </c>
      <c r="H110">
        <f>IFERROR(VLOOKUP(A110,预留库存!A:H,8,0),0)</f>
        <v>0</v>
      </c>
      <c r="I110">
        <f>IFERROR(VLOOKUP(A110,预留库存!A:F,6,0),0)</f>
        <v>1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428</v>
      </c>
      <c r="B111">
        <f>IFERROR(VLOOKUP(A111,管理亚马逊库存!A:K,11,0),"")</f>
        <v>12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1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432</v>
      </c>
      <c r="B112">
        <f>IFERROR(VLOOKUP(A112,管理亚马逊库存!A:K,11,0),"")</f>
        <v>1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1</v>
      </c>
      <c r="I112">
        <f>IFERROR(VLOOKUP(A112,预留库存!A:F,6,0),0)</f>
        <v>1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1</v>
      </c>
      <c r="M112">
        <f>IFERROR(VLOOKUP(A112,库龄!B:N,12,0),0)</f>
        <v>0</v>
      </c>
      <c r="N112">
        <f t="shared" si="4"/>
        <v>1</v>
      </c>
    </row>
    <row r="113" spans="1:14">
      <c r="A113" s="3" t="s">
        <v>435</v>
      </c>
      <c r="B113">
        <f>IFERROR(VLOOKUP(A113,管理亚马逊库存!A:K,11,0),"")</f>
        <v>56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3</v>
      </c>
      <c r="I113">
        <f>IFERROR(VLOOKUP(A113,预留库存!A:F,6,0),0)</f>
        <v>2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439</v>
      </c>
      <c r="B114">
        <f>IFERROR(VLOOKUP(A114,管理亚马逊库存!A:K,11,0),"")</f>
        <v>119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23</v>
      </c>
      <c r="H114">
        <f>IFERROR(VLOOKUP(A114,预留库存!A:H,8,0),0)</f>
        <v>5</v>
      </c>
      <c r="I114">
        <f>IFERROR(VLOOKUP(A114,预留库存!A:F,6,0),0)</f>
        <v>4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443</v>
      </c>
      <c r="B115">
        <f>IFERROR(VLOOKUP(A115,管理亚马逊库存!A:K,11,0),"")</f>
        <v>47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1</v>
      </c>
      <c r="F115">
        <f t="shared" si="3"/>
        <v>1</v>
      </c>
      <c r="G115">
        <f>IFERROR(VLOOKUP(A115,预留库存!A:G,7,0),0)</f>
        <v>50</v>
      </c>
      <c r="H115">
        <f>IFERROR(VLOOKUP(A115,预留库存!A:H,8,0),0)</f>
        <v>4</v>
      </c>
      <c r="I115">
        <f>IFERROR(VLOOKUP(A115,预留库存!A:F,6,0),0)</f>
        <v>1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447</v>
      </c>
      <c r="B116">
        <f>IFERROR(VLOOKUP(A116,管理亚马逊库存!A:K,11,0),"")</f>
        <v>62</v>
      </c>
      <c r="C116">
        <f>IFERROR(VLOOKUP(A116,管理亚马逊库存!A:L,12,0),"")</f>
        <v>1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100</v>
      </c>
      <c r="H116">
        <f>IFERROR(VLOOKUP(A116,预留库存!A:H,8,0),0)</f>
        <v>3</v>
      </c>
      <c r="I116">
        <f>IFERROR(VLOOKUP(A116,预留库存!A:F,6,0),0)</f>
        <v>1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451</v>
      </c>
      <c r="B117">
        <f>IFERROR(VLOOKUP(A117,管理亚马逊库存!A:K,11,0),"")</f>
        <v>50</v>
      </c>
      <c r="C117">
        <f>IFERROR(VLOOKUP(A117,管理亚马逊库存!A:L,12,0),"")</f>
        <v>0</v>
      </c>
      <c r="D117">
        <f>IFERROR(VLOOKUP(A117,管理亚马逊库存!A:Q,17,0),"")</f>
        <v>50</v>
      </c>
      <c r="E117">
        <f>IFERROR(VLOOKUP(A117,管理亚马逊库存!A:R,18,0),"")</f>
        <v>0</v>
      </c>
      <c r="F117">
        <f t="shared" si="3"/>
        <v>50</v>
      </c>
      <c r="G117">
        <f>IFERROR(VLOOKUP(A117,预留库存!A:G,7,0),0)</f>
        <v>0</v>
      </c>
      <c r="H117">
        <f>IFERROR(VLOOKUP(A117,预留库存!A:H,8,0),0)</f>
        <v>1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455</v>
      </c>
      <c r="B118">
        <f>IFERROR(VLOOKUP(A118,管理亚马逊库存!A:K,11,0),"")</f>
        <v>48</v>
      </c>
      <c r="C118">
        <f>IFERROR(VLOOKUP(A118,管理亚马逊库存!A:L,12,0),"")</f>
        <v>1</v>
      </c>
      <c r="D118">
        <f>IFERROR(VLOOKUP(A118,管理亚马逊库存!A:Q,17,0),"")</f>
        <v>110</v>
      </c>
      <c r="E118">
        <f>IFERROR(VLOOKUP(A118,管理亚马逊库存!A:R,18,0),"")</f>
        <v>0</v>
      </c>
      <c r="F118">
        <f t="shared" si="3"/>
        <v>110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2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459</v>
      </c>
      <c r="B119">
        <f>IFERROR(VLOOKUP(A119,管理亚马逊库存!A:K,11,0),"")</f>
        <v>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14</v>
      </c>
      <c r="H119">
        <f>IFERROR(VLOOKUP(A119,预留库存!A:H,8,0),0)</f>
        <v>1</v>
      </c>
      <c r="I119">
        <f>IFERROR(VLOOKUP(A119,预留库存!A:F,6,0),0)</f>
        <v>1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463</v>
      </c>
      <c r="B120">
        <f>IFERROR(VLOOKUP(A120,管理亚马逊库存!A:K,11,0),"")</f>
        <v>28</v>
      </c>
      <c r="C120">
        <f>IFERROR(VLOOKUP(A120,管理亚马逊库存!A:L,12,0),"")</f>
        <v>0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1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467</v>
      </c>
      <c r="B121">
        <f>IFERROR(VLOOKUP(A121,管理亚马逊库存!A:K,11,0),"")</f>
        <v>111</v>
      </c>
      <c r="C121">
        <f>IFERROR(VLOOKUP(A121,管理亚马逊库存!A:L,12,0),"")</f>
        <v>3</v>
      </c>
      <c r="D121">
        <f>IFERROR(VLOOKUP(A121,管理亚马逊库存!A:Q,17,0),"")</f>
        <v>33</v>
      </c>
      <c r="E121">
        <f>IFERROR(VLOOKUP(A121,管理亚马逊库存!A:R,18,0),"")</f>
        <v>0</v>
      </c>
      <c r="F121">
        <f t="shared" si="3"/>
        <v>33</v>
      </c>
      <c r="G121">
        <f>IFERROR(VLOOKUP(A121,预留库存!A:G,7,0),0)</f>
        <v>32</v>
      </c>
      <c r="H121">
        <f>IFERROR(VLOOKUP(A121,预留库存!A:H,8,0),0)</f>
        <v>8</v>
      </c>
      <c r="I121">
        <f>IFERROR(VLOOKUP(A121,预留库存!A:F,6,0),0)</f>
        <v>2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471</v>
      </c>
      <c r="B122">
        <f>IFERROR(VLOOKUP(A122,管理亚马逊库存!A:K,11,0),"")</f>
        <v>124</v>
      </c>
      <c r="C122">
        <f>IFERROR(VLOOKUP(A122,管理亚马逊库存!A:L,12,0),"")</f>
        <v>0</v>
      </c>
      <c r="D122">
        <f>IFERROR(VLOOKUP(A122,管理亚马逊库存!A:Q,17,0),"")</f>
        <v>110</v>
      </c>
      <c r="E122">
        <f>IFERROR(VLOOKUP(A122,管理亚马逊库存!A:R,18,0),"")</f>
        <v>0</v>
      </c>
      <c r="F122">
        <f t="shared" si="3"/>
        <v>110</v>
      </c>
      <c r="G122">
        <f>IFERROR(VLOOKUP(A122,预留库存!A:G,7,0),0)</f>
        <v>0</v>
      </c>
      <c r="H122">
        <f>IFERROR(VLOOKUP(A122,预留库存!A:H,8,0),0)</f>
        <v>5</v>
      </c>
      <c r="I122">
        <f>IFERROR(VLOOKUP(A122,预留库存!A:F,6,0),0)</f>
        <v>1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475</v>
      </c>
      <c r="B123">
        <f>IFERROR(VLOOKUP(A123,管理亚马逊库存!A:K,11,0),"")</f>
        <v>11</v>
      </c>
      <c r="C123">
        <f>IFERROR(VLOOKUP(A123,管理亚马逊库存!A:L,12,0),"")</f>
        <v>0</v>
      </c>
      <c r="D123">
        <f>IFERROR(VLOOKUP(A123,管理亚马逊库存!A:Q,17,0),"")</f>
        <v>5</v>
      </c>
      <c r="E123">
        <f>IFERROR(VLOOKUP(A123,管理亚马逊库存!A:R,18,0),"")</f>
        <v>0</v>
      </c>
      <c r="F123">
        <f t="shared" si="3"/>
        <v>5</v>
      </c>
      <c r="G123">
        <f>IFERROR(VLOOKUP(A123,预留库存!A:G,7,0),0)</f>
        <v>0</v>
      </c>
      <c r="H123">
        <f>IFERROR(VLOOKUP(A123,预留库存!A:H,8,0),0)</f>
        <v>1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479</v>
      </c>
      <c r="B124">
        <f>IFERROR(VLOOKUP(A124,管理亚马逊库存!A:K,11,0),"")</f>
        <v>4</v>
      </c>
      <c r="C124">
        <f>IFERROR(VLOOKUP(A124,管理亚马逊库存!A:L,12,0),"")</f>
        <v>0</v>
      </c>
      <c r="D124">
        <f>IFERROR(VLOOKUP(A124,管理亚马逊库存!A:Q,17,0),"")</f>
        <v>2</v>
      </c>
      <c r="E124">
        <f>IFERROR(VLOOKUP(A124,管理亚马逊库存!A:R,18,0),"")</f>
        <v>0</v>
      </c>
      <c r="F124">
        <f t="shared" si="3"/>
        <v>2</v>
      </c>
      <c r="G124">
        <f>IFERROR(VLOOKUP(A124,预留库存!A:G,7,0),0)</f>
        <v>1</v>
      </c>
      <c r="H124">
        <f>IFERROR(VLOOKUP(A124,预留库存!A:H,8,0),0)</f>
        <v>0</v>
      </c>
      <c r="I124">
        <f>IFERROR(VLOOKUP(A124,预留库存!A:F,6,0),0)</f>
        <v>1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4</v>
      </c>
      <c r="M124">
        <f>IFERROR(VLOOKUP(A124,库龄!B:N,12,0),0)</f>
        <v>0</v>
      </c>
      <c r="N124">
        <f t="shared" si="4"/>
        <v>4</v>
      </c>
    </row>
    <row r="125" spans="1:14">
      <c r="A125" s="3" t="s">
        <v>483</v>
      </c>
      <c r="B125">
        <f>IFERROR(VLOOKUP(A125,管理亚马逊库存!A:K,11,0),"")</f>
        <v>7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3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487</v>
      </c>
      <c r="B126">
        <f>IFERROR(VLOOKUP(A126,管理亚马逊库存!A:K,11,0),"")</f>
        <v>5</v>
      </c>
      <c r="C126">
        <f>IFERROR(VLOOKUP(A126,管理亚马逊库存!A:L,12,0),"")</f>
        <v>1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1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491</v>
      </c>
      <c r="B127">
        <f>IFERROR(VLOOKUP(A127,管理亚马逊库存!A:K,11,0),"")</f>
        <v>17</v>
      </c>
      <c r="C127">
        <f>IFERROR(VLOOKUP(A127,管理亚马逊库存!A:L,12,0),"")</f>
        <v>1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2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495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9</v>
      </c>
      <c r="H128">
        <f>IFERROR(VLOOKUP(A128,预留库存!A:H,8,0),0)</f>
        <v>1</v>
      </c>
      <c r="I128">
        <f>IFERROR(VLOOKUP(A128,预留库存!A:F,6,0),0)</f>
        <v>1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534</v>
      </c>
      <c r="B129">
        <f>IFERROR(VLOOKUP(A129,管理亚马逊库存!A:K,11,0),"")</f>
        <v>6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543</v>
      </c>
      <c r="B130">
        <f>IFERROR(VLOOKUP(A130,管理亚马逊库存!A:K,11,0),"")</f>
        <v>7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7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7</v>
      </c>
    </row>
    <row r="131" spans="1:14">
      <c r="A131" s="3" t="s">
        <v>549</v>
      </c>
      <c r="B131">
        <f>IFERROR(VLOOKUP(A131,管理亚马逊库存!A:K,11,0),"")</f>
        <v>3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554</v>
      </c>
      <c r="B132">
        <f>IFERROR(VLOOKUP(A132,管理亚马逊库存!A:K,11,0),"")</f>
        <v>22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2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2</v>
      </c>
    </row>
    <row r="133" spans="1:14">
      <c r="A133" s="3" t="s">
        <v>558</v>
      </c>
      <c r="B133">
        <f>IFERROR(VLOOKUP(A133,管理亚马逊库存!A:K,11,0),"")</f>
        <v>11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1</v>
      </c>
      <c r="L133">
        <f>IFERROR(VLOOKUP(A133,库龄!B:M,11,0),0)</f>
        <v>10</v>
      </c>
      <c r="M133">
        <f>IFERROR(VLOOKUP(A133,库龄!B:N,12,0),0)</f>
        <v>0</v>
      </c>
      <c r="N133">
        <f t="shared" si="6"/>
        <v>11</v>
      </c>
    </row>
    <row r="134" spans="1:14">
      <c r="A134" s="3" t="s">
        <v>563</v>
      </c>
      <c r="B134">
        <f>IFERROR(VLOOKUP(A134,管理亚马逊库存!A:K,11,0),"")</f>
        <v>5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5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5</v>
      </c>
    </row>
    <row r="135" spans="1:14">
      <c r="A135" s="3" t="s">
        <v>567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571</v>
      </c>
      <c r="B136">
        <f>IFERROR(VLOOKUP(A136,管理亚马逊库存!A:K,11,0),"")</f>
        <v>2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2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2</v>
      </c>
    </row>
    <row r="137" spans="1:14">
      <c r="A137" s="3" t="s">
        <v>575</v>
      </c>
      <c r="B137">
        <f>IFERROR(VLOOKUP(A137,管理亚马逊库存!A:K,11,0),"")</f>
        <v>9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579</v>
      </c>
      <c r="B138">
        <f>IFERROR(VLOOKUP(A138,管理亚马逊库存!A:K,11,0),"")</f>
        <v>4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4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4</v>
      </c>
    </row>
    <row r="139" spans="1:14">
      <c r="A139" s="3" t="s">
        <v>583</v>
      </c>
      <c r="B139">
        <f>IFERROR(VLOOKUP(A139,管理亚马逊库存!A:K,11,0),"")</f>
        <v>20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18</v>
      </c>
      <c r="M139">
        <f>IFERROR(VLOOKUP(A139,库龄!B:N,12,0),0)</f>
        <v>0</v>
      </c>
      <c r="N139">
        <f t="shared" si="6"/>
        <v>18</v>
      </c>
    </row>
    <row r="140" spans="1:14">
      <c r="A140" s="3" t="s">
        <v>587</v>
      </c>
      <c r="B140">
        <f>IFERROR(VLOOKUP(A140,管理亚马逊库存!A:K,11,0),"")</f>
        <v>6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591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597</v>
      </c>
      <c r="B142">
        <f>IFERROR(VLOOKUP(A142,管理亚马逊库存!A:K,11,0),"")</f>
        <v>4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601</v>
      </c>
      <c r="B143">
        <f>IFERROR(VLOOKUP(A143,管理亚马逊库存!A:K,11,0),"")</f>
        <v>17</v>
      </c>
      <c r="C143">
        <f>IFERROR(VLOOKUP(A143,管理亚马逊库存!A:L,12,0),"")</f>
        <v>1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1</v>
      </c>
      <c r="K143">
        <f>IFERROR(VLOOKUP(A143,库龄!B:L,10,0),0)</f>
        <v>19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20</v>
      </c>
    </row>
    <row r="144" spans="1:14">
      <c r="A144" s="3" t="s">
        <v>605</v>
      </c>
      <c r="B144">
        <f>IFERROR(VLOOKUP(A144,管理亚马逊库存!A:K,11,0),"")</f>
        <v>1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1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1</v>
      </c>
    </row>
    <row r="145" spans="1:14">
      <c r="A145" s="3" t="s">
        <v>609</v>
      </c>
      <c r="B145">
        <f>IFERROR(VLOOKUP(A145,管理亚马逊库存!A:K,11,0),"")</f>
        <v>6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613</v>
      </c>
      <c r="B146">
        <f>IFERROR(VLOOKUP(A146,管理亚马逊库存!A:K,11,0),"")</f>
        <v>6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617</v>
      </c>
      <c r="B147">
        <f>IFERROR(VLOOKUP(A147,管理亚马逊库存!A:K,11,0),"")</f>
        <v>18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11</v>
      </c>
      <c r="M147">
        <f>IFERROR(VLOOKUP(A147,库龄!B:N,12,0),0)</f>
        <v>7</v>
      </c>
      <c r="N147">
        <f t="shared" si="6"/>
        <v>18</v>
      </c>
    </row>
    <row r="148" spans="1:14">
      <c r="A148" s="3" t="s">
        <v>621</v>
      </c>
      <c r="B148">
        <f>IFERROR(VLOOKUP(A148,管理亚马逊库存!A:K,11,0),"")</f>
        <v>2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2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2</v>
      </c>
    </row>
    <row r="149" spans="1:14">
      <c r="A149" s="3" t="s">
        <v>625</v>
      </c>
      <c r="B149">
        <f>IFERROR(VLOOKUP(A149,管理亚马逊库存!A:K,11,0),"")</f>
        <v>7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2</v>
      </c>
      <c r="K149">
        <f>IFERROR(VLOOKUP(A149,库龄!B:L,10,0),0)</f>
        <v>1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3</v>
      </c>
    </row>
    <row r="150" spans="1:14">
      <c r="A150" s="3" t="s">
        <v>629</v>
      </c>
      <c r="B150">
        <f>IFERROR(VLOOKUP(A150,管理亚马逊库存!A:K,11,0),"")</f>
        <v>17</v>
      </c>
      <c r="C150">
        <f>IFERROR(VLOOKUP(A150,管理亚马逊库存!A:L,12,0),"")</f>
        <v>0</v>
      </c>
      <c r="D150">
        <f>IFERROR(VLOOKUP(A150,管理亚马逊库存!A:Q,17,0),"")</f>
        <v>50</v>
      </c>
      <c r="E150">
        <f>IFERROR(VLOOKUP(A150,管理亚马逊库存!A:R,18,0),"")</f>
        <v>0</v>
      </c>
      <c r="F150">
        <f t="shared" si="5"/>
        <v>50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633</v>
      </c>
      <c r="B151">
        <f>IFERROR(VLOOKUP(A151,管理亚马逊库存!A:K,11,0),"")</f>
        <v>22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637</v>
      </c>
      <c r="B152">
        <f>IFERROR(VLOOKUP(A152,管理亚马逊库存!A:K,11,0),"")</f>
        <v>1</v>
      </c>
      <c r="C152">
        <f>IFERROR(VLOOKUP(A152,管理亚马逊库存!A:L,12,0),"")</f>
        <v>1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641</v>
      </c>
      <c r="B153">
        <f>IFERROR(VLOOKUP(A153,管理亚马逊库存!A:K,11,0),"")</f>
        <v>1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645</v>
      </c>
      <c r="B154">
        <f>IFERROR(VLOOKUP(A154,管理亚马逊库存!A:K,11,0),"")</f>
        <v>3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648</v>
      </c>
      <c r="B155">
        <f>IFERROR(VLOOKUP(A155,管理亚马逊库存!A:K,11,0),"")</f>
        <v>5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652</v>
      </c>
      <c r="B156">
        <f>IFERROR(VLOOKUP(A156,管理亚马逊库存!A:K,11,0),"")</f>
        <v>4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656</v>
      </c>
      <c r="B157">
        <f>IFERROR(VLOOKUP(A157,管理亚马逊库存!A:K,11,0),"")</f>
        <v>6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659</v>
      </c>
      <c r="B158">
        <f>IFERROR(VLOOKUP(A158,管理亚马逊库存!A:K,11,0),"")</f>
        <v>8</v>
      </c>
      <c r="C158">
        <f>IFERROR(VLOOKUP(A158,管理亚马逊库存!A:L,12,0),"")</f>
        <v>0</v>
      </c>
      <c r="D158">
        <f>IFERROR(VLOOKUP(A158,管理亚马逊库存!A:Q,17,0),"")</f>
        <v>3</v>
      </c>
      <c r="E158">
        <f>IFERROR(VLOOKUP(A158,管理亚马逊库存!A:R,18,0),"")</f>
        <v>0</v>
      </c>
      <c r="F158">
        <f t="shared" si="5"/>
        <v>3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662</v>
      </c>
      <c r="B159">
        <f>IFERROR(VLOOKUP(A159,管理亚马逊库存!A:K,11,0),"")</f>
        <v>10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666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2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2</v>
      </c>
    </row>
    <row r="161" spans="1:14">
      <c r="A161" s="3" t="s">
        <v>671</v>
      </c>
      <c r="B161">
        <f>IFERROR(VLOOKUP(A161,管理亚马逊库存!A:K,11,0),"")</f>
        <v>1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674</v>
      </c>
      <c r="B162">
        <f>IFERROR(VLOOKUP(A162,管理亚马逊库存!A:K,11,0),"")</f>
        <v>14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14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14</v>
      </c>
    </row>
    <row r="163" spans="1:14">
      <c r="A163" s="3" t="s">
        <v>678</v>
      </c>
      <c r="B163">
        <f>IFERROR(VLOOKUP(A163,管理亚马逊库存!A:K,11,0),"")</f>
        <v>4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4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4</v>
      </c>
    </row>
    <row r="164" spans="1:14">
      <c r="A164" s="3" t="s">
        <v>681</v>
      </c>
      <c r="B164">
        <f>IFERROR(VLOOKUP(A164,管理亚马逊库存!A:K,11,0),"")</f>
        <v>3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685</v>
      </c>
      <c r="B165">
        <f>IFERROR(VLOOKUP(A165,管理亚马逊库存!A:K,11,0),"")</f>
        <v>4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4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4</v>
      </c>
    </row>
    <row r="166" spans="1:14">
      <c r="A166" s="3" t="s">
        <v>689</v>
      </c>
      <c r="B166">
        <f>IFERROR(VLOOKUP(A166,管理亚马逊库存!A:K,11,0),"")</f>
        <v>2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692</v>
      </c>
      <c r="B167">
        <f>IFERROR(VLOOKUP(A167,管理亚马逊库存!A:K,11,0),"")</f>
        <v>1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1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1</v>
      </c>
    </row>
    <row r="168" spans="1:14">
      <c r="A168" s="3" t="s">
        <v>696</v>
      </c>
      <c r="B168">
        <f>IFERROR(VLOOKUP(A168,管理亚马逊库存!A:K,11,0),"")</f>
        <v>12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9</v>
      </c>
      <c r="L168">
        <f>IFERROR(VLOOKUP(A168,库龄!B:M,11,0),0)</f>
        <v>2</v>
      </c>
      <c r="M168">
        <f>IFERROR(VLOOKUP(A168,库龄!B:N,12,0),0)</f>
        <v>0</v>
      </c>
      <c r="N168">
        <f t="shared" si="6"/>
        <v>11</v>
      </c>
    </row>
    <row r="169" spans="1:14">
      <c r="A169" s="3" t="s">
        <v>700</v>
      </c>
      <c r="B169">
        <f>IFERROR(VLOOKUP(A169,管理亚马逊库存!A:K,11,0),"")</f>
        <v>5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703</v>
      </c>
      <c r="B170">
        <f>IFERROR(VLOOKUP(A170,管理亚马逊库存!A:K,11,0),"")</f>
        <v>3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3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3</v>
      </c>
    </row>
    <row r="171" spans="1:14">
      <c r="A171" s="3" t="s">
        <v>707</v>
      </c>
      <c r="B171">
        <f>IFERROR(VLOOKUP(A171,管理亚马逊库存!A:K,11,0),"")</f>
        <v>9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9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9</v>
      </c>
    </row>
    <row r="172" spans="1:14">
      <c r="A172" s="3" t="s">
        <v>711</v>
      </c>
      <c r="B172">
        <f>IFERROR(VLOOKUP(A172,管理亚马逊库存!A:K,11,0),"")</f>
        <v>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715</v>
      </c>
      <c r="B173">
        <f>IFERROR(VLOOKUP(A173,管理亚马逊库存!A:K,11,0),"")</f>
        <v>5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720</v>
      </c>
      <c r="B174">
        <f>IFERROR(VLOOKUP(A174,管理亚马逊库存!A:K,11,0),"")</f>
        <v>2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724</v>
      </c>
      <c r="B175">
        <f>IFERROR(VLOOKUP(A175,管理亚马逊库存!A:K,11,0),"")</f>
        <v>5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727</v>
      </c>
      <c r="B176">
        <f>IFERROR(VLOOKUP(A176,管理亚马逊库存!A:K,11,0),"")</f>
        <v>1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1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1</v>
      </c>
    </row>
    <row r="177" spans="1:14">
      <c r="A177" s="3" t="s">
        <v>731</v>
      </c>
      <c r="B177">
        <f>IFERROR(VLOOKUP(A177,管理亚马逊库存!A:K,11,0),"")</f>
        <v>13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13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13</v>
      </c>
    </row>
    <row r="178" spans="1:14">
      <c r="A178" s="3" t="s">
        <v>735</v>
      </c>
      <c r="B178">
        <f>IFERROR(VLOOKUP(A178,管理亚马逊库存!A:K,11,0),"")</f>
        <v>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3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3</v>
      </c>
    </row>
    <row r="179" spans="1:14">
      <c r="A179" s="3" t="s">
        <v>739</v>
      </c>
      <c r="B179">
        <f>IFERROR(VLOOKUP(A179,管理亚马逊库存!A:K,11,0),"")</f>
        <v>3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1</v>
      </c>
      <c r="F179">
        <f t="shared" si="5"/>
        <v>1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744</v>
      </c>
      <c r="B180">
        <f>IFERROR(VLOOKUP(A180,管理亚马逊库存!A:K,11,0),"")</f>
        <v>4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4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4</v>
      </c>
    </row>
    <row r="181" spans="1:14">
      <c r="A181" s="3" t="s">
        <v>747</v>
      </c>
      <c r="B181">
        <f>IFERROR(VLOOKUP(A181,管理亚马逊库存!A:K,11,0),"")</f>
        <v>6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750</v>
      </c>
      <c r="B182">
        <f>IFERROR(VLOOKUP(A182,管理亚马逊库存!A:K,11,0),"")</f>
        <v>9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9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9</v>
      </c>
    </row>
    <row r="183" spans="1:14">
      <c r="A183" s="3" t="s">
        <v>754</v>
      </c>
      <c r="B183">
        <f>IFERROR(VLOOKUP(A183,管理亚马逊库存!A:K,11,0),"")</f>
        <v>6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758</v>
      </c>
      <c r="B184">
        <f>IFERROR(VLOOKUP(A184,管理亚马逊库存!A:K,11,0),"")</f>
        <v>24</v>
      </c>
      <c r="C184">
        <f>IFERROR(VLOOKUP(A184,管理亚马逊库存!A:L,12,0),"")</f>
        <v>0</v>
      </c>
      <c r="D184">
        <f>IFERROR(VLOOKUP(A184,管理亚马逊库存!A:Q,17,0),"")</f>
        <v>5</v>
      </c>
      <c r="E184">
        <f>IFERROR(VLOOKUP(A184,管理亚马逊库存!A:R,18,0),"")</f>
        <v>0</v>
      </c>
      <c r="F184">
        <f t="shared" si="5"/>
        <v>5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762</v>
      </c>
      <c r="B185">
        <f>IFERROR(VLOOKUP(A185,管理亚马逊库存!A:K,11,0),"")</f>
        <v>6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765</v>
      </c>
      <c r="B186">
        <f>IFERROR(VLOOKUP(A186,管理亚马逊库存!A:K,11,0),"")</f>
        <v>5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768</v>
      </c>
      <c r="B187">
        <f>IFERROR(VLOOKUP(A187,管理亚马逊库存!A:K,11,0),"")</f>
        <v>6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6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6</v>
      </c>
    </row>
    <row r="188" spans="1:14">
      <c r="A188" s="3" t="s">
        <v>772</v>
      </c>
      <c r="B188">
        <f>IFERROR(VLOOKUP(A188,管理亚马逊库存!A:K,11,0),"")</f>
        <v>3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3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3</v>
      </c>
    </row>
    <row r="189" spans="1:14">
      <c r="A189" s="3" t="s">
        <v>776</v>
      </c>
      <c r="B189">
        <f>IFERROR(VLOOKUP(A189,管理亚马逊库存!A:K,11,0),"")</f>
        <v>6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779</v>
      </c>
      <c r="B190">
        <f>IFERROR(VLOOKUP(A190,管理亚马逊库存!A:K,11,0),"")</f>
        <v>17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783</v>
      </c>
      <c r="B191">
        <f>IFERROR(VLOOKUP(A191,管理亚马逊库存!A:K,11,0),"")</f>
        <v>3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1</v>
      </c>
      <c r="K191">
        <f>IFERROR(VLOOKUP(A191,库龄!B:L,10,0),0)</f>
        <v>2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3</v>
      </c>
    </row>
    <row r="192" spans="1:14">
      <c r="A192" s="3" t="s">
        <v>787</v>
      </c>
      <c r="B192">
        <f>IFERROR(VLOOKUP(A192,管理亚马逊库存!A:K,11,0),"")</f>
        <v>6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6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6</v>
      </c>
    </row>
    <row r="193" spans="1:14">
      <c r="A193" s="3" t="s">
        <v>791</v>
      </c>
      <c r="B193">
        <f>IFERROR(VLOOKUP(A193,管理亚马逊库存!A:K,11,0),"")</f>
        <v>6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794</v>
      </c>
      <c r="B194">
        <f>IFERROR(VLOOKUP(A194,管理亚马逊库存!A:K,11,0),"")</f>
        <v>7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797</v>
      </c>
      <c r="B195">
        <f>IFERROR(VLOOKUP(A195,管理亚马逊库存!A:K,11,0),"")</f>
        <v>3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3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3</v>
      </c>
    </row>
    <row r="196" spans="1:14">
      <c r="A196" s="3" t="s">
        <v>801</v>
      </c>
      <c r="B196">
        <f>IFERROR(VLOOKUP(A196,管理亚马逊库存!A:K,11,0),"")</f>
        <v>12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805</v>
      </c>
      <c r="B197">
        <f>IFERROR(VLOOKUP(A197,管理亚马逊库存!A:K,11,0),"")</f>
        <v>6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6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6</v>
      </c>
    </row>
    <row r="198" spans="1:14">
      <c r="A198" s="3" t="s">
        <v>809</v>
      </c>
      <c r="B198">
        <f>IFERROR(VLOOKUP(A198,管理亚马逊库存!A:K,11,0),"")</f>
        <v>6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812</v>
      </c>
      <c r="B199">
        <f>IFERROR(VLOOKUP(A199,管理亚马逊库存!A:K,11,0),"")</f>
        <v>3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816</v>
      </c>
      <c r="B200">
        <f>IFERROR(VLOOKUP(A200,管理亚马逊库存!A:K,11,0),"")</f>
        <v>2</v>
      </c>
      <c r="C200">
        <f>IFERROR(VLOOKUP(A200,管理亚马逊库存!A:L,12,0),"")</f>
        <v>0</v>
      </c>
      <c r="D200">
        <f>IFERROR(VLOOKUP(A200,管理亚马逊库存!A:Q,17,0),"")</f>
        <v>10</v>
      </c>
      <c r="E200">
        <f>IFERROR(VLOOKUP(A200,管理亚马逊库存!A:R,18,0),"")</f>
        <v>0</v>
      </c>
      <c r="F200">
        <f t="shared" si="7"/>
        <v>10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820</v>
      </c>
      <c r="B201">
        <f>IFERROR(VLOOKUP(A201,管理亚马逊库存!A:K,11,0),"")</f>
        <v>3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2</v>
      </c>
      <c r="L201">
        <f>IFERROR(VLOOKUP(A201,库龄!B:M,11,0),0)</f>
        <v>1</v>
      </c>
      <c r="M201">
        <f>IFERROR(VLOOKUP(A201,库龄!B:N,12,0),0)</f>
        <v>0</v>
      </c>
      <c r="N201">
        <f t="shared" si="8"/>
        <v>3</v>
      </c>
    </row>
    <row r="202" spans="1:14">
      <c r="A202" s="3" t="s">
        <v>824</v>
      </c>
      <c r="B202">
        <f>IFERROR(VLOOKUP(A202,管理亚马逊库存!A:K,11,0),"")</f>
        <v>9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828</v>
      </c>
      <c r="B203">
        <f>IFERROR(VLOOKUP(A203,管理亚马逊库存!A:K,11,0),"")</f>
        <v>6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831</v>
      </c>
      <c r="B204">
        <f>IFERROR(VLOOKUP(A204,管理亚马逊库存!A:K,11,0),"")</f>
        <v>3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834</v>
      </c>
      <c r="B205">
        <f>IFERROR(VLOOKUP(A205,管理亚马逊库存!A:K,11,0),"")</f>
        <v>3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3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3</v>
      </c>
    </row>
    <row r="206" spans="1:14">
      <c r="A206" s="3" t="s">
        <v>838</v>
      </c>
      <c r="B206">
        <f>IFERROR(VLOOKUP(A206,管理亚马逊库存!A:K,11,0),"")</f>
        <v>3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3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3</v>
      </c>
    </row>
    <row r="207" spans="1:14">
      <c r="A207" s="3" t="s">
        <v>842</v>
      </c>
      <c r="B207">
        <f>IFERROR(VLOOKUP(A207,管理亚马逊库存!A:K,11,0),"")</f>
        <v>6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6</v>
      </c>
      <c r="N207">
        <f t="shared" si="8"/>
        <v>6</v>
      </c>
    </row>
    <row r="208" spans="1:14">
      <c r="A208" s="3" t="s">
        <v>846</v>
      </c>
      <c r="B208">
        <f>IFERROR(VLOOKUP(A208,管理亚马逊库存!A:K,11,0),"")</f>
        <v>6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850</v>
      </c>
      <c r="B209">
        <f>IFERROR(VLOOKUP(A209,管理亚马逊库存!A:K,11,0),"")</f>
        <v>1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1</v>
      </c>
      <c r="M209">
        <f>IFERROR(VLOOKUP(A209,库龄!B:N,12,0),0)</f>
        <v>0</v>
      </c>
      <c r="N209">
        <f t="shared" si="8"/>
        <v>1</v>
      </c>
    </row>
    <row r="210" spans="1:14">
      <c r="A210" s="3" t="s">
        <v>854</v>
      </c>
      <c r="B210">
        <f>IFERROR(VLOOKUP(A210,管理亚马逊库存!A:K,11,0),"")</f>
        <v>4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4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4</v>
      </c>
    </row>
    <row r="211" spans="1:14">
      <c r="A211" s="3" t="s">
        <v>857</v>
      </c>
      <c r="B211">
        <f>IFERROR(VLOOKUP(A211,管理亚马逊库存!A:K,11,0),"")</f>
        <v>4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4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4</v>
      </c>
    </row>
    <row r="212" spans="1:14">
      <c r="A212" s="3" t="s">
        <v>860</v>
      </c>
      <c r="B212">
        <f>IFERROR(VLOOKUP(A212,管理亚马逊库存!A:K,11,0),"")</f>
        <v>7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1</v>
      </c>
      <c r="M212">
        <f>IFERROR(VLOOKUP(A212,库龄!B:N,12,0),0)</f>
        <v>6</v>
      </c>
      <c r="N212">
        <f t="shared" si="8"/>
        <v>7</v>
      </c>
    </row>
    <row r="213" spans="1:14">
      <c r="A213" s="3" t="s">
        <v>864</v>
      </c>
      <c r="B213">
        <f>IFERROR(VLOOKUP(A213,管理亚马逊库存!A:K,11,0),"")</f>
        <v>4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4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4</v>
      </c>
    </row>
    <row r="214" spans="1:14">
      <c r="A214" s="3" t="s">
        <v>867</v>
      </c>
      <c r="B214">
        <f>IFERROR(VLOOKUP(A214,管理亚马逊库存!A:K,11,0),"")</f>
        <v>3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871</v>
      </c>
      <c r="B215">
        <f>IFERROR(VLOOKUP(A215,管理亚马逊库存!A:K,11,0),"")</f>
        <v>4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874</v>
      </c>
      <c r="B216">
        <f>IFERROR(VLOOKUP(A216,管理亚马逊库存!A:K,11,0),"")</f>
        <v>3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3</v>
      </c>
      <c r="M216">
        <f>IFERROR(VLOOKUP(A216,库龄!B:N,12,0),0)</f>
        <v>0</v>
      </c>
      <c r="N216">
        <f t="shared" si="8"/>
        <v>3</v>
      </c>
    </row>
    <row r="217" spans="1:14">
      <c r="A217" s="3" t="s">
        <v>878</v>
      </c>
      <c r="B217">
        <f>IFERROR(VLOOKUP(A217,管理亚马逊库存!A:K,11,0),"")</f>
        <v>8</v>
      </c>
      <c r="C217">
        <f>IFERROR(VLOOKUP(A217,管理亚马逊库存!A:L,12,0),"")</f>
        <v>0</v>
      </c>
      <c r="D217">
        <f>IFERROR(VLOOKUP(A217,管理亚马逊库存!A:Q,17,0),"")</f>
        <v>5</v>
      </c>
      <c r="E217">
        <f>IFERROR(VLOOKUP(A217,管理亚马逊库存!A:R,18,0),"")</f>
        <v>0</v>
      </c>
      <c r="F217">
        <f t="shared" si="7"/>
        <v>5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881</v>
      </c>
      <c r="B218">
        <f>IFERROR(VLOOKUP(A218,管理亚马逊库存!A:K,11,0),"")</f>
        <v>4</v>
      </c>
      <c r="C218">
        <f>IFERROR(VLOOKUP(A218,管理亚马逊库存!A:L,12,0),"")</f>
        <v>1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1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1</v>
      </c>
    </row>
    <row r="219" spans="1:14">
      <c r="A219" s="3" t="s">
        <v>885</v>
      </c>
      <c r="B219">
        <f>IFERROR(VLOOKUP(A219,管理亚马逊库存!A:K,11,0),"")</f>
        <v>6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888</v>
      </c>
      <c r="B220">
        <f>IFERROR(VLOOKUP(A220,管理亚马逊库存!A:K,11,0),"")</f>
        <v>6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891</v>
      </c>
      <c r="B221">
        <f>IFERROR(VLOOKUP(A221,管理亚马逊库存!A:K,11,0),"")</f>
        <v>4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4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4</v>
      </c>
    </row>
    <row r="222" spans="1:14">
      <c r="A222" s="3" t="s">
        <v>894</v>
      </c>
      <c r="B222">
        <f>IFERROR(VLOOKUP(A222,管理亚马逊库存!A:K,11,0),"")</f>
        <v>4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2</v>
      </c>
      <c r="F222">
        <f t="shared" si="7"/>
        <v>2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898</v>
      </c>
      <c r="B223">
        <f>IFERROR(VLOOKUP(A223,管理亚马逊库存!A:K,11,0),"")</f>
        <v>1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902</v>
      </c>
      <c r="B224">
        <f>IFERROR(VLOOKUP(A224,管理亚马逊库存!A:K,11,0),"")</f>
        <v>6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6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6</v>
      </c>
    </row>
    <row r="225" spans="1:14">
      <c r="A225" s="3" t="s">
        <v>906</v>
      </c>
      <c r="B225">
        <f>IFERROR(VLOOKUP(A225,管理亚马逊库存!A:K,11,0),"")</f>
        <v>1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910</v>
      </c>
      <c r="B226">
        <f>IFERROR(VLOOKUP(A226,管理亚马逊库存!A:K,11,0),"")</f>
        <v>6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913</v>
      </c>
      <c r="B227">
        <f>IFERROR(VLOOKUP(A227,管理亚马逊库存!A:K,11,0),"")</f>
        <v>10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2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2</v>
      </c>
    </row>
    <row r="228" spans="1:14">
      <c r="A228" s="3" t="s">
        <v>917</v>
      </c>
      <c r="B228">
        <f>IFERROR(VLOOKUP(A228,管理亚马逊库存!A:K,11,0),"")</f>
        <v>37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3</v>
      </c>
      <c r="L228">
        <f>IFERROR(VLOOKUP(A228,库龄!B:M,11,0),0)</f>
        <v>34</v>
      </c>
      <c r="M228">
        <f>IFERROR(VLOOKUP(A228,库龄!B:N,12,0),0)</f>
        <v>0</v>
      </c>
      <c r="N228">
        <f t="shared" si="8"/>
        <v>37</v>
      </c>
    </row>
    <row r="229" spans="1:14">
      <c r="A229" s="3" t="s">
        <v>921</v>
      </c>
      <c r="B229">
        <f>IFERROR(VLOOKUP(A229,管理亚马逊库存!A:K,11,0),"")</f>
        <v>13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924</v>
      </c>
      <c r="B230">
        <f>IFERROR(VLOOKUP(A230,管理亚马逊库存!A:K,11,0),"")</f>
        <v>5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928</v>
      </c>
      <c r="B231">
        <f>IFERROR(VLOOKUP(A231,管理亚马逊库存!A:K,11,0),"")</f>
        <v>1</v>
      </c>
      <c r="C231">
        <f>IFERROR(VLOOKUP(A231,管理亚马逊库存!A:L,12,0),"")</f>
        <v>0</v>
      </c>
      <c r="D231">
        <f>IFERROR(VLOOKUP(A231,管理亚马逊库存!A:Q,17,0),"")</f>
        <v>25</v>
      </c>
      <c r="E231">
        <f>IFERROR(VLOOKUP(A231,管理亚马逊库存!A:R,18,0),"")</f>
        <v>0</v>
      </c>
      <c r="F231">
        <f t="shared" si="7"/>
        <v>25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933</v>
      </c>
      <c r="B232">
        <f>IFERROR(VLOOKUP(A232,管理亚马逊库存!A:K,11,0),"")</f>
        <v>13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13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13</v>
      </c>
    </row>
    <row r="233" spans="1:14">
      <c r="A233" s="3" t="s">
        <v>936</v>
      </c>
      <c r="B233">
        <f>IFERROR(VLOOKUP(A233,管理亚马逊库存!A:K,11,0),"")</f>
        <v>30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940</v>
      </c>
      <c r="B234">
        <f>IFERROR(VLOOKUP(A234,管理亚马逊库存!A:K,11,0),"")</f>
        <v>4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4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4</v>
      </c>
    </row>
    <row r="235" spans="1:14">
      <c r="A235" s="3" t="s">
        <v>943</v>
      </c>
      <c r="B235">
        <f>IFERROR(VLOOKUP(A235,管理亚马逊库存!A:K,11,0),"")</f>
        <v>17</v>
      </c>
      <c r="C235">
        <f>IFERROR(VLOOKUP(A235,管理亚马逊库存!A:L,12,0),"")</f>
        <v>0</v>
      </c>
      <c r="D235">
        <f>IFERROR(VLOOKUP(A235,管理亚马逊库存!A:Q,17,0),"")</f>
        <v>50</v>
      </c>
      <c r="E235">
        <f>IFERROR(VLOOKUP(A235,管理亚马逊库存!A:R,18,0),"")</f>
        <v>0</v>
      </c>
      <c r="F235">
        <f t="shared" si="7"/>
        <v>50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947</v>
      </c>
      <c r="B236">
        <f>IFERROR(VLOOKUP(A236,管理亚马逊库存!A:K,11,0),"")</f>
        <v>4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4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4</v>
      </c>
    </row>
    <row r="237" spans="1:14">
      <c r="A237" s="3" t="s">
        <v>950</v>
      </c>
      <c r="B237">
        <f>IFERROR(VLOOKUP(A237,管理亚马逊库存!A:K,11,0),"")</f>
        <v>7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953</v>
      </c>
      <c r="B238">
        <f>IFERROR(VLOOKUP(A238,管理亚马逊库存!A:K,11,0),"")</f>
        <v>6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956</v>
      </c>
      <c r="B239">
        <f>IFERROR(VLOOKUP(A239,管理亚马逊库存!A:K,11,0),"")</f>
        <v>6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959</v>
      </c>
      <c r="B240">
        <f>IFERROR(VLOOKUP(A240,管理亚马逊库存!A:K,11,0),"")</f>
        <v>10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963</v>
      </c>
      <c r="B241">
        <f>IFERROR(VLOOKUP(A241,管理亚马逊库存!A:K,11,0),"")</f>
        <v>6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966</v>
      </c>
      <c r="B242">
        <f>IFERROR(VLOOKUP(A242,管理亚马逊库存!A:K,11,0),"")</f>
        <v>3</v>
      </c>
      <c r="C242">
        <f>IFERROR(VLOOKUP(A242,管理亚马逊库存!A:L,12,0),"")</f>
        <v>0</v>
      </c>
      <c r="D242">
        <f>IFERROR(VLOOKUP(A242,管理亚马逊库存!A:Q,17,0),"")</f>
        <v>5</v>
      </c>
      <c r="E242">
        <f>IFERROR(VLOOKUP(A242,管理亚马逊库存!A:R,18,0),"")</f>
        <v>0</v>
      </c>
      <c r="F242">
        <f t="shared" si="7"/>
        <v>5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970</v>
      </c>
      <c r="B243">
        <f>IFERROR(VLOOKUP(A243,管理亚马逊库存!A:K,11,0),"")</f>
        <v>10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1</v>
      </c>
      <c r="F243">
        <f t="shared" si="7"/>
        <v>1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974</v>
      </c>
      <c r="B244">
        <f>IFERROR(VLOOKUP(A244,管理亚马逊库存!A:K,11,0),"")</f>
        <v>9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978</v>
      </c>
      <c r="B245">
        <f>IFERROR(VLOOKUP(A245,管理亚马逊库存!A:K,11,0),"")</f>
        <v>9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8</v>
      </c>
      <c r="M245">
        <f>IFERROR(VLOOKUP(A245,库龄!B:N,12,0),0)</f>
        <v>0</v>
      </c>
      <c r="N245">
        <f t="shared" si="8"/>
        <v>8</v>
      </c>
    </row>
    <row r="246" spans="1:14">
      <c r="A246" s="3" t="s">
        <v>981</v>
      </c>
      <c r="B246">
        <f>IFERROR(VLOOKUP(A246,管理亚马逊库存!A:K,11,0),"")</f>
        <v>24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1</v>
      </c>
      <c r="K246">
        <f>IFERROR(VLOOKUP(A246,库龄!B:L,10,0),0)</f>
        <v>0</v>
      </c>
      <c r="L246">
        <f>IFERROR(VLOOKUP(A246,库龄!B:M,11,0),0)</f>
        <v>20</v>
      </c>
      <c r="M246">
        <f>IFERROR(VLOOKUP(A246,库龄!B:N,12,0),0)</f>
        <v>1</v>
      </c>
      <c r="N246">
        <f t="shared" si="8"/>
        <v>22</v>
      </c>
    </row>
    <row r="247" spans="1:14">
      <c r="A247" s="3" t="s">
        <v>985</v>
      </c>
      <c r="B247">
        <f>IFERROR(VLOOKUP(A247,管理亚马逊库存!A:K,11,0),"")</f>
        <v>81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989</v>
      </c>
      <c r="B248">
        <f>IFERROR(VLOOKUP(A248,管理亚马逊库存!A:K,11,0),"")</f>
        <v>43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992</v>
      </c>
      <c r="B249">
        <f>IFERROR(VLOOKUP(A249,管理亚马逊库存!A:K,11,0),"")</f>
        <v>6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995</v>
      </c>
      <c r="B250">
        <f>IFERROR(VLOOKUP(A250,管理亚马逊库存!A:K,11,0),"")</f>
        <v>34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1:14">
      <c r="A251" s="3" t="s">
        <v>999</v>
      </c>
      <c r="B251">
        <f>IFERROR(VLOOKUP(A251,管理亚马逊库存!A:K,11,0),"")</f>
        <v>62</v>
      </c>
      <c r="C251">
        <f>IFERROR(VLOOKUP(A251,管理亚马逊库存!A:L,12,0),"")</f>
        <v>0</v>
      </c>
      <c r="D251">
        <f>IFERROR(VLOOKUP(A251,管理亚马逊库存!A:Q,17,0),"")</f>
        <v>0</v>
      </c>
      <c r="E251">
        <f>IFERROR(VLOOKUP(A251,管理亚马逊库存!A:R,18,0),"")</f>
        <v>0</v>
      </c>
      <c r="F251">
        <f t="shared" si="7"/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1003</v>
      </c>
      <c r="B252">
        <f>IFERROR(VLOOKUP(A252,管理亚马逊库存!A:K,11,0),"")</f>
        <v>6</v>
      </c>
      <c r="C252">
        <f>IFERROR(VLOOKUP(A252,管理亚马逊库存!A:L,12,0),"")</f>
        <v>0</v>
      </c>
      <c r="D252">
        <f>IFERROR(VLOOKUP(A252,管理亚马逊库存!A:Q,17,0),"")</f>
        <v>0</v>
      </c>
      <c r="E252">
        <f>IFERROR(VLOOKUP(A252,管理亚马逊库存!A:R,18,0),"")</f>
        <v>0</v>
      </c>
      <c r="F252">
        <f t="shared" si="7"/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1006</v>
      </c>
      <c r="B253">
        <f>IFERROR(VLOOKUP(A253,管理亚马逊库存!A:K,11,0),"")</f>
        <v>4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4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4</v>
      </c>
    </row>
    <row r="254" spans="1:14">
      <c r="A254" s="3" t="s">
        <v>1009</v>
      </c>
      <c r="B254">
        <f>IFERROR(VLOOKUP(A254,管理亚马逊库存!A:K,11,0),"")</f>
        <v>1</v>
      </c>
      <c r="C254">
        <f>IFERROR(VLOOKUP(A254,管理亚马逊库存!A:L,12,0),"")</f>
        <v>1</v>
      </c>
      <c r="D254">
        <f>IFERROR(VLOOKUP(A254,管理亚马逊库存!A:Q,17,0),"")</f>
        <v>0</v>
      </c>
      <c r="E254">
        <f>IFERROR(VLOOKUP(A254,管理亚马逊库存!A:R,18,0),"")</f>
        <v>0</v>
      </c>
      <c r="F254">
        <f t="shared" si="7"/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1013</v>
      </c>
      <c r="B255">
        <f>IFERROR(VLOOKUP(A255,管理亚马逊库存!A:K,11,0),"")</f>
        <v>3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3</v>
      </c>
      <c r="L255">
        <f>IFERROR(VLOOKUP(A255,库龄!B:M,11,0),0)</f>
        <v>0</v>
      </c>
      <c r="M255">
        <f>IFERROR(VLOOKUP(A255,库龄!B:N,12,0),0)</f>
        <v>0</v>
      </c>
      <c r="N255">
        <f t="shared" si="8"/>
        <v>3</v>
      </c>
    </row>
    <row r="256" spans="1:14">
      <c r="A256" s="3" t="s">
        <v>1017</v>
      </c>
      <c r="B256">
        <f>IFERROR(VLOOKUP(A256,管理亚马逊库存!A:K,11,0),"")</f>
        <v>19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0</v>
      </c>
    </row>
    <row r="257" spans="1:14">
      <c r="A257" s="3" t="s">
        <v>1021</v>
      </c>
      <c r="B257">
        <f>IFERROR(VLOOKUP(A257,管理亚马逊库存!A:K,11,0),"")</f>
        <v>9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 t="shared" si="8"/>
        <v>0</v>
      </c>
    </row>
    <row r="258" spans="1:14">
      <c r="A258" s="3" t="s">
        <v>1025</v>
      </c>
      <c r="B258">
        <f>IFERROR(VLOOKUP(A258,管理亚马逊库存!A:K,11,0),"")</f>
        <v>6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 t="shared" si="8"/>
        <v>0</v>
      </c>
    </row>
    <row r="259" spans="1:14">
      <c r="A259" s="3" t="s">
        <v>1028</v>
      </c>
      <c r="B259">
        <f>IFERROR(VLOOKUP(A259,管理亚马逊库存!A:K,11,0),"")</f>
        <v>0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0</v>
      </c>
    </row>
    <row r="260" spans="1:14">
      <c r="A260" s="3" t="s">
        <v>1032</v>
      </c>
      <c r="B260">
        <f>IFERROR(VLOOKUP(A260,管理亚马逊库存!A:K,11,0),"")</f>
        <v>2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2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2</v>
      </c>
    </row>
    <row r="261" spans="1:14">
      <c r="A261" s="3" t="s">
        <v>1035</v>
      </c>
      <c r="B261">
        <f>IFERROR(VLOOKUP(A261,管理亚马逊库存!A:K,11,0),"")</f>
        <v>4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4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4</v>
      </c>
    </row>
    <row r="262" spans="1:14">
      <c r="A262" s="3" t="s">
        <v>1039</v>
      </c>
      <c r="B262">
        <f>IFERROR(VLOOKUP(A262,管理亚马逊库存!A:K,11,0),"")</f>
        <v>14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1:14">
      <c r="A263" s="3" t="s">
        <v>1042</v>
      </c>
      <c r="B263">
        <f>IFERROR(VLOOKUP(A263,管理亚马逊库存!A:K,11,0),"")</f>
        <v>4</v>
      </c>
      <c r="C263">
        <f>IFERROR(VLOOKUP(A263,管理亚马逊库存!A:L,12,0),"")</f>
        <v>0</v>
      </c>
      <c r="D263">
        <f>IFERROR(VLOOKUP(A263,管理亚马逊库存!A:Q,17,0),"")</f>
        <v>0</v>
      </c>
      <c r="E263">
        <f>IFERROR(VLOOKUP(A263,管理亚马逊库存!A:R,18,0),"")</f>
        <v>0</v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1046</v>
      </c>
      <c r="B264">
        <f>IFERROR(VLOOKUP(A264,管理亚马逊库存!A:K,11,0),"")</f>
        <v>7</v>
      </c>
      <c r="C264">
        <f>IFERROR(VLOOKUP(A264,管理亚马逊库存!A:L,12,0),"")</f>
        <v>0</v>
      </c>
      <c r="D264">
        <f>IFERROR(VLOOKUP(A264,管理亚马逊库存!A:Q,17,0),"")</f>
        <v>0</v>
      </c>
      <c r="E264">
        <f>IFERROR(VLOOKUP(A264,管理亚马逊库存!A:R,18,0),"")</f>
        <v>0</v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1</v>
      </c>
      <c r="K264">
        <f>IFERROR(VLOOKUP(A264,库龄!B:L,10,0),0)</f>
        <v>6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7</v>
      </c>
    </row>
    <row r="265" spans="1:14">
      <c r="A265" s="3" t="s">
        <v>1050</v>
      </c>
      <c r="B265">
        <f>IFERROR(VLOOKUP(A265,管理亚马逊库存!A:K,11,0),"")</f>
        <v>6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6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6</v>
      </c>
    </row>
    <row r="266" spans="1:14">
      <c r="A266" s="3" t="s">
        <v>1054</v>
      </c>
      <c r="B266">
        <f>IFERROR(VLOOKUP(A266,管理亚马逊库存!A:K,11,0),"")</f>
        <v>6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6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6</v>
      </c>
    </row>
    <row r="267" spans="1:14">
      <c r="A267" s="3" t="s">
        <v>1058</v>
      </c>
      <c r="B267">
        <f>IFERROR(VLOOKUP(A267,管理亚马逊库存!A:K,11,0),"")</f>
        <v>6</v>
      </c>
      <c r="C267">
        <f>IFERROR(VLOOKUP(A267,管理亚马逊库存!A:L,12,0),"")</f>
        <v>0</v>
      </c>
      <c r="D267">
        <f>IFERROR(VLOOKUP(A267,管理亚马逊库存!A:Q,17,0),"")</f>
        <v>0</v>
      </c>
      <c r="E267">
        <f>IFERROR(VLOOKUP(A267,管理亚马逊库存!A:R,18,0),"")</f>
        <v>0</v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1062</v>
      </c>
      <c r="B268">
        <f>IFERROR(VLOOKUP(A268,管理亚马逊库存!A:K,11,0),"")</f>
        <v>3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3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3</v>
      </c>
    </row>
    <row r="269" spans="1:14">
      <c r="A269" s="3" t="s">
        <v>1066</v>
      </c>
      <c r="B269">
        <f>IFERROR(VLOOKUP(A269,管理亚马逊库存!A:K,11,0),"")</f>
        <v>1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1</v>
      </c>
      <c r="M269">
        <f>IFERROR(VLOOKUP(A269,库龄!B:N,12,0),0)</f>
        <v>0</v>
      </c>
      <c r="N269">
        <f t="shared" si="10"/>
        <v>1</v>
      </c>
    </row>
    <row r="270" spans="1:14">
      <c r="A270" s="3" t="s">
        <v>1070</v>
      </c>
      <c r="B270">
        <f>IFERROR(VLOOKUP(A270,管理亚马逊库存!A:K,11,0),"")</f>
        <v>5</v>
      </c>
      <c r="C270">
        <f>IFERROR(VLOOKUP(A270,管理亚马逊库存!A:L,12,0),"")</f>
        <v>0</v>
      </c>
      <c r="D270">
        <f>IFERROR(VLOOKUP(A270,管理亚马逊库存!A:Q,17,0),"")</f>
        <v>0</v>
      </c>
      <c r="E270">
        <f>IFERROR(VLOOKUP(A270,管理亚马逊库存!A:R,18,0),"")</f>
        <v>0</v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1074</v>
      </c>
      <c r="B271">
        <f>IFERROR(VLOOKUP(A271,管理亚马逊库存!A:K,11,0),"")</f>
        <v>1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0</v>
      </c>
      <c r="M271">
        <f>IFERROR(VLOOKUP(A271,库龄!B:N,12,0),0)</f>
        <v>0</v>
      </c>
      <c r="N271">
        <f t="shared" si="10"/>
        <v>0</v>
      </c>
    </row>
    <row r="272" spans="1:14">
      <c r="A272" s="3" t="s">
        <v>1078</v>
      </c>
      <c r="B272">
        <f>IFERROR(VLOOKUP(A272,管理亚马逊库存!A:K,11,0),"")</f>
        <v>30</v>
      </c>
      <c r="C272">
        <f>IFERROR(VLOOKUP(A272,管理亚马逊库存!A:L,12,0),"")</f>
        <v>0</v>
      </c>
      <c r="D272">
        <f>IFERROR(VLOOKUP(A272,管理亚马逊库存!A:Q,17,0),"")</f>
        <v>0</v>
      </c>
      <c r="E272">
        <f>IFERROR(VLOOKUP(A272,管理亚马逊库存!A:R,18,0),"")</f>
        <v>3</v>
      </c>
      <c r="F272">
        <f t="shared" si="9"/>
        <v>3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1082</v>
      </c>
      <c r="B273">
        <f>IFERROR(VLOOKUP(A273,管理亚马逊库存!A:K,11,0),"")</f>
        <v>6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0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0</v>
      </c>
    </row>
    <row r="274" spans="1:14">
      <c r="A274" s="3" t="s">
        <v>1085</v>
      </c>
      <c r="B274">
        <f>IFERROR(VLOOKUP(A274,管理亚马逊库存!A:K,11,0),"")</f>
        <v>13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0</v>
      </c>
      <c r="K274">
        <f>IFERROR(VLOOKUP(A274,库龄!B:L,10,0),0)</f>
        <v>13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13</v>
      </c>
    </row>
    <row r="275" spans="1:14">
      <c r="A275" s="3" t="s">
        <v>1088</v>
      </c>
      <c r="B275">
        <f>IFERROR(VLOOKUP(A275,管理亚马逊库存!A:K,11,0),"")</f>
        <v>5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0</v>
      </c>
      <c r="K275">
        <f>IFERROR(VLOOKUP(A275,库龄!B:L,10,0),0)</f>
        <v>0</v>
      </c>
      <c r="L275">
        <f>IFERROR(VLOOKUP(A275,库龄!B:M,11,0),0)</f>
        <v>5</v>
      </c>
      <c r="M275">
        <f>IFERROR(VLOOKUP(A275,库龄!B:N,12,0),0)</f>
        <v>0</v>
      </c>
      <c r="N275">
        <f t="shared" si="10"/>
        <v>5</v>
      </c>
    </row>
    <row r="276" spans="1:14">
      <c r="A276" s="3" t="s">
        <v>1092</v>
      </c>
      <c r="B276">
        <f>IFERROR(VLOOKUP(A276,管理亚马逊库存!A:K,11,0),"")</f>
        <v>78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0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0</v>
      </c>
    </row>
    <row r="277" spans="1:14">
      <c r="A277" s="3" t="s">
        <v>1096</v>
      </c>
      <c r="B277">
        <f>IFERROR(VLOOKUP(A277,管理亚马逊库存!A:K,11,0),"")</f>
        <v>21</v>
      </c>
      <c r="C277">
        <f>IFERROR(VLOOKUP(A277,管理亚马逊库存!A:L,12,0),"")</f>
        <v>1</v>
      </c>
      <c r="D277">
        <f>IFERROR(VLOOKUP(A277,管理亚马逊库存!A:Q,17,0),"")</f>
        <v>0</v>
      </c>
      <c r="E277">
        <f>IFERROR(VLOOKUP(A277,管理亚马逊库存!A:R,18,0),"")</f>
        <v>0</v>
      </c>
      <c r="F277">
        <f t="shared" si="9"/>
        <v>0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1100</v>
      </c>
      <c r="B278">
        <f>IFERROR(VLOOKUP(A278,管理亚马逊库存!A:K,11,0),"")</f>
        <v>28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28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28</v>
      </c>
    </row>
    <row r="279" spans="1:14">
      <c r="A279" s="3" t="s">
        <v>1104</v>
      </c>
      <c r="B279">
        <f>IFERROR(VLOOKUP(A279,管理亚马逊库存!A:K,11,0),"")</f>
        <v>6</v>
      </c>
      <c r="C279">
        <f>IFERROR(VLOOKUP(A279,管理亚马逊库存!A:L,12,0),"")</f>
        <v>0</v>
      </c>
      <c r="D279">
        <f>IFERROR(VLOOKUP(A279,管理亚马逊库存!A:Q,17,0),"")</f>
        <v>0</v>
      </c>
      <c r="E279">
        <f>IFERROR(VLOOKUP(A279,管理亚马逊库存!A:R,18,0),"")</f>
        <v>0</v>
      </c>
      <c r="F279">
        <f t="shared" si="9"/>
        <v>0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1107</v>
      </c>
      <c r="B280">
        <f>IFERROR(VLOOKUP(A280,管理亚马逊库存!A:K,11,0),"")</f>
        <v>4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0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0</v>
      </c>
    </row>
    <row r="281" spans="1:14">
      <c r="A281" s="3" t="s">
        <v>1110</v>
      </c>
      <c r="B281">
        <f>IFERROR(VLOOKUP(A281,管理亚马逊库存!A:K,11,0),"")</f>
        <v>2</v>
      </c>
      <c r="C281">
        <f>IFERROR(VLOOKUP(A281,管理亚马逊库存!A:L,12,0),"")</f>
        <v>0</v>
      </c>
      <c r="D281">
        <f>IFERROR(VLOOKUP(A281,管理亚马逊库存!A:Q,17,0),"")</f>
        <v>0</v>
      </c>
      <c r="E281">
        <f>IFERROR(VLOOKUP(A281,管理亚马逊库存!A:R,18,0),"")</f>
        <v>0</v>
      </c>
      <c r="F281">
        <f t="shared" si="9"/>
        <v>0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2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2</v>
      </c>
    </row>
    <row r="282" spans="1:14">
      <c r="A282" s="3" t="s">
        <v>1114</v>
      </c>
      <c r="B282">
        <f>IFERROR(VLOOKUP(A282,管理亚马逊库存!A:K,11,0),"")</f>
        <v>5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1118</v>
      </c>
      <c r="B283">
        <f>IFERROR(VLOOKUP(A283,管理亚马逊库存!A:K,11,0),"")</f>
        <v>4</v>
      </c>
      <c r="C283">
        <f>IFERROR(VLOOKUP(A283,管理亚马逊库存!A:L,12,0),"")</f>
        <v>0</v>
      </c>
      <c r="D283">
        <f>IFERROR(VLOOKUP(A283,管理亚马逊库存!A:Q,17,0),"")</f>
        <v>0</v>
      </c>
      <c r="E283">
        <f>IFERROR(VLOOKUP(A283,管理亚马逊库存!A:R,18,0),"")</f>
        <v>0</v>
      </c>
      <c r="F283">
        <f t="shared" si="9"/>
        <v>0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1122</v>
      </c>
      <c r="B284">
        <f>IFERROR(VLOOKUP(A284,管理亚马逊库存!A:K,11,0),"")</f>
        <v>6</v>
      </c>
      <c r="C284">
        <f>IFERROR(VLOOKUP(A284,管理亚马逊库存!A:L,12,0),"")</f>
        <v>0</v>
      </c>
      <c r="D284">
        <f>IFERROR(VLOOKUP(A284,管理亚马逊库存!A:Q,17,0),"")</f>
        <v>0</v>
      </c>
      <c r="E284">
        <f>IFERROR(VLOOKUP(A284,管理亚马逊库存!A:R,18,0),"")</f>
        <v>0</v>
      </c>
      <c r="F284">
        <f t="shared" si="9"/>
        <v>0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1126</v>
      </c>
      <c r="B285">
        <f>IFERROR(VLOOKUP(A285,管理亚马逊库存!A:K,11,0),"")</f>
        <v>9</v>
      </c>
      <c r="C285">
        <f>IFERROR(VLOOKUP(A285,管理亚马逊库存!A:L,12,0),"")</f>
        <v>0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1130</v>
      </c>
      <c r="B286">
        <f>IFERROR(VLOOKUP(A286,管理亚马逊库存!A:K,11,0),"")</f>
        <v>5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0</v>
      </c>
      <c r="K286">
        <f>IFERROR(VLOOKUP(A286,库龄!B:L,10,0),0)</f>
        <v>4</v>
      </c>
      <c r="L286">
        <f>IFERROR(VLOOKUP(A286,库龄!B:M,11,0),0)</f>
        <v>0</v>
      </c>
      <c r="M286">
        <f>IFERROR(VLOOKUP(A286,库龄!B:N,12,0),0)</f>
        <v>1</v>
      </c>
      <c r="N286">
        <f t="shared" si="10"/>
        <v>5</v>
      </c>
    </row>
    <row r="287" spans="1:14">
      <c r="A287" s="3" t="s">
        <v>1134</v>
      </c>
      <c r="B287">
        <f>IFERROR(VLOOKUP(A287,管理亚马逊库存!A:K,11,0),"")</f>
        <v>4</v>
      </c>
      <c r="C287">
        <f>IFERROR(VLOOKUP(A287,管理亚马逊库存!A:L,12,0),"")</f>
        <v>0</v>
      </c>
      <c r="D287">
        <f>IFERROR(VLOOKUP(A287,管理亚马逊库存!A:Q,17,0),"")</f>
        <v>0</v>
      </c>
      <c r="E287">
        <f>IFERROR(VLOOKUP(A287,管理亚马逊库存!A:R,18,0),"")</f>
        <v>0</v>
      </c>
      <c r="F287">
        <f t="shared" si="9"/>
        <v>0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4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4</v>
      </c>
    </row>
    <row r="288" spans="1:14">
      <c r="A288" s="3" t="s">
        <v>1137</v>
      </c>
      <c r="B288">
        <f>IFERROR(VLOOKUP(A288,管理亚马逊库存!A:K,11,0),"")</f>
        <v>8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8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8</v>
      </c>
    </row>
    <row r="289" spans="1:14">
      <c r="A289" s="3" t="s">
        <v>1141</v>
      </c>
      <c r="B289">
        <f>IFERROR(VLOOKUP(A289,管理亚马逊库存!A:K,11,0),"")</f>
        <v>2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0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0</v>
      </c>
    </row>
    <row r="290" spans="1:14">
      <c r="A290" s="3" t="s">
        <v>1144</v>
      </c>
      <c r="B290">
        <f>IFERROR(VLOOKUP(A290,管理亚马逊库存!A:K,11,0),"")</f>
        <v>2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0</v>
      </c>
      <c r="M290">
        <f>IFERROR(VLOOKUP(A290,库龄!B:N,12,0),0)</f>
        <v>0</v>
      </c>
      <c r="N290">
        <f t="shared" si="10"/>
        <v>0</v>
      </c>
    </row>
    <row r="291" spans="1:14">
      <c r="A291" s="3" t="s">
        <v>1148</v>
      </c>
      <c r="B291">
        <f>IFERROR(VLOOKUP(A291,管理亚马逊库存!A:K,11,0),"")</f>
        <v>20</v>
      </c>
      <c r="C291">
        <f>IFERROR(VLOOKUP(A291,管理亚马逊库存!A:L,12,0),"")</f>
        <v>0</v>
      </c>
      <c r="D291">
        <f>IFERROR(VLOOKUP(A291,管理亚马逊库存!A:Q,17,0),"")</f>
        <v>0</v>
      </c>
      <c r="E291">
        <f>IFERROR(VLOOKUP(A291,管理亚马逊库存!A:R,18,0),"")</f>
        <v>0</v>
      </c>
      <c r="F291">
        <f t="shared" si="9"/>
        <v>0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1152</v>
      </c>
      <c r="B292">
        <f>IFERROR(VLOOKUP(A292,管理亚马逊库存!A:K,11,0),"")</f>
        <v>2</v>
      </c>
      <c r="C292">
        <f>IFERROR(VLOOKUP(A292,管理亚马逊库存!A:L,12,0),"")</f>
        <v>0</v>
      </c>
      <c r="D292">
        <f>IFERROR(VLOOKUP(A292,管理亚马逊库存!A:Q,17,0),"")</f>
        <v>0</v>
      </c>
      <c r="E292">
        <f>IFERROR(VLOOKUP(A292,管理亚马逊库存!A:R,18,0),"")</f>
        <v>0</v>
      </c>
      <c r="F292">
        <f t="shared" si="9"/>
        <v>0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2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2</v>
      </c>
    </row>
    <row r="293" spans="1:14">
      <c r="A293" s="3" t="s">
        <v>1156</v>
      </c>
      <c r="B293">
        <f>IFERROR(VLOOKUP(A293,管理亚马逊库存!A:K,11,0),"")</f>
        <v>4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4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4</v>
      </c>
    </row>
    <row r="294" spans="1:14">
      <c r="A294" s="3" t="s">
        <v>1159</v>
      </c>
      <c r="B294">
        <f>IFERROR(VLOOKUP(A294,管理亚马逊库存!A:K,11,0),"")</f>
        <v>6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1162</v>
      </c>
      <c r="B295">
        <f>IFERROR(VLOOKUP(A295,管理亚马逊库存!A:K,11,0),"")</f>
        <v>2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2</v>
      </c>
      <c r="L295">
        <f>IFERROR(VLOOKUP(A295,库龄!B:M,11,0),0)</f>
        <v>0</v>
      </c>
      <c r="M295">
        <f>IFERROR(VLOOKUP(A295,库龄!B:N,12,0),0)</f>
        <v>0</v>
      </c>
      <c r="N295">
        <f t="shared" si="10"/>
        <v>2</v>
      </c>
    </row>
    <row r="296" spans="1:14">
      <c r="A296" s="3" t="s">
        <v>1166</v>
      </c>
      <c r="B296">
        <f>IFERROR(VLOOKUP(A296,管理亚马逊库存!A:K,11,0),"")</f>
        <v>10</v>
      </c>
      <c r="C296">
        <f>IFERROR(VLOOKUP(A296,管理亚马逊库存!A:L,12,0),"")</f>
        <v>0</v>
      </c>
      <c r="D296">
        <f>IFERROR(VLOOKUP(A296,管理亚马逊库存!A:Q,17,0),"")</f>
        <v>0</v>
      </c>
      <c r="E296">
        <f>IFERROR(VLOOKUP(A296,管理亚马逊库存!A:R,18,0),"")</f>
        <v>0</v>
      </c>
      <c r="F296">
        <f t="shared" si="9"/>
        <v>0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10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10</v>
      </c>
    </row>
    <row r="297" spans="1:14">
      <c r="A297" s="3" t="s">
        <v>1170</v>
      </c>
      <c r="B297">
        <f>IFERROR(VLOOKUP(A297,管理亚马逊库存!A:K,11,0),"")</f>
        <v>5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1173</v>
      </c>
      <c r="B298">
        <f>IFERROR(VLOOKUP(A298,管理亚马逊库存!A:K,11,0),"")</f>
        <v>8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1176</v>
      </c>
      <c r="B299">
        <f>IFERROR(VLOOKUP(A299,管理亚马逊库存!A:K,11,0),"")</f>
        <v>8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3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3</v>
      </c>
    </row>
    <row r="300" spans="1:14">
      <c r="A300" s="3" t="s">
        <v>1180</v>
      </c>
      <c r="B300">
        <f>IFERROR(VLOOKUP(A300,管理亚马逊库存!A:K,11,0),"")</f>
        <v>12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12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12</v>
      </c>
    </row>
    <row r="301" spans="1:14">
      <c r="A301" s="3" t="s">
        <v>1184</v>
      </c>
      <c r="B301">
        <f>IFERROR(VLOOKUP(A301,管理亚马逊库存!A:K,11,0),"")</f>
        <v>3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1</v>
      </c>
      <c r="K301">
        <f>IFERROR(VLOOKUP(A301,库龄!B:L,10,0),0)</f>
        <v>2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3</v>
      </c>
    </row>
    <row r="302" spans="1:14">
      <c r="A302" s="3" t="s">
        <v>1188</v>
      </c>
      <c r="B302">
        <f>IFERROR(VLOOKUP(A302,管理亚马逊库存!A:K,11,0),"")</f>
        <v>4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1191</v>
      </c>
      <c r="B303">
        <f>IFERROR(VLOOKUP(A303,管理亚马逊库存!A:K,11,0),"")</f>
        <v>6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1194</v>
      </c>
      <c r="B304">
        <f>IFERROR(VLOOKUP(A304,管理亚马逊库存!A:K,11,0),"")</f>
        <v>1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1197</v>
      </c>
      <c r="B305">
        <f>IFERROR(VLOOKUP(A305,管理亚马逊库存!A:K,11,0),"")</f>
        <v>17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1200</v>
      </c>
      <c r="B306">
        <f>IFERROR(VLOOKUP(A306,管理亚马逊库存!A:K,11,0),"")</f>
        <v>14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1204</v>
      </c>
      <c r="B307">
        <f>IFERROR(VLOOKUP(A307,管理亚马逊库存!A:K,11,0),"")</f>
        <v>9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1208</v>
      </c>
      <c r="B308">
        <f>IFERROR(VLOOKUP(A308,管理亚马逊库存!A:K,11,0),"")</f>
        <v>11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10</v>
      </c>
      <c r="F308">
        <f t="shared" si="9"/>
        <v>10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1212</v>
      </c>
      <c r="B309">
        <f>IFERROR(VLOOKUP(A309,管理亚马逊库存!A:K,11,0),"")</f>
        <v>1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1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1</v>
      </c>
    </row>
    <row r="310" spans="1:14">
      <c r="A310" s="3" t="s">
        <v>1216</v>
      </c>
      <c r="B310">
        <f>IFERROR(VLOOKUP(A310,管理亚马逊库存!A:K,11,0),"")</f>
        <v>5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1219</v>
      </c>
      <c r="B311">
        <f>IFERROR(VLOOKUP(A311,管理亚马逊库存!A:K,11,0),"")</f>
        <v>24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1223</v>
      </c>
      <c r="B312">
        <f>IFERROR(VLOOKUP(A312,管理亚马逊库存!A:K,11,0),"")</f>
        <v>17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1227</v>
      </c>
      <c r="B313">
        <f>IFERROR(VLOOKUP(A313,管理亚马逊库存!A:K,11,0),"")</f>
        <v>4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1231</v>
      </c>
      <c r="B314">
        <f>IFERROR(VLOOKUP(A314,管理亚马逊库存!A:K,11,0),"")</f>
        <v>6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1234</v>
      </c>
      <c r="B315">
        <f>IFERROR(VLOOKUP(A315,管理亚马逊库存!A:K,11,0),"")</f>
        <v>23</v>
      </c>
      <c r="C315">
        <f>IFERROR(VLOOKUP(A315,管理亚马逊库存!A:L,12,0),"")</f>
        <v>1</v>
      </c>
      <c r="D315">
        <f>IFERROR(VLOOKUP(A315,管理亚马逊库存!A:Q,17,0),"")</f>
        <v>5</v>
      </c>
      <c r="E315">
        <f>IFERROR(VLOOKUP(A315,管理亚马逊库存!A:R,18,0),"")</f>
        <v>0</v>
      </c>
      <c r="F315">
        <f t="shared" si="9"/>
        <v>5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1238</v>
      </c>
      <c r="B316">
        <f>IFERROR(VLOOKUP(A316,管理亚马逊库存!A:K,11,0),"")</f>
        <v>5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1241</v>
      </c>
      <c r="B317">
        <f>IFERROR(VLOOKUP(A317,管理亚马逊库存!A:K,11,0),"")</f>
        <v>6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1244</v>
      </c>
      <c r="B318">
        <f>IFERROR(VLOOKUP(A318,管理亚马逊库存!A:K,11,0),"")</f>
        <v>4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4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4</v>
      </c>
    </row>
    <row r="319" spans="1:14">
      <c r="A319" s="3" t="s">
        <v>1247</v>
      </c>
      <c r="B319">
        <f>IFERROR(VLOOKUP(A319,管理亚马逊库存!A:K,11,0),"")</f>
        <v>5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1250</v>
      </c>
      <c r="B320">
        <f>IFERROR(VLOOKUP(A320,管理亚马逊库存!A:K,11,0),"")</f>
        <v>12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12</v>
      </c>
      <c r="M320">
        <f>IFERROR(VLOOKUP(A320,库龄!B:N,12,0),0)</f>
        <v>0</v>
      </c>
      <c r="N320">
        <f t="shared" si="10"/>
        <v>12</v>
      </c>
    </row>
    <row r="321" spans="1:14">
      <c r="A321" s="3" t="s">
        <v>1254</v>
      </c>
      <c r="B321">
        <f>IFERROR(VLOOKUP(A321,管理亚马逊库存!A:K,11,0),"")</f>
        <v>5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1257</v>
      </c>
      <c r="B322">
        <f>IFERROR(VLOOKUP(A322,管理亚马逊库存!A:K,11,0),"")</f>
        <v>8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1260</v>
      </c>
      <c r="B323">
        <f>IFERROR(VLOOKUP(A323,管理亚马逊库存!A:K,11,0),"")</f>
        <v>3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1264</v>
      </c>
      <c r="B324">
        <f>IFERROR(VLOOKUP(A324,管理亚马逊库存!A:K,11,0),"")</f>
        <v>5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5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5</v>
      </c>
    </row>
    <row r="325" spans="1:14">
      <c r="A325" s="3" t="s">
        <v>1268</v>
      </c>
      <c r="B325">
        <f>IFERROR(VLOOKUP(A325,管理亚马逊库存!A:K,11,0),"")</f>
        <v>8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1271</v>
      </c>
      <c r="B326">
        <f>IFERROR(VLOOKUP(A326,管理亚马逊库存!A:K,11,0),"")</f>
        <v>32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1</v>
      </c>
      <c r="K326">
        <f>IFERROR(VLOOKUP(A326,库龄!B:L,10,0),0)</f>
        <v>31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32</v>
      </c>
    </row>
    <row r="327" spans="1:14">
      <c r="A327" s="3" t="s">
        <v>1275</v>
      </c>
      <c r="B327">
        <f>IFERROR(VLOOKUP(A327,管理亚马逊库存!A:K,11,0),"")</f>
        <v>2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2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2</v>
      </c>
    </row>
    <row r="328" spans="1:14">
      <c r="A328" s="3" t="s">
        <v>1279</v>
      </c>
      <c r="B328">
        <f>IFERROR(VLOOKUP(A328,管理亚马逊库存!A:K,11,0),"")</f>
        <v>3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1</v>
      </c>
      <c r="L328">
        <f>IFERROR(VLOOKUP(A328,库龄!B:M,11,0),0)</f>
        <v>2</v>
      </c>
      <c r="M328">
        <f>IFERROR(VLOOKUP(A328,库龄!B:N,12,0),0)</f>
        <v>0</v>
      </c>
      <c r="N328">
        <f t="shared" si="12"/>
        <v>3</v>
      </c>
    </row>
    <row r="329" spans="1:14">
      <c r="A329" s="3" t="s">
        <v>1282</v>
      </c>
      <c r="B329">
        <f>IFERROR(VLOOKUP(A329,管理亚马逊库存!A:K,11,0),"")</f>
        <v>5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1285</v>
      </c>
      <c r="B330">
        <f>IFERROR(VLOOKUP(A330,管理亚马逊库存!A:K,11,0),"")</f>
        <v>22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1288</v>
      </c>
      <c r="B331">
        <f>IFERROR(VLOOKUP(A331,管理亚马逊库存!A:K,11,0),"")</f>
        <v>4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4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4</v>
      </c>
    </row>
    <row r="332" spans="1:14">
      <c r="A332" s="3" t="s">
        <v>1291</v>
      </c>
      <c r="B332">
        <f>IFERROR(VLOOKUP(A332,管理亚马逊库存!A:K,11,0),"")</f>
        <v>8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7</v>
      </c>
      <c r="M332">
        <f>IFERROR(VLOOKUP(A332,库龄!B:N,12,0),0)</f>
        <v>0</v>
      </c>
      <c r="N332">
        <f t="shared" si="12"/>
        <v>7</v>
      </c>
    </row>
    <row r="333" spans="1:14">
      <c r="A333" s="3" t="s">
        <v>1295</v>
      </c>
      <c r="B333">
        <f>IFERROR(VLOOKUP(A333,管理亚马逊库存!A:K,11,0),"")</f>
        <v>4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4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4</v>
      </c>
    </row>
    <row r="334" spans="1:14">
      <c r="A334" s="3" t="s">
        <v>1298</v>
      </c>
      <c r="B334">
        <f>IFERROR(VLOOKUP(A334,管理亚马逊库存!A:K,11,0),"")</f>
        <v>8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1302</v>
      </c>
      <c r="B335">
        <f>IFERROR(VLOOKUP(A335,管理亚马逊库存!A:K,11,0),"")</f>
        <v>15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1306</v>
      </c>
      <c r="B336">
        <f>IFERROR(VLOOKUP(A336,管理亚马逊库存!A:K,11,0),"")</f>
        <v>4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4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4</v>
      </c>
    </row>
    <row r="337" spans="1:14">
      <c r="A337" s="3" t="s">
        <v>1309</v>
      </c>
      <c r="B337">
        <f>IFERROR(VLOOKUP(A337,管理亚马逊库存!A:K,11,0),"")</f>
        <v>8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8</v>
      </c>
      <c r="M337">
        <f>IFERROR(VLOOKUP(A337,库龄!B:N,12,0),0)</f>
        <v>0</v>
      </c>
      <c r="N337">
        <f t="shared" si="12"/>
        <v>8</v>
      </c>
    </row>
    <row r="338" spans="1:14">
      <c r="A338" s="3" t="s">
        <v>1313</v>
      </c>
      <c r="B338">
        <f>IFERROR(VLOOKUP(A338,管理亚马逊库存!A:K,11,0),"")</f>
        <v>7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1316</v>
      </c>
      <c r="B339">
        <f>IFERROR(VLOOKUP(A339,管理亚马逊库存!A:K,11,0),"")</f>
        <v>6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6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6</v>
      </c>
    </row>
    <row r="340" spans="1:14">
      <c r="A340" s="3" t="s">
        <v>1320</v>
      </c>
      <c r="B340">
        <f>IFERROR(VLOOKUP(A340,管理亚马逊库存!A:K,11,0),"")</f>
        <v>23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10</v>
      </c>
      <c r="K340">
        <f>IFERROR(VLOOKUP(A340,库龄!B:L,10,0),0)</f>
        <v>12</v>
      </c>
      <c r="L340">
        <f>IFERROR(VLOOKUP(A340,库龄!B:M,11,0),0)</f>
        <v>2</v>
      </c>
      <c r="M340">
        <f>IFERROR(VLOOKUP(A340,库龄!B:N,12,0),0)</f>
        <v>0</v>
      </c>
      <c r="N340">
        <f t="shared" si="12"/>
        <v>24</v>
      </c>
    </row>
    <row r="341" spans="1:14">
      <c r="A341" s="3" t="s">
        <v>1324</v>
      </c>
      <c r="B341">
        <f>IFERROR(VLOOKUP(A341,管理亚马逊库存!A:K,11,0),"")</f>
        <v>6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1328</v>
      </c>
      <c r="B342">
        <f>IFERROR(VLOOKUP(A342,管理亚马逊库存!A:K,11,0),"")</f>
        <v>3</v>
      </c>
      <c r="C342">
        <f>IFERROR(VLOOKUP(A342,管理亚马逊库存!A:L,12,0),"")</f>
        <v>0</v>
      </c>
      <c r="D342">
        <f>IFERROR(VLOOKUP(A342,管理亚马逊库存!A:Q,17,0),"")</f>
        <v>3</v>
      </c>
      <c r="E342">
        <f>IFERROR(VLOOKUP(A342,管理亚马逊库存!A:R,18,0),"")</f>
        <v>0</v>
      </c>
      <c r="F342">
        <f t="shared" si="11"/>
        <v>3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1331</v>
      </c>
      <c r="B343">
        <f>IFERROR(VLOOKUP(A343,管理亚马逊库存!A:K,11,0),"")</f>
        <v>19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1335</v>
      </c>
      <c r="B344">
        <f>IFERROR(VLOOKUP(A344,管理亚马逊库存!A:K,11,0),"")</f>
        <v>6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1338</v>
      </c>
      <c r="B345">
        <f>IFERROR(VLOOKUP(A345,管理亚马逊库存!A:K,11,0),"")</f>
        <v>4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1341</v>
      </c>
      <c r="B346">
        <f>IFERROR(VLOOKUP(A346,管理亚马逊库存!A:K,11,0),"")</f>
        <v>12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5</v>
      </c>
      <c r="L346">
        <f>IFERROR(VLOOKUP(A346,库龄!B:M,11,0),0)</f>
        <v>6</v>
      </c>
      <c r="M346">
        <f>IFERROR(VLOOKUP(A346,库龄!B:N,12,0),0)</f>
        <v>0</v>
      </c>
      <c r="N346">
        <f t="shared" si="12"/>
        <v>11</v>
      </c>
    </row>
    <row r="347" spans="1:14">
      <c r="A347" s="3" t="s">
        <v>1345</v>
      </c>
      <c r="B347">
        <f>IFERROR(VLOOKUP(A347,管理亚马逊库存!A:K,11,0),"")</f>
        <v>6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1349</v>
      </c>
      <c r="B348">
        <f>IFERROR(VLOOKUP(A348,管理亚马逊库存!A:K,11,0),"")</f>
        <v>8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8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8</v>
      </c>
    </row>
    <row r="349" spans="1:14">
      <c r="A349" s="3" t="s">
        <v>1353</v>
      </c>
      <c r="B349">
        <f>IFERROR(VLOOKUP(A349,管理亚马逊库存!A:K,11,0),"")</f>
        <v>76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1357</v>
      </c>
      <c r="B350">
        <f>IFERROR(VLOOKUP(A350,管理亚马逊库存!A:K,11,0),"")</f>
        <v>11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11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11</v>
      </c>
    </row>
    <row r="351" spans="1:14">
      <c r="A351" s="3" t="s">
        <v>1361</v>
      </c>
      <c r="B351">
        <f>IFERROR(VLOOKUP(A351,管理亚马逊库存!A:K,11,0),"")</f>
        <v>4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4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4</v>
      </c>
    </row>
    <row r="352" spans="1:14">
      <c r="A352" s="3" t="s">
        <v>1364</v>
      </c>
      <c r="B352">
        <f>IFERROR(VLOOKUP(A352,管理亚马逊库存!A:K,11,0),"")</f>
        <v>11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1368</v>
      </c>
      <c r="B353">
        <f>IFERROR(VLOOKUP(A353,管理亚马逊库存!A:K,11,0),"")</f>
        <v>4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4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4</v>
      </c>
    </row>
    <row r="354" spans="1:14">
      <c r="A354" s="3" t="s">
        <v>1371</v>
      </c>
      <c r="B354">
        <f>IFERROR(VLOOKUP(A354,管理亚马逊库存!A:K,11,0),"")</f>
        <v>46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1375</v>
      </c>
      <c r="B355">
        <f>IFERROR(VLOOKUP(A355,管理亚马逊库存!A:K,11,0),"")</f>
        <v>9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1</v>
      </c>
      <c r="M355">
        <f>IFERROR(VLOOKUP(A355,库龄!B:N,12,0),0)</f>
        <v>8</v>
      </c>
      <c r="N355">
        <f t="shared" si="12"/>
        <v>9</v>
      </c>
    </row>
    <row r="356" spans="1:14">
      <c r="A356" s="3" t="s">
        <v>1379</v>
      </c>
      <c r="B356">
        <f>IFERROR(VLOOKUP(A356,管理亚马逊库存!A:K,11,0),"")</f>
        <v>6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1382</v>
      </c>
      <c r="B357">
        <f>IFERROR(VLOOKUP(A357,管理亚马逊库存!A:K,11,0),"")</f>
        <v>6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1385</v>
      </c>
      <c r="B358">
        <f>IFERROR(VLOOKUP(A358,管理亚马逊库存!A:K,11,0),"")</f>
        <v>9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1389</v>
      </c>
      <c r="B359">
        <f>IFERROR(VLOOKUP(A359,管理亚马逊库存!A:K,11,0),"")</f>
        <v>5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1392</v>
      </c>
      <c r="B360">
        <f>IFERROR(VLOOKUP(A360,管理亚马逊库存!A:K,11,0),"")</f>
        <v>2</v>
      </c>
      <c r="C360">
        <f>IFERROR(VLOOKUP(A360,管理亚马逊库存!A:L,12,0),"")</f>
        <v>0</v>
      </c>
      <c r="D360">
        <f>IFERROR(VLOOKUP(A360,管理亚马逊库存!A:Q,17,0),"")</f>
        <v>5</v>
      </c>
      <c r="E360">
        <f>IFERROR(VLOOKUP(A360,管理亚马逊库存!A:R,18,0),"")</f>
        <v>0</v>
      </c>
      <c r="F360">
        <f t="shared" si="11"/>
        <v>5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2</v>
      </c>
      <c r="M360">
        <f>IFERROR(VLOOKUP(A360,库龄!B:N,12,0),0)</f>
        <v>0</v>
      </c>
      <c r="N360">
        <f t="shared" si="12"/>
        <v>2</v>
      </c>
    </row>
    <row r="361" spans="1:14">
      <c r="A361" s="3" t="s">
        <v>1395</v>
      </c>
      <c r="B361">
        <f>IFERROR(VLOOKUP(A361,管理亚马逊库存!A:K,11,0),"")</f>
        <v>2</v>
      </c>
      <c r="C361">
        <f>IFERROR(VLOOKUP(A361,管理亚马逊库存!A:L,12,0),"")</f>
        <v>0</v>
      </c>
      <c r="D361">
        <f>IFERROR(VLOOKUP(A361,管理亚马逊库存!A:Q,17,0),"")</f>
        <v>10</v>
      </c>
      <c r="E361">
        <f>IFERROR(VLOOKUP(A361,管理亚马逊库存!A:R,18,0),"")</f>
        <v>0</v>
      </c>
      <c r="F361">
        <f t="shared" si="11"/>
        <v>10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1398</v>
      </c>
      <c r="B362">
        <f>IFERROR(VLOOKUP(A362,管理亚马逊库存!A:K,11,0),"")</f>
        <v>5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5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5</v>
      </c>
    </row>
    <row r="363" spans="1:14">
      <c r="A363" s="3" t="s">
        <v>1402</v>
      </c>
      <c r="B363">
        <f>IFERROR(VLOOKUP(A363,管理亚马逊库存!A:K,11,0),"")</f>
        <v>13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1406</v>
      </c>
      <c r="B364">
        <f>IFERROR(VLOOKUP(A364,管理亚马逊库存!A:K,11,0),"")</f>
        <v>3</v>
      </c>
      <c r="C364">
        <f>IFERROR(VLOOKUP(A364,管理亚马逊库存!A:L,12,0),"")</f>
        <v>0</v>
      </c>
      <c r="D364">
        <f>IFERROR(VLOOKUP(A364,管理亚马逊库存!A:Q,17,0),"")</f>
        <v>8</v>
      </c>
      <c r="E364">
        <f>IFERROR(VLOOKUP(A364,管理亚马逊库存!A:R,18,0),"")</f>
        <v>0</v>
      </c>
      <c r="F364">
        <f t="shared" si="11"/>
        <v>8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1409</v>
      </c>
      <c r="B365">
        <f>IFERROR(VLOOKUP(A365,管理亚马逊库存!A:K,11,0),"")</f>
        <v>6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1412</v>
      </c>
      <c r="B366">
        <f>IFERROR(VLOOKUP(A366,管理亚马逊库存!A:K,11,0),"")</f>
        <v>6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1415</v>
      </c>
      <c r="B367">
        <f>IFERROR(VLOOKUP(A367,管理亚马逊库存!A:K,11,0),"")</f>
        <v>4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1419</v>
      </c>
      <c r="B368">
        <f>IFERROR(VLOOKUP(A368,管理亚马逊库存!A:K,11,0),"")</f>
        <v>12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4</v>
      </c>
      <c r="K368">
        <f>IFERROR(VLOOKUP(A368,库龄!B:L,10,0),0)</f>
        <v>1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5</v>
      </c>
    </row>
    <row r="369" spans="1:14">
      <c r="A369" s="3" t="s">
        <v>1423</v>
      </c>
      <c r="B369">
        <f>IFERROR(VLOOKUP(A369,管理亚马逊库存!A:K,11,0),"")</f>
        <v>15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1</v>
      </c>
      <c r="L369">
        <f>IFERROR(VLOOKUP(A369,库龄!B:M,11,0),0)</f>
        <v>14</v>
      </c>
      <c r="M369">
        <f>IFERROR(VLOOKUP(A369,库龄!B:N,12,0),0)</f>
        <v>0</v>
      </c>
      <c r="N369">
        <f t="shared" si="12"/>
        <v>15</v>
      </c>
    </row>
    <row r="370" spans="1:14">
      <c r="A370" s="3" t="s">
        <v>1427</v>
      </c>
      <c r="B370">
        <f>IFERROR(VLOOKUP(A370,管理亚马逊库存!A:K,11,0),"")</f>
        <v>6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6</v>
      </c>
      <c r="M370">
        <f>IFERROR(VLOOKUP(A370,库龄!B:N,12,0),0)</f>
        <v>0</v>
      </c>
      <c r="N370">
        <f t="shared" si="12"/>
        <v>6</v>
      </c>
    </row>
    <row r="371" spans="1:14">
      <c r="A371" s="3" t="s">
        <v>1430</v>
      </c>
      <c r="B371">
        <f>IFERROR(VLOOKUP(A371,管理亚马逊库存!A:K,11,0),"")</f>
        <v>6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6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6</v>
      </c>
    </row>
    <row r="372" spans="1:14">
      <c r="A372" s="3" t="s">
        <v>1434</v>
      </c>
      <c r="B372">
        <f>IFERROR(VLOOKUP(A372,管理亚马逊库存!A:K,11,0),"")</f>
        <v>13</v>
      </c>
      <c r="C372">
        <f>IFERROR(VLOOKUP(A372,管理亚马逊库存!A:L,12,0),"")</f>
        <v>2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2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2</v>
      </c>
    </row>
    <row r="373" spans="1:14">
      <c r="A373" s="3" t="s">
        <v>1438</v>
      </c>
      <c r="B373">
        <f>IFERROR(VLOOKUP(A373,管理亚马逊库存!A:K,11,0),"")</f>
        <v>16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10</v>
      </c>
      <c r="M373">
        <f>IFERROR(VLOOKUP(A373,库龄!B:N,12,0),0)</f>
        <v>5</v>
      </c>
      <c r="N373">
        <f t="shared" si="12"/>
        <v>15</v>
      </c>
    </row>
    <row r="374" spans="1:14">
      <c r="A374" s="3" t="s">
        <v>1442</v>
      </c>
      <c r="B374">
        <f>IFERROR(VLOOKUP(A374,管理亚马逊库存!A:K,11,0),"")</f>
        <v>13</v>
      </c>
      <c r="C374">
        <f>IFERROR(VLOOKUP(A374,管理亚马逊库存!A:L,12,0),"")</f>
        <v>1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1446</v>
      </c>
      <c r="B375">
        <f>IFERROR(VLOOKUP(A375,管理亚马逊库存!A:K,11,0),"")</f>
        <v>2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2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2</v>
      </c>
    </row>
    <row r="376" spans="1:14">
      <c r="A376" s="3" t="s">
        <v>1450</v>
      </c>
      <c r="B376">
        <f>IFERROR(VLOOKUP(A376,管理亚马逊库存!A:K,11,0),"")</f>
        <v>17</v>
      </c>
      <c r="C376">
        <f>IFERROR(VLOOKUP(A376,管理亚马逊库存!A:L,12,0),"")</f>
        <v>1</v>
      </c>
      <c r="D376">
        <f>IFERROR(VLOOKUP(A376,管理亚马逊库存!A:Q,17,0),"")</f>
        <v>10</v>
      </c>
      <c r="E376">
        <f>IFERROR(VLOOKUP(A376,管理亚马逊库存!A:R,18,0),"")</f>
        <v>0</v>
      </c>
      <c r="F376">
        <f t="shared" si="11"/>
        <v>10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2</v>
      </c>
      <c r="L376">
        <f>IFERROR(VLOOKUP(A376,库龄!B:M,11,0),0)</f>
        <v>15</v>
      </c>
      <c r="M376">
        <f>IFERROR(VLOOKUP(A376,库龄!B:N,12,0),0)</f>
        <v>0</v>
      </c>
      <c r="N376">
        <f t="shared" si="12"/>
        <v>17</v>
      </c>
    </row>
    <row r="377" spans="1:14">
      <c r="A377" s="3" t="s">
        <v>1454</v>
      </c>
      <c r="B377">
        <f>IFERROR(VLOOKUP(A377,管理亚马逊库存!A:K,11,0),"")</f>
        <v>3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1457</v>
      </c>
      <c r="B378">
        <f>IFERROR(VLOOKUP(A378,管理亚马逊库存!A:K,11,0),"")</f>
        <v>34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1461</v>
      </c>
      <c r="B379">
        <f>IFERROR(VLOOKUP(A379,管理亚马逊库存!A:K,11,0),"")</f>
        <v>4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4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4</v>
      </c>
    </row>
    <row r="380" spans="1:14">
      <c r="A380" s="3" t="s">
        <v>1464</v>
      </c>
      <c r="B380">
        <f>IFERROR(VLOOKUP(A380,管理亚马逊库存!A:K,11,0),"")</f>
        <v>13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1468</v>
      </c>
      <c r="B381">
        <f>IFERROR(VLOOKUP(A381,管理亚马逊库存!A:K,11,0),"")</f>
        <v>8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1472</v>
      </c>
      <c r="B382">
        <f>IFERROR(VLOOKUP(A382,管理亚马逊库存!A:K,11,0),"")</f>
        <v>2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2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2</v>
      </c>
    </row>
    <row r="383" spans="1:14">
      <c r="A383" s="3" t="s">
        <v>1476</v>
      </c>
      <c r="B383">
        <f>IFERROR(VLOOKUP(A383,管理亚马逊库存!A:K,11,0),"")</f>
        <v>13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1</v>
      </c>
      <c r="K383">
        <f>IFERROR(VLOOKUP(A383,库龄!B:L,10,0),0)</f>
        <v>10</v>
      </c>
      <c r="L383">
        <f>IFERROR(VLOOKUP(A383,库龄!B:M,11,0),0)</f>
        <v>2</v>
      </c>
      <c r="M383">
        <f>IFERROR(VLOOKUP(A383,库龄!B:N,12,0),0)</f>
        <v>0</v>
      </c>
      <c r="N383">
        <f t="shared" si="12"/>
        <v>13</v>
      </c>
    </row>
    <row r="384" spans="1:14">
      <c r="A384" s="3" t="s">
        <v>1479</v>
      </c>
      <c r="B384">
        <f>IFERROR(VLOOKUP(A384,管理亚马逊库存!A:K,11,0),"")</f>
        <v>39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1482</v>
      </c>
      <c r="B385">
        <f>IFERROR(VLOOKUP(A385,管理亚马逊库存!A:K,11,0),"")</f>
        <v>6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1485</v>
      </c>
      <c r="B386">
        <f>IFERROR(VLOOKUP(A386,管理亚马逊库存!A:K,11,0),"")</f>
        <v>16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1489</v>
      </c>
      <c r="B387">
        <f>IFERROR(VLOOKUP(A387,管理亚马逊库存!A:K,11,0),"")</f>
        <v>4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4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4</v>
      </c>
    </row>
    <row r="388" spans="1:14">
      <c r="A388" s="3" t="s">
        <v>1492</v>
      </c>
      <c r="B388">
        <f>IFERROR(VLOOKUP(A388,管理亚马逊库存!A:K,11,0),"")</f>
        <v>12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1496</v>
      </c>
      <c r="B389">
        <f>IFERROR(VLOOKUP(A389,管理亚马逊库存!A:K,11,0),"")</f>
        <v>1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1500</v>
      </c>
      <c r="B390">
        <f>IFERROR(VLOOKUP(A390,管理亚马逊库存!A:K,11,0),"")</f>
        <v>6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1503</v>
      </c>
      <c r="B391">
        <f>IFERROR(VLOOKUP(A391,管理亚马逊库存!A:K,11,0),"")</f>
        <v>11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4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4</v>
      </c>
    </row>
    <row r="392" spans="1:14">
      <c r="A392" s="3" t="s">
        <v>1507</v>
      </c>
      <c r="B392">
        <f>IFERROR(VLOOKUP(A392,管理亚马逊库存!A:K,11,0),"")</f>
        <v>10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10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10</v>
      </c>
    </row>
    <row r="393" spans="1:14">
      <c r="A393" s="3" t="s">
        <v>1510</v>
      </c>
      <c r="B393">
        <f>IFERROR(VLOOKUP(A393,管理亚马逊库存!A:K,11,0),"")</f>
        <v>4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4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4</v>
      </c>
    </row>
    <row r="394" spans="1:14">
      <c r="A394" s="3" t="s">
        <v>1513</v>
      </c>
      <c r="B394">
        <f>IFERROR(VLOOKUP(A394,管理亚马逊库存!A:K,11,0),"")</f>
        <v>3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1516</v>
      </c>
      <c r="B395">
        <f>IFERROR(VLOOKUP(A395,管理亚马逊库存!A:K,11,0),"")</f>
        <v>5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1519</v>
      </c>
      <c r="B396">
        <f>IFERROR(VLOOKUP(A396,管理亚马逊库存!A:K,11,0),"")</f>
        <v>21</v>
      </c>
      <c r="C396">
        <f>IFERROR(VLOOKUP(A396,管理亚马逊库存!A:L,12,0),"")</f>
        <v>1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21</v>
      </c>
      <c r="M396">
        <f>IFERROR(VLOOKUP(A396,库龄!B:N,12,0),0)</f>
        <v>0</v>
      </c>
      <c r="N396">
        <f t="shared" si="14"/>
        <v>21</v>
      </c>
    </row>
    <row r="397" spans="1:14">
      <c r="A397" s="3" t="s">
        <v>1523</v>
      </c>
      <c r="B397">
        <f>IFERROR(VLOOKUP(A397,管理亚马逊库存!A:K,11,0),"")</f>
        <v>2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1527</v>
      </c>
      <c r="B398">
        <f>IFERROR(VLOOKUP(A398,管理亚马逊库存!A:K,11,0),"")</f>
        <v>1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1530</v>
      </c>
      <c r="B399">
        <f>IFERROR(VLOOKUP(A399,管理亚马逊库存!A:K,11,0),"")</f>
        <v>7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7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7</v>
      </c>
    </row>
    <row r="400" spans="1:14">
      <c r="A400" s="3" t="s">
        <v>1534</v>
      </c>
      <c r="B400">
        <f>IFERROR(VLOOKUP(A400,管理亚马逊库存!A:K,11,0),"")</f>
        <v>13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1538</v>
      </c>
      <c r="B401">
        <f>IFERROR(VLOOKUP(A401,管理亚马逊库存!A:K,11,0),"")</f>
        <v>9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2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2</v>
      </c>
    </row>
    <row r="402" spans="1:14">
      <c r="A402" s="3" t="s">
        <v>1542</v>
      </c>
      <c r="B402">
        <f>IFERROR(VLOOKUP(A402,管理亚马逊库存!A:K,11,0),"")</f>
        <v>6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1545</v>
      </c>
      <c r="B403">
        <f>IFERROR(VLOOKUP(A403,管理亚马逊库存!A:K,11,0),"")</f>
        <v>7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7</v>
      </c>
      <c r="N403">
        <f t="shared" si="14"/>
        <v>7</v>
      </c>
    </row>
    <row r="404" spans="1:14">
      <c r="A404" s="3" t="s">
        <v>1549</v>
      </c>
      <c r="B404">
        <f>IFERROR(VLOOKUP(A404,管理亚马逊库存!A:K,11,0),"")</f>
        <v>23</v>
      </c>
      <c r="C404">
        <f>IFERROR(VLOOKUP(A404,管理亚马逊库存!A:L,12,0),"")</f>
        <v>0</v>
      </c>
      <c r="D404">
        <f>IFERROR(VLOOKUP(A404,管理亚马逊库存!A:Q,17,0),"")</f>
        <v>10</v>
      </c>
      <c r="E404">
        <f>IFERROR(VLOOKUP(A404,管理亚马逊库存!A:R,18,0),"")</f>
        <v>0</v>
      </c>
      <c r="F404">
        <f t="shared" si="13"/>
        <v>10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1553</v>
      </c>
      <c r="B405">
        <f>IFERROR(VLOOKUP(A405,管理亚马逊库存!A:K,11,0),"")</f>
        <v>15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1557</v>
      </c>
      <c r="B406">
        <f>IFERROR(VLOOKUP(A406,管理亚马逊库存!A:K,11,0),"")</f>
        <v>15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10</v>
      </c>
      <c r="M406">
        <f>IFERROR(VLOOKUP(A406,库龄!B:N,12,0),0)</f>
        <v>5</v>
      </c>
      <c r="N406">
        <f t="shared" si="14"/>
        <v>15</v>
      </c>
    </row>
    <row r="407" spans="1:14">
      <c r="A407" s="3" t="s">
        <v>1561</v>
      </c>
      <c r="B407">
        <f>IFERROR(VLOOKUP(A407,管理亚马逊库存!A:K,11,0),"")</f>
        <v>4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1565</v>
      </c>
      <c r="B408">
        <f>IFERROR(VLOOKUP(A408,管理亚马逊库存!A:K,11,0),"")</f>
        <v>22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1568</v>
      </c>
      <c r="B409">
        <f>IFERROR(VLOOKUP(A409,管理亚马逊库存!A:K,11,0),"")</f>
        <v>7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1572</v>
      </c>
      <c r="B410">
        <f>IFERROR(VLOOKUP(A410,管理亚马逊库存!A:K,11,0),"")</f>
        <v>3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1576</v>
      </c>
      <c r="B411">
        <f>IFERROR(VLOOKUP(A411,管理亚马逊库存!A:K,11,0),"")</f>
        <v>3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3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3</v>
      </c>
    </row>
    <row r="412" spans="1:14">
      <c r="A412" s="3" t="s">
        <v>1580</v>
      </c>
      <c r="B412">
        <f>IFERROR(VLOOKUP(A412,管理亚马逊库存!A:K,11,0),"")</f>
        <v>7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8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8</v>
      </c>
    </row>
    <row r="413" spans="1:14">
      <c r="A413" s="3" t="s">
        <v>1583</v>
      </c>
      <c r="B413">
        <f>IFERROR(VLOOKUP(A413,管理亚马逊库存!A:K,11,0),"")</f>
        <v>6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1586</v>
      </c>
      <c r="B414">
        <f>IFERROR(VLOOKUP(A414,管理亚马逊库存!A:K,11,0),"")</f>
        <v>15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1590</v>
      </c>
      <c r="B415">
        <f>IFERROR(VLOOKUP(A415,管理亚马逊库存!A:K,11,0),"")</f>
        <v>6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6</v>
      </c>
      <c r="N415">
        <f t="shared" si="14"/>
        <v>6</v>
      </c>
    </row>
    <row r="416" spans="1:14">
      <c r="A416" s="3" t="s">
        <v>1594</v>
      </c>
      <c r="B416">
        <f>IFERROR(VLOOKUP(A416,管理亚马逊库存!A:K,11,0),"")</f>
        <v>4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4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4</v>
      </c>
    </row>
    <row r="417" spans="1:14">
      <c r="A417" s="3" t="s">
        <v>1597</v>
      </c>
      <c r="B417">
        <f>IFERROR(VLOOKUP(A417,管理亚马逊库存!A:K,11,0),"")</f>
        <v>1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1</v>
      </c>
      <c r="M417">
        <f>IFERROR(VLOOKUP(A417,库龄!B:N,12,0),0)</f>
        <v>0</v>
      </c>
      <c r="N417">
        <f t="shared" si="14"/>
        <v>1</v>
      </c>
    </row>
    <row r="418" spans="1:14">
      <c r="A418" s="3" t="s">
        <v>1601</v>
      </c>
      <c r="B418">
        <f>IFERROR(VLOOKUP(A418,管理亚马逊库存!A:K,11,0),"")</f>
        <v>3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1604</v>
      </c>
      <c r="B419">
        <f>IFERROR(VLOOKUP(A419,管理亚马逊库存!A:K,11,0),"")</f>
        <v>5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1607</v>
      </c>
      <c r="B420">
        <f>IFERROR(VLOOKUP(A420,管理亚马逊库存!A:K,11,0),"")</f>
        <v>8</v>
      </c>
      <c r="C420">
        <f>IFERROR(VLOOKUP(A420,管理亚马逊库存!A:L,12,0),"")</f>
        <v>0</v>
      </c>
      <c r="D420">
        <f>IFERROR(VLOOKUP(A420,管理亚马逊库存!A:Q,17,0),"")</f>
        <v>7</v>
      </c>
      <c r="E420">
        <f>IFERROR(VLOOKUP(A420,管理亚马逊库存!A:R,18,0),"")</f>
        <v>0</v>
      </c>
      <c r="F420">
        <f t="shared" si="13"/>
        <v>7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8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8</v>
      </c>
    </row>
    <row r="421" spans="1:14">
      <c r="A421" s="3" t="s">
        <v>1611</v>
      </c>
      <c r="B421">
        <f>IFERROR(VLOOKUP(A421,管理亚马逊库存!A:K,11,0),"")</f>
        <v>6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1614</v>
      </c>
      <c r="B422">
        <f>IFERROR(VLOOKUP(A422,管理亚马逊库存!A:K,11,0),"")</f>
        <v>17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17</v>
      </c>
      <c r="M422">
        <f>IFERROR(VLOOKUP(A422,库龄!B:N,12,0),0)</f>
        <v>0</v>
      </c>
      <c r="N422">
        <f t="shared" si="14"/>
        <v>17</v>
      </c>
    </row>
    <row r="423" spans="1:14">
      <c r="A423" s="3" t="s">
        <v>1618</v>
      </c>
      <c r="B423">
        <f>IFERROR(VLOOKUP(A423,管理亚马逊库存!A:K,11,0),"")</f>
        <v>8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1622</v>
      </c>
      <c r="B424">
        <f>IFERROR(VLOOKUP(A424,管理亚马逊库存!A:K,11,0),"")</f>
        <v>6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1625</v>
      </c>
      <c r="B425">
        <f>IFERROR(VLOOKUP(A425,管理亚马逊库存!A:K,11,0),"")</f>
        <v>7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1629</v>
      </c>
      <c r="B426">
        <f>IFERROR(VLOOKUP(A426,管理亚马逊库存!A:K,11,0),"")</f>
        <v>5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5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5</v>
      </c>
    </row>
    <row r="427" spans="1:14">
      <c r="A427" s="3" t="s">
        <v>1633</v>
      </c>
      <c r="B427">
        <f>IFERROR(VLOOKUP(A427,管理亚马逊库存!A:K,11,0),"")</f>
        <v>2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2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2</v>
      </c>
    </row>
    <row r="428" spans="1:14">
      <c r="A428" s="3" t="s">
        <v>1637</v>
      </c>
      <c r="B428">
        <f>IFERROR(VLOOKUP(A428,管理亚马逊库存!A:K,11,0),"")</f>
        <v>6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1640</v>
      </c>
      <c r="B429">
        <f>IFERROR(VLOOKUP(A429,管理亚马逊库存!A:K,11,0),"")</f>
        <v>3</v>
      </c>
      <c r="C429">
        <f>IFERROR(VLOOKUP(A429,管理亚马逊库存!A:L,12,0),"")</f>
        <v>0</v>
      </c>
      <c r="D429">
        <f>IFERROR(VLOOKUP(A429,管理亚马逊库存!A:Q,17,0),"")</f>
        <v>3</v>
      </c>
      <c r="E429">
        <f>IFERROR(VLOOKUP(A429,管理亚马逊库存!A:R,18,0),"")</f>
        <v>0</v>
      </c>
      <c r="F429">
        <f t="shared" si="13"/>
        <v>3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1644</v>
      </c>
      <c r="B430">
        <f>IFERROR(VLOOKUP(A430,管理亚马逊库存!A:K,11,0),"")</f>
        <v>3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1648</v>
      </c>
      <c r="B431">
        <f>IFERROR(VLOOKUP(A431,管理亚马逊库存!A:K,11,0),"")</f>
        <v>7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1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1</v>
      </c>
    </row>
    <row r="432" spans="1:14">
      <c r="A432" s="3" t="s">
        <v>1652</v>
      </c>
      <c r="B432">
        <f>IFERROR(VLOOKUP(A432,管理亚马逊库存!A:K,11,0),"")</f>
        <v>23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1655</v>
      </c>
      <c r="B433">
        <f>IFERROR(VLOOKUP(A433,管理亚马逊库存!A:K,11,0),"")</f>
        <v>3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1658</v>
      </c>
      <c r="B434">
        <f>IFERROR(VLOOKUP(A434,管理亚马逊库存!A:K,11,0),"")</f>
        <v>18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18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18</v>
      </c>
    </row>
    <row r="435" spans="1:14">
      <c r="A435" s="3" t="s">
        <v>1662</v>
      </c>
      <c r="B435">
        <f>IFERROR(VLOOKUP(A435,管理亚马逊库存!A:K,11,0),"")</f>
        <v>6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1665</v>
      </c>
      <c r="B436">
        <f>IFERROR(VLOOKUP(A436,管理亚马逊库存!A:K,11,0),"")</f>
        <v>11</v>
      </c>
      <c r="C436">
        <f>IFERROR(VLOOKUP(A436,管理亚马逊库存!A:L,12,0),"")</f>
        <v>0</v>
      </c>
      <c r="D436">
        <f>IFERROR(VLOOKUP(A436,管理亚马逊库存!A:Q,17,0),"")</f>
        <v>3</v>
      </c>
      <c r="E436">
        <f>IFERROR(VLOOKUP(A436,管理亚马逊库存!A:R,18,0),"")</f>
        <v>0</v>
      </c>
      <c r="F436">
        <f t="shared" si="13"/>
        <v>3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1668</v>
      </c>
      <c r="B437">
        <f>IFERROR(VLOOKUP(A437,管理亚马逊库存!A:K,11,0),"")</f>
        <v>2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1671</v>
      </c>
      <c r="B438">
        <f>IFERROR(VLOOKUP(A438,管理亚马逊库存!A:K,11,0),"")</f>
        <v>9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1674</v>
      </c>
      <c r="B439">
        <f>IFERROR(VLOOKUP(A439,管理亚马逊库存!A:K,11,0),"")</f>
        <v>3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1</v>
      </c>
      <c r="K439">
        <f>IFERROR(VLOOKUP(A439,库龄!B:L,10,0),0)</f>
        <v>2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3</v>
      </c>
    </row>
    <row r="440" spans="1:14">
      <c r="A440" s="3" t="s">
        <v>1678</v>
      </c>
      <c r="B440">
        <f>IFERROR(VLOOKUP(A440,管理亚马逊库存!A:K,11,0),"")</f>
        <v>12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7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7</v>
      </c>
    </row>
    <row r="441" spans="1:14">
      <c r="A441" s="3" t="s">
        <v>1682</v>
      </c>
      <c r="B441">
        <f>IFERROR(VLOOKUP(A441,管理亚马逊库存!A:K,11,0),"")</f>
        <v>4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1686</v>
      </c>
      <c r="B442">
        <f>IFERROR(VLOOKUP(A442,管理亚马逊库存!A:K,11,0),"")</f>
        <v>1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1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1</v>
      </c>
    </row>
    <row r="443" spans="1:14">
      <c r="A443" s="3" t="s">
        <v>1690</v>
      </c>
      <c r="B443">
        <f>IFERROR(VLOOKUP(A443,管理亚马逊库存!A:K,11,0),"")</f>
        <v>3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1694</v>
      </c>
      <c r="B444">
        <f>IFERROR(VLOOKUP(A444,管理亚马逊库存!A:K,11,0),"")</f>
        <v>4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4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4</v>
      </c>
    </row>
    <row r="445" spans="1:14">
      <c r="A445" s="3" t="s">
        <v>1697</v>
      </c>
      <c r="B445">
        <f>IFERROR(VLOOKUP(A445,管理亚马逊库存!A:K,11,0),"")</f>
        <v>18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1700</v>
      </c>
      <c r="B446">
        <f>IFERROR(VLOOKUP(A446,管理亚马逊库存!A:K,11,0),"")</f>
        <v>35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4</v>
      </c>
      <c r="L446">
        <f>IFERROR(VLOOKUP(A446,库龄!B:M,11,0),0)</f>
        <v>31</v>
      </c>
      <c r="M446">
        <f>IFERROR(VLOOKUP(A446,库龄!B:N,12,0),0)</f>
        <v>0</v>
      </c>
      <c r="N446">
        <f t="shared" si="14"/>
        <v>35</v>
      </c>
    </row>
    <row r="447" spans="1:14">
      <c r="A447" s="3" t="s">
        <v>1703</v>
      </c>
      <c r="B447">
        <f>IFERROR(VLOOKUP(A447,管理亚马逊库存!A:K,11,0),"")</f>
        <v>12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1707</v>
      </c>
      <c r="B448">
        <f>IFERROR(VLOOKUP(A448,管理亚马逊库存!A:K,11,0),"")</f>
        <v>7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2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2</v>
      </c>
    </row>
    <row r="449" spans="1:14">
      <c r="A449" s="3" t="s">
        <v>1711</v>
      </c>
      <c r="B449">
        <f>IFERROR(VLOOKUP(A449,管理亚马逊库存!A:K,11,0),"")</f>
        <v>1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1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1</v>
      </c>
    </row>
    <row r="450" spans="1:14">
      <c r="A450" s="3" t="s">
        <v>1715</v>
      </c>
      <c r="B450">
        <f>IFERROR(VLOOKUP(A450,管理亚马逊库存!A:K,11,0),"")</f>
        <v>13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1719</v>
      </c>
      <c r="B451">
        <f>IFERROR(VLOOKUP(A451,管理亚马逊库存!A:K,11,0),"")</f>
        <v>10</v>
      </c>
      <c r="C451">
        <f>IFERROR(VLOOKUP(A451,管理亚马逊库存!A:L,12,0),"")</f>
        <v>1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1723</v>
      </c>
      <c r="B452">
        <f>IFERROR(VLOOKUP(A452,管理亚马逊库存!A:K,11,0),"")</f>
        <v>2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1726</v>
      </c>
      <c r="B453">
        <f>IFERROR(VLOOKUP(A453,管理亚马逊库存!A:K,11,0),"")</f>
        <v>4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1729</v>
      </c>
      <c r="B454">
        <f>IFERROR(VLOOKUP(A454,管理亚马逊库存!A:K,11,0),"")</f>
        <v>6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6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6</v>
      </c>
    </row>
    <row r="455" spans="1:14">
      <c r="A455" s="3" t="s">
        <v>1733</v>
      </c>
      <c r="B455">
        <f>IFERROR(VLOOKUP(A455,管理亚马逊库存!A:K,11,0),"")</f>
        <v>6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1736</v>
      </c>
      <c r="B456">
        <f>IFERROR(VLOOKUP(A456,管理亚马逊库存!A:K,11,0),"")</f>
        <v>8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8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8</v>
      </c>
    </row>
    <row r="457" spans="1:14">
      <c r="A457" s="3" t="s">
        <v>1740</v>
      </c>
      <c r="B457">
        <f>IFERROR(VLOOKUP(A457,管理亚马逊库存!A:K,11,0),"")</f>
        <v>5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3</v>
      </c>
      <c r="L457">
        <f>IFERROR(VLOOKUP(A457,库龄!B:M,11,0),0)</f>
        <v>2</v>
      </c>
      <c r="M457">
        <f>IFERROR(VLOOKUP(A457,库龄!B:N,12,0),0)</f>
        <v>0</v>
      </c>
      <c r="N457">
        <f t="shared" si="16"/>
        <v>5</v>
      </c>
    </row>
    <row r="458" spans="1:14">
      <c r="A458" s="3" t="s">
        <v>1744</v>
      </c>
      <c r="B458">
        <f>IFERROR(VLOOKUP(A458,管理亚马逊库存!A:K,11,0),"")</f>
        <v>8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1748</v>
      </c>
      <c r="B459">
        <f>IFERROR(VLOOKUP(A459,管理亚马逊库存!A:K,11,0),"")</f>
        <v>13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13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13</v>
      </c>
    </row>
    <row r="460" spans="1:14">
      <c r="A460" s="3" t="s">
        <v>1751</v>
      </c>
      <c r="B460">
        <f>IFERROR(VLOOKUP(A460,管理亚马逊库存!A:K,11,0),"")</f>
        <v>4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4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4</v>
      </c>
    </row>
    <row r="461" spans="1:14">
      <c r="A461" s="3" t="s">
        <v>1754</v>
      </c>
      <c r="B461">
        <f>IFERROR(VLOOKUP(A461,管理亚马逊库存!A:K,11,0),"")</f>
        <v>26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1758</v>
      </c>
      <c r="B462">
        <f>IFERROR(VLOOKUP(A462,管理亚马逊库存!A:K,11,0),"")</f>
        <v>4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4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4</v>
      </c>
    </row>
    <row r="463" spans="1:14">
      <c r="A463" s="3" t="s">
        <v>1761</v>
      </c>
      <c r="B463">
        <f>IFERROR(VLOOKUP(A463,管理亚马逊库存!A:K,11,0),"")</f>
        <v>19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12</v>
      </c>
      <c r="K463">
        <f>IFERROR(VLOOKUP(A463,库龄!B:L,10,0),0)</f>
        <v>6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18</v>
      </c>
    </row>
    <row r="464" spans="1:14">
      <c r="A464" s="3" t="s">
        <v>1765</v>
      </c>
      <c r="B464">
        <f>IFERROR(VLOOKUP(A464,管理亚马逊库存!A:K,11,0),"")</f>
        <v>6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1768</v>
      </c>
      <c r="B465">
        <f>IFERROR(VLOOKUP(A465,管理亚马逊库存!A:K,11,0),"")</f>
        <v>10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20</v>
      </c>
      <c r="F465">
        <f t="shared" si="15"/>
        <v>20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1772</v>
      </c>
      <c r="B466">
        <f>IFERROR(VLOOKUP(A466,管理亚马逊库存!A:K,11,0),"")</f>
        <v>10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1776</v>
      </c>
      <c r="B467">
        <f>IFERROR(VLOOKUP(A467,管理亚马逊库存!A:K,11,0),"")</f>
        <v>9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4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4</v>
      </c>
    </row>
    <row r="468" spans="1:14">
      <c r="A468" s="3" t="s">
        <v>1780</v>
      </c>
      <c r="B468">
        <f>IFERROR(VLOOKUP(A468,管理亚马逊库存!A:K,11,0),"")</f>
        <v>4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3</v>
      </c>
      <c r="M468">
        <f>IFERROR(VLOOKUP(A468,库龄!B:N,12,0),0)</f>
        <v>0</v>
      </c>
      <c r="N468">
        <f t="shared" si="16"/>
        <v>3</v>
      </c>
    </row>
    <row r="469" spans="1:14">
      <c r="A469" s="3" t="s">
        <v>1784</v>
      </c>
      <c r="B469">
        <f>IFERROR(VLOOKUP(A469,管理亚马逊库存!A:K,11,0),"")</f>
        <v>4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4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4</v>
      </c>
    </row>
    <row r="470" spans="1:14">
      <c r="A470" s="3" t="s">
        <v>1787</v>
      </c>
      <c r="B470">
        <f>IFERROR(VLOOKUP(A470,管理亚马逊库存!A:K,11,0),"")</f>
        <v>5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1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1</v>
      </c>
    </row>
    <row r="471" spans="1:14">
      <c r="A471" s="3" t="s">
        <v>1791</v>
      </c>
      <c r="B471">
        <f>IFERROR(VLOOKUP(A471,管理亚马逊库存!A:K,11,0),"")</f>
        <v>6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1794</v>
      </c>
      <c r="B472">
        <f>IFERROR(VLOOKUP(A472,管理亚马逊库存!A:K,11,0),"")</f>
        <v>5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1797</v>
      </c>
      <c r="B473">
        <f>IFERROR(VLOOKUP(A473,管理亚马逊库存!A:K,11,0),"")</f>
        <v>5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1801</v>
      </c>
      <c r="B474">
        <f>IFERROR(VLOOKUP(A474,管理亚马逊库存!A:K,11,0),"")</f>
        <v>5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1804</v>
      </c>
      <c r="B475">
        <f>IFERROR(VLOOKUP(A475,管理亚马逊库存!A:K,11,0),"")</f>
        <v>9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1808</v>
      </c>
      <c r="B476">
        <f>IFERROR(VLOOKUP(A476,管理亚马逊库存!A:K,11,0),"")</f>
        <v>12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3</v>
      </c>
      <c r="K476">
        <f>IFERROR(VLOOKUP(A476,库龄!B:L,10,0),0)</f>
        <v>7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10</v>
      </c>
    </row>
    <row r="477" spans="1:14">
      <c r="A477" s="3" t="s">
        <v>1812</v>
      </c>
      <c r="B477">
        <f>IFERROR(VLOOKUP(A477,管理亚马逊库存!A:K,11,0),"")</f>
        <v>4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4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4</v>
      </c>
    </row>
    <row r="478" spans="1:14">
      <c r="A478" s="3" t="s">
        <v>1815</v>
      </c>
      <c r="B478">
        <f>IFERROR(VLOOKUP(A478,管理亚马逊库存!A:K,11,0),"")</f>
        <v>44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1818</v>
      </c>
      <c r="B479">
        <f>IFERROR(VLOOKUP(A479,管理亚马逊库存!A:K,11,0),"")</f>
        <v>6</v>
      </c>
      <c r="C479">
        <f>IFERROR(VLOOKUP(A479,管理亚马逊库存!A:L,12,0),"")</f>
        <v>0</v>
      </c>
      <c r="D479">
        <f>IFERROR(VLOOKUP(A479,管理亚马逊库存!A:Q,17,0),"")</f>
        <v>10</v>
      </c>
      <c r="E479">
        <f>IFERROR(VLOOKUP(A479,管理亚马逊库存!A:R,18,0),"")</f>
        <v>0</v>
      </c>
      <c r="F479">
        <f t="shared" si="15"/>
        <v>10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1821</v>
      </c>
      <c r="B480">
        <f>IFERROR(VLOOKUP(A480,管理亚马逊库存!A:K,11,0),"")</f>
        <v>5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1</v>
      </c>
      <c r="F480">
        <f t="shared" si="15"/>
        <v>1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1824</v>
      </c>
      <c r="B481">
        <f>IFERROR(VLOOKUP(A481,管理亚马逊库存!A:K,11,0),"")</f>
        <v>5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1827</v>
      </c>
      <c r="B482">
        <f>IFERROR(VLOOKUP(A482,管理亚马逊库存!A:K,11,0),"")</f>
        <v>5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4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4</v>
      </c>
    </row>
    <row r="483" spans="1:14">
      <c r="A483" s="3" t="s">
        <v>1831</v>
      </c>
      <c r="B483">
        <f>IFERROR(VLOOKUP(A483,管理亚马逊库存!A:K,11,0),"")</f>
        <v>9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9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9</v>
      </c>
    </row>
    <row r="484" spans="1:14">
      <c r="A484" s="3" t="s">
        <v>1835</v>
      </c>
      <c r="B484">
        <f>IFERROR(VLOOKUP(A484,管理亚马逊库存!A:K,11,0),"")</f>
        <v>3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1839</v>
      </c>
      <c r="B485">
        <f>IFERROR(VLOOKUP(A485,管理亚马逊库存!A:K,11,0),"")</f>
        <v>41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2</v>
      </c>
      <c r="L485">
        <f>IFERROR(VLOOKUP(A485,库龄!B:M,11,0),0)</f>
        <v>38</v>
      </c>
      <c r="M485">
        <f>IFERROR(VLOOKUP(A485,库龄!B:N,12,0),0)</f>
        <v>0</v>
      </c>
      <c r="N485">
        <f t="shared" si="16"/>
        <v>40</v>
      </c>
    </row>
    <row r="486" spans="1:14">
      <c r="A486" s="3" t="s">
        <v>1843</v>
      </c>
      <c r="B486">
        <f>IFERROR(VLOOKUP(A486,管理亚马逊库存!A:K,11,0),"")</f>
        <v>26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26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26</v>
      </c>
    </row>
    <row r="487" spans="1:14">
      <c r="A487" s="3" t="s">
        <v>1847</v>
      </c>
      <c r="B487">
        <f>IFERROR(VLOOKUP(A487,管理亚马逊库存!A:K,11,0),"")</f>
        <v>7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1</v>
      </c>
      <c r="M487">
        <f>IFERROR(VLOOKUP(A487,库龄!B:N,12,0),0)</f>
        <v>6</v>
      </c>
      <c r="N487">
        <f t="shared" si="16"/>
        <v>7</v>
      </c>
    </row>
    <row r="488" spans="1:14">
      <c r="A488" s="3" t="s">
        <v>1851</v>
      </c>
      <c r="B488">
        <f>IFERROR(VLOOKUP(A488,管理亚马逊库存!A:K,11,0),"")</f>
        <v>5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5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5</v>
      </c>
    </row>
    <row r="489" spans="1:14">
      <c r="A489" s="3" t="s">
        <v>1855</v>
      </c>
      <c r="B489">
        <f>IFERROR(VLOOKUP(A489,管理亚马逊库存!A:K,11,0),"")</f>
        <v>1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1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1</v>
      </c>
    </row>
    <row r="490" spans="1:14">
      <c r="A490" s="3" t="s">
        <v>1859</v>
      </c>
      <c r="B490">
        <f>IFERROR(VLOOKUP(A490,管理亚马逊库存!A:K,11,0),"")</f>
        <v>6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6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6</v>
      </c>
    </row>
    <row r="491" spans="1:14">
      <c r="A491" s="3" t="s">
        <v>1863</v>
      </c>
      <c r="B491">
        <f>IFERROR(VLOOKUP(A491,管理亚马逊库存!A:K,11,0),"")</f>
        <v>8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3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3</v>
      </c>
    </row>
    <row r="492" spans="1:14">
      <c r="A492" s="3" t="s">
        <v>1867</v>
      </c>
      <c r="B492">
        <f>IFERROR(VLOOKUP(A492,管理亚马逊库存!A:K,11,0),"")</f>
        <v>5</v>
      </c>
      <c r="C492">
        <f>IFERROR(VLOOKUP(A492,管理亚马逊库存!A:L,12,0),"")</f>
        <v>1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1870</v>
      </c>
      <c r="B493">
        <f>IFERROR(VLOOKUP(A493,管理亚马逊库存!A:K,11,0),"")</f>
        <v>4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1</v>
      </c>
      <c r="K493">
        <f>IFERROR(VLOOKUP(A493,库龄!B:L,10,0),0)</f>
        <v>2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3</v>
      </c>
    </row>
    <row r="494" spans="1:14">
      <c r="A494" s="3" t="s">
        <v>1874</v>
      </c>
      <c r="B494">
        <f>IFERROR(VLOOKUP(A494,管理亚马逊库存!A:K,11,0),"")</f>
        <v>6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1877</v>
      </c>
      <c r="B495">
        <f>IFERROR(VLOOKUP(A495,管理亚马逊库存!A:K,11,0),"")</f>
        <v>7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1881</v>
      </c>
      <c r="B496">
        <f>IFERROR(VLOOKUP(A496,管理亚马逊库存!A:K,11,0),"")</f>
        <v>18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10</v>
      </c>
      <c r="M496">
        <f>IFERROR(VLOOKUP(A496,库龄!B:N,12,0),0)</f>
        <v>8</v>
      </c>
      <c r="N496">
        <f t="shared" si="16"/>
        <v>18</v>
      </c>
    </row>
    <row r="497" spans="1:14">
      <c r="A497" s="3" t="s">
        <v>1885</v>
      </c>
      <c r="B497">
        <f>IFERROR(VLOOKUP(A497,管理亚马逊库存!A:K,11,0),"")</f>
        <v>3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3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3</v>
      </c>
    </row>
    <row r="498" spans="1:14">
      <c r="A498" s="3" t="s">
        <v>1888</v>
      </c>
      <c r="B498">
        <f>IFERROR(VLOOKUP(A498,管理亚马逊库存!A:K,11,0),"")</f>
        <v>12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10</v>
      </c>
      <c r="L498">
        <f>IFERROR(VLOOKUP(A498,库龄!B:M,11,0),0)</f>
        <v>0</v>
      </c>
      <c r="M498">
        <f>IFERROR(VLOOKUP(A498,库龄!B:N,12,0),0)</f>
        <v>2</v>
      </c>
      <c r="N498">
        <f t="shared" si="16"/>
        <v>12</v>
      </c>
    </row>
    <row r="499" spans="1:14">
      <c r="A499" s="3" t="s">
        <v>1892</v>
      </c>
      <c r="B499">
        <f>IFERROR(VLOOKUP(A499,管理亚马逊库存!A:K,11,0),"")</f>
        <v>4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4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4</v>
      </c>
    </row>
    <row r="500" spans="1:14">
      <c r="A500" s="3" t="s">
        <v>1895</v>
      </c>
      <c r="B500">
        <f>IFERROR(VLOOKUP(A500,管理亚马逊库存!A:K,11,0),"")</f>
        <v>5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1899</v>
      </c>
      <c r="B501">
        <f>IFERROR(VLOOKUP(A501,管理亚马逊库存!A:K,11,0),"")</f>
        <v>4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4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4</v>
      </c>
    </row>
    <row r="502" spans="1:14">
      <c r="A502" s="3" t="s">
        <v>1903</v>
      </c>
      <c r="B502">
        <f>IFERROR(VLOOKUP(A502,管理亚马逊库存!A:K,11,0),"")</f>
        <v>16</v>
      </c>
      <c r="C502">
        <f>IFERROR(VLOOKUP(A502,管理亚马逊库存!A:L,12,0),"")</f>
        <v>0</v>
      </c>
      <c r="D502">
        <f>IFERROR(VLOOKUP(A502,管理亚马逊库存!A:Q,17,0),"")</f>
        <v>1</v>
      </c>
      <c r="E502">
        <f>IFERROR(VLOOKUP(A502,管理亚马逊库存!A:R,18,0),"")</f>
        <v>0</v>
      </c>
      <c r="F502">
        <f t="shared" si="15"/>
        <v>1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1907</v>
      </c>
      <c r="B503">
        <f>IFERROR(VLOOKUP(A503,管理亚马逊库存!A:K,11,0),"")</f>
        <v>9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1911</v>
      </c>
      <c r="B504">
        <f>IFERROR(VLOOKUP(A504,管理亚马逊库存!A:K,11,0),"")</f>
        <v>8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8</v>
      </c>
      <c r="M504">
        <f>IFERROR(VLOOKUP(A504,库龄!B:N,12,0),0)</f>
        <v>0</v>
      </c>
      <c r="N504">
        <f t="shared" si="16"/>
        <v>8</v>
      </c>
    </row>
    <row r="505" spans="1:14">
      <c r="A505" s="3" t="s">
        <v>1914</v>
      </c>
      <c r="B505">
        <f>IFERROR(VLOOKUP(A505,管理亚马逊库存!A:K,11,0),"")</f>
        <v>4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1918</v>
      </c>
      <c r="B506">
        <f>IFERROR(VLOOKUP(A506,管理亚马逊库存!A:K,11,0),"")</f>
        <v>5</v>
      </c>
      <c r="C506">
        <f>IFERROR(VLOOKUP(A506,管理亚马逊库存!A:L,12,0),"")</f>
        <v>0</v>
      </c>
      <c r="D506">
        <f>IFERROR(VLOOKUP(A506,管理亚马逊库存!A:Q,17,0),"")</f>
        <v>6</v>
      </c>
      <c r="E506">
        <f>IFERROR(VLOOKUP(A506,管理亚马逊库存!A:R,18,0),"")</f>
        <v>0</v>
      </c>
      <c r="F506">
        <f t="shared" si="15"/>
        <v>6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1922</v>
      </c>
      <c r="B507">
        <f>IFERROR(VLOOKUP(A507,管理亚马逊库存!A:K,11,0),"")</f>
        <v>15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15</v>
      </c>
      <c r="M507">
        <f>IFERROR(VLOOKUP(A507,库龄!B:N,12,0),0)</f>
        <v>0</v>
      </c>
      <c r="N507">
        <f t="shared" si="16"/>
        <v>15</v>
      </c>
    </row>
    <row r="508" spans="1:14">
      <c r="A508" s="3" t="s">
        <v>1926</v>
      </c>
      <c r="B508">
        <f>IFERROR(VLOOKUP(A508,管理亚马逊库存!A:K,11,0),"")</f>
        <v>1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1930</v>
      </c>
      <c r="B509">
        <f>IFERROR(VLOOKUP(A509,管理亚马逊库存!A:K,11,0),"")</f>
        <v>9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1933</v>
      </c>
      <c r="B510">
        <f>IFERROR(VLOOKUP(A510,管理亚马逊库存!A:K,11,0),"")</f>
        <v>1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1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1</v>
      </c>
    </row>
    <row r="511" spans="1:14">
      <c r="A511" s="3" t="s">
        <v>1937</v>
      </c>
      <c r="B511">
        <f>IFERROR(VLOOKUP(A511,管理亚马逊库存!A:K,11,0),"")</f>
        <v>3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3</v>
      </c>
      <c r="N511">
        <f t="shared" si="16"/>
        <v>3</v>
      </c>
    </row>
    <row r="512" spans="1:14">
      <c r="A512" s="3" t="s">
        <v>1940</v>
      </c>
      <c r="B512">
        <f>IFERROR(VLOOKUP(A512,管理亚马逊库存!A:K,11,0),"")</f>
        <v>6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6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6</v>
      </c>
    </row>
    <row r="513" spans="1:14">
      <c r="A513" s="3" t="s">
        <v>1944</v>
      </c>
      <c r="B513">
        <f>IFERROR(VLOOKUP(A513,管理亚马逊库存!A:K,11,0),"")</f>
        <v>3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1948</v>
      </c>
      <c r="B514">
        <f>IFERROR(VLOOKUP(A514,管理亚马逊库存!A:K,11,0),"")</f>
        <v>1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1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1</v>
      </c>
    </row>
    <row r="515" spans="1:14">
      <c r="A515" s="3" t="s">
        <v>1952</v>
      </c>
      <c r="B515">
        <f>IFERROR(VLOOKUP(A515,管理亚马逊库存!A:K,11,0),"")</f>
        <v>6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6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6</v>
      </c>
    </row>
    <row r="516" spans="1:14">
      <c r="A516" s="3" t="s">
        <v>1956</v>
      </c>
      <c r="B516">
        <f>IFERROR(VLOOKUP(A516,管理亚马逊库存!A:K,11,0),"")</f>
        <v>8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1</v>
      </c>
      <c r="M516">
        <f>IFERROR(VLOOKUP(A516,库龄!B:N,12,0),0)</f>
        <v>7</v>
      </c>
      <c r="N516">
        <f t="shared" si="18"/>
        <v>8</v>
      </c>
    </row>
    <row r="517" spans="1:14">
      <c r="A517" s="3" t="s">
        <v>1960</v>
      </c>
      <c r="B517">
        <f>IFERROR(VLOOKUP(A517,管理亚马逊库存!A:K,11,0),"")</f>
        <v>9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9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9</v>
      </c>
    </row>
    <row r="518" spans="1:14">
      <c r="A518" s="3" t="s">
        <v>1964</v>
      </c>
      <c r="B518">
        <f>IFERROR(VLOOKUP(A518,管理亚马逊库存!A:K,11,0),"")</f>
        <v>7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8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8</v>
      </c>
    </row>
    <row r="519" spans="1:14">
      <c r="A519" s="3" t="s">
        <v>1968</v>
      </c>
      <c r="B519">
        <f>IFERROR(VLOOKUP(A519,管理亚马逊库存!A:K,11,0),"")</f>
        <v>1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1972</v>
      </c>
      <c r="B520">
        <f>IFERROR(VLOOKUP(A520,管理亚马逊库存!A:K,11,0),"")</f>
        <v>6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1975</v>
      </c>
      <c r="B521">
        <f>IFERROR(VLOOKUP(A521,管理亚马逊库存!A:K,11,0),"")</f>
        <v>3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1978</v>
      </c>
      <c r="B522">
        <f>IFERROR(VLOOKUP(A522,管理亚马逊库存!A:K,11,0),"")</f>
        <v>14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12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12</v>
      </c>
    </row>
    <row r="523" spans="1:14">
      <c r="A523" s="3" t="s">
        <v>1982</v>
      </c>
      <c r="B523">
        <f>IFERROR(VLOOKUP(A523,管理亚马逊库存!A:K,11,0),"")</f>
        <v>3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1985</v>
      </c>
      <c r="B524">
        <f>IFERROR(VLOOKUP(A524,管理亚马逊库存!A:K,11,0),"")</f>
        <v>18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1989</v>
      </c>
      <c r="B525">
        <f>IFERROR(VLOOKUP(A525,管理亚马逊库存!A:K,11,0),"")</f>
        <v>20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1993</v>
      </c>
      <c r="B526">
        <f>IFERROR(VLOOKUP(A526,管理亚马逊库存!A:K,11,0),"")</f>
        <v>5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5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5</v>
      </c>
    </row>
    <row r="527" spans="1:14">
      <c r="A527" s="3" t="s">
        <v>1997</v>
      </c>
      <c r="B527">
        <f>IFERROR(VLOOKUP(A527,管理亚马逊库存!A:K,11,0),"")</f>
        <v>2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2000</v>
      </c>
      <c r="B528">
        <f>IFERROR(VLOOKUP(A528,管理亚马逊库存!A:K,11,0),"")</f>
        <v>5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1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1</v>
      </c>
    </row>
    <row r="529" spans="1:14">
      <c r="A529" s="3" t="s">
        <v>2004</v>
      </c>
      <c r="B529">
        <f>IFERROR(VLOOKUP(A529,管理亚马逊库存!A:K,11,0),"")</f>
        <v>5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5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5</v>
      </c>
    </row>
    <row r="530" spans="1:14">
      <c r="A530" s="3" t="s">
        <v>2007</v>
      </c>
      <c r="B530">
        <f>IFERROR(VLOOKUP(A530,管理亚马逊库存!A:K,11,0),"")</f>
        <v>13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11</v>
      </c>
      <c r="M530">
        <f>IFERROR(VLOOKUP(A530,库龄!B:N,12,0),0)</f>
        <v>2</v>
      </c>
      <c r="N530">
        <f t="shared" si="18"/>
        <v>13</v>
      </c>
    </row>
    <row r="531" spans="1:14">
      <c r="A531" s="3" t="s">
        <v>2011</v>
      </c>
      <c r="B531">
        <f>IFERROR(VLOOKUP(A531,管理亚马逊库存!A:K,11,0),"")</f>
        <v>23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1</v>
      </c>
      <c r="L531">
        <f>IFERROR(VLOOKUP(A531,库龄!B:M,11,0),0)</f>
        <v>21</v>
      </c>
      <c r="M531">
        <f>IFERROR(VLOOKUP(A531,库龄!B:N,12,0),0)</f>
        <v>0</v>
      </c>
      <c r="N531">
        <f t="shared" si="18"/>
        <v>22</v>
      </c>
    </row>
    <row r="532" spans="1:14">
      <c r="A532" s="3" t="s">
        <v>2015</v>
      </c>
      <c r="B532">
        <f>IFERROR(VLOOKUP(A532,管理亚马逊库存!A:K,11,0),"")</f>
        <v>4</v>
      </c>
      <c r="C532">
        <f>IFERROR(VLOOKUP(A532,管理亚马逊库存!A:L,12,0),"")</f>
        <v>0</v>
      </c>
      <c r="D532">
        <f>IFERROR(VLOOKUP(A532,管理亚马逊库存!A:Q,17,0),"")</f>
        <v>3</v>
      </c>
      <c r="E532">
        <f>IFERROR(VLOOKUP(A532,管理亚马逊库存!A:R,18,0),"")</f>
        <v>0</v>
      </c>
      <c r="F532">
        <f t="shared" si="17"/>
        <v>3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2018</v>
      </c>
      <c r="B533">
        <f>IFERROR(VLOOKUP(A533,管理亚马逊库存!A:K,11,0),"")</f>
        <v>5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2021</v>
      </c>
      <c r="B534">
        <f>IFERROR(VLOOKUP(A534,管理亚马逊库存!A:K,11,0),"")</f>
        <v>1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2025</v>
      </c>
      <c r="B535">
        <f>IFERROR(VLOOKUP(A535,管理亚马逊库存!A:K,11,0),"")</f>
        <v>6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2029</v>
      </c>
      <c r="B536">
        <f>IFERROR(VLOOKUP(A536,管理亚马逊库存!A:K,11,0),"")</f>
        <v>15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2032</v>
      </c>
      <c r="B537">
        <f>IFERROR(VLOOKUP(A537,管理亚马逊库存!A:K,11,0),"")</f>
        <v>5</v>
      </c>
      <c r="C537">
        <f>IFERROR(VLOOKUP(A537,管理亚马逊库存!A:L,12,0),"")</f>
        <v>1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5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5</v>
      </c>
    </row>
    <row r="538" spans="1:14">
      <c r="A538" s="3" t="s">
        <v>2036</v>
      </c>
      <c r="B538">
        <f>IFERROR(VLOOKUP(A538,管理亚马逊库存!A:K,11,0),"")</f>
        <v>10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2040</v>
      </c>
      <c r="B539">
        <f>IFERROR(VLOOKUP(A539,管理亚马逊库存!A:K,11,0),"")</f>
        <v>6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2043</v>
      </c>
      <c r="B540">
        <f>IFERROR(VLOOKUP(A540,管理亚马逊库存!A:K,11,0),"")</f>
        <v>7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2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2</v>
      </c>
    </row>
    <row r="541" spans="1:14">
      <c r="A541" s="3" t="s">
        <v>2047</v>
      </c>
      <c r="B541">
        <f>IFERROR(VLOOKUP(A541,管理亚马逊库存!A:K,11,0),"")</f>
        <v>59</v>
      </c>
      <c r="C541">
        <f>IFERROR(VLOOKUP(A541,管理亚马逊库存!A:L,12,0),"")</f>
        <v>0</v>
      </c>
      <c r="D541">
        <f>IFERROR(VLOOKUP(A541,管理亚马逊库存!A:Q,17,0),"")</f>
        <v>50</v>
      </c>
      <c r="E541">
        <f>IFERROR(VLOOKUP(A541,管理亚马逊库存!A:R,18,0),"")</f>
        <v>0</v>
      </c>
      <c r="F541">
        <f t="shared" si="17"/>
        <v>50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2051</v>
      </c>
      <c r="B542">
        <f>IFERROR(VLOOKUP(A542,管理亚马逊库存!A:K,11,0),"")</f>
        <v>6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2054</v>
      </c>
      <c r="B543">
        <f>IFERROR(VLOOKUP(A543,管理亚马逊库存!A:K,11,0),"")</f>
        <v>1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1</v>
      </c>
      <c r="N543">
        <f t="shared" si="18"/>
        <v>1</v>
      </c>
    </row>
    <row r="544" spans="1:14">
      <c r="A544" s="3" t="s">
        <v>2058</v>
      </c>
      <c r="B544">
        <f>IFERROR(VLOOKUP(A544,管理亚马逊库存!A:K,11,0),"")</f>
        <v>3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3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3</v>
      </c>
    </row>
    <row r="545" spans="1:14">
      <c r="A545" s="3" t="s">
        <v>2062</v>
      </c>
      <c r="B545">
        <f>IFERROR(VLOOKUP(A545,管理亚马逊库存!A:K,11,0),"")</f>
        <v>13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13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13</v>
      </c>
    </row>
    <row r="546" spans="1:14">
      <c r="A546" s="3" t="s">
        <v>2066</v>
      </c>
      <c r="B546">
        <f>IFERROR(VLOOKUP(A546,管理亚马逊库存!A:K,11,0),"")</f>
        <v>12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7</v>
      </c>
      <c r="M546">
        <f>IFERROR(VLOOKUP(A546,库龄!B:N,12,0),0)</f>
        <v>5</v>
      </c>
      <c r="N546">
        <f t="shared" si="18"/>
        <v>12</v>
      </c>
    </row>
    <row r="547" spans="1:14">
      <c r="A547" s="3" t="s">
        <v>2070</v>
      </c>
      <c r="B547">
        <f>IFERROR(VLOOKUP(A547,管理亚马逊库存!A:K,11,0),"")</f>
        <v>12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12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12</v>
      </c>
    </row>
    <row r="548" spans="1:14">
      <c r="A548" s="3" t="s">
        <v>2073</v>
      </c>
      <c r="B548">
        <f>IFERROR(VLOOKUP(A548,管理亚马逊库存!A:K,11,0),"")</f>
        <v>6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2076</v>
      </c>
      <c r="B549">
        <f>IFERROR(VLOOKUP(A549,管理亚马逊库存!A:K,11,0),"")</f>
        <v>1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1</v>
      </c>
      <c r="M549">
        <f>IFERROR(VLOOKUP(A549,库龄!B:N,12,0),0)</f>
        <v>0</v>
      </c>
      <c r="N549">
        <f t="shared" si="18"/>
        <v>1</v>
      </c>
    </row>
    <row r="550" spans="1:14">
      <c r="A550" s="3" t="s">
        <v>2080</v>
      </c>
      <c r="B550">
        <f>IFERROR(VLOOKUP(A550,管理亚马逊库存!A:K,11,0),"")</f>
        <v>23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2084</v>
      </c>
      <c r="B551">
        <f>IFERROR(VLOOKUP(A551,管理亚马逊库存!A:K,11,0),"")</f>
        <v>3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2087</v>
      </c>
      <c r="B552">
        <f>IFERROR(VLOOKUP(A552,管理亚马逊库存!A:K,11,0),"")</f>
        <v>3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2090</v>
      </c>
      <c r="B553">
        <f>IFERROR(VLOOKUP(A553,管理亚马逊库存!A:K,11,0),"")</f>
        <v>4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4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4</v>
      </c>
    </row>
    <row r="554" spans="1:14">
      <c r="A554" s="3" t="s">
        <v>2094</v>
      </c>
      <c r="B554">
        <f>IFERROR(VLOOKUP(A554,管理亚马逊库存!A:K,11,0),"")</f>
        <v>6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5</v>
      </c>
      <c r="K554">
        <f>IFERROR(VLOOKUP(A554,库龄!B:L,10,0),0)</f>
        <v>1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6</v>
      </c>
    </row>
    <row r="555" spans="1:14">
      <c r="A555" s="3" t="s">
        <v>2098</v>
      </c>
      <c r="B555">
        <f>IFERROR(VLOOKUP(A555,管理亚马逊库存!A:K,11,0),"")</f>
        <v>12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12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12</v>
      </c>
    </row>
    <row r="556" spans="1:14">
      <c r="A556" s="3" t="s">
        <v>2102</v>
      </c>
      <c r="B556">
        <f>IFERROR(VLOOKUP(A556,管理亚马逊库存!A:K,11,0),"")</f>
        <v>5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2105</v>
      </c>
      <c r="B557">
        <f>IFERROR(VLOOKUP(A557,管理亚马逊库存!A:K,11,0),"")</f>
        <v>6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2108</v>
      </c>
      <c r="B558">
        <f>IFERROR(VLOOKUP(A558,管理亚马逊库存!A:K,11,0),"")</f>
        <v>1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2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2</v>
      </c>
    </row>
    <row r="559" spans="1:14">
      <c r="A559" s="3" t="s">
        <v>2112</v>
      </c>
      <c r="B559">
        <f>IFERROR(VLOOKUP(A559,管理亚马逊库存!A:K,11,0),"")</f>
        <v>2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1</v>
      </c>
      <c r="K559">
        <f>IFERROR(VLOOKUP(A559,库龄!B:L,10,0),0)</f>
        <v>1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2</v>
      </c>
    </row>
    <row r="560" spans="1:14">
      <c r="A560" s="3" t="s">
        <v>2116</v>
      </c>
      <c r="B560">
        <f>IFERROR(VLOOKUP(A560,管理亚马逊库存!A:K,11,0),"")</f>
        <v>44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2120</v>
      </c>
      <c r="B561">
        <f>IFERROR(VLOOKUP(A561,管理亚马逊库存!A:K,11,0),"")</f>
        <v>11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1</v>
      </c>
      <c r="K561">
        <f>IFERROR(VLOOKUP(A561,库龄!B:L,10,0),0)</f>
        <v>0</v>
      </c>
      <c r="L561">
        <f>IFERROR(VLOOKUP(A561,库龄!B:M,11,0),0)</f>
        <v>7</v>
      </c>
      <c r="M561">
        <f>IFERROR(VLOOKUP(A561,库龄!B:N,12,0),0)</f>
        <v>3</v>
      </c>
      <c r="N561">
        <f t="shared" si="18"/>
        <v>11</v>
      </c>
    </row>
    <row r="562" spans="1:14">
      <c r="A562" s="3" t="s">
        <v>2124</v>
      </c>
      <c r="B562">
        <f>IFERROR(VLOOKUP(A562,管理亚马逊库存!A:K,11,0),"")</f>
        <v>25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25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25</v>
      </c>
    </row>
    <row r="563" spans="1:14">
      <c r="A563" s="3" t="s">
        <v>2127</v>
      </c>
      <c r="B563">
        <f>IFERROR(VLOOKUP(A563,管理亚马逊库存!A:K,11,0),"")</f>
        <v>6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6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6</v>
      </c>
    </row>
    <row r="564" spans="1:14">
      <c r="A564" s="3" t="s">
        <v>2131</v>
      </c>
      <c r="B564">
        <f>IFERROR(VLOOKUP(A564,管理亚马逊库存!A:K,11,0),"")</f>
        <v>4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4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4</v>
      </c>
    </row>
    <row r="565" spans="1:14">
      <c r="A565" s="3" t="s">
        <v>2134</v>
      </c>
      <c r="B565">
        <f>IFERROR(VLOOKUP(A565,管理亚马逊库存!A:K,11,0),"")</f>
        <v>6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6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6</v>
      </c>
    </row>
    <row r="566" spans="1:14">
      <c r="A566" s="3" t="s">
        <v>2138</v>
      </c>
      <c r="B566">
        <f>IFERROR(VLOOKUP(A566,管理亚马逊库存!A:K,11,0),"")</f>
        <v>1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2142</v>
      </c>
      <c r="B567">
        <f>IFERROR(VLOOKUP(A567,管理亚马逊库存!A:K,11,0),"")</f>
        <v>18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2146</v>
      </c>
      <c r="B568">
        <f>IFERROR(VLOOKUP(A568,管理亚马逊库存!A:K,11,0),"")</f>
        <v>9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8</v>
      </c>
      <c r="M568">
        <f>IFERROR(VLOOKUP(A568,库龄!B:N,12,0),0)</f>
        <v>1</v>
      </c>
      <c r="N568">
        <f t="shared" si="18"/>
        <v>9</v>
      </c>
    </row>
    <row r="569" spans="1:14">
      <c r="A569" s="3" t="s">
        <v>2150</v>
      </c>
      <c r="B569">
        <f>IFERROR(VLOOKUP(A569,管理亚马逊库存!A:K,11,0),"")</f>
        <v>3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2153</v>
      </c>
      <c r="B570">
        <f>IFERROR(VLOOKUP(A570,管理亚马逊库存!A:K,11,0),"")</f>
        <v>2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1</v>
      </c>
      <c r="K570">
        <f>IFERROR(VLOOKUP(A570,库龄!B:L,10,0),0)</f>
        <v>1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2</v>
      </c>
    </row>
    <row r="571" spans="1:14">
      <c r="A571" s="3" t="s">
        <v>2157</v>
      </c>
      <c r="B571">
        <f>IFERROR(VLOOKUP(A571,管理亚马逊库存!A:K,11,0),"")</f>
        <v>3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3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3</v>
      </c>
    </row>
    <row r="572" spans="1:14">
      <c r="A572" s="3" t="s">
        <v>2160</v>
      </c>
      <c r="B572">
        <f>IFERROR(VLOOKUP(A572,管理亚马逊库存!A:K,11,0),"")</f>
        <v>14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2163</v>
      </c>
      <c r="B573">
        <f>IFERROR(VLOOKUP(A573,管理亚马逊库存!A:K,11,0),"")</f>
        <v>1</v>
      </c>
      <c r="C573">
        <f>IFERROR(VLOOKUP(A573,管理亚马逊库存!A:L,12,0),"")</f>
        <v>0</v>
      </c>
      <c r="D573">
        <f>IFERROR(VLOOKUP(A573,管理亚马逊库存!A:Q,17,0),"")</f>
        <v>3</v>
      </c>
      <c r="E573">
        <f>IFERROR(VLOOKUP(A573,管理亚马逊库存!A:R,18,0),"")</f>
        <v>0</v>
      </c>
      <c r="F573">
        <f t="shared" si="17"/>
        <v>3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2166</v>
      </c>
      <c r="B574">
        <f>IFERROR(VLOOKUP(A574,管理亚马逊库存!A:K,11,0),"")</f>
        <v>4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2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2</v>
      </c>
    </row>
    <row r="575" spans="1:14">
      <c r="A575" s="3" t="s">
        <v>2170</v>
      </c>
      <c r="B575">
        <f>IFERROR(VLOOKUP(A575,管理亚马逊库存!A:K,11,0),"")</f>
        <v>5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5</v>
      </c>
      <c r="M575">
        <f>IFERROR(VLOOKUP(A575,库龄!B:N,12,0),0)</f>
        <v>0</v>
      </c>
      <c r="N575">
        <f t="shared" si="18"/>
        <v>5</v>
      </c>
    </row>
    <row r="576" spans="1:14">
      <c r="A576" s="3" t="s">
        <v>2173</v>
      </c>
      <c r="B576">
        <f>IFERROR(VLOOKUP(A576,管理亚马逊库存!A:K,11,0),"")</f>
        <v>13</v>
      </c>
      <c r="C576">
        <f>IFERROR(VLOOKUP(A576,管理亚马逊库存!A:L,12,0),"")</f>
        <v>0</v>
      </c>
      <c r="D576">
        <f>IFERROR(VLOOKUP(A576,管理亚马逊库存!A:Q,17,0),"")</f>
        <v>4</v>
      </c>
      <c r="E576">
        <f>IFERROR(VLOOKUP(A576,管理亚马逊库存!A:R,18,0),"")</f>
        <v>0</v>
      </c>
      <c r="F576">
        <f t="shared" si="17"/>
        <v>4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2176</v>
      </c>
      <c r="B577">
        <f>IFERROR(VLOOKUP(A577,管理亚马逊库存!A:K,11,0),"")</f>
        <v>4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4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4</v>
      </c>
    </row>
    <row r="578" spans="1:14">
      <c r="A578" s="3" t="s">
        <v>2179</v>
      </c>
      <c r="B578">
        <f>IFERROR(VLOOKUP(A578,管理亚马逊库存!A:K,11,0),"")</f>
        <v>2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2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2</v>
      </c>
    </row>
    <row r="579" spans="1:14">
      <c r="A579" s="3" t="s">
        <v>2183</v>
      </c>
      <c r="B579">
        <f>IFERROR(VLOOKUP(A579,管理亚马逊库存!A:K,11,0),"")</f>
        <v>40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2186</v>
      </c>
      <c r="B580">
        <f>IFERROR(VLOOKUP(A580,管理亚马逊库存!A:K,11,0),"")</f>
        <v>5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2190</v>
      </c>
      <c r="B581">
        <f>IFERROR(VLOOKUP(A581,管理亚马逊库存!A:K,11,0),"")</f>
        <v>7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2194</v>
      </c>
      <c r="B582">
        <f>IFERROR(VLOOKUP(A582,管理亚马逊库存!A:K,11,0),"")</f>
        <v>16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2198</v>
      </c>
      <c r="B583">
        <f>IFERROR(VLOOKUP(A583,管理亚马逊库存!A:K,11,0),"")</f>
        <v>5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2201</v>
      </c>
      <c r="B584">
        <f>IFERROR(VLOOKUP(A584,管理亚马逊库存!A:K,11,0),"")</f>
        <v>49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2204</v>
      </c>
      <c r="B585">
        <f>IFERROR(VLOOKUP(A585,管理亚马逊库存!A:K,11,0),"")</f>
        <v>12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2207</v>
      </c>
      <c r="B586">
        <f>IFERROR(VLOOKUP(A586,管理亚马逊库存!A:K,11,0),"")</f>
        <v>5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1</v>
      </c>
      <c r="F586">
        <f t="shared" si="19"/>
        <v>1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2210</v>
      </c>
      <c r="B587">
        <f>IFERROR(VLOOKUP(A587,管理亚马逊库存!A:K,11,0),"")</f>
        <v>6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2213</v>
      </c>
      <c r="B588">
        <f>IFERROR(VLOOKUP(A588,管理亚马逊库存!A:K,11,0),"")</f>
        <v>4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4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4</v>
      </c>
    </row>
    <row r="589" spans="1:14">
      <c r="A589" s="3" t="s">
        <v>2216</v>
      </c>
      <c r="B589">
        <f>IFERROR(VLOOKUP(A589,管理亚马逊库存!A:K,11,0),"")</f>
        <v>8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8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8</v>
      </c>
    </row>
    <row r="590" spans="1:14">
      <c r="A590" s="3" t="s">
        <v>2219</v>
      </c>
      <c r="B590">
        <f>IFERROR(VLOOKUP(A590,管理亚马逊库存!A:K,11,0),"")</f>
        <v>4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4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4</v>
      </c>
    </row>
    <row r="591" spans="1:14">
      <c r="A591" s="3" t="s">
        <v>2222</v>
      </c>
      <c r="B591">
        <f>IFERROR(VLOOKUP(A591,管理亚马逊库存!A:K,11,0),"")</f>
        <v>3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3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3</v>
      </c>
    </row>
    <row r="592" spans="1:14">
      <c r="A592" s="3" t="s">
        <v>2226</v>
      </c>
      <c r="B592">
        <f>IFERROR(VLOOKUP(A592,管理亚马逊库存!A:K,11,0),"")</f>
        <v>6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6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6</v>
      </c>
    </row>
    <row r="593" spans="1:14">
      <c r="A593" s="3" t="s">
        <v>2229</v>
      </c>
      <c r="B593">
        <f>IFERROR(VLOOKUP(A593,管理亚马逊库存!A:K,11,0),"")</f>
        <v>5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2232</v>
      </c>
      <c r="B594">
        <f>IFERROR(VLOOKUP(A594,管理亚马逊库存!A:K,11,0),"")</f>
        <v>7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7</v>
      </c>
      <c r="M594">
        <f>IFERROR(VLOOKUP(A594,库龄!B:N,12,0),0)</f>
        <v>0</v>
      </c>
      <c r="N594">
        <f t="shared" si="20"/>
        <v>7</v>
      </c>
    </row>
    <row r="595" spans="1:14">
      <c r="A595" s="3" t="s">
        <v>2236</v>
      </c>
      <c r="B595">
        <f>IFERROR(VLOOKUP(A595,管理亚马逊库存!A:K,11,0),"")</f>
        <v>2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2</v>
      </c>
      <c r="M595">
        <f>IFERROR(VLOOKUP(A595,库龄!B:N,12,0),0)</f>
        <v>0</v>
      </c>
      <c r="N595">
        <f t="shared" si="20"/>
        <v>2</v>
      </c>
    </row>
    <row r="596" spans="1:14">
      <c r="A596" s="3" t="s">
        <v>2240</v>
      </c>
      <c r="B596">
        <f>IFERROR(VLOOKUP(A596,管理亚马逊库存!A:K,11,0),"")</f>
        <v>10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1:14">
      <c r="A597" s="3" t="s">
        <v>2244</v>
      </c>
      <c r="B597">
        <f>IFERROR(VLOOKUP(A597,管理亚马逊库存!A:K,11,0),"")</f>
        <v>6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6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6</v>
      </c>
    </row>
    <row r="598" spans="1:14">
      <c r="A598" s="3" t="s">
        <v>2248</v>
      </c>
      <c r="B598">
        <f>IFERROR(VLOOKUP(A598,管理亚马逊库存!A:K,11,0),"")</f>
        <v>1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1</v>
      </c>
      <c r="M598">
        <f>IFERROR(VLOOKUP(A598,库龄!B:N,12,0),0)</f>
        <v>0</v>
      </c>
      <c r="N598">
        <f t="shared" si="20"/>
        <v>1</v>
      </c>
    </row>
    <row r="599" spans="1:14">
      <c r="A599" s="3" t="s">
        <v>2252</v>
      </c>
      <c r="B599">
        <f>IFERROR(VLOOKUP(A599,管理亚马逊库存!A:K,11,0),"")</f>
        <v>2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2</v>
      </c>
      <c r="N599">
        <f t="shared" si="20"/>
        <v>2</v>
      </c>
    </row>
    <row r="600" spans="1:14">
      <c r="A600" s="3" t="s">
        <v>2256</v>
      </c>
      <c r="B600">
        <f>IFERROR(VLOOKUP(A600,管理亚马逊库存!A:K,11,0),"")</f>
        <v>5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2259</v>
      </c>
      <c r="B601">
        <f>IFERROR(VLOOKUP(A601,管理亚马逊库存!A:K,11,0),"")</f>
        <v>6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2262</v>
      </c>
      <c r="B602">
        <f>IFERROR(VLOOKUP(A602,管理亚马逊库存!A:K,11,0),"")</f>
        <v>3</v>
      </c>
      <c r="C602">
        <f>IFERROR(VLOOKUP(A602,管理亚马逊库存!A:L,12,0),"")</f>
        <v>1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2266</v>
      </c>
      <c r="B603">
        <f>IFERROR(VLOOKUP(A603,管理亚马逊库存!A:K,11,0),"")</f>
        <v>3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3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3</v>
      </c>
    </row>
    <row r="604" spans="1:14">
      <c r="A604" s="3" t="s">
        <v>2270</v>
      </c>
      <c r="B604">
        <f>IFERROR(VLOOKUP(A604,管理亚马逊库存!A:K,11,0),"")</f>
        <v>15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15</v>
      </c>
      <c r="M604">
        <f>IFERROR(VLOOKUP(A604,库龄!B:N,12,0),0)</f>
        <v>0</v>
      </c>
      <c r="N604">
        <f t="shared" si="20"/>
        <v>15</v>
      </c>
    </row>
    <row r="605" spans="1:14">
      <c r="A605" s="3" t="s">
        <v>2273</v>
      </c>
      <c r="B605">
        <f>IFERROR(VLOOKUP(A605,管理亚马逊库存!A:K,11,0),"")</f>
        <v>1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2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2</v>
      </c>
    </row>
    <row r="606" spans="1:14">
      <c r="A606" s="3" t="s">
        <v>2277</v>
      </c>
      <c r="B606">
        <f>IFERROR(VLOOKUP(A606,管理亚马逊库存!A:K,11,0),"")</f>
        <v>5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2281</v>
      </c>
      <c r="B607">
        <f>IFERROR(VLOOKUP(A607,管理亚马逊库存!A:K,11,0),"")</f>
        <v>4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4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4</v>
      </c>
    </row>
    <row r="608" spans="1:14">
      <c r="A608" s="3" t="s">
        <v>2284</v>
      </c>
      <c r="B608">
        <f>IFERROR(VLOOKUP(A608,管理亚马逊库存!A:K,11,0),"")</f>
        <v>6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2287</v>
      </c>
      <c r="B609">
        <f>IFERROR(VLOOKUP(A609,管理亚马逊库存!A:K,11,0),"")</f>
        <v>3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3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3</v>
      </c>
    </row>
    <row r="610" spans="1:14">
      <c r="A610" s="3" t="s">
        <v>2291</v>
      </c>
      <c r="B610">
        <f>IFERROR(VLOOKUP(A610,管理亚马逊库存!A:K,11,0),"")</f>
        <v>1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2295</v>
      </c>
      <c r="B611">
        <f>IFERROR(VLOOKUP(A611,管理亚马逊库存!A:K,11,0),"")</f>
        <v>2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2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2</v>
      </c>
    </row>
    <row r="612" spans="1:14">
      <c r="A612" s="3" t="s">
        <v>2298</v>
      </c>
      <c r="B612">
        <f>IFERROR(VLOOKUP(A612,管理亚马逊库存!A:K,11,0),"")</f>
        <v>1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2301</v>
      </c>
      <c r="B613">
        <f>IFERROR(VLOOKUP(A613,管理亚马逊库存!A:K,11,0),"")</f>
        <v>3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2304</v>
      </c>
      <c r="B614">
        <f>IFERROR(VLOOKUP(A614,管理亚马逊库存!A:K,11,0),"")</f>
        <v>3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3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3</v>
      </c>
    </row>
    <row r="615" spans="1:14">
      <c r="A615" s="3" t="s">
        <v>2307</v>
      </c>
      <c r="B615">
        <f>IFERROR(VLOOKUP(A615,管理亚马逊库存!A:K,11,0),"")</f>
        <v>4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4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4</v>
      </c>
    </row>
    <row r="616" spans="1:14">
      <c r="A616" s="3" t="s">
        <v>2310</v>
      </c>
      <c r="B616">
        <f>IFERROR(VLOOKUP(A616,管理亚马逊库存!A:K,11,0),"")</f>
        <v>6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2313</v>
      </c>
      <c r="B617">
        <f>IFERROR(VLOOKUP(A617,管理亚马逊库存!A:K,11,0),"")</f>
        <v>17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2317</v>
      </c>
      <c r="B618">
        <f>IFERROR(VLOOKUP(A618,管理亚马逊库存!A:K,11,0),"")</f>
        <v>8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2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2</v>
      </c>
    </row>
    <row r="619" spans="1:14">
      <c r="A619" s="3" t="s">
        <v>2321</v>
      </c>
      <c r="B619">
        <f>IFERROR(VLOOKUP(A619,管理亚马逊库存!A:K,11,0),"")</f>
        <v>5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2325</v>
      </c>
      <c r="B620">
        <f>IFERROR(VLOOKUP(A620,管理亚马逊库存!A:K,11,0),"")</f>
        <v>3</v>
      </c>
      <c r="C620">
        <f>IFERROR(VLOOKUP(A620,管理亚马逊库存!A:L,12,0),"")</f>
        <v>0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2329</v>
      </c>
      <c r="B621">
        <f>IFERROR(VLOOKUP(A621,管理亚马逊库存!A:K,11,0),"")</f>
        <v>7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2333</v>
      </c>
      <c r="B622">
        <f>IFERROR(VLOOKUP(A622,管理亚马逊库存!A:K,11,0),"")</f>
        <v>4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2337</v>
      </c>
      <c r="B623">
        <f>IFERROR(VLOOKUP(A623,管理亚马逊库存!A:K,11,0),"")</f>
        <v>6</v>
      </c>
      <c r="C623">
        <f>IFERROR(VLOOKUP(A623,管理亚马逊库存!A:L,12,0),"")</f>
        <v>0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2340</v>
      </c>
      <c r="B624">
        <f>IFERROR(VLOOKUP(A624,管理亚马逊库存!A:K,11,0),"")</f>
        <v>21</v>
      </c>
      <c r="C624">
        <f>IFERROR(VLOOKUP(A624,管理亚马逊库存!A:L,12,0),"")</f>
        <v>1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1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1</v>
      </c>
    </row>
    <row r="625" spans="1:14">
      <c r="A625" s="3" t="s">
        <v>2344</v>
      </c>
      <c r="B625">
        <f>IFERROR(VLOOKUP(A625,管理亚马逊库存!A:K,11,0),"")</f>
        <v>6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6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6</v>
      </c>
    </row>
    <row r="626" spans="1:14">
      <c r="A626" s="3" t="s">
        <v>2347</v>
      </c>
      <c r="B626">
        <f>IFERROR(VLOOKUP(A626,管理亚马逊库存!A:K,11,0),"")</f>
        <v>4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4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4</v>
      </c>
    </row>
    <row r="627" spans="1:14">
      <c r="A627" s="3" t="s">
        <v>2350</v>
      </c>
      <c r="B627">
        <f>IFERROR(VLOOKUP(A627,管理亚马逊库存!A:K,11,0),"")</f>
        <v>3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1</v>
      </c>
      <c r="M627">
        <f>IFERROR(VLOOKUP(A627,库龄!B:N,12,0),0)</f>
        <v>2</v>
      </c>
      <c r="N627">
        <f t="shared" si="20"/>
        <v>3</v>
      </c>
    </row>
    <row r="628" spans="1:14">
      <c r="A628" s="3" t="s">
        <v>2354</v>
      </c>
      <c r="B628">
        <f>IFERROR(VLOOKUP(A628,管理亚马逊库存!A:K,11,0),"")</f>
        <v>5</v>
      </c>
      <c r="C628">
        <f>IFERROR(VLOOKUP(A628,管理亚马逊库存!A:L,12,0),"")</f>
        <v>0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2357</v>
      </c>
      <c r="B629">
        <f>IFERROR(VLOOKUP(A629,管理亚马逊库存!A:K,11,0),"")</f>
        <v>4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4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4</v>
      </c>
    </row>
    <row r="630" spans="1:14">
      <c r="A630" s="3" t="s">
        <v>2360</v>
      </c>
      <c r="B630">
        <f>IFERROR(VLOOKUP(A630,管理亚马逊库存!A:K,11,0),"")</f>
        <v>6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2363</v>
      </c>
      <c r="B631">
        <f>IFERROR(VLOOKUP(A631,管理亚马逊库存!A:K,11,0),"")</f>
        <v>13</v>
      </c>
      <c r="C631">
        <f>IFERROR(VLOOKUP(A631,管理亚马逊库存!A:L,12,0),"")</f>
        <v>1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2367</v>
      </c>
      <c r="B632">
        <f>IFERROR(VLOOKUP(A632,管理亚马逊库存!A:K,11,0),"")</f>
        <v>6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1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1</v>
      </c>
    </row>
    <row r="633" spans="1:14">
      <c r="A633" s="3" t="s">
        <v>2371</v>
      </c>
      <c r="B633">
        <f>IFERROR(VLOOKUP(A633,管理亚马逊库存!A:K,11,0),"")</f>
        <v>5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2375</v>
      </c>
      <c r="B634">
        <f>IFERROR(VLOOKUP(A634,管理亚马逊库存!A:K,11,0),"")</f>
        <v>1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1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1</v>
      </c>
    </row>
    <row r="635" spans="1:14">
      <c r="A635" s="3" t="s">
        <v>2379</v>
      </c>
      <c r="B635">
        <f>IFERROR(VLOOKUP(A635,管理亚马逊库存!A:K,11,0),"")</f>
        <v>29</v>
      </c>
      <c r="C635">
        <f>IFERROR(VLOOKUP(A635,管理亚马逊库存!A:L,12,0),"")</f>
        <v>1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2383</v>
      </c>
      <c r="B636">
        <f>IFERROR(VLOOKUP(A636,管理亚马逊库存!A:K,11,0),"")</f>
        <v>6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2386</v>
      </c>
      <c r="B637">
        <f>IFERROR(VLOOKUP(A637,管理亚马逊库存!A:K,11,0),"")</f>
        <v>5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2389</v>
      </c>
      <c r="B638">
        <f>IFERROR(VLOOKUP(A638,管理亚马逊库存!A:K,11,0),"")</f>
        <v>7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4</v>
      </c>
      <c r="K638">
        <f>IFERROR(VLOOKUP(A638,库龄!B:L,10,0),0)</f>
        <v>4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8</v>
      </c>
    </row>
    <row r="639" spans="1:14">
      <c r="A639" s="3" t="s">
        <v>2393</v>
      </c>
      <c r="B639">
        <f>IFERROR(VLOOKUP(A639,管理亚马逊库存!A:K,11,0),"")</f>
        <v>24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2397</v>
      </c>
      <c r="B640">
        <f>IFERROR(VLOOKUP(A640,管理亚马逊库存!A:K,11,0),"")</f>
        <v>25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1</v>
      </c>
      <c r="K640">
        <f>IFERROR(VLOOKUP(A640,库龄!B:L,10,0),0)</f>
        <v>0</v>
      </c>
      <c r="L640">
        <f>IFERROR(VLOOKUP(A640,库龄!B:M,11,0),0)</f>
        <v>24</v>
      </c>
      <c r="M640">
        <f>IFERROR(VLOOKUP(A640,库龄!B:N,12,0),0)</f>
        <v>0</v>
      </c>
      <c r="N640">
        <f t="shared" si="20"/>
        <v>25</v>
      </c>
    </row>
    <row r="641" spans="1:14">
      <c r="A641" s="3" t="s">
        <v>2401</v>
      </c>
      <c r="B641">
        <f>IFERROR(VLOOKUP(A641,管理亚马逊库存!A:K,11,0),"")</f>
        <v>1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2405</v>
      </c>
      <c r="B642">
        <f>IFERROR(VLOOKUP(A642,管理亚马逊库存!A:K,11,0),"")</f>
        <v>21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17</v>
      </c>
      <c r="M642">
        <f>IFERROR(VLOOKUP(A642,库龄!B:N,12,0),0)</f>
        <v>4</v>
      </c>
      <c r="N642">
        <f t="shared" si="20"/>
        <v>21</v>
      </c>
    </row>
    <row r="643" spans="1:14">
      <c r="A643" s="3" t="s">
        <v>2409</v>
      </c>
      <c r="B643">
        <f>IFERROR(VLOOKUP(A643,管理亚马逊库存!A:K,11,0),"")</f>
        <v>20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9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9</v>
      </c>
    </row>
    <row r="644" spans="1:14">
      <c r="A644" s="3" t="s">
        <v>2413</v>
      </c>
      <c r="B644">
        <f>IFERROR(VLOOKUP(A644,管理亚马逊库存!A:K,11,0),"")</f>
        <v>7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3</v>
      </c>
      <c r="M644">
        <f>IFERROR(VLOOKUP(A644,库龄!B:N,12,0),0)</f>
        <v>0</v>
      </c>
      <c r="N644">
        <f t="shared" si="22"/>
        <v>3</v>
      </c>
    </row>
    <row r="645" spans="1:14">
      <c r="A645" s="3" t="s">
        <v>2416</v>
      </c>
      <c r="B645">
        <f>IFERROR(VLOOKUP(A645,管理亚马逊库存!A:K,11,0),"")</f>
        <v>5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2419</v>
      </c>
      <c r="B646">
        <f>IFERROR(VLOOKUP(A646,管理亚马逊库存!A:K,11,0),"")</f>
        <v>4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4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4</v>
      </c>
    </row>
    <row r="647" spans="1:14">
      <c r="A647" s="3" t="s">
        <v>2423</v>
      </c>
      <c r="B647">
        <f>IFERROR(VLOOKUP(A647,管理亚马逊库存!A:K,11,0),"")</f>
        <v>6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2426</v>
      </c>
      <c r="B648">
        <f>IFERROR(VLOOKUP(A648,管理亚马逊库存!A:K,11,0),"")</f>
        <v>6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2429</v>
      </c>
      <c r="B649">
        <f>IFERROR(VLOOKUP(A649,管理亚马逊库存!A:K,11,0),"")</f>
        <v>23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22</v>
      </c>
      <c r="M649">
        <f>IFERROR(VLOOKUP(A649,库龄!B:N,12,0),0)</f>
        <v>0</v>
      </c>
      <c r="N649">
        <f t="shared" si="22"/>
        <v>22</v>
      </c>
    </row>
    <row r="650" spans="1:14">
      <c r="A650" s="3" t="s">
        <v>2433</v>
      </c>
      <c r="B650">
        <f>IFERROR(VLOOKUP(A650,管理亚马逊库存!A:K,11,0),"")</f>
        <v>4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2437</v>
      </c>
      <c r="B651">
        <f>IFERROR(VLOOKUP(A651,管理亚马逊库存!A:K,11,0),"")</f>
        <v>6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2456</v>
      </c>
      <c r="B652">
        <f>IFERROR(VLOOKUP(A652,管理亚马逊库存!A:K,11,0),"")</f>
        <v>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2460</v>
      </c>
      <c r="B653">
        <f>IFERROR(VLOOKUP(A653,管理亚马逊库存!A:K,11,0),"")</f>
        <v>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2464</v>
      </c>
      <c r="B654">
        <f>IFERROR(VLOOKUP(A654,管理亚马逊库存!A:K,11,0),"")</f>
        <v>0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2467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2470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2474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2478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2482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2486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2490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2494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2498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2502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2506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2508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2510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2512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2514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2516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2518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2522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2526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2529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2532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2535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2538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2541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2544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2547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2550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2554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2557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2560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2563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2566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2569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2572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2575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2578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2581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2584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2587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2590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2593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2596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2599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2603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2606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2609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2612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2615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2618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2621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2624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2628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2632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2635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2638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2641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2645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2649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2653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2658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2662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2666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2670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2674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2678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2682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2686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2690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2693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2697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2701</v>
      </c>
      <c r="B725">
        <f>IFERROR(VLOOKUP(A725,管理亚马逊库存!A:K,11,0),"")</f>
        <v>0</v>
      </c>
      <c r="C725">
        <f>IFERROR(VLOOKUP(A725,管理亚马逊库存!A:L,12,0),"")</f>
        <v>0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2704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2707</v>
      </c>
      <c r="B727">
        <f>IFERROR(VLOOKUP(A727,管理亚马逊库存!A:K,11,0),"")</f>
        <v>0</v>
      </c>
      <c r="C727">
        <f>IFERROR(VLOOKUP(A727,管理亚马逊库存!A:L,12,0),"")</f>
        <v>1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2710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2713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2716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2719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2722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2725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2728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2731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2734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2737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2740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2743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2746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2749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2752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2755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2758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2761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2764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2767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2770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2773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2776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2779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2782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2785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2788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2791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2794</v>
      </c>
      <c r="B756">
        <f>IFERROR(VLOOKUP(A756,管理亚马逊库存!A:K,11,0),"")</f>
        <v>0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2797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2800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2803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2807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2811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2814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2817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2821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2825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2828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2831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2834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2837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2840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2844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2846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2850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2854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2858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2862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2866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2869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2872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2875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2879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2883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2886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2890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2894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2898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2902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2906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2910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2914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2918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2922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2926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2930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2934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2938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2942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2946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2950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2954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2958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2962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2966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2970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2974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2978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2982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2986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2990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2994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2998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3001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3004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3008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3012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3016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3020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3024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3028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3033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3037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3041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3045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3049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3053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6</v>
      </c>
      <c r="E825">
        <f>IFERROR(VLOOKUP(A825,管理亚马逊库存!A:R,18,0),"")</f>
        <v>0</v>
      </c>
      <c r="F825">
        <f t="shared" si="25"/>
        <v>6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3056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6</v>
      </c>
      <c r="E826">
        <f>IFERROR(VLOOKUP(A826,管理亚马逊库存!A:R,18,0),"")</f>
        <v>0</v>
      </c>
      <c r="F826">
        <f t="shared" si="25"/>
        <v>6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3060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6</v>
      </c>
      <c r="E827">
        <f>IFERROR(VLOOKUP(A827,管理亚马逊库存!A:R,18,0),"")</f>
        <v>0</v>
      </c>
      <c r="F827">
        <f t="shared" si="25"/>
        <v>6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3064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6</v>
      </c>
      <c r="E828">
        <f>IFERROR(VLOOKUP(A828,管理亚马逊库存!A:R,18,0),"")</f>
        <v>0</v>
      </c>
      <c r="F828">
        <f t="shared" si="25"/>
        <v>6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3068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6</v>
      </c>
      <c r="E829">
        <f>IFERROR(VLOOKUP(A829,管理亚马逊库存!A:R,18,0),"")</f>
        <v>0</v>
      </c>
      <c r="F829">
        <f t="shared" si="25"/>
        <v>6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3071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6</v>
      </c>
      <c r="E830">
        <f>IFERROR(VLOOKUP(A830,管理亚马逊库存!A:R,18,0),"")</f>
        <v>0</v>
      </c>
      <c r="F830">
        <f t="shared" si="25"/>
        <v>6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3074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6</v>
      </c>
      <c r="E831">
        <f>IFERROR(VLOOKUP(A831,管理亚马逊库存!A:R,18,0),"")</f>
        <v>0</v>
      </c>
      <c r="F831">
        <f t="shared" si="25"/>
        <v>6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3078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6</v>
      </c>
      <c r="E832">
        <f>IFERROR(VLOOKUP(A832,管理亚马逊库存!A:R,18,0),"")</f>
        <v>0</v>
      </c>
      <c r="F832">
        <f t="shared" si="25"/>
        <v>6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3081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6</v>
      </c>
      <c r="E833">
        <f>IFERROR(VLOOKUP(A833,管理亚马逊库存!A:R,18,0),"")</f>
        <v>0</v>
      </c>
      <c r="F833">
        <f t="shared" si="25"/>
        <v>6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3084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3087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98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98" si="28">SUM(J835:M835)</f>
        <v>0</v>
      </c>
    </row>
    <row r="836" spans="1:14">
      <c r="A836" s="3" t="s">
        <v>3091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3095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3099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3103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3107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3111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3115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3118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3121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3124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3127</v>
      </c>
      <c r="B846">
        <f>IFERROR(VLOOKUP(A846,管理亚马逊库存!A:K,11,0),"")</f>
        <v>0</v>
      </c>
      <c r="C846">
        <f>IFERROR(VLOOKUP(A846,管理亚马逊库存!A:L,12,0),"")</f>
        <v>0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3130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3133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3136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3139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3142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3145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3149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3152</v>
      </c>
      <c r="B854">
        <f>IFERROR(VLOOKUP(A854,管理亚马逊库存!A:K,11,0),"")</f>
        <v>0</v>
      </c>
      <c r="C854">
        <f>IFERROR(VLOOKUP(A854,管理亚马逊库存!A:L,12,0),"")</f>
        <v>6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1:14">
      <c r="A855" s="3" t="s">
        <v>3155</v>
      </c>
      <c r="B855">
        <f>IFERROR(VLOOKUP(A855,管理亚马逊库存!A:K,11,0),"")</f>
        <v>0</v>
      </c>
      <c r="C855">
        <f>IFERROR(VLOOKUP(A855,管理亚马逊库存!A:L,12,0),"")</f>
        <v>5</v>
      </c>
      <c r="D855">
        <f>IFERROR(VLOOKUP(A855,管理亚马逊库存!A:Q,17,0),"")</f>
        <v>0</v>
      </c>
      <c r="E855">
        <f>IFERROR(VLOOKUP(A855,管理亚马逊库存!A:R,18,0),"")</f>
        <v>0</v>
      </c>
      <c r="F855">
        <f t="shared" si="27"/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 t="shared" si="28"/>
        <v>0</v>
      </c>
    </row>
    <row r="856" spans="1:14">
      <c r="A856" s="3" t="s">
        <v>3158</v>
      </c>
      <c r="B856">
        <f>IFERROR(VLOOKUP(A856,管理亚马逊库存!A:K,11,0),"")</f>
        <v>0</v>
      </c>
      <c r="C856">
        <f>IFERROR(VLOOKUP(A856,管理亚马逊库存!A:L,12,0),"")</f>
        <v>15</v>
      </c>
      <c r="D856">
        <f>IFERROR(VLOOKUP(A856,管理亚马逊库存!A:Q,17,0),"")</f>
        <v>0</v>
      </c>
      <c r="E856">
        <f>IFERROR(VLOOKUP(A856,管理亚马逊库存!A:R,18,0),"")</f>
        <v>0</v>
      </c>
      <c r="F856">
        <f t="shared" si="27"/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 t="shared" si="28"/>
        <v>0</v>
      </c>
    </row>
    <row r="857" spans="1:14">
      <c r="A857" s="3" t="s">
        <v>3161</v>
      </c>
      <c r="B857">
        <f>IFERROR(VLOOKUP(A857,管理亚马逊库存!A:K,11,0),"")</f>
        <v>0</v>
      </c>
      <c r="C857">
        <f>IFERROR(VLOOKUP(A857,管理亚马逊库存!A:L,12,0),"")</f>
        <v>14</v>
      </c>
      <c r="D857">
        <f>IFERROR(VLOOKUP(A857,管理亚马逊库存!A:Q,17,0),"")</f>
        <v>0</v>
      </c>
      <c r="E857">
        <f>IFERROR(VLOOKUP(A857,管理亚马逊库存!A:R,18,0),"")</f>
        <v>0</v>
      </c>
      <c r="F857">
        <f t="shared" si="27"/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 t="shared" si="28"/>
        <v>0</v>
      </c>
    </row>
    <row r="858" spans="1:14">
      <c r="A858" s="3" t="s">
        <v>3164</v>
      </c>
      <c r="B858">
        <f>IFERROR(VLOOKUP(A858,管理亚马逊库存!A:K,11,0),"")</f>
        <v>0</v>
      </c>
      <c r="C858">
        <f>IFERROR(VLOOKUP(A858,管理亚马逊库存!A:L,12,0),"")</f>
        <v>11</v>
      </c>
      <c r="D858">
        <f>IFERROR(VLOOKUP(A858,管理亚马逊库存!A:Q,17,0),"")</f>
        <v>0</v>
      </c>
      <c r="E858">
        <f>IFERROR(VLOOKUP(A858,管理亚马逊库存!A:R,18,0),"")</f>
        <v>0</v>
      </c>
      <c r="F858">
        <f t="shared" si="27"/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 t="shared" si="28"/>
        <v>0</v>
      </c>
    </row>
    <row r="859" spans="1:14">
      <c r="A859" s="3" t="s">
        <v>3167</v>
      </c>
      <c r="B859">
        <f>IFERROR(VLOOKUP(A859,管理亚马逊库存!A:K,11,0),"")</f>
        <v>0</v>
      </c>
      <c r="C859">
        <f>IFERROR(VLOOKUP(A859,管理亚马逊库存!A:L,12,0),"")</f>
        <v>0</v>
      </c>
      <c r="D859">
        <f>IFERROR(VLOOKUP(A859,管理亚马逊库存!A:Q,17,0),"")</f>
        <v>0</v>
      </c>
      <c r="E859">
        <f>IFERROR(VLOOKUP(A859,管理亚马逊库存!A:R,18,0),"")</f>
        <v>0</v>
      </c>
      <c r="F859">
        <f t="shared" si="27"/>
        <v>0</v>
      </c>
      <c r="G859">
        <f>IFERROR(VLOOKUP(A859,预留库存!A:G,7,0),0)</f>
        <v>0</v>
      </c>
      <c r="H859">
        <f>IFERROR(VLOOKUP(A859,预留库存!A:H,8,0),0)</f>
        <v>0</v>
      </c>
      <c r="I859">
        <f>IFERROR(VLOOKUP(A859,预留库存!A:F,6,0),0)</f>
        <v>0</v>
      </c>
      <c r="J859">
        <f>IFERROR(VLOOKUP(A859,库龄!B:K,9,0),0)</f>
        <v>0</v>
      </c>
      <c r="K859">
        <f>IFERROR(VLOOKUP(A859,库龄!B:L,10,0),0)</f>
        <v>0</v>
      </c>
      <c r="L859">
        <f>IFERROR(VLOOKUP(A859,库龄!B:M,11,0),0)</f>
        <v>0</v>
      </c>
      <c r="M859">
        <f>IFERROR(VLOOKUP(A859,库龄!B:N,12,0),0)</f>
        <v>0</v>
      </c>
      <c r="N859">
        <f t="shared" si="28"/>
        <v>0</v>
      </c>
    </row>
    <row r="860" spans="1:14">
      <c r="A860" s="3" t="s">
        <v>3171</v>
      </c>
      <c r="B860">
        <f>IFERROR(VLOOKUP(A860,管理亚马逊库存!A:K,11,0),"")</f>
        <v>0</v>
      </c>
      <c r="C860">
        <f>IFERROR(VLOOKUP(A860,管理亚马逊库存!A:L,12,0),"")</f>
        <v>0</v>
      </c>
      <c r="D860">
        <f>IFERROR(VLOOKUP(A860,管理亚马逊库存!A:Q,17,0),"")</f>
        <v>0</v>
      </c>
      <c r="E860">
        <f>IFERROR(VLOOKUP(A860,管理亚马逊库存!A:R,18,0),"")</f>
        <v>0</v>
      </c>
      <c r="F860">
        <f t="shared" si="27"/>
        <v>0</v>
      </c>
      <c r="G860">
        <f>IFERROR(VLOOKUP(A860,预留库存!A:G,7,0),0)</f>
        <v>0</v>
      </c>
      <c r="H860">
        <f>IFERROR(VLOOKUP(A860,预留库存!A:H,8,0),0)</f>
        <v>0</v>
      </c>
      <c r="I860">
        <f>IFERROR(VLOOKUP(A860,预留库存!A:F,6,0),0)</f>
        <v>0</v>
      </c>
      <c r="J860">
        <f>IFERROR(VLOOKUP(A860,库龄!B:K,9,0),0)</f>
        <v>0</v>
      </c>
      <c r="K860">
        <f>IFERROR(VLOOKUP(A860,库龄!B:L,10,0),0)</f>
        <v>0</v>
      </c>
      <c r="L860">
        <f>IFERROR(VLOOKUP(A860,库龄!B:M,11,0),0)</f>
        <v>0</v>
      </c>
      <c r="M860">
        <f>IFERROR(VLOOKUP(A860,库龄!B:N,12,0),0)</f>
        <v>0</v>
      </c>
      <c r="N860">
        <f t="shared" si="28"/>
        <v>0</v>
      </c>
    </row>
    <row r="861" spans="1:14">
      <c r="A861" s="3" t="s">
        <v>3175</v>
      </c>
      <c r="B861">
        <f>IFERROR(VLOOKUP(A861,管理亚马逊库存!A:K,11,0),"")</f>
        <v>0</v>
      </c>
      <c r="C861">
        <f>IFERROR(VLOOKUP(A861,管理亚马逊库存!A:L,12,0),"")</f>
        <v>0</v>
      </c>
      <c r="D861">
        <f>IFERROR(VLOOKUP(A861,管理亚马逊库存!A:Q,17,0),"")</f>
        <v>0</v>
      </c>
      <c r="E861">
        <f>IFERROR(VLOOKUP(A861,管理亚马逊库存!A:R,18,0),"")</f>
        <v>0</v>
      </c>
      <c r="F861">
        <f t="shared" si="27"/>
        <v>0</v>
      </c>
      <c r="G861">
        <f>IFERROR(VLOOKUP(A861,预留库存!A:G,7,0),0)</f>
        <v>0</v>
      </c>
      <c r="H861">
        <f>IFERROR(VLOOKUP(A861,预留库存!A:H,8,0),0)</f>
        <v>0</v>
      </c>
      <c r="I861">
        <f>IFERROR(VLOOKUP(A861,预留库存!A:F,6,0),0)</f>
        <v>0</v>
      </c>
      <c r="J861">
        <f>IFERROR(VLOOKUP(A861,库龄!B:K,9,0),0)</f>
        <v>0</v>
      </c>
      <c r="K861">
        <f>IFERROR(VLOOKUP(A861,库龄!B:L,10,0),0)</f>
        <v>0</v>
      </c>
      <c r="L861">
        <f>IFERROR(VLOOKUP(A861,库龄!B:M,11,0),0)</f>
        <v>0</v>
      </c>
      <c r="M861">
        <f>IFERROR(VLOOKUP(A861,库龄!B:N,12,0),0)</f>
        <v>0</v>
      </c>
      <c r="N861">
        <f t="shared" si="28"/>
        <v>0</v>
      </c>
    </row>
    <row r="862" spans="1:14">
      <c r="A862" s="3" t="s">
        <v>3179</v>
      </c>
      <c r="B862">
        <f>IFERROR(VLOOKUP(A862,管理亚马逊库存!A:K,11,0),"")</f>
        <v>0</v>
      </c>
      <c r="C862">
        <f>IFERROR(VLOOKUP(A862,管理亚马逊库存!A:L,12,0),"")</f>
        <v>0</v>
      </c>
      <c r="D862">
        <f>IFERROR(VLOOKUP(A862,管理亚马逊库存!A:Q,17,0),"")</f>
        <v>0</v>
      </c>
      <c r="E862">
        <f>IFERROR(VLOOKUP(A862,管理亚马逊库存!A:R,18,0),"")</f>
        <v>0</v>
      </c>
      <c r="F862">
        <f t="shared" si="27"/>
        <v>0</v>
      </c>
      <c r="G862">
        <f>IFERROR(VLOOKUP(A862,预留库存!A:G,7,0),0)</f>
        <v>0</v>
      </c>
      <c r="H862">
        <f>IFERROR(VLOOKUP(A862,预留库存!A:H,8,0),0)</f>
        <v>0</v>
      </c>
      <c r="I862">
        <f>IFERROR(VLOOKUP(A862,预留库存!A:F,6,0),0)</f>
        <v>0</v>
      </c>
      <c r="J862">
        <f>IFERROR(VLOOKUP(A862,库龄!B:K,9,0),0)</f>
        <v>0</v>
      </c>
      <c r="K862">
        <f>IFERROR(VLOOKUP(A862,库龄!B:L,10,0),0)</f>
        <v>0</v>
      </c>
      <c r="L862">
        <f>IFERROR(VLOOKUP(A862,库龄!B:M,11,0),0)</f>
        <v>0</v>
      </c>
      <c r="M862">
        <f>IFERROR(VLOOKUP(A862,库龄!B:N,12,0),0)</f>
        <v>0</v>
      </c>
      <c r="N862">
        <f t="shared" si="28"/>
        <v>0</v>
      </c>
    </row>
    <row r="863" spans="1:14">
      <c r="A863" s="3" t="s">
        <v>3183</v>
      </c>
      <c r="B863">
        <f>IFERROR(VLOOKUP(A863,管理亚马逊库存!A:K,11,0),"")</f>
        <v>0</v>
      </c>
      <c r="C863">
        <f>IFERROR(VLOOKUP(A863,管理亚马逊库存!A:L,12,0),"")</f>
        <v>0</v>
      </c>
      <c r="D863">
        <f>IFERROR(VLOOKUP(A863,管理亚马逊库存!A:Q,17,0),"")</f>
        <v>0</v>
      </c>
      <c r="E863">
        <f>IFERROR(VLOOKUP(A863,管理亚马逊库存!A:R,18,0),"")</f>
        <v>0</v>
      </c>
      <c r="F863">
        <f t="shared" si="27"/>
        <v>0</v>
      </c>
      <c r="G863">
        <f>IFERROR(VLOOKUP(A863,预留库存!A:G,7,0),0)</f>
        <v>0</v>
      </c>
      <c r="H863">
        <f>IFERROR(VLOOKUP(A863,预留库存!A:H,8,0),0)</f>
        <v>0</v>
      </c>
      <c r="I863">
        <f>IFERROR(VLOOKUP(A863,预留库存!A:F,6,0),0)</f>
        <v>0</v>
      </c>
      <c r="J863">
        <f>IFERROR(VLOOKUP(A863,库龄!B:K,9,0),0)</f>
        <v>0</v>
      </c>
      <c r="K863">
        <f>IFERROR(VLOOKUP(A863,库龄!B:L,10,0),0)</f>
        <v>0</v>
      </c>
      <c r="L863">
        <f>IFERROR(VLOOKUP(A863,库龄!B:M,11,0),0)</f>
        <v>0</v>
      </c>
      <c r="M863">
        <f>IFERROR(VLOOKUP(A863,库龄!B:N,12,0),0)</f>
        <v>0</v>
      </c>
      <c r="N863">
        <f t="shared" si="28"/>
        <v>0</v>
      </c>
    </row>
    <row r="864" spans="1:14">
      <c r="A864" s="3" t="s">
        <v>3187</v>
      </c>
      <c r="B864">
        <f>IFERROR(VLOOKUP(A864,管理亚马逊库存!A:K,11,0),"")</f>
        <v>0</v>
      </c>
      <c r="C864">
        <f>IFERROR(VLOOKUP(A864,管理亚马逊库存!A:L,12,0),"")</f>
        <v>0</v>
      </c>
      <c r="D864">
        <f>IFERROR(VLOOKUP(A864,管理亚马逊库存!A:Q,17,0),"")</f>
        <v>0</v>
      </c>
      <c r="E864">
        <f>IFERROR(VLOOKUP(A864,管理亚马逊库存!A:R,18,0),"")</f>
        <v>0</v>
      </c>
      <c r="F864">
        <f t="shared" si="27"/>
        <v>0</v>
      </c>
      <c r="G864">
        <f>IFERROR(VLOOKUP(A864,预留库存!A:G,7,0),0)</f>
        <v>0</v>
      </c>
      <c r="H864">
        <f>IFERROR(VLOOKUP(A864,预留库存!A:H,8,0),0)</f>
        <v>0</v>
      </c>
      <c r="I864">
        <f>IFERROR(VLOOKUP(A864,预留库存!A:F,6,0),0)</f>
        <v>0</v>
      </c>
      <c r="J864">
        <f>IFERROR(VLOOKUP(A864,库龄!B:K,9,0),0)</f>
        <v>0</v>
      </c>
      <c r="K864">
        <f>IFERROR(VLOOKUP(A864,库龄!B:L,10,0),0)</f>
        <v>0</v>
      </c>
      <c r="L864">
        <f>IFERROR(VLOOKUP(A864,库龄!B:M,11,0),0)</f>
        <v>0</v>
      </c>
      <c r="M864">
        <f>IFERROR(VLOOKUP(A864,库龄!B:N,12,0),0)</f>
        <v>0</v>
      </c>
      <c r="N864">
        <f t="shared" si="28"/>
        <v>0</v>
      </c>
    </row>
    <row r="865" spans="1:14">
      <c r="A865" s="3" t="s">
        <v>3190</v>
      </c>
      <c r="B865">
        <f>IFERROR(VLOOKUP(A865,管理亚马逊库存!A:K,11,0),"")</f>
        <v>0</v>
      </c>
      <c r="C865">
        <f>IFERROR(VLOOKUP(A865,管理亚马逊库存!A:L,12,0),"")</f>
        <v>0</v>
      </c>
      <c r="D865">
        <f>IFERROR(VLOOKUP(A865,管理亚马逊库存!A:Q,17,0),"")</f>
        <v>0</v>
      </c>
      <c r="E865">
        <f>IFERROR(VLOOKUP(A865,管理亚马逊库存!A:R,18,0),"")</f>
        <v>0</v>
      </c>
      <c r="F865">
        <f t="shared" si="27"/>
        <v>0</v>
      </c>
      <c r="G865">
        <f>IFERROR(VLOOKUP(A865,预留库存!A:G,7,0),0)</f>
        <v>0</v>
      </c>
      <c r="H865">
        <f>IFERROR(VLOOKUP(A865,预留库存!A:H,8,0),0)</f>
        <v>0</v>
      </c>
      <c r="I865">
        <f>IFERROR(VLOOKUP(A865,预留库存!A:F,6,0),0)</f>
        <v>0</v>
      </c>
      <c r="J865">
        <f>IFERROR(VLOOKUP(A865,库龄!B:K,9,0),0)</f>
        <v>0</v>
      </c>
      <c r="K865">
        <f>IFERROR(VLOOKUP(A865,库龄!B:L,10,0),0)</f>
        <v>0</v>
      </c>
      <c r="L865">
        <f>IFERROR(VLOOKUP(A865,库龄!B:M,11,0),0)</f>
        <v>0</v>
      </c>
      <c r="M865">
        <f>IFERROR(VLOOKUP(A865,库龄!B:N,12,0),0)</f>
        <v>0</v>
      </c>
      <c r="N865">
        <f t="shared" si="28"/>
        <v>0</v>
      </c>
    </row>
    <row r="866" spans="1:14">
      <c r="A866" s="3" t="s">
        <v>3193</v>
      </c>
      <c r="B866">
        <f>IFERROR(VLOOKUP(A866,管理亚马逊库存!A:K,11,0),"")</f>
        <v>0</v>
      </c>
      <c r="C866">
        <f>IFERROR(VLOOKUP(A866,管理亚马逊库存!A:L,12,0),"")</f>
        <v>0</v>
      </c>
      <c r="D866">
        <f>IFERROR(VLOOKUP(A866,管理亚马逊库存!A:Q,17,0),"")</f>
        <v>0</v>
      </c>
      <c r="E866">
        <f>IFERROR(VLOOKUP(A866,管理亚马逊库存!A:R,18,0),"")</f>
        <v>0</v>
      </c>
      <c r="F866">
        <f t="shared" si="27"/>
        <v>0</v>
      </c>
      <c r="G866">
        <f>IFERROR(VLOOKUP(A866,预留库存!A:G,7,0),0)</f>
        <v>0</v>
      </c>
      <c r="H866">
        <f>IFERROR(VLOOKUP(A866,预留库存!A:H,8,0),0)</f>
        <v>0</v>
      </c>
      <c r="I866">
        <f>IFERROR(VLOOKUP(A866,预留库存!A:F,6,0),0)</f>
        <v>0</v>
      </c>
      <c r="J866">
        <f>IFERROR(VLOOKUP(A866,库龄!B:K,9,0),0)</f>
        <v>0</v>
      </c>
      <c r="K866">
        <f>IFERROR(VLOOKUP(A866,库龄!B:L,10,0),0)</f>
        <v>0</v>
      </c>
      <c r="L866">
        <f>IFERROR(VLOOKUP(A866,库龄!B:M,11,0),0)</f>
        <v>0</v>
      </c>
      <c r="M866">
        <f>IFERROR(VLOOKUP(A866,库龄!B:N,12,0),0)</f>
        <v>0</v>
      </c>
      <c r="N866">
        <f t="shared" si="28"/>
        <v>0</v>
      </c>
    </row>
    <row r="867" spans="1:14">
      <c r="A867" s="3" t="s">
        <v>3196</v>
      </c>
      <c r="B867">
        <f>IFERROR(VLOOKUP(A867,管理亚马逊库存!A:K,11,0),"")</f>
        <v>0</v>
      </c>
      <c r="C867">
        <f>IFERROR(VLOOKUP(A867,管理亚马逊库存!A:L,12,0),"")</f>
        <v>0</v>
      </c>
      <c r="D867">
        <f>IFERROR(VLOOKUP(A867,管理亚马逊库存!A:Q,17,0),"")</f>
        <v>0</v>
      </c>
      <c r="E867">
        <f>IFERROR(VLOOKUP(A867,管理亚马逊库存!A:R,18,0),"")</f>
        <v>0</v>
      </c>
      <c r="F867">
        <f t="shared" si="27"/>
        <v>0</v>
      </c>
      <c r="G867">
        <f>IFERROR(VLOOKUP(A867,预留库存!A:G,7,0),0)</f>
        <v>0</v>
      </c>
      <c r="H867">
        <f>IFERROR(VLOOKUP(A867,预留库存!A:H,8,0),0)</f>
        <v>0</v>
      </c>
      <c r="I867">
        <f>IFERROR(VLOOKUP(A867,预留库存!A:F,6,0),0)</f>
        <v>0</v>
      </c>
      <c r="J867">
        <f>IFERROR(VLOOKUP(A867,库龄!B:K,9,0),0)</f>
        <v>0</v>
      </c>
      <c r="K867">
        <f>IFERROR(VLOOKUP(A867,库龄!B:L,10,0),0)</f>
        <v>0</v>
      </c>
      <c r="L867">
        <f>IFERROR(VLOOKUP(A867,库龄!B:M,11,0),0)</f>
        <v>0</v>
      </c>
      <c r="M867">
        <f>IFERROR(VLOOKUP(A867,库龄!B:N,12,0),0)</f>
        <v>0</v>
      </c>
      <c r="N867">
        <f t="shared" si="28"/>
        <v>0</v>
      </c>
    </row>
    <row r="868" spans="1:14">
      <c r="A868" s="3" t="s">
        <v>3199</v>
      </c>
      <c r="B868">
        <f>IFERROR(VLOOKUP(A868,管理亚马逊库存!A:K,11,0),"")</f>
        <v>0</v>
      </c>
      <c r="C868">
        <f>IFERROR(VLOOKUP(A868,管理亚马逊库存!A:L,12,0),"")</f>
        <v>0</v>
      </c>
      <c r="D868">
        <f>IFERROR(VLOOKUP(A868,管理亚马逊库存!A:Q,17,0),"")</f>
        <v>0</v>
      </c>
      <c r="E868">
        <f>IFERROR(VLOOKUP(A868,管理亚马逊库存!A:R,18,0),"")</f>
        <v>0</v>
      </c>
      <c r="F868">
        <f t="shared" si="27"/>
        <v>0</v>
      </c>
      <c r="G868">
        <f>IFERROR(VLOOKUP(A868,预留库存!A:G,7,0),0)</f>
        <v>0</v>
      </c>
      <c r="H868">
        <f>IFERROR(VLOOKUP(A868,预留库存!A:H,8,0),0)</f>
        <v>0</v>
      </c>
      <c r="I868">
        <f>IFERROR(VLOOKUP(A868,预留库存!A:F,6,0),0)</f>
        <v>0</v>
      </c>
      <c r="J868">
        <f>IFERROR(VLOOKUP(A868,库龄!B:K,9,0),0)</f>
        <v>0</v>
      </c>
      <c r="K868">
        <f>IFERROR(VLOOKUP(A868,库龄!B:L,10,0),0)</f>
        <v>0</v>
      </c>
      <c r="L868">
        <f>IFERROR(VLOOKUP(A868,库龄!B:M,11,0),0)</f>
        <v>0</v>
      </c>
      <c r="M868">
        <f>IFERROR(VLOOKUP(A868,库龄!B:N,12,0),0)</f>
        <v>0</v>
      </c>
      <c r="N868">
        <f t="shared" si="28"/>
        <v>0</v>
      </c>
    </row>
    <row r="869" spans="1:14">
      <c r="A869" s="3" t="s">
        <v>3202</v>
      </c>
      <c r="B869">
        <f>IFERROR(VLOOKUP(A869,管理亚马逊库存!A:K,11,0),"")</f>
        <v>0</v>
      </c>
      <c r="C869">
        <f>IFERROR(VLOOKUP(A869,管理亚马逊库存!A:L,12,0),"")</f>
        <v>0</v>
      </c>
      <c r="D869">
        <f>IFERROR(VLOOKUP(A869,管理亚马逊库存!A:Q,17,0),"")</f>
        <v>0</v>
      </c>
      <c r="E869">
        <f>IFERROR(VLOOKUP(A869,管理亚马逊库存!A:R,18,0),"")</f>
        <v>0</v>
      </c>
      <c r="F869">
        <f t="shared" si="27"/>
        <v>0</v>
      </c>
      <c r="G869">
        <f>IFERROR(VLOOKUP(A869,预留库存!A:G,7,0),0)</f>
        <v>0</v>
      </c>
      <c r="H869">
        <f>IFERROR(VLOOKUP(A869,预留库存!A:H,8,0),0)</f>
        <v>0</v>
      </c>
      <c r="I869">
        <f>IFERROR(VLOOKUP(A869,预留库存!A:F,6,0),0)</f>
        <v>0</v>
      </c>
      <c r="J869">
        <f>IFERROR(VLOOKUP(A869,库龄!B:K,9,0),0)</f>
        <v>0</v>
      </c>
      <c r="K869">
        <f>IFERROR(VLOOKUP(A869,库龄!B:L,10,0),0)</f>
        <v>0</v>
      </c>
      <c r="L869">
        <f>IFERROR(VLOOKUP(A869,库龄!B:M,11,0),0)</f>
        <v>0</v>
      </c>
      <c r="M869">
        <f>IFERROR(VLOOKUP(A869,库龄!B:N,12,0),0)</f>
        <v>0</v>
      </c>
      <c r="N869">
        <f t="shared" si="28"/>
        <v>0</v>
      </c>
    </row>
    <row r="870" spans="1:14">
      <c r="A870" s="3" t="s">
        <v>3205</v>
      </c>
      <c r="B870">
        <f>IFERROR(VLOOKUP(A870,管理亚马逊库存!A:K,11,0),"")</f>
        <v>0</v>
      </c>
      <c r="C870">
        <f>IFERROR(VLOOKUP(A870,管理亚马逊库存!A:L,12,0),"")</f>
        <v>0</v>
      </c>
      <c r="D870">
        <f>IFERROR(VLOOKUP(A870,管理亚马逊库存!A:Q,17,0),"")</f>
        <v>0</v>
      </c>
      <c r="E870">
        <f>IFERROR(VLOOKUP(A870,管理亚马逊库存!A:R,18,0),"")</f>
        <v>0</v>
      </c>
      <c r="F870">
        <f t="shared" si="27"/>
        <v>0</v>
      </c>
      <c r="G870">
        <f>IFERROR(VLOOKUP(A870,预留库存!A:G,7,0),0)</f>
        <v>0</v>
      </c>
      <c r="H870">
        <f>IFERROR(VLOOKUP(A870,预留库存!A:H,8,0),0)</f>
        <v>0</v>
      </c>
      <c r="I870">
        <f>IFERROR(VLOOKUP(A870,预留库存!A:F,6,0),0)</f>
        <v>0</v>
      </c>
      <c r="J870">
        <f>IFERROR(VLOOKUP(A870,库龄!B:K,9,0),0)</f>
        <v>0</v>
      </c>
      <c r="K870">
        <f>IFERROR(VLOOKUP(A870,库龄!B:L,10,0),0)</f>
        <v>0</v>
      </c>
      <c r="L870">
        <f>IFERROR(VLOOKUP(A870,库龄!B:M,11,0),0)</f>
        <v>0</v>
      </c>
      <c r="M870">
        <f>IFERROR(VLOOKUP(A870,库龄!B:N,12,0),0)</f>
        <v>0</v>
      </c>
      <c r="N870">
        <f t="shared" si="28"/>
        <v>0</v>
      </c>
    </row>
    <row r="871" spans="1:14">
      <c r="A871" s="3" t="s">
        <v>3208</v>
      </c>
      <c r="B871">
        <f>IFERROR(VLOOKUP(A871,管理亚马逊库存!A:K,11,0),"")</f>
        <v>0</v>
      </c>
      <c r="C871">
        <f>IFERROR(VLOOKUP(A871,管理亚马逊库存!A:L,12,0),"")</f>
        <v>0</v>
      </c>
      <c r="D871">
        <f>IFERROR(VLOOKUP(A871,管理亚马逊库存!A:Q,17,0),"")</f>
        <v>0</v>
      </c>
      <c r="E871">
        <f>IFERROR(VLOOKUP(A871,管理亚马逊库存!A:R,18,0),"")</f>
        <v>0</v>
      </c>
      <c r="F871">
        <f t="shared" si="27"/>
        <v>0</v>
      </c>
      <c r="G871">
        <f>IFERROR(VLOOKUP(A871,预留库存!A:G,7,0),0)</f>
        <v>0</v>
      </c>
      <c r="H871">
        <f>IFERROR(VLOOKUP(A871,预留库存!A:H,8,0),0)</f>
        <v>0</v>
      </c>
      <c r="I871">
        <f>IFERROR(VLOOKUP(A871,预留库存!A:F,6,0),0)</f>
        <v>0</v>
      </c>
      <c r="J871">
        <f>IFERROR(VLOOKUP(A871,库龄!B:K,9,0),0)</f>
        <v>0</v>
      </c>
      <c r="K871">
        <f>IFERROR(VLOOKUP(A871,库龄!B:L,10,0),0)</f>
        <v>0</v>
      </c>
      <c r="L871">
        <f>IFERROR(VLOOKUP(A871,库龄!B:M,11,0),0)</f>
        <v>0</v>
      </c>
      <c r="M871">
        <f>IFERROR(VLOOKUP(A871,库龄!B:N,12,0),0)</f>
        <v>0</v>
      </c>
      <c r="N871">
        <f t="shared" si="28"/>
        <v>0</v>
      </c>
    </row>
    <row r="872" spans="1:14">
      <c r="A872" s="3" t="s">
        <v>3211</v>
      </c>
      <c r="B872">
        <f>IFERROR(VLOOKUP(A872,管理亚马逊库存!A:K,11,0),"")</f>
        <v>0</v>
      </c>
      <c r="C872">
        <f>IFERROR(VLOOKUP(A872,管理亚马逊库存!A:L,12,0),"")</f>
        <v>0</v>
      </c>
      <c r="D872">
        <f>IFERROR(VLOOKUP(A872,管理亚马逊库存!A:Q,17,0),"")</f>
        <v>0</v>
      </c>
      <c r="E872">
        <f>IFERROR(VLOOKUP(A872,管理亚马逊库存!A:R,18,0),"")</f>
        <v>0</v>
      </c>
      <c r="F872">
        <f t="shared" si="27"/>
        <v>0</v>
      </c>
      <c r="G872">
        <f>IFERROR(VLOOKUP(A872,预留库存!A:G,7,0),0)</f>
        <v>0</v>
      </c>
      <c r="H872">
        <f>IFERROR(VLOOKUP(A872,预留库存!A:H,8,0),0)</f>
        <v>0</v>
      </c>
      <c r="I872">
        <f>IFERROR(VLOOKUP(A872,预留库存!A:F,6,0),0)</f>
        <v>0</v>
      </c>
      <c r="J872">
        <f>IFERROR(VLOOKUP(A872,库龄!B:K,9,0),0)</f>
        <v>0</v>
      </c>
      <c r="K872">
        <f>IFERROR(VLOOKUP(A872,库龄!B:L,10,0),0)</f>
        <v>0</v>
      </c>
      <c r="L872">
        <f>IFERROR(VLOOKUP(A872,库龄!B:M,11,0),0)</f>
        <v>0</v>
      </c>
      <c r="M872">
        <f>IFERROR(VLOOKUP(A872,库龄!B:N,12,0),0)</f>
        <v>0</v>
      </c>
      <c r="N872">
        <f t="shared" si="28"/>
        <v>0</v>
      </c>
    </row>
    <row r="873" spans="1:14">
      <c r="A873" s="3" t="s">
        <v>3214</v>
      </c>
      <c r="B873">
        <f>IFERROR(VLOOKUP(A873,管理亚马逊库存!A:K,11,0),"")</f>
        <v>0</v>
      </c>
      <c r="C873">
        <f>IFERROR(VLOOKUP(A873,管理亚马逊库存!A:L,12,0),"")</f>
        <v>0</v>
      </c>
      <c r="D873">
        <f>IFERROR(VLOOKUP(A873,管理亚马逊库存!A:Q,17,0),"")</f>
        <v>0</v>
      </c>
      <c r="E873">
        <f>IFERROR(VLOOKUP(A873,管理亚马逊库存!A:R,18,0),"")</f>
        <v>0</v>
      </c>
      <c r="F873">
        <f t="shared" si="27"/>
        <v>0</v>
      </c>
      <c r="G873">
        <f>IFERROR(VLOOKUP(A873,预留库存!A:G,7,0),0)</f>
        <v>0</v>
      </c>
      <c r="H873">
        <f>IFERROR(VLOOKUP(A873,预留库存!A:H,8,0),0)</f>
        <v>0</v>
      </c>
      <c r="I873">
        <f>IFERROR(VLOOKUP(A873,预留库存!A:F,6,0),0)</f>
        <v>0</v>
      </c>
      <c r="J873">
        <f>IFERROR(VLOOKUP(A873,库龄!B:K,9,0),0)</f>
        <v>0</v>
      </c>
      <c r="K873">
        <f>IFERROR(VLOOKUP(A873,库龄!B:L,10,0),0)</f>
        <v>0</v>
      </c>
      <c r="L873">
        <f>IFERROR(VLOOKUP(A873,库龄!B:M,11,0),0)</f>
        <v>0</v>
      </c>
      <c r="M873">
        <f>IFERROR(VLOOKUP(A873,库龄!B:N,12,0),0)</f>
        <v>0</v>
      </c>
      <c r="N873">
        <f t="shared" si="28"/>
        <v>0</v>
      </c>
    </row>
    <row r="874" spans="1:14">
      <c r="A874" s="3" t="s">
        <v>3217</v>
      </c>
      <c r="B874">
        <f>IFERROR(VLOOKUP(A874,管理亚马逊库存!A:K,11,0),"")</f>
        <v>0</v>
      </c>
      <c r="C874">
        <f>IFERROR(VLOOKUP(A874,管理亚马逊库存!A:L,12,0),"")</f>
        <v>0</v>
      </c>
      <c r="D874">
        <f>IFERROR(VLOOKUP(A874,管理亚马逊库存!A:Q,17,0),"")</f>
        <v>0</v>
      </c>
      <c r="E874">
        <f>IFERROR(VLOOKUP(A874,管理亚马逊库存!A:R,18,0),"")</f>
        <v>0</v>
      </c>
      <c r="F874">
        <f t="shared" si="27"/>
        <v>0</v>
      </c>
      <c r="G874">
        <f>IFERROR(VLOOKUP(A874,预留库存!A:G,7,0),0)</f>
        <v>0</v>
      </c>
      <c r="H874">
        <f>IFERROR(VLOOKUP(A874,预留库存!A:H,8,0),0)</f>
        <v>0</v>
      </c>
      <c r="I874">
        <f>IFERROR(VLOOKUP(A874,预留库存!A:F,6,0),0)</f>
        <v>0</v>
      </c>
      <c r="J874">
        <f>IFERROR(VLOOKUP(A874,库龄!B:K,9,0),0)</f>
        <v>0</v>
      </c>
      <c r="K874">
        <f>IFERROR(VLOOKUP(A874,库龄!B:L,10,0),0)</f>
        <v>0</v>
      </c>
      <c r="L874">
        <f>IFERROR(VLOOKUP(A874,库龄!B:M,11,0),0)</f>
        <v>0</v>
      </c>
      <c r="M874">
        <f>IFERROR(VLOOKUP(A874,库龄!B:N,12,0),0)</f>
        <v>0</v>
      </c>
      <c r="N874">
        <f t="shared" si="28"/>
        <v>0</v>
      </c>
    </row>
    <row r="875" spans="1:14">
      <c r="A875" s="3" t="s">
        <v>3221</v>
      </c>
      <c r="B875">
        <f>IFERROR(VLOOKUP(A875,管理亚马逊库存!A:K,11,0),"")</f>
        <v>0</v>
      </c>
      <c r="C875">
        <f>IFERROR(VLOOKUP(A875,管理亚马逊库存!A:L,12,0),"")</f>
        <v>0</v>
      </c>
      <c r="D875">
        <f>IFERROR(VLOOKUP(A875,管理亚马逊库存!A:Q,17,0),"")</f>
        <v>0</v>
      </c>
      <c r="E875">
        <f>IFERROR(VLOOKUP(A875,管理亚马逊库存!A:R,18,0),"")</f>
        <v>0</v>
      </c>
      <c r="F875">
        <f t="shared" si="27"/>
        <v>0</v>
      </c>
      <c r="G875">
        <f>IFERROR(VLOOKUP(A875,预留库存!A:G,7,0),0)</f>
        <v>0</v>
      </c>
      <c r="H875">
        <f>IFERROR(VLOOKUP(A875,预留库存!A:H,8,0),0)</f>
        <v>0</v>
      </c>
      <c r="I875">
        <f>IFERROR(VLOOKUP(A875,预留库存!A:F,6,0),0)</f>
        <v>0</v>
      </c>
      <c r="J875">
        <f>IFERROR(VLOOKUP(A875,库龄!B:K,9,0),0)</f>
        <v>0</v>
      </c>
      <c r="K875">
        <f>IFERROR(VLOOKUP(A875,库龄!B:L,10,0),0)</f>
        <v>0</v>
      </c>
      <c r="L875">
        <f>IFERROR(VLOOKUP(A875,库龄!B:M,11,0),0)</f>
        <v>0</v>
      </c>
      <c r="M875">
        <f>IFERROR(VLOOKUP(A875,库龄!B:N,12,0),0)</f>
        <v>0</v>
      </c>
      <c r="N875">
        <f t="shared" si="28"/>
        <v>0</v>
      </c>
    </row>
    <row r="876" spans="1:14">
      <c r="A876" s="3" t="s">
        <v>3224</v>
      </c>
      <c r="B876">
        <f>IFERROR(VLOOKUP(A876,管理亚马逊库存!A:K,11,0),"")</f>
        <v>0</v>
      </c>
      <c r="C876">
        <f>IFERROR(VLOOKUP(A876,管理亚马逊库存!A:L,12,0),"")</f>
        <v>0</v>
      </c>
      <c r="D876">
        <f>IFERROR(VLOOKUP(A876,管理亚马逊库存!A:Q,17,0),"")</f>
        <v>0</v>
      </c>
      <c r="E876">
        <f>IFERROR(VLOOKUP(A876,管理亚马逊库存!A:R,18,0),"")</f>
        <v>0</v>
      </c>
      <c r="F876">
        <f t="shared" si="27"/>
        <v>0</v>
      </c>
      <c r="G876">
        <f>IFERROR(VLOOKUP(A876,预留库存!A:G,7,0),0)</f>
        <v>0</v>
      </c>
      <c r="H876">
        <f>IFERROR(VLOOKUP(A876,预留库存!A:H,8,0),0)</f>
        <v>0</v>
      </c>
      <c r="I876">
        <f>IFERROR(VLOOKUP(A876,预留库存!A:F,6,0),0)</f>
        <v>0</v>
      </c>
      <c r="J876">
        <f>IFERROR(VLOOKUP(A876,库龄!B:K,9,0),0)</f>
        <v>0</v>
      </c>
      <c r="K876">
        <f>IFERROR(VLOOKUP(A876,库龄!B:L,10,0),0)</f>
        <v>0</v>
      </c>
      <c r="L876">
        <f>IFERROR(VLOOKUP(A876,库龄!B:M,11,0),0)</f>
        <v>0</v>
      </c>
      <c r="M876">
        <f>IFERROR(VLOOKUP(A876,库龄!B:N,12,0),0)</f>
        <v>0</v>
      </c>
      <c r="N876">
        <f t="shared" si="28"/>
        <v>0</v>
      </c>
    </row>
    <row r="877" spans="1:14">
      <c r="A877" s="3" t="s">
        <v>3227</v>
      </c>
      <c r="B877">
        <f>IFERROR(VLOOKUP(A877,管理亚马逊库存!A:K,11,0),"")</f>
        <v>0</v>
      </c>
      <c r="C877">
        <f>IFERROR(VLOOKUP(A877,管理亚马逊库存!A:L,12,0),"")</f>
        <v>0</v>
      </c>
      <c r="D877">
        <f>IFERROR(VLOOKUP(A877,管理亚马逊库存!A:Q,17,0),"")</f>
        <v>0</v>
      </c>
      <c r="E877">
        <f>IFERROR(VLOOKUP(A877,管理亚马逊库存!A:R,18,0),"")</f>
        <v>0</v>
      </c>
      <c r="F877">
        <f t="shared" si="27"/>
        <v>0</v>
      </c>
      <c r="G877">
        <f>IFERROR(VLOOKUP(A877,预留库存!A:G,7,0),0)</f>
        <v>0</v>
      </c>
      <c r="H877">
        <f>IFERROR(VLOOKUP(A877,预留库存!A:H,8,0),0)</f>
        <v>0</v>
      </c>
      <c r="I877">
        <f>IFERROR(VLOOKUP(A877,预留库存!A:F,6,0),0)</f>
        <v>0</v>
      </c>
      <c r="J877">
        <f>IFERROR(VLOOKUP(A877,库龄!B:K,9,0),0)</f>
        <v>0</v>
      </c>
      <c r="K877">
        <f>IFERROR(VLOOKUP(A877,库龄!B:L,10,0),0)</f>
        <v>0</v>
      </c>
      <c r="L877">
        <f>IFERROR(VLOOKUP(A877,库龄!B:M,11,0),0)</f>
        <v>0</v>
      </c>
      <c r="M877">
        <f>IFERROR(VLOOKUP(A877,库龄!B:N,12,0),0)</f>
        <v>0</v>
      </c>
      <c r="N877">
        <f t="shared" si="28"/>
        <v>0</v>
      </c>
    </row>
    <row r="878" spans="1:14">
      <c r="A878" s="3" t="s">
        <v>3230</v>
      </c>
      <c r="B878">
        <f>IFERROR(VLOOKUP(A878,管理亚马逊库存!A:K,11,0),"")</f>
        <v>0</v>
      </c>
      <c r="C878">
        <f>IFERROR(VLOOKUP(A878,管理亚马逊库存!A:L,12,0),"")</f>
        <v>0</v>
      </c>
      <c r="D878">
        <f>IFERROR(VLOOKUP(A878,管理亚马逊库存!A:Q,17,0),"")</f>
        <v>0</v>
      </c>
      <c r="E878">
        <f>IFERROR(VLOOKUP(A878,管理亚马逊库存!A:R,18,0),"")</f>
        <v>0</v>
      </c>
      <c r="F878">
        <f t="shared" si="27"/>
        <v>0</v>
      </c>
      <c r="G878">
        <f>IFERROR(VLOOKUP(A878,预留库存!A:G,7,0),0)</f>
        <v>0</v>
      </c>
      <c r="H878">
        <f>IFERROR(VLOOKUP(A878,预留库存!A:H,8,0),0)</f>
        <v>0</v>
      </c>
      <c r="I878">
        <f>IFERROR(VLOOKUP(A878,预留库存!A:F,6,0),0)</f>
        <v>0</v>
      </c>
      <c r="J878">
        <f>IFERROR(VLOOKUP(A878,库龄!B:K,9,0),0)</f>
        <v>0</v>
      </c>
      <c r="K878">
        <f>IFERROR(VLOOKUP(A878,库龄!B:L,10,0),0)</f>
        <v>0</v>
      </c>
      <c r="L878">
        <f>IFERROR(VLOOKUP(A878,库龄!B:M,11,0),0)</f>
        <v>0</v>
      </c>
      <c r="M878">
        <f>IFERROR(VLOOKUP(A878,库龄!B:N,12,0),0)</f>
        <v>0</v>
      </c>
      <c r="N878">
        <f t="shared" si="28"/>
        <v>0</v>
      </c>
    </row>
    <row r="879" spans="1:14">
      <c r="A879" s="3" t="s">
        <v>3233</v>
      </c>
      <c r="B879">
        <f>IFERROR(VLOOKUP(A879,管理亚马逊库存!A:K,11,0),"")</f>
        <v>0</v>
      </c>
      <c r="C879">
        <f>IFERROR(VLOOKUP(A879,管理亚马逊库存!A:L,12,0),"")</f>
        <v>0</v>
      </c>
      <c r="D879">
        <f>IFERROR(VLOOKUP(A879,管理亚马逊库存!A:Q,17,0),"")</f>
        <v>0</v>
      </c>
      <c r="E879">
        <f>IFERROR(VLOOKUP(A879,管理亚马逊库存!A:R,18,0),"")</f>
        <v>0</v>
      </c>
      <c r="F879">
        <f t="shared" si="27"/>
        <v>0</v>
      </c>
      <c r="G879">
        <f>IFERROR(VLOOKUP(A879,预留库存!A:G,7,0),0)</f>
        <v>0</v>
      </c>
      <c r="H879">
        <f>IFERROR(VLOOKUP(A879,预留库存!A:H,8,0),0)</f>
        <v>0</v>
      </c>
      <c r="I879">
        <f>IFERROR(VLOOKUP(A879,预留库存!A:F,6,0),0)</f>
        <v>0</v>
      </c>
      <c r="J879">
        <f>IFERROR(VLOOKUP(A879,库龄!B:K,9,0),0)</f>
        <v>0</v>
      </c>
      <c r="K879">
        <f>IFERROR(VLOOKUP(A879,库龄!B:L,10,0),0)</f>
        <v>0</v>
      </c>
      <c r="L879">
        <f>IFERROR(VLOOKUP(A879,库龄!B:M,11,0),0)</f>
        <v>0</v>
      </c>
      <c r="M879">
        <f>IFERROR(VLOOKUP(A879,库龄!B:N,12,0),0)</f>
        <v>0</v>
      </c>
      <c r="N879">
        <f t="shared" si="28"/>
        <v>0</v>
      </c>
    </row>
    <row r="880" spans="1:14">
      <c r="A880" s="3" t="s">
        <v>3236</v>
      </c>
      <c r="B880">
        <f>IFERROR(VLOOKUP(A880,管理亚马逊库存!A:K,11,0),"")</f>
        <v>0</v>
      </c>
      <c r="C880">
        <f>IFERROR(VLOOKUP(A880,管理亚马逊库存!A:L,12,0),"")</f>
        <v>0</v>
      </c>
      <c r="D880">
        <f>IFERROR(VLOOKUP(A880,管理亚马逊库存!A:Q,17,0),"")</f>
        <v>0</v>
      </c>
      <c r="E880">
        <f>IFERROR(VLOOKUP(A880,管理亚马逊库存!A:R,18,0),"")</f>
        <v>0</v>
      </c>
      <c r="F880">
        <f t="shared" si="27"/>
        <v>0</v>
      </c>
      <c r="G880">
        <f>IFERROR(VLOOKUP(A880,预留库存!A:G,7,0),0)</f>
        <v>0</v>
      </c>
      <c r="H880">
        <f>IFERROR(VLOOKUP(A880,预留库存!A:H,8,0),0)</f>
        <v>0</v>
      </c>
      <c r="I880">
        <f>IFERROR(VLOOKUP(A880,预留库存!A:F,6,0),0)</f>
        <v>0</v>
      </c>
      <c r="J880">
        <f>IFERROR(VLOOKUP(A880,库龄!B:K,9,0),0)</f>
        <v>0</v>
      </c>
      <c r="K880">
        <f>IFERROR(VLOOKUP(A880,库龄!B:L,10,0),0)</f>
        <v>0</v>
      </c>
      <c r="L880">
        <f>IFERROR(VLOOKUP(A880,库龄!B:M,11,0),0)</f>
        <v>0</v>
      </c>
      <c r="M880">
        <f>IFERROR(VLOOKUP(A880,库龄!B:N,12,0),0)</f>
        <v>0</v>
      </c>
      <c r="N880">
        <f t="shared" si="28"/>
        <v>0</v>
      </c>
    </row>
    <row r="881" spans="1:14">
      <c r="A881" s="3" t="s">
        <v>3239</v>
      </c>
      <c r="B881">
        <f>IFERROR(VLOOKUP(A881,管理亚马逊库存!A:K,11,0),"")</f>
        <v>0</v>
      </c>
      <c r="C881">
        <f>IFERROR(VLOOKUP(A881,管理亚马逊库存!A:L,12,0),"")</f>
        <v>0</v>
      </c>
      <c r="D881">
        <f>IFERROR(VLOOKUP(A881,管理亚马逊库存!A:Q,17,0),"")</f>
        <v>0</v>
      </c>
      <c r="E881">
        <f>IFERROR(VLOOKUP(A881,管理亚马逊库存!A:R,18,0),"")</f>
        <v>0</v>
      </c>
      <c r="F881">
        <f t="shared" si="27"/>
        <v>0</v>
      </c>
      <c r="G881">
        <f>IFERROR(VLOOKUP(A881,预留库存!A:G,7,0),0)</f>
        <v>0</v>
      </c>
      <c r="H881">
        <f>IFERROR(VLOOKUP(A881,预留库存!A:H,8,0),0)</f>
        <v>0</v>
      </c>
      <c r="I881">
        <f>IFERROR(VLOOKUP(A881,预留库存!A:F,6,0),0)</f>
        <v>0</v>
      </c>
      <c r="J881">
        <f>IFERROR(VLOOKUP(A881,库龄!B:K,9,0),0)</f>
        <v>0</v>
      </c>
      <c r="K881">
        <f>IFERROR(VLOOKUP(A881,库龄!B:L,10,0),0)</f>
        <v>0</v>
      </c>
      <c r="L881">
        <f>IFERROR(VLOOKUP(A881,库龄!B:M,11,0),0)</f>
        <v>0</v>
      </c>
      <c r="M881">
        <f>IFERROR(VLOOKUP(A881,库龄!B:N,12,0),0)</f>
        <v>0</v>
      </c>
      <c r="N881">
        <f t="shared" si="28"/>
        <v>0</v>
      </c>
    </row>
    <row r="882" spans="1:14">
      <c r="A882" s="3" t="s">
        <v>3242</v>
      </c>
      <c r="B882">
        <f>IFERROR(VLOOKUP(A882,管理亚马逊库存!A:K,11,0),"")</f>
        <v>0</v>
      </c>
      <c r="C882">
        <f>IFERROR(VLOOKUP(A882,管理亚马逊库存!A:L,12,0),"")</f>
        <v>0</v>
      </c>
      <c r="D882">
        <f>IFERROR(VLOOKUP(A882,管理亚马逊库存!A:Q,17,0),"")</f>
        <v>0</v>
      </c>
      <c r="E882">
        <f>IFERROR(VLOOKUP(A882,管理亚马逊库存!A:R,18,0),"")</f>
        <v>0</v>
      </c>
      <c r="F882">
        <f t="shared" si="27"/>
        <v>0</v>
      </c>
      <c r="G882">
        <f>IFERROR(VLOOKUP(A882,预留库存!A:G,7,0),0)</f>
        <v>0</v>
      </c>
      <c r="H882">
        <f>IFERROR(VLOOKUP(A882,预留库存!A:H,8,0),0)</f>
        <v>0</v>
      </c>
      <c r="I882">
        <f>IFERROR(VLOOKUP(A882,预留库存!A:F,6,0),0)</f>
        <v>0</v>
      </c>
      <c r="J882">
        <f>IFERROR(VLOOKUP(A882,库龄!B:K,9,0),0)</f>
        <v>0</v>
      </c>
      <c r="K882">
        <f>IFERROR(VLOOKUP(A882,库龄!B:L,10,0),0)</f>
        <v>0</v>
      </c>
      <c r="L882">
        <f>IFERROR(VLOOKUP(A882,库龄!B:M,11,0),0)</f>
        <v>0</v>
      </c>
      <c r="M882">
        <f>IFERROR(VLOOKUP(A882,库龄!B:N,12,0),0)</f>
        <v>0</v>
      </c>
      <c r="N882">
        <f t="shared" si="28"/>
        <v>0</v>
      </c>
    </row>
    <row r="883" spans="1:14">
      <c r="A883" s="3" t="s">
        <v>3245</v>
      </c>
      <c r="B883">
        <f>IFERROR(VLOOKUP(A883,管理亚马逊库存!A:K,11,0),"")</f>
        <v>0</v>
      </c>
      <c r="C883">
        <f>IFERROR(VLOOKUP(A883,管理亚马逊库存!A:L,12,0),"")</f>
        <v>0</v>
      </c>
      <c r="D883">
        <f>IFERROR(VLOOKUP(A883,管理亚马逊库存!A:Q,17,0),"")</f>
        <v>0</v>
      </c>
      <c r="E883">
        <f>IFERROR(VLOOKUP(A883,管理亚马逊库存!A:R,18,0),"")</f>
        <v>0</v>
      </c>
      <c r="F883">
        <f t="shared" si="27"/>
        <v>0</v>
      </c>
      <c r="G883">
        <f>IFERROR(VLOOKUP(A883,预留库存!A:G,7,0),0)</f>
        <v>0</v>
      </c>
      <c r="H883">
        <f>IFERROR(VLOOKUP(A883,预留库存!A:H,8,0),0)</f>
        <v>0</v>
      </c>
      <c r="I883">
        <f>IFERROR(VLOOKUP(A883,预留库存!A:F,6,0),0)</f>
        <v>0</v>
      </c>
      <c r="J883">
        <f>IFERROR(VLOOKUP(A883,库龄!B:K,9,0),0)</f>
        <v>0</v>
      </c>
      <c r="K883">
        <f>IFERROR(VLOOKUP(A883,库龄!B:L,10,0),0)</f>
        <v>0</v>
      </c>
      <c r="L883">
        <f>IFERROR(VLOOKUP(A883,库龄!B:M,11,0),0)</f>
        <v>0</v>
      </c>
      <c r="M883">
        <f>IFERROR(VLOOKUP(A883,库龄!B:N,12,0),0)</f>
        <v>0</v>
      </c>
      <c r="N883">
        <f t="shared" si="28"/>
        <v>0</v>
      </c>
    </row>
    <row r="884" spans="1:14">
      <c r="A884" s="3" t="s">
        <v>3248</v>
      </c>
      <c r="B884">
        <f>IFERROR(VLOOKUP(A884,管理亚马逊库存!A:K,11,0),"")</f>
        <v>0</v>
      </c>
      <c r="C884">
        <f>IFERROR(VLOOKUP(A884,管理亚马逊库存!A:L,12,0),"")</f>
        <v>0</v>
      </c>
      <c r="D884">
        <f>IFERROR(VLOOKUP(A884,管理亚马逊库存!A:Q,17,0),"")</f>
        <v>0</v>
      </c>
      <c r="E884">
        <f>IFERROR(VLOOKUP(A884,管理亚马逊库存!A:R,18,0),"")</f>
        <v>0</v>
      </c>
      <c r="F884">
        <f t="shared" si="27"/>
        <v>0</v>
      </c>
      <c r="G884">
        <f>IFERROR(VLOOKUP(A884,预留库存!A:G,7,0),0)</f>
        <v>0</v>
      </c>
      <c r="H884">
        <f>IFERROR(VLOOKUP(A884,预留库存!A:H,8,0),0)</f>
        <v>0</v>
      </c>
      <c r="I884">
        <f>IFERROR(VLOOKUP(A884,预留库存!A:F,6,0),0)</f>
        <v>0</v>
      </c>
      <c r="J884">
        <f>IFERROR(VLOOKUP(A884,库龄!B:K,9,0),0)</f>
        <v>0</v>
      </c>
      <c r="K884">
        <f>IFERROR(VLOOKUP(A884,库龄!B:L,10,0),0)</f>
        <v>0</v>
      </c>
      <c r="L884">
        <f>IFERROR(VLOOKUP(A884,库龄!B:M,11,0),0)</f>
        <v>0</v>
      </c>
      <c r="M884">
        <f>IFERROR(VLOOKUP(A884,库龄!B:N,12,0),0)</f>
        <v>0</v>
      </c>
      <c r="N884">
        <f t="shared" si="28"/>
        <v>0</v>
      </c>
    </row>
    <row r="885" spans="1:14">
      <c r="A885" s="3" t="s">
        <v>3251</v>
      </c>
      <c r="B885">
        <f>IFERROR(VLOOKUP(A885,管理亚马逊库存!A:K,11,0),"")</f>
        <v>0</v>
      </c>
      <c r="C885">
        <f>IFERROR(VLOOKUP(A885,管理亚马逊库存!A:L,12,0),"")</f>
        <v>0</v>
      </c>
      <c r="D885">
        <f>IFERROR(VLOOKUP(A885,管理亚马逊库存!A:Q,17,0),"")</f>
        <v>0</v>
      </c>
      <c r="E885">
        <f>IFERROR(VLOOKUP(A885,管理亚马逊库存!A:R,18,0),"")</f>
        <v>0</v>
      </c>
      <c r="F885">
        <f t="shared" si="27"/>
        <v>0</v>
      </c>
      <c r="G885">
        <f>IFERROR(VLOOKUP(A885,预留库存!A:G,7,0),0)</f>
        <v>0</v>
      </c>
      <c r="H885">
        <f>IFERROR(VLOOKUP(A885,预留库存!A:H,8,0),0)</f>
        <v>0</v>
      </c>
      <c r="I885">
        <f>IFERROR(VLOOKUP(A885,预留库存!A:F,6,0),0)</f>
        <v>0</v>
      </c>
      <c r="J885">
        <f>IFERROR(VLOOKUP(A885,库龄!B:K,9,0),0)</f>
        <v>0</v>
      </c>
      <c r="K885">
        <f>IFERROR(VLOOKUP(A885,库龄!B:L,10,0),0)</f>
        <v>0</v>
      </c>
      <c r="L885">
        <f>IFERROR(VLOOKUP(A885,库龄!B:M,11,0),0)</f>
        <v>0</v>
      </c>
      <c r="M885">
        <f>IFERROR(VLOOKUP(A885,库龄!B:N,12,0),0)</f>
        <v>0</v>
      </c>
      <c r="N885">
        <f t="shared" si="28"/>
        <v>0</v>
      </c>
    </row>
    <row r="886" spans="1:14">
      <c r="A886" s="3" t="s">
        <v>3254</v>
      </c>
      <c r="B886">
        <f>IFERROR(VLOOKUP(A886,管理亚马逊库存!A:K,11,0),"")</f>
        <v>0</v>
      </c>
      <c r="C886">
        <f>IFERROR(VLOOKUP(A886,管理亚马逊库存!A:L,12,0),"")</f>
        <v>0</v>
      </c>
      <c r="D886">
        <f>IFERROR(VLOOKUP(A886,管理亚马逊库存!A:Q,17,0),"")</f>
        <v>0</v>
      </c>
      <c r="E886">
        <f>IFERROR(VLOOKUP(A886,管理亚马逊库存!A:R,18,0),"")</f>
        <v>0</v>
      </c>
      <c r="F886">
        <f t="shared" si="27"/>
        <v>0</v>
      </c>
      <c r="G886">
        <f>IFERROR(VLOOKUP(A886,预留库存!A:G,7,0),0)</f>
        <v>0</v>
      </c>
      <c r="H886">
        <f>IFERROR(VLOOKUP(A886,预留库存!A:H,8,0),0)</f>
        <v>0</v>
      </c>
      <c r="I886">
        <f>IFERROR(VLOOKUP(A886,预留库存!A:F,6,0),0)</f>
        <v>0</v>
      </c>
      <c r="J886">
        <f>IFERROR(VLOOKUP(A886,库龄!B:K,9,0),0)</f>
        <v>0</v>
      </c>
      <c r="K886">
        <f>IFERROR(VLOOKUP(A886,库龄!B:L,10,0),0)</f>
        <v>0</v>
      </c>
      <c r="L886">
        <f>IFERROR(VLOOKUP(A886,库龄!B:M,11,0),0)</f>
        <v>0</v>
      </c>
      <c r="M886">
        <f>IFERROR(VLOOKUP(A886,库龄!B:N,12,0),0)</f>
        <v>0</v>
      </c>
      <c r="N886">
        <f t="shared" si="28"/>
        <v>0</v>
      </c>
    </row>
    <row r="887" spans="1:14">
      <c r="A887" s="3" t="s">
        <v>3257</v>
      </c>
      <c r="B887">
        <f>IFERROR(VLOOKUP(A887,管理亚马逊库存!A:K,11,0),"")</f>
        <v>0</v>
      </c>
      <c r="C887">
        <f>IFERROR(VLOOKUP(A887,管理亚马逊库存!A:L,12,0),"")</f>
        <v>0</v>
      </c>
      <c r="D887">
        <f>IFERROR(VLOOKUP(A887,管理亚马逊库存!A:Q,17,0),"")</f>
        <v>0</v>
      </c>
      <c r="E887">
        <f>IFERROR(VLOOKUP(A887,管理亚马逊库存!A:R,18,0),"")</f>
        <v>0</v>
      </c>
      <c r="F887">
        <f t="shared" si="27"/>
        <v>0</v>
      </c>
      <c r="G887">
        <f>IFERROR(VLOOKUP(A887,预留库存!A:G,7,0),0)</f>
        <v>0</v>
      </c>
      <c r="H887">
        <f>IFERROR(VLOOKUP(A887,预留库存!A:H,8,0),0)</f>
        <v>0</v>
      </c>
      <c r="I887">
        <f>IFERROR(VLOOKUP(A887,预留库存!A:F,6,0),0)</f>
        <v>0</v>
      </c>
      <c r="J887">
        <f>IFERROR(VLOOKUP(A887,库龄!B:K,9,0),0)</f>
        <v>0</v>
      </c>
      <c r="K887">
        <f>IFERROR(VLOOKUP(A887,库龄!B:L,10,0),0)</f>
        <v>0</v>
      </c>
      <c r="L887">
        <f>IFERROR(VLOOKUP(A887,库龄!B:M,11,0),0)</f>
        <v>0</v>
      </c>
      <c r="M887">
        <f>IFERROR(VLOOKUP(A887,库龄!B:N,12,0),0)</f>
        <v>0</v>
      </c>
      <c r="N887">
        <f t="shared" si="28"/>
        <v>0</v>
      </c>
    </row>
    <row r="888" spans="1:14">
      <c r="A888" s="3" t="s">
        <v>3260</v>
      </c>
      <c r="B888">
        <f>IFERROR(VLOOKUP(A888,管理亚马逊库存!A:K,11,0),"")</f>
        <v>0</v>
      </c>
      <c r="C888">
        <f>IFERROR(VLOOKUP(A888,管理亚马逊库存!A:L,12,0),"")</f>
        <v>0</v>
      </c>
      <c r="D888">
        <f>IFERROR(VLOOKUP(A888,管理亚马逊库存!A:Q,17,0),"")</f>
        <v>0</v>
      </c>
      <c r="E888">
        <f>IFERROR(VLOOKUP(A888,管理亚马逊库存!A:R,18,0),"")</f>
        <v>0</v>
      </c>
      <c r="F888">
        <f t="shared" si="27"/>
        <v>0</v>
      </c>
      <c r="G888">
        <f>IFERROR(VLOOKUP(A888,预留库存!A:G,7,0),0)</f>
        <v>0</v>
      </c>
      <c r="H888">
        <f>IFERROR(VLOOKUP(A888,预留库存!A:H,8,0),0)</f>
        <v>0</v>
      </c>
      <c r="I888">
        <f>IFERROR(VLOOKUP(A888,预留库存!A:F,6,0),0)</f>
        <v>0</v>
      </c>
      <c r="J888">
        <f>IFERROR(VLOOKUP(A888,库龄!B:K,9,0),0)</f>
        <v>0</v>
      </c>
      <c r="K888">
        <f>IFERROR(VLOOKUP(A888,库龄!B:L,10,0),0)</f>
        <v>0</v>
      </c>
      <c r="L888">
        <f>IFERROR(VLOOKUP(A888,库龄!B:M,11,0),0)</f>
        <v>0</v>
      </c>
      <c r="M888">
        <f>IFERROR(VLOOKUP(A888,库龄!B:N,12,0),0)</f>
        <v>0</v>
      </c>
      <c r="N888">
        <f t="shared" si="28"/>
        <v>0</v>
      </c>
    </row>
    <row r="889" spans="1:14">
      <c r="A889" s="3" t="s">
        <v>3263</v>
      </c>
      <c r="B889">
        <f>IFERROR(VLOOKUP(A889,管理亚马逊库存!A:K,11,0),"")</f>
        <v>0</v>
      </c>
      <c r="C889">
        <f>IFERROR(VLOOKUP(A889,管理亚马逊库存!A:L,12,0),"")</f>
        <v>0</v>
      </c>
      <c r="D889">
        <f>IFERROR(VLOOKUP(A889,管理亚马逊库存!A:Q,17,0),"")</f>
        <v>0</v>
      </c>
      <c r="E889">
        <f>IFERROR(VLOOKUP(A889,管理亚马逊库存!A:R,18,0),"")</f>
        <v>0</v>
      </c>
      <c r="F889">
        <f t="shared" si="27"/>
        <v>0</v>
      </c>
      <c r="G889">
        <f>IFERROR(VLOOKUP(A889,预留库存!A:G,7,0),0)</f>
        <v>0</v>
      </c>
      <c r="H889">
        <f>IFERROR(VLOOKUP(A889,预留库存!A:H,8,0),0)</f>
        <v>0</v>
      </c>
      <c r="I889">
        <f>IFERROR(VLOOKUP(A889,预留库存!A:F,6,0),0)</f>
        <v>0</v>
      </c>
      <c r="J889">
        <f>IFERROR(VLOOKUP(A889,库龄!B:K,9,0),0)</f>
        <v>0</v>
      </c>
      <c r="K889">
        <f>IFERROR(VLOOKUP(A889,库龄!B:L,10,0),0)</f>
        <v>0</v>
      </c>
      <c r="L889">
        <f>IFERROR(VLOOKUP(A889,库龄!B:M,11,0),0)</f>
        <v>0</v>
      </c>
      <c r="M889">
        <f>IFERROR(VLOOKUP(A889,库龄!B:N,12,0),0)</f>
        <v>0</v>
      </c>
      <c r="N889">
        <f t="shared" si="28"/>
        <v>0</v>
      </c>
    </row>
    <row r="890" spans="1:14">
      <c r="A890" s="3" t="s">
        <v>3266</v>
      </c>
      <c r="B890">
        <f>IFERROR(VLOOKUP(A890,管理亚马逊库存!A:K,11,0),"")</f>
        <v>0</v>
      </c>
      <c r="C890">
        <f>IFERROR(VLOOKUP(A890,管理亚马逊库存!A:L,12,0),"")</f>
        <v>0</v>
      </c>
      <c r="D890">
        <f>IFERROR(VLOOKUP(A890,管理亚马逊库存!A:Q,17,0),"")</f>
        <v>0</v>
      </c>
      <c r="E890">
        <f>IFERROR(VLOOKUP(A890,管理亚马逊库存!A:R,18,0),"")</f>
        <v>0</v>
      </c>
      <c r="F890">
        <f t="shared" si="27"/>
        <v>0</v>
      </c>
      <c r="G890">
        <f>IFERROR(VLOOKUP(A890,预留库存!A:G,7,0),0)</f>
        <v>0</v>
      </c>
      <c r="H890">
        <f>IFERROR(VLOOKUP(A890,预留库存!A:H,8,0),0)</f>
        <v>0</v>
      </c>
      <c r="I890">
        <f>IFERROR(VLOOKUP(A890,预留库存!A:F,6,0),0)</f>
        <v>0</v>
      </c>
      <c r="J890">
        <f>IFERROR(VLOOKUP(A890,库龄!B:K,9,0),0)</f>
        <v>0</v>
      </c>
      <c r="K890">
        <f>IFERROR(VLOOKUP(A890,库龄!B:L,10,0),0)</f>
        <v>0</v>
      </c>
      <c r="L890">
        <f>IFERROR(VLOOKUP(A890,库龄!B:M,11,0),0)</f>
        <v>0</v>
      </c>
      <c r="M890">
        <f>IFERROR(VLOOKUP(A890,库龄!B:N,12,0),0)</f>
        <v>0</v>
      </c>
      <c r="N890">
        <f t="shared" si="28"/>
        <v>0</v>
      </c>
    </row>
    <row r="891" spans="1:14">
      <c r="A891" s="3" t="s">
        <v>3269</v>
      </c>
      <c r="B891">
        <f>IFERROR(VLOOKUP(A891,管理亚马逊库存!A:K,11,0),"")</f>
        <v>0</v>
      </c>
      <c r="C891">
        <f>IFERROR(VLOOKUP(A891,管理亚马逊库存!A:L,12,0),"")</f>
        <v>0</v>
      </c>
      <c r="D891">
        <f>IFERROR(VLOOKUP(A891,管理亚马逊库存!A:Q,17,0),"")</f>
        <v>0</v>
      </c>
      <c r="E891">
        <f>IFERROR(VLOOKUP(A891,管理亚马逊库存!A:R,18,0),"")</f>
        <v>0</v>
      </c>
      <c r="F891">
        <f t="shared" si="27"/>
        <v>0</v>
      </c>
      <c r="G891">
        <f>IFERROR(VLOOKUP(A891,预留库存!A:G,7,0),0)</f>
        <v>0</v>
      </c>
      <c r="H891">
        <f>IFERROR(VLOOKUP(A891,预留库存!A:H,8,0),0)</f>
        <v>0</v>
      </c>
      <c r="I891">
        <f>IFERROR(VLOOKUP(A891,预留库存!A:F,6,0),0)</f>
        <v>0</v>
      </c>
      <c r="J891">
        <f>IFERROR(VLOOKUP(A891,库龄!B:K,9,0),0)</f>
        <v>0</v>
      </c>
      <c r="K891">
        <f>IFERROR(VLOOKUP(A891,库龄!B:L,10,0),0)</f>
        <v>0</v>
      </c>
      <c r="L891">
        <f>IFERROR(VLOOKUP(A891,库龄!B:M,11,0),0)</f>
        <v>0</v>
      </c>
      <c r="M891">
        <f>IFERROR(VLOOKUP(A891,库龄!B:N,12,0),0)</f>
        <v>0</v>
      </c>
      <c r="N891">
        <f t="shared" si="28"/>
        <v>0</v>
      </c>
    </row>
    <row r="892" spans="1:14">
      <c r="A892" s="3" t="s">
        <v>3272</v>
      </c>
      <c r="B892">
        <f>IFERROR(VLOOKUP(A892,管理亚马逊库存!A:K,11,0),"")</f>
        <v>0</v>
      </c>
      <c r="C892">
        <f>IFERROR(VLOOKUP(A892,管理亚马逊库存!A:L,12,0),"")</f>
        <v>0</v>
      </c>
      <c r="D892">
        <f>IFERROR(VLOOKUP(A892,管理亚马逊库存!A:Q,17,0),"")</f>
        <v>0</v>
      </c>
      <c r="E892">
        <f>IFERROR(VLOOKUP(A892,管理亚马逊库存!A:R,18,0),"")</f>
        <v>0</v>
      </c>
      <c r="F892">
        <f t="shared" si="27"/>
        <v>0</v>
      </c>
      <c r="G892">
        <f>IFERROR(VLOOKUP(A892,预留库存!A:G,7,0),0)</f>
        <v>0</v>
      </c>
      <c r="H892">
        <f>IFERROR(VLOOKUP(A892,预留库存!A:H,8,0),0)</f>
        <v>0</v>
      </c>
      <c r="I892">
        <f>IFERROR(VLOOKUP(A892,预留库存!A:F,6,0),0)</f>
        <v>0</v>
      </c>
      <c r="J892">
        <f>IFERROR(VLOOKUP(A892,库龄!B:K,9,0),0)</f>
        <v>0</v>
      </c>
      <c r="K892">
        <f>IFERROR(VLOOKUP(A892,库龄!B:L,10,0),0)</f>
        <v>0</v>
      </c>
      <c r="L892">
        <f>IFERROR(VLOOKUP(A892,库龄!B:M,11,0),0)</f>
        <v>0</v>
      </c>
      <c r="M892">
        <f>IFERROR(VLOOKUP(A892,库龄!B:N,12,0),0)</f>
        <v>0</v>
      </c>
      <c r="N892">
        <f t="shared" si="28"/>
        <v>0</v>
      </c>
    </row>
    <row r="893" spans="1:14">
      <c r="A893" s="3" t="s">
        <v>3275</v>
      </c>
      <c r="B893">
        <f>IFERROR(VLOOKUP(A893,管理亚马逊库存!A:K,11,0),"")</f>
        <v>0</v>
      </c>
      <c r="C893">
        <f>IFERROR(VLOOKUP(A893,管理亚马逊库存!A:L,12,0),"")</f>
        <v>0</v>
      </c>
      <c r="D893">
        <f>IFERROR(VLOOKUP(A893,管理亚马逊库存!A:Q,17,0),"")</f>
        <v>0</v>
      </c>
      <c r="E893">
        <f>IFERROR(VLOOKUP(A893,管理亚马逊库存!A:R,18,0),"")</f>
        <v>0</v>
      </c>
      <c r="F893">
        <f t="shared" si="27"/>
        <v>0</v>
      </c>
      <c r="G893">
        <f>IFERROR(VLOOKUP(A893,预留库存!A:G,7,0),0)</f>
        <v>0</v>
      </c>
      <c r="H893">
        <f>IFERROR(VLOOKUP(A893,预留库存!A:H,8,0),0)</f>
        <v>0</v>
      </c>
      <c r="I893">
        <f>IFERROR(VLOOKUP(A893,预留库存!A:F,6,0),0)</f>
        <v>0</v>
      </c>
      <c r="J893">
        <f>IFERROR(VLOOKUP(A893,库龄!B:K,9,0),0)</f>
        <v>0</v>
      </c>
      <c r="K893">
        <f>IFERROR(VLOOKUP(A893,库龄!B:L,10,0),0)</f>
        <v>0</v>
      </c>
      <c r="L893">
        <f>IFERROR(VLOOKUP(A893,库龄!B:M,11,0),0)</f>
        <v>0</v>
      </c>
      <c r="M893">
        <f>IFERROR(VLOOKUP(A893,库龄!B:N,12,0),0)</f>
        <v>0</v>
      </c>
      <c r="N893">
        <f t="shared" si="28"/>
        <v>0</v>
      </c>
    </row>
    <row r="894" spans="1:14">
      <c r="A894" s="3" t="s">
        <v>3278</v>
      </c>
      <c r="B894">
        <f>IFERROR(VLOOKUP(A894,管理亚马逊库存!A:K,11,0),"")</f>
        <v>0</v>
      </c>
      <c r="C894">
        <f>IFERROR(VLOOKUP(A894,管理亚马逊库存!A:L,12,0),"")</f>
        <v>0</v>
      </c>
      <c r="D894">
        <f>IFERROR(VLOOKUP(A894,管理亚马逊库存!A:Q,17,0),"")</f>
        <v>0</v>
      </c>
      <c r="E894">
        <f>IFERROR(VLOOKUP(A894,管理亚马逊库存!A:R,18,0),"")</f>
        <v>0</v>
      </c>
      <c r="F894">
        <f t="shared" si="27"/>
        <v>0</v>
      </c>
      <c r="G894">
        <f>IFERROR(VLOOKUP(A894,预留库存!A:G,7,0),0)</f>
        <v>0</v>
      </c>
      <c r="H894">
        <f>IFERROR(VLOOKUP(A894,预留库存!A:H,8,0),0)</f>
        <v>0</v>
      </c>
      <c r="I894">
        <f>IFERROR(VLOOKUP(A894,预留库存!A:F,6,0),0)</f>
        <v>0</v>
      </c>
      <c r="J894">
        <f>IFERROR(VLOOKUP(A894,库龄!B:K,9,0),0)</f>
        <v>0</v>
      </c>
      <c r="K894">
        <f>IFERROR(VLOOKUP(A894,库龄!B:L,10,0),0)</f>
        <v>0</v>
      </c>
      <c r="L894">
        <f>IFERROR(VLOOKUP(A894,库龄!B:M,11,0),0)</f>
        <v>0</v>
      </c>
      <c r="M894">
        <f>IFERROR(VLOOKUP(A894,库龄!B:N,12,0),0)</f>
        <v>0</v>
      </c>
      <c r="N894">
        <f t="shared" si="28"/>
        <v>0</v>
      </c>
    </row>
    <row r="895" spans="1:14">
      <c r="A895" s="3" t="s">
        <v>3281</v>
      </c>
      <c r="B895">
        <f>IFERROR(VLOOKUP(A895,管理亚马逊库存!A:K,11,0),"")</f>
        <v>0</v>
      </c>
      <c r="C895">
        <f>IFERROR(VLOOKUP(A895,管理亚马逊库存!A:L,12,0),"")</f>
        <v>0</v>
      </c>
      <c r="D895">
        <f>IFERROR(VLOOKUP(A895,管理亚马逊库存!A:Q,17,0),"")</f>
        <v>0</v>
      </c>
      <c r="E895">
        <f>IFERROR(VLOOKUP(A895,管理亚马逊库存!A:R,18,0),"")</f>
        <v>0</v>
      </c>
      <c r="F895">
        <f t="shared" si="27"/>
        <v>0</v>
      </c>
      <c r="G895">
        <f>IFERROR(VLOOKUP(A895,预留库存!A:G,7,0),0)</f>
        <v>0</v>
      </c>
      <c r="H895">
        <f>IFERROR(VLOOKUP(A895,预留库存!A:H,8,0),0)</f>
        <v>0</v>
      </c>
      <c r="I895">
        <f>IFERROR(VLOOKUP(A895,预留库存!A:F,6,0),0)</f>
        <v>0</v>
      </c>
      <c r="J895">
        <f>IFERROR(VLOOKUP(A895,库龄!B:K,9,0),0)</f>
        <v>0</v>
      </c>
      <c r="K895">
        <f>IFERROR(VLOOKUP(A895,库龄!B:L,10,0),0)</f>
        <v>0</v>
      </c>
      <c r="L895">
        <f>IFERROR(VLOOKUP(A895,库龄!B:M,11,0),0)</f>
        <v>0</v>
      </c>
      <c r="M895">
        <f>IFERROR(VLOOKUP(A895,库龄!B:N,12,0),0)</f>
        <v>0</v>
      </c>
      <c r="N895">
        <f t="shared" si="28"/>
        <v>0</v>
      </c>
    </row>
    <row r="896" spans="1:14">
      <c r="A896" s="3" t="s">
        <v>3284</v>
      </c>
      <c r="B896">
        <f>IFERROR(VLOOKUP(A896,管理亚马逊库存!A:K,11,0),"")</f>
        <v>0</v>
      </c>
      <c r="C896">
        <f>IFERROR(VLOOKUP(A896,管理亚马逊库存!A:L,12,0),"")</f>
        <v>0</v>
      </c>
      <c r="D896">
        <f>IFERROR(VLOOKUP(A896,管理亚马逊库存!A:Q,17,0),"")</f>
        <v>0</v>
      </c>
      <c r="E896">
        <f>IFERROR(VLOOKUP(A896,管理亚马逊库存!A:R,18,0),"")</f>
        <v>0</v>
      </c>
      <c r="F896">
        <f t="shared" si="27"/>
        <v>0</v>
      </c>
      <c r="G896">
        <f>IFERROR(VLOOKUP(A896,预留库存!A:G,7,0),0)</f>
        <v>0</v>
      </c>
      <c r="H896">
        <f>IFERROR(VLOOKUP(A896,预留库存!A:H,8,0),0)</f>
        <v>0</v>
      </c>
      <c r="I896">
        <f>IFERROR(VLOOKUP(A896,预留库存!A:F,6,0),0)</f>
        <v>0</v>
      </c>
      <c r="J896">
        <f>IFERROR(VLOOKUP(A896,库龄!B:K,9,0),0)</f>
        <v>0</v>
      </c>
      <c r="K896">
        <f>IFERROR(VLOOKUP(A896,库龄!B:L,10,0),0)</f>
        <v>0</v>
      </c>
      <c r="L896">
        <f>IFERROR(VLOOKUP(A896,库龄!B:M,11,0),0)</f>
        <v>0</v>
      </c>
      <c r="M896">
        <f>IFERROR(VLOOKUP(A896,库龄!B:N,12,0),0)</f>
        <v>0</v>
      </c>
      <c r="N896">
        <f t="shared" si="28"/>
        <v>0</v>
      </c>
    </row>
    <row r="897" spans="1:14">
      <c r="A897" s="3" t="s">
        <v>3287</v>
      </c>
      <c r="B897">
        <f>IFERROR(VLOOKUP(A897,管理亚马逊库存!A:K,11,0),"")</f>
        <v>0</v>
      </c>
      <c r="C897">
        <f>IFERROR(VLOOKUP(A897,管理亚马逊库存!A:L,12,0),"")</f>
        <v>0</v>
      </c>
      <c r="D897">
        <f>IFERROR(VLOOKUP(A897,管理亚马逊库存!A:Q,17,0),"")</f>
        <v>0</v>
      </c>
      <c r="E897">
        <f>IFERROR(VLOOKUP(A897,管理亚马逊库存!A:R,18,0),"")</f>
        <v>0</v>
      </c>
      <c r="F897">
        <f t="shared" si="27"/>
        <v>0</v>
      </c>
      <c r="G897">
        <f>IFERROR(VLOOKUP(A897,预留库存!A:G,7,0),0)</f>
        <v>0</v>
      </c>
      <c r="H897">
        <f>IFERROR(VLOOKUP(A897,预留库存!A:H,8,0),0)</f>
        <v>0</v>
      </c>
      <c r="I897">
        <f>IFERROR(VLOOKUP(A897,预留库存!A:F,6,0),0)</f>
        <v>0</v>
      </c>
      <c r="J897">
        <f>IFERROR(VLOOKUP(A897,库龄!B:K,9,0),0)</f>
        <v>0</v>
      </c>
      <c r="K897">
        <f>IFERROR(VLOOKUP(A897,库龄!B:L,10,0),0)</f>
        <v>0</v>
      </c>
      <c r="L897">
        <f>IFERROR(VLOOKUP(A897,库龄!B:M,11,0),0)</f>
        <v>0</v>
      </c>
      <c r="M897">
        <f>IFERROR(VLOOKUP(A897,库龄!B:N,12,0),0)</f>
        <v>0</v>
      </c>
      <c r="N897">
        <f t="shared" si="28"/>
        <v>0</v>
      </c>
    </row>
    <row r="898" spans="1:14">
      <c r="A898" s="3" t="s">
        <v>3291</v>
      </c>
      <c r="B898">
        <f>IFERROR(VLOOKUP(A898,管理亚马逊库存!A:K,11,0),"")</f>
        <v>0</v>
      </c>
      <c r="C898">
        <f>IFERROR(VLOOKUP(A898,管理亚马逊库存!A:L,12,0),"")</f>
        <v>0</v>
      </c>
      <c r="D898">
        <f>IFERROR(VLOOKUP(A898,管理亚马逊库存!A:Q,17,0),"")</f>
        <v>0</v>
      </c>
      <c r="E898">
        <f>IFERROR(VLOOKUP(A898,管理亚马逊库存!A:R,18,0),"")</f>
        <v>0</v>
      </c>
      <c r="F898">
        <f t="shared" si="27"/>
        <v>0</v>
      </c>
      <c r="G898">
        <f>IFERROR(VLOOKUP(A898,预留库存!A:G,7,0),0)</f>
        <v>0</v>
      </c>
      <c r="H898">
        <f>IFERROR(VLOOKUP(A898,预留库存!A:H,8,0),0)</f>
        <v>0</v>
      </c>
      <c r="I898">
        <f>IFERROR(VLOOKUP(A898,预留库存!A:F,6,0),0)</f>
        <v>0</v>
      </c>
      <c r="J898">
        <f>IFERROR(VLOOKUP(A898,库龄!B:K,9,0),0)</f>
        <v>0</v>
      </c>
      <c r="K898">
        <f>IFERROR(VLOOKUP(A898,库龄!B:L,10,0),0)</f>
        <v>0</v>
      </c>
      <c r="L898">
        <f>IFERROR(VLOOKUP(A898,库龄!B:M,11,0),0)</f>
        <v>0</v>
      </c>
      <c r="M898">
        <f>IFERROR(VLOOKUP(A898,库龄!B:N,12,0),0)</f>
        <v>0</v>
      </c>
      <c r="N898">
        <f t="shared" si="28"/>
        <v>0</v>
      </c>
    </row>
    <row r="899" spans="1:14">
      <c r="A899" s="3" t="s">
        <v>3295</v>
      </c>
      <c r="B899">
        <f>IFERROR(VLOOKUP(A899,管理亚马逊库存!A:K,11,0),"")</f>
        <v>0</v>
      </c>
      <c r="C899">
        <f>IFERROR(VLOOKUP(A899,管理亚马逊库存!A:L,12,0),"")</f>
        <v>0</v>
      </c>
      <c r="D899">
        <f>IFERROR(VLOOKUP(A899,管理亚马逊库存!A:Q,17,0),"")</f>
        <v>0</v>
      </c>
      <c r="E899">
        <f>IFERROR(VLOOKUP(A899,管理亚马逊库存!A:R,18,0),"")</f>
        <v>0</v>
      </c>
      <c r="F899">
        <f t="shared" ref="F899:F962" si="29">SUM(D899:E899)</f>
        <v>0</v>
      </c>
      <c r="G899">
        <f>IFERROR(VLOOKUP(A899,预留库存!A:G,7,0),0)</f>
        <v>0</v>
      </c>
      <c r="H899">
        <f>IFERROR(VLOOKUP(A899,预留库存!A:H,8,0),0)</f>
        <v>0</v>
      </c>
      <c r="I899">
        <f>IFERROR(VLOOKUP(A899,预留库存!A:F,6,0),0)</f>
        <v>0</v>
      </c>
      <c r="J899">
        <f>IFERROR(VLOOKUP(A899,库龄!B:K,9,0),0)</f>
        <v>0</v>
      </c>
      <c r="K899">
        <f>IFERROR(VLOOKUP(A899,库龄!B:L,10,0),0)</f>
        <v>0</v>
      </c>
      <c r="L899">
        <f>IFERROR(VLOOKUP(A899,库龄!B:M,11,0),0)</f>
        <v>0</v>
      </c>
      <c r="M899">
        <f>IFERROR(VLOOKUP(A899,库龄!B:N,12,0),0)</f>
        <v>0</v>
      </c>
      <c r="N899">
        <f t="shared" ref="N899:N962" si="30">SUM(J899:M899)</f>
        <v>0</v>
      </c>
    </row>
    <row r="900" spans="1:14">
      <c r="A900" s="3" t="s">
        <v>3298</v>
      </c>
      <c r="B900">
        <f>IFERROR(VLOOKUP(A900,管理亚马逊库存!A:K,11,0),"")</f>
        <v>0</v>
      </c>
      <c r="C900">
        <f>IFERROR(VLOOKUP(A900,管理亚马逊库存!A:L,12,0),"")</f>
        <v>0</v>
      </c>
      <c r="D900">
        <f>IFERROR(VLOOKUP(A900,管理亚马逊库存!A:Q,17,0),"")</f>
        <v>0</v>
      </c>
      <c r="E900">
        <f>IFERROR(VLOOKUP(A900,管理亚马逊库存!A:R,18,0),"")</f>
        <v>0</v>
      </c>
      <c r="F900">
        <f t="shared" si="29"/>
        <v>0</v>
      </c>
      <c r="G900">
        <f>IFERROR(VLOOKUP(A900,预留库存!A:G,7,0),0)</f>
        <v>0</v>
      </c>
      <c r="H900">
        <f>IFERROR(VLOOKUP(A900,预留库存!A:H,8,0),0)</f>
        <v>0</v>
      </c>
      <c r="I900">
        <f>IFERROR(VLOOKUP(A900,预留库存!A:F,6,0),0)</f>
        <v>0</v>
      </c>
      <c r="J900">
        <f>IFERROR(VLOOKUP(A900,库龄!B:K,9,0),0)</f>
        <v>0</v>
      </c>
      <c r="K900">
        <f>IFERROR(VLOOKUP(A900,库龄!B:L,10,0),0)</f>
        <v>0</v>
      </c>
      <c r="L900">
        <f>IFERROR(VLOOKUP(A900,库龄!B:M,11,0),0)</f>
        <v>0</v>
      </c>
      <c r="M900">
        <f>IFERROR(VLOOKUP(A900,库龄!B:N,12,0),0)</f>
        <v>0</v>
      </c>
      <c r="N900">
        <f t="shared" si="30"/>
        <v>0</v>
      </c>
    </row>
    <row r="901" spans="1:14">
      <c r="A901" s="3" t="s">
        <v>3301</v>
      </c>
      <c r="B901">
        <f>IFERROR(VLOOKUP(A901,管理亚马逊库存!A:K,11,0),"")</f>
        <v>0</v>
      </c>
      <c r="C901">
        <f>IFERROR(VLOOKUP(A901,管理亚马逊库存!A:L,12,0),"")</f>
        <v>0</v>
      </c>
      <c r="D901">
        <f>IFERROR(VLOOKUP(A901,管理亚马逊库存!A:Q,17,0),"")</f>
        <v>0</v>
      </c>
      <c r="E901">
        <f>IFERROR(VLOOKUP(A901,管理亚马逊库存!A:R,18,0),"")</f>
        <v>0</v>
      </c>
      <c r="F901">
        <f t="shared" si="29"/>
        <v>0</v>
      </c>
      <c r="G901">
        <f>IFERROR(VLOOKUP(A901,预留库存!A:G,7,0),0)</f>
        <v>0</v>
      </c>
      <c r="H901">
        <f>IFERROR(VLOOKUP(A901,预留库存!A:H,8,0),0)</f>
        <v>0</v>
      </c>
      <c r="I901">
        <f>IFERROR(VLOOKUP(A901,预留库存!A:F,6,0),0)</f>
        <v>0</v>
      </c>
      <c r="J901">
        <f>IFERROR(VLOOKUP(A901,库龄!B:K,9,0),0)</f>
        <v>0</v>
      </c>
      <c r="K901">
        <f>IFERROR(VLOOKUP(A901,库龄!B:L,10,0),0)</f>
        <v>0</v>
      </c>
      <c r="L901">
        <f>IFERROR(VLOOKUP(A901,库龄!B:M,11,0),0)</f>
        <v>0</v>
      </c>
      <c r="M901">
        <f>IFERROR(VLOOKUP(A901,库龄!B:N,12,0),0)</f>
        <v>0</v>
      </c>
      <c r="N901">
        <f t="shared" si="30"/>
        <v>0</v>
      </c>
    </row>
    <row r="902" spans="1:14">
      <c r="A902" s="3" t="s">
        <v>3304</v>
      </c>
      <c r="B902">
        <f>IFERROR(VLOOKUP(A902,管理亚马逊库存!A:K,11,0),"")</f>
        <v>0</v>
      </c>
      <c r="C902">
        <f>IFERROR(VLOOKUP(A902,管理亚马逊库存!A:L,12,0),"")</f>
        <v>0</v>
      </c>
      <c r="D902">
        <f>IFERROR(VLOOKUP(A902,管理亚马逊库存!A:Q,17,0),"")</f>
        <v>0</v>
      </c>
      <c r="E902">
        <f>IFERROR(VLOOKUP(A902,管理亚马逊库存!A:R,18,0),"")</f>
        <v>0</v>
      </c>
      <c r="F902">
        <f t="shared" si="29"/>
        <v>0</v>
      </c>
      <c r="G902">
        <f>IFERROR(VLOOKUP(A902,预留库存!A:G,7,0),0)</f>
        <v>0</v>
      </c>
      <c r="H902">
        <f>IFERROR(VLOOKUP(A902,预留库存!A:H,8,0),0)</f>
        <v>0</v>
      </c>
      <c r="I902">
        <f>IFERROR(VLOOKUP(A902,预留库存!A:F,6,0),0)</f>
        <v>0</v>
      </c>
      <c r="J902">
        <f>IFERROR(VLOOKUP(A902,库龄!B:K,9,0),0)</f>
        <v>0</v>
      </c>
      <c r="K902">
        <f>IFERROR(VLOOKUP(A902,库龄!B:L,10,0),0)</f>
        <v>0</v>
      </c>
      <c r="L902">
        <f>IFERROR(VLOOKUP(A902,库龄!B:M,11,0),0)</f>
        <v>0</v>
      </c>
      <c r="M902">
        <f>IFERROR(VLOOKUP(A902,库龄!B:N,12,0),0)</f>
        <v>0</v>
      </c>
      <c r="N902">
        <f t="shared" si="30"/>
        <v>0</v>
      </c>
    </row>
    <row r="903" spans="1:14">
      <c r="A903" s="3" t="s">
        <v>3308</v>
      </c>
      <c r="B903">
        <f>IFERROR(VLOOKUP(A903,管理亚马逊库存!A:K,11,0),"")</f>
        <v>0</v>
      </c>
      <c r="C903">
        <f>IFERROR(VLOOKUP(A903,管理亚马逊库存!A:L,12,0),"")</f>
        <v>0</v>
      </c>
      <c r="D903">
        <f>IFERROR(VLOOKUP(A903,管理亚马逊库存!A:Q,17,0),"")</f>
        <v>0</v>
      </c>
      <c r="E903">
        <f>IFERROR(VLOOKUP(A903,管理亚马逊库存!A:R,18,0),"")</f>
        <v>0</v>
      </c>
      <c r="F903">
        <f t="shared" si="29"/>
        <v>0</v>
      </c>
      <c r="G903">
        <f>IFERROR(VLOOKUP(A903,预留库存!A:G,7,0),0)</f>
        <v>0</v>
      </c>
      <c r="H903">
        <f>IFERROR(VLOOKUP(A903,预留库存!A:H,8,0),0)</f>
        <v>0</v>
      </c>
      <c r="I903">
        <f>IFERROR(VLOOKUP(A903,预留库存!A:F,6,0),0)</f>
        <v>0</v>
      </c>
      <c r="J903">
        <f>IFERROR(VLOOKUP(A903,库龄!B:K,9,0),0)</f>
        <v>0</v>
      </c>
      <c r="K903">
        <f>IFERROR(VLOOKUP(A903,库龄!B:L,10,0),0)</f>
        <v>0</v>
      </c>
      <c r="L903">
        <f>IFERROR(VLOOKUP(A903,库龄!B:M,11,0),0)</f>
        <v>0</v>
      </c>
      <c r="M903">
        <f>IFERROR(VLOOKUP(A903,库龄!B:N,12,0),0)</f>
        <v>0</v>
      </c>
      <c r="N903">
        <f t="shared" si="30"/>
        <v>0</v>
      </c>
    </row>
    <row r="904" spans="1:14">
      <c r="A904" s="3" t="s">
        <v>3312</v>
      </c>
      <c r="B904">
        <f>IFERROR(VLOOKUP(A904,管理亚马逊库存!A:K,11,0),"")</f>
        <v>0</v>
      </c>
      <c r="C904">
        <f>IFERROR(VLOOKUP(A904,管理亚马逊库存!A:L,12,0),"")</f>
        <v>0</v>
      </c>
      <c r="D904">
        <f>IFERROR(VLOOKUP(A904,管理亚马逊库存!A:Q,17,0),"")</f>
        <v>0</v>
      </c>
      <c r="E904">
        <f>IFERROR(VLOOKUP(A904,管理亚马逊库存!A:R,18,0),"")</f>
        <v>0</v>
      </c>
      <c r="F904">
        <f t="shared" si="29"/>
        <v>0</v>
      </c>
      <c r="G904">
        <f>IFERROR(VLOOKUP(A904,预留库存!A:G,7,0),0)</f>
        <v>0</v>
      </c>
      <c r="H904">
        <f>IFERROR(VLOOKUP(A904,预留库存!A:H,8,0),0)</f>
        <v>0</v>
      </c>
      <c r="I904">
        <f>IFERROR(VLOOKUP(A904,预留库存!A:F,6,0),0)</f>
        <v>0</v>
      </c>
      <c r="J904">
        <f>IFERROR(VLOOKUP(A904,库龄!B:K,9,0),0)</f>
        <v>0</v>
      </c>
      <c r="K904">
        <f>IFERROR(VLOOKUP(A904,库龄!B:L,10,0),0)</f>
        <v>0</v>
      </c>
      <c r="L904">
        <f>IFERROR(VLOOKUP(A904,库龄!B:M,11,0),0)</f>
        <v>0</v>
      </c>
      <c r="M904">
        <f>IFERROR(VLOOKUP(A904,库龄!B:N,12,0),0)</f>
        <v>0</v>
      </c>
      <c r="N904">
        <f t="shared" si="30"/>
        <v>0</v>
      </c>
    </row>
    <row r="905" spans="1:14">
      <c r="A905" s="3" t="s">
        <v>3316</v>
      </c>
      <c r="B905">
        <f>IFERROR(VLOOKUP(A905,管理亚马逊库存!A:K,11,0),"")</f>
        <v>0</v>
      </c>
      <c r="C905">
        <f>IFERROR(VLOOKUP(A905,管理亚马逊库存!A:L,12,0),"")</f>
        <v>0</v>
      </c>
      <c r="D905">
        <f>IFERROR(VLOOKUP(A905,管理亚马逊库存!A:Q,17,0),"")</f>
        <v>0</v>
      </c>
      <c r="E905">
        <f>IFERROR(VLOOKUP(A905,管理亚马逊库存!A:R,18,0),"")</f>
        <v>0</v>
      </c>
      <c r="F905">
        <f t="shared" si="29"/>
        <v>0</v>
      </c>
      <c r="G905">
        <f>IFERROR(VLOOKUP(A905,预留库存!A:G,7,0),0)</f>
        <v>0</v>
      </c>
      <c r="H905">
        <f>IFERROR(VLOOKUP(A905,预留库存!A:H,8,0),0)</f>
        <v>0</v>
      </c>
      <c r="I905">
        <f>IFERROR(VLOOKUP(A905,预留库存!A:F,6,0),0)</f>
        <v>0</v>
      </c>
      <c r="J905">
        <f>IFERROR(VLOOKUP(A905,库龄!B:K,9,0),0)</f>
        <v>0</v>
      </c>
      <c r="K905">
        <f>IFERROR(VLOOKUP(A905,库龄!B:L,10,0),0)</f>
        <v>0</v>
      </c>
      <c r="L905">
        <f>IFERROR(VLOOKUP(A905,库龄!B:M,11,0),0)</f>
        <v>0</v>
      </c>
      <c r="M905">
        <f>IFERROR(VLOOKUP(A905,库龄!B:N,12,0),0)</f>
        <v>0</v>
      </c>
      <c r="N905">
        <f t="shared" si="30"/>
        <v>0</v>
      </c>
    </row>
    <row r="906" spans="1:14">
      <c r="A906" s="3" t="s">
        <v>3320</v>
      </c>
      <c r="B906">
        <f>IFERROR(VLOOKUP(A906,管理亚马逊库存!A:K,11,0),"")</f>
        <v>0</v>
      </c>
      <c r="C906">
        <f>IFERROR(VLOOKUP(A906,管理亚马逊库存!A:L,12,0),"")</f>
        <v>0</v>
      </c>
      <c r="D906">
        <f>IFERROR(VLOOKUP(A906,管理亚马逊库存!A:Q,17,0),"")</f>
        <v>0</v>
      </c>
      <c r="E906">
        <f>IFERROR(VLOOKUP(A906,管理亚马逊库存!A:R,18,0),"")</f>
        <v>0</v>
      </c>
      <c r="F906">
        <f t="shared" si="29"/>
        <v>0</v>
      </c>
      <c r="G906">
        <f>IFERROR(VLOOKUP(A906,预留库存!A:G,7,0),0)</f>
        <v>0</v>
      </c>
      <c r="H906">
        <f>IFERROR(VLOOKUP(A906,预留库存!A:H,8,0),0)</f>
        <v>0</v>
      </c>
      <c r="I906">
        <f>IFERROR(VLOOKUP(A906,预留库存!A:F,6,0),0)</f>
        <v>0</v>
      </c>
      <c r="J906">
        <f>IFERROR(VLOOKUP(A906,库龄!B:K,9,0),0)</f>
        <v>0</v>
      </c>
      <c r="K906">
        <f>IFERROR(VLOOKUP(A906,库龄!B:L,10,0),0)</f>
        <v>0</v>
      </c>
      <c r="L906">
        <f>IFERROR(VLOOKUP(A906,库龄!B:M,11,0),0)</f>
        <v>0</v>
      </c>
      <c r="M906">
        <f>IFERROR(VLOOKUP(A906,库龄!B:N,12,0),0)</f>
        <v>0</v>
      </c>
      <c r="N906">
        <f t="shared" si="30"/>
        <v>0</v>
      </c>
    </row>
    <row r="907" spans="1:14">
      <c r="A907" s="3" t="s">
        <v>3324</v>
      </c>
      <c r="B907">
        <f>IFERROR(VLOOKUP(A907,管理亚马逊库存!A:K,11,0),"")</f>
        <v>0</v>
      </c>
      <c r="C907">
        <f>IFERROR(VLOOKUP(A907,管理亚马逊库存!A:L,12,0),"")</f>
        <v>1</v>
      </c>
      <c r="D907">
        <f>IFERROR(VLOOKUP(A907,管理亚马逊库存!A:Q,17,0),"")</f>
        <v>0</v>
      </c>
      <c r="E907">
        <f>IFERROR(VLOOKUP(A907,管理亚马逊库存!A:R,18,0),"")</f>
        <v>0</v>
      </c>
      <c r="F907">
        <f t="shared" si="29"/>
        <v>0</v>
      </c>
      <c r="G907">
        <f>IFERROR(VLOOKUP(A907,预留库存!A:G,7,0),0)</f>
        <v>0</v>
      </c>
      <c r="H907">
        <f>IFERROR(VLOOKUP(A907,预留库存!A:H,8,0),0)</f>
        <v>0</v>
      </c>
      <c r="I907">
        <f>IFERROR(VLOOKUP(A907,预留库存!A:F,6,0),0)</f>
        <v>0</v>
      </c>
      <c r="J907">
        <f>IFERROR(VLOOKUP(A907,库龄!B:K,9,0),0)</f>
        <v>0</v>
      </c>
      <c r="K907">
        <f>IFERROR(VLOOKUP(A907,库龄!B:L,10,0),0)</f>
        <v>0</v>
      </c>
      <c r="L907">
        <f>IFERROR(VLOOKUP(A907,库龄!B:M,11,0),0)</f>
        <v>0</v>
      </c>
      <c r="M907">
        <f>IFERROR(VLOOKUP(A907,库龄!B:N,12,0),0)</f>
        <v>0</v>
      </c>
      <c r="N907">
        <f t="shared" si="30"/>
        <v>0</v>
      </c>
    </row>
    <row r="908" spans="1:14">
      <c r="A908" s="3" t="s">
        <v>3328</v>
      </c>
      <c r="B908">
        <f>IFERROR(VLOOKUP(A908,管理亚马逊库存!A:K,11,0),"")</f>
        <v>0</v>
      </c>
      <c r="C908">
        <f>IFERROR(VLOOKUP(A908,管理亚马逊库存!A:L,12,0),"")</f>
        <v>0</v>
      </c>
      <c r="D908">
        <f>IFERROR(VLOOKUP(A908,管理亚马逊库存!A:Q,17,0),"")</f>
        <v>0</v>
      </c>
      <c r="E908">
        <f>IFERROR(VLOOKUP(A908,管理亚马逊库存!A:R,18,0),"")</f>
        <v>0</v>
      </c>
      <c r="F908">
        <f t="shared" si="29"/>
        <v>0</v>
      </c>
      <c r="G908">
        <f>IFERROR(VLOOKUP(A908,预留库存!A:G,7,0),0)</f>
        <v>0</v>
      </c>
      <c r="H908">
        <f>IFERROR(VLOOKUP(A908,预留库存!A:H,8,0),0)</f>
        <v>0</v>
      </c>
      <c r="I908">
        <f>IFERROR(VLOOKUP(A908,预留库存!A:F,6,0),0)</f>
        <v>0</v>
      </c>
      <c r="J908">
        <f>IFERROR(VLOOKUP(A908,库龄!B:K,9,0),0)</f>
        <v>0</v>
      </c>
      <c r="K908">
        <f>IFERROR(VLOOKUP(A908,库龄!B:L,10,0),0)</f>
        <v>0</v>
      </c>
      <c r="L908">
        <f>IFERROR(VLOOKUP(A908,库龄!B:M,11,0),0)</f>
        <v>0</v>
      </c>
      <c r="M908">
        <f>IFERROR(VLOOKUP(A908,库龄!B:N,12,0),0)</f>
        <v>0</v>
      </c>
      <c r="N908">
        <f t="shared" si="30"/>
        <v>0</v>
      </c>
    </row>
    <row r="909" spans="1:14">
      <c r="A909" s="3" t="s">
        <v>3332</v>
      </c>
      <c r="B909">
        <f>IFERROR(VLOOKUP(A909,管理亚马逊库存!A:K,11,0),"")</f>
        <v>0</v>
      </c>
      <c r="C909">
        <f>IFERROR(VLOOKUP(A909,管理亚马逊库存!A:L,12,0),"")</f>
        <v>0</v>
      </c>
      <c r="D909">
        <f>IFERROR(VLOOKUP(A909,管理亚马逊库存!A:Q,17,0),"")</f>
        <v>0</v>
      </c>
      <c r="E909">
        <f>IFERROR(VLOOKUP(A909,管理亚马逊库存!A:R,18,0),"")</f>
        <v>0</v>
      </c>
      <c r="F909">
        <f t="shared" si="29"/>
        <v>0</v>
      </c>
      <c r="G909">
        <f>IFERROR(VLOOKUP(A909,预留库存!A:G,7,0),0)</f>
        <v>0</v>
      </c>
      <c r="H909">
        <f>IFERROR(VLOOKUP(A909,预留库存!A:H,8,0),0)</f>
        <v>0</v>
      </c>
      <c r="I909">
        <f>IFERROR(VLOOKUP(A909,预留库存!A:F,6,0),0)</f>
        <v>0</v>
      </c>
      <c r="J909">
        <f>IFERROR(VLOOKUP(A909,库龄!B:K,9,0),0)</f>
        <v>0</v>
      </c>
      <c r="K909">
        <f>IFERROR(VLOOKUP(A909,库龄!B:L,10,0),0)</f>
        <v>0</v>
      </c>
      <c r="L909">
        <f>IFERROR(VLOOKUP(A909,库龄!B:M,11,0),0)</f>
        <v>0</v>
      </c>
      <c r="M909">
        <f>IFERROR(VLOOKUP(A909,库龄!B:N,12,0),0)</f>
        <v>0</v>
      </c>
      <c r="N909">
        <f t="shared" si="30"/>
        <v>0</v>
      </c>
    </row>
    <row r="910" spans="1:14">
      <c r="A910" s="3" t="s">
        <v>3336</v>
      </c>
      <c r="B910">
        <f>IFERROR(VLOOKUP(A910,管理亚马逊库存!A:K,11,0),"")</f>
        <v>0</v>
      </c>
      <c r="C910">
        <f>IFERROR(VLOOKUP(A910,管理亚马逊库存!A:L,12,0),"")</f>
        <v>0</v>
      </c>
      <c r="D910">
        <f>IFERROR(VLOOKUP(A910,管理亚马逊库存!A:Q,17,0),"")</f>
        <v>0</v>
      </c>
      <c r="E910">
        <f>IFERROR(VLOOKUP(A910,管理亚马逊库存!A:R,18,0),"")</f>
        <v>0</v>
      </c>
      <c r="F910">
        <f t="shared" si="29"/>
        <v>0</v>
      </c>
      <c r="G910">
        <f>IFERROR(VLOOKUP(A910,预留库存!A:G,7,0),0)</f>
        <v>0</v>
      </c>
      <c r="H910">
        <f>IFERROR(VLOOKUP(A910,预留库存!A:H,8,0),0)</f>
        <v>0</v>
      </c>
      <c r="I910">
        <f>IFERROR(VLOOKUP(A910,预留库存!A:F,6,0),0)</f>
        <v>0</v>
      </c>
      <c r="J910">
        <f>IFERROR(VLOOKUP(A910,库龄!B:K,9,0),0)</f>
        <v>0</v>
      </c>
      <c r="K910">
        <f>IFERROR(VLOOKUP(A910,库龄!B:L,10,0),0)</f>
        <v>0</v>
      </c>
      <c r="L910">
        <f>IFERROR(VLOOKUP(A910,库龄!B:M,11,0),0)</f>
        <v>0</v>
      </c>
      <c r="M910">
        <f>IFERROR(VLOOKUP(A910,库龄!B:N,12,0),0)</f>
        <v>0</v>
      </c>
      <c r="N910">
        <f t="shared" si="30"/>
        <v>0</v>
      </c>
    </row>
    <row r="911" spans="1:14">
      <c r="A911" s="3" t="s">
        <v>3340</v>
      </c>
      <c r="B911">
        <f>IFERROR(VLOOKUP(A911,管理亚马逊库存!A:K,11,0),"")</f>
        <v>0</v>
      </c>
      <c r="C911">
        <f>IFERROR(VLOOKUP(A911,管理亚马逊库存!A:L,12,0),"")</f>
        <v>0</v>
      </c>
      <c r="D911">
        <f>IFERROR(VLOOKUP(A911,管理亚马逊库存!A:Q,17,0),"")</f>
        <v>0</v>
      </c>
      <c r="E911">
        <f>IFERROR(VLOOKUP(A911,管理亚马逊库存!A:R,18,0),"")</f>
        <v>0</v>
      </c>
      <c r="F911">
        <f t="shared" si="29"/>
        <v>0</v>
      </c>
      <c r="G911">
        <f>IFERROR(VLOOKUP(A911,预留库存!A:G,7,0),0)</f>
        <v>0</v>
      </c>
      <c r="H911">
        <f>IFERROR(VLOOKUP(A911,预留库存!A:H,8,0),0)</f>
        <v>0</v>
      </c>
      <c r="I911">
        <f>IFERROR(VLOOKUP(A911,预留库存!A:F,6,0),0)</f>
        <v>0</v>
      </c>
      <c r="J911">
        <f>IFERROR(VLOOKUP(A911,库龄!B:K,9,0),0)</f>
        <v>0</v>
      </c>
      <c r="K911">
        <f>IFERROR(VLOOKUP(A911,库龄!B:L,10,0),0)</f>
        <v>0</v>
      </c>
      <c r="L911">
        <f>IFERROR(VLOOKUP(A911,库龄!B:M,11,0),0)</f>
        <v>0</v>
      </c>
      <c r="M911">
        <f>IFERROR(VLOOKUP(A911,库龄!B:N,12,0),0)</f>
        <v>0</v>
      </c>
      <c r="N911">
        <f t="shared" si="30"/>
        <v>0</v>
      </c>
    </row>
    <row r="912" spans="1:14">
      <c r="A912" s="3" t="s">
        <v>3344</v>
      </c>
      <c r="B912">
        <f>IFERROR(VLOOKUP(A912,管理亚马逊库存!A:K,11,0),"")</f>
        <v>0</v>
      </c>
      <c r="C912">
        <f>IFERROR(VLOOKUP(A912,管理亚马逊库存!A:L,12,0),"")</f>
        <v>0</v>
      </c>
      <c r="D912">
        <f>IFERROR(VLOOKUP(A912,管理亚马逊库存!A:Q,17,0),"")</f>
        <v>0</v>
      </c>
      <c r="E912">
        <f>IFERROR(VLOOKUP(A912,管理亚马逊库存!A:R,18,0),"")</f>
        <v>0</v>
      </c>
      <c r="F912">
        <f t="shared" si="29"/>
        <v>0</v>
      </c>
      <c r="G912">
        <f>IFERROR(VLOOKUP(A912,预留库存!A:G,7,0),0)</f>
        <v>0</v>
      </c>
      <c r="H912">
        <f>IFERROR(VLOOKUP(A912,预留库存!A:H,8,0),0)</f>
        <v>0</v>
      </c>
      <c r="I912">
        <f>IFERROR(VLOOKUP(A912,预留库存!A:F,6,0),0)</f>
        <v>0</v>
      </c>
      <c r="J912">
        <f>IFERROR(VLOOKUP(A912,库龄!B:K,9,0),0)</f>
        <v>0</v>
      </c>
      <c r="K912">
        <f>IFERROR(VLOOKUP(A912,库龄!B:L,10,0),0)</f>
        <v>0</v>
      </c>
      <c r="L912">
        <f>IFERROR(VLOOKUP(A912,库龄!B:M,11,0),0)</f>
        <v>0</v>
      </c>
      <c r="M912">
        <f>IFERROR(VLOOKUP(A912,库龄!B:N,12,0),0)</f>
        <v>0</v>
      </c>
      <c r="N912">
        <f t="shared" si="30"/>
        <v>0</v>
      </c>
    </row>
    <row r="913" spans="1:14">
      <c r="A913" s="3" t="s">
        <v>3348</v>
      </c>
      <c r="B913">
        <f>IFERROR(VLOOKUP(A913,管理亚马逊库存!A:K,11,0),"")</f>
        <v>0</v>
      </c>
      <c r="C913">
        <f>IFERROR(VLOOKUP(A913,管理亚马逊库存!A:L,12,0),"")</f>
        <v>0</v>
      </c>
      <c r="D913">
        <f>IFERROR(VLOOKUP(A913,管理亚马逊库存!A:Q,17,0),"")</f>
        <v>0</v>
      </c>
      <c r="E913">
        <f>IFERROR(VLOOKUP(A913,管理亚马逊库存!A:R,18,0),"")</f>
        <v>0</v>
      </c>
      <c r="F913">
        <f t="shared" si="29"/>
        <v>0</v>
      </c>
      <c r="G913">
        <f>IFERROR(VLOOKUP(A913,预留库存!A:G,7,0),0)</f>
        <v>0</v>
      </c>
      <c r="H913">
        <f>IFERROR(VLOOKUP(A913,预留库存!A:H,8,0),0)</f>
        <v>0</v>
      </c>
      <c r="I913">
        <f>IFERROR(VLOOKUP(A913,预留库存!A:F,6,0),0)</f>
        <v>0</v>
      </c>
      <c r="J913">
        <f>IFERROR(VLOOKUP(A913,库龄!B:K,9,0),0)</f>
        <v>0</v>
      </c>
      <c r="K913">
        <f>IFERROR(VLOOKUP(A913,库龄!B:L,10,0),0)</f>
        <v>0</v>
      </c>
      <c r="L913">
        <f>IFERROR(VLOOKUP(A913,库龄!B:M,11,0),0)</f>
        <v>0</v>
      </c>
      <c r="M913">
        <f>IFERROR(VLOOKUP(A913,库龄!B:N,12,0),0)</f>
        <v>0</v>
      </c>
      <c r="N913">
        <f t="shared" si="30"/>
        <v>0</v>
      </c>
    </row>
    <row r="914" spans="1:14">
      <c r="A914" s="3" t="s">
        <v>3350</v>
      </c>
      <c r="B914">
        <f>IFERROR(VLOOKUP(A914,管理亚马逊库存!A:K,11,0),"")</f>
        <v>0</v>
      </c>
      <c r="C914">
        <f>IFERROR(VLOOKUP(A914,管理亚马逊库存!A:L,12,0),"")</f>
        <v>0</v>
      </c>
      <c r="D914">
        <f>IFERROR(VLOOKUP(A914,管理亚马逊库存!A:Q,17,0),"")</f>
        <v>0</v>
      </c>
      <c r="E914">
        <f>IFERROR(VLOOKUP(A914,管理亚马逊库存!A:R,18,0),"")</f>
        <v>0</v>
      </c>
      <c r="F914">
        <f t="shared" si="29"/>
        <v>0</v>
      </c>
      <c r="G914">
        <f>IFERROR(VLOOKUP(A914,预留库存!A:G,7,0),0)</f>
        <v>0</v>
      </c>
      <c r="H914">
        <f>IFERROR(VLOOKUP(A914,预留库存!A:H,8,0),0)</f>
        <v>0</v>
      </c>
      <c r="I914">
        <f>IFERROR(VLOOKUP(A914,预留库存!A:F,6,0),0)</f>
        <v>0</v>
      </c>
      <c r="J914">
        <f>IFERROR(VLOOKUP(A914,库龄!B:K,9,0),0)</f>
        <v>0</v>
      </c>
      <c r="K914">
        <f>IFERROR(VLOOKUP(A914,库龄!B:L,10,0),0)</f>
        <v>0</v>
      </c>
      <c r="L914">
        <f>IFERROR(VLOOKUP(A914,库龄!B:M,11,0),0)</f>
        <v>0</v>
      </c>
      <c r="M914">
        <f>IFERROR(VLOOKUP(A914,库龄!B:N,12,0),0)</f>
        <v>0</v>
      </c>
      <c r="N914">
        <f t="shared" si="30"/>
        <v>0</v>
      </c>
    </row>
    <row r="915" spans="1:14">
      <c r="A915" s="3" t="s">
        <v>3352</v>
      </c>
      <c r="B915">
        <f>IFERROR(VLOOKUP(A915,管理亚马逊库存!A:K,11,0),"")</f>
        <v>0</v>
      </c>
      <c r="C915">
        <f>IFERROR(VLOOKUP(A915,管理亚马逊库存!A:L,12,0),"")</f>
        <v>0</v>
      </c>
      <c r="D915">
        <f>IFERROR(VLOOKUP(A915,管理亚马逊库存!A:Q,17,0),"")</f>
        <v>0</v>
      </c>
      <c r="E915">
        <f>IFERROR(VLOOKUP(A915,管理亚马逊库存!A:R,18,0),"")</f>
        <v>0</v>
      </c>
      <c r="F915">
        <f t="shared" si="29"/>
        <v>0</v>
      </c>
      <c r="G915">
        <f>IFERROR(VLOOKUP(A915,预留库存!A:G,7,0),0)</f>
        <v>0</v>
      </c>
      <c r="H915">
        <f>IFERROR(VLOOKUP(A915,预留库存!A:H,8,0),0)</f>
        <v>0</v>
      </c>
      <c r="I915">
        <f>IFERROR(VLOOKUP(A915,预留库存!A:F,6,0),0)</f>
        <v>0</v>
      </c>
      <c r="J915">
        <f>IFERROR(VLOOKUP(A915,库龄!B:K,9,0),0)</f>
        <v>0</v>
      </c>
      <c r="K915">
        <f>IFERROR(VLOOKUP(A915,库龄!B:L,10,0),0)</f>
        <v>0</v>
      </c>
      <c r="L915">
        <f>IFERROR(VLOOKUP(A915,库龄!B:M,11,0),0)</f>
        <v>0</v>
      </c>
      <c r="M915">
        <f>IFERROR(VLOOKUP(A915,库龄!B:N,12,0),0)</f>
        <v>0</v>
      </c>
      <c r="N915">
        <f t="shared" si="30"/>
        <v>0</v>
      </c>
    </row>
    <row r="916" spans="1:14">
      <c r="A916" s="3" t="s">
        <v>3354</v>
      </c>
      <c r="B916">
        <f>IFERROR(VLOOKUP(A916,管理亚马逊库存!A:K,11,0),"")</f>
        <v>0</v>
      </c>
      <c r="C916">
        <f>IFERROR(VLOOKUP(A916,管理亚马逊库存!A:L,12,0),"")</f>
        <v>0</v>
      </c>
      <c r="D916">
        <f>IFERROR(VLOOKUP(A916,管理亚马逊库存!A:Q,17,0),"")</f>
        <v>0</v>
      </c>
      <c r="E916">
        <f>IFERROR(VLOOKUP(A916,管理亚马逊库存!A:R,18,0),"")</f>
        <v>0</v>
      </c>
      <c r="F916">
        <f t="shared" si="29"/>
        <v>0</v>
      </c>
      <c r="G916">
        <f>IFERROR(VLOOKUP(A916,预留库存!A:G,7,0),0)</f>
        <v>0</v>
      </c>
      <c r="H916">
        <f>IFERROR(VLOOKUP(A916,预留库存!A:H,8,0),0)</f>
        <v>0</v>
      </c>
      <c r="I916">
        <f>IFERROR(VLOOKUP(A916,预留库存!A:F,6,0),0)</f>
        <v>0</v>
      </c>
      <c r="J916">
        <f>IFERROR(VLOOKUP(A916,库龄!B:K,9,0),0)</f>
        <v>0</v>
      </c>
      <c r="K916">
        <f>IFERROR(VLOOKUP(A916,库龄!B:L,10,0),0)</f>
        <v>0</v>
      </c>
      <c r="L916">
        <f>IFERROR(VLOOKUP(A916,库龄!B:M,11,0),0)</f>
        <v>0</v>
      </c>
      <c r="M916">
        <f>IFERROR(VLOOKUP(A916,库龄!B:N,12,0),0)</f>
        <v>0</v>
      </c>
      <c r="N916">
        <f t="shared" si="30"/>
        <v>0</v>
      </c>
    </row>
    <row r="917" spans="1:14">
      <c r="A917" s="3" t="s">
        <v>3356</v>
      </c>
      <c r="B917">
        <f>IFERROR(VLOOKUP(A917,管理亚马逊库存!A:K,11,0),"")</f>
        <v>0</v>
      </c>
      <c r="C917">
        <f>IFERROR(VLOOKUP(A917,管理亚马逊库存!A:L,12,0),"")</f>
        <v>0</v>
      </c>
      <c r="D917">
        <f>IFERROR(VLOOKUP(A917,管理亚马逊库存!A:Q,17,0),"")</f>
        <v>0</v>
      </c>
      <c r="E917">
        <f>IFERROR(VLOOKUP(A917,管理亚马逊库存!A:R,18,0),"")</f>
        <v>0</v>
      </c>
      <c r="F917">
        <f t="shared" si="29"/>
        <v>0</v>
      </c>
      <c r="G917">
        <f>IFERROR(VLOOKUP(A917,预留库存!A:G,7,0),0)</f>
        <v>0</v>
      </c>
      <c r="H917">
        <f>IFERROR(VLOOKUP(A917,预留库存!A:H,8,0),0)</f>
        <v>0</v>
      </c>
      <c r="I917">
        <f>IFERROR(VLOOKUP(A917,预留库存!A:F,6,0),0)</f>
        <v>0</v>
      </c>
      <c r="J917">
        <f>IFERROR(VLOOKUP(A917,库龄!B:K,9,0),0)</f>
        <v>0</v>
      </c>
      <c r="K917">
        <f>IFERROR(VLOOKUP(A917,库龄!B:L,10,0),0)</f>
        <v>0</v>
      </c>
      <c r="L917">
        <f>IFERROR(VLOOKUP(A917,库龄!B:M,11,0),0)</f>
        <v>0</v>
      </c>
      <c r="M917">
        <f>IFERROR(VLOOKUP(A917,库龄!B:N,12,0),0)</f>
        <v>0</v>
      </c>
      <c r="N917">
        <f t="shared" si="30"/>
        <v>0</v>
      </c>
    </row>
    <row r="918" spans="1:14">
      <c r="A918" s="3" t="s">
        <v>3359</v>
      </c>
      <c r="B918">
        <f>IFERROR(VLOOKUP(A918,管理亚马逊库存!A:K,11,0),"")</f>
        <v>0</v>
      </c>
      <c r="C918">
        <f>IFERROR(VLOOKUP(A918,管理亚马逊库存!A:L,12,0),"")</f>
        <v>0</v>
      </c>
      <c r="D918">
        <f>IFERROR(VLOOKUP(A918,管理亚马逊库存!A:Q,17,0),"")</f>
        <v>0</v>
      </c>
      <c r="E918">
        <f>IFERROR(VLOOKUP(A918,管理亚马逊库存!A:R,18,0),"")</f>
        <v>0</v>
      </c>
      <c r="F918">
        <f t="shared" si="29"/>
        <v>0</v>
      </c>
      <c r="G918">
        <f>IFERROR(VLOOKUP(A918,预留库存!A:G,7,0),0)</f>
        <v>0</v>
      </c>
      <c r="H918">
        <f>IFERROR(VLOOKUP(A918,预留库存!A:H,8,0),0)</f>
        <v>0</v>
      </c>
      <c r="I918">
        <f>IFERROR(VLOOKUP(A918,预留库存!A:F,6,0),0)</f>
        <v>0</v>
      </c>
      <c r="J918">
        <f>IFERROR(VLOOKUP(A918,库龄!B:K,9,0),0)</f>
        <v>0</v>
      </c>
      <c r="K918">
        <f>IFERROR(VLOOKUP(A918,库龄!B:L,10,0),0)</f>
        <v>0</v>
      </c>
      <c r="L918">
        <f>IFERROR(VLOOKUP(A918,库龄!B:M,11,0),0)</f>
        <v>0</v>
      </c>
      <c r="M918">
        <f>IFERROR(VLOOKUP(A918,库龄!B:N,12,0),0)</f>
        <v>0</v>
      </c>
      <c r="N918">
        <f t="shared" si="30"/>
        <v>0</v>
      </c>
    </row>
    <row r="919" spans="1:14">
      <c r="A919" s="3" t="s">
        <v>3362</v>
      </c>
      <c r="B919">
        <f>IFERROR(VLOOKUP(A919,管理亚马逊库存!A:K,11,0),"")</f>
        <v>0</v>
      </c>
      <c r="C919">
        <f>IFERROR(VLOOKUP(A919,管理亚马逊库存!A:L,12,0),"")</f>
        <v>0</v>
      </c>
      <c r="D919">
        <f>IFERROR(VLOOKUP(A919,管理亚马逊库存!A:Q,17,0),"")</f>
        <v>0</v>
      </c>
      <c r="E919">
        <f>IFERROR(VLOOKUP(A919,管理亚马逊库存!A:R,18,0),"")</f>
        <v>0</v>
      </c>
      <c r="F919">
        <f t="shared" si="29"/>
        <v>0</v>
      </c>
      <c r="G919">
        <f>IFERROR(VLOOKUP(A919,预留库存!A:G,7,0),0)</f>
        <v>0</v>
      </c>
      <c r="H919">
        <f>IFERROR(VLOOKUP(A919,预留库存!A:H,8,0),0)</f>
        <v>0</v>
      </c>
      <c r="I919">
        <f>IFERROR(VLOOKUP(A919,预留库存!A:F,6,0),0)</f>
        <v>0</v>
      </c>
      <c r="J919">
        <f>IFERROR(VLOOKUP(A919,库龄!B:K,9,0),0)</f>
        <v>0</v>
      </c>
      <c r="K919">
        <f>IFERROR(VLOOKUP(A919,库龄!B:L,10,0),0)</f>
        <v>0</v>
      </c>
      <c r="L919">
        <f>IFERROR(VLOOKUP(A919,库龄!B:M,11,0),0)</f>
        <v>0</v>
      </c>
      <c r="M919">
        <f>IFERROR(VLOOKUP(A919,库龄!B:N,12,0),0)</f>
        <v>0</v>
      </c>
      <c r="N919">
        <f t="shared" si="30"/>
        <v>0</v>
      </c>
    </row>
    <row r="920" spans="1:14">
      <c r="A920" s="3" t="s">
        <v>3366</v>
      </c>
      <c r="B920">
        <f>IFERROR(VLOOKUP(A920,管理亚马逊库存!A:K,11,0),"")</f>
        <v>0</v>
      </c>
      <c r="C920">
        <f>IFERROR(VLOOKUP(A920,管理亚马逊库存!A:L,12,0),"")</f>
        <v>0</v>
      </c>
      <c r="D920">
        <f>IFERROR(VLOOKUP(A920,管理亚马逊库存!A:Q,17,0),"")</f>
        <v>0</v>
      </c>
      <c r="E920">
        <f>IFERROR(VLOOKUP(A920,管理亚马逊库存!A:R,18,0),"")</f>
        <v>0</v>
      </c>
      <c r="F920">
        <f t="shared" si="29"/>
        <v>0</v>
      </c>
      <c r="G920">
        <f>IFERROR(VLOOKUP(A920,预留库存!A:G,7,0),0)</f>
        <v>0</v>
      </c>
      <c r="H920">
        <f>IFERROR(VLOOKUP(A920,预留库存!A:H,8,0),0)</f>
        <v>0</v>
      </c>
      <c r="I920">
        <f>IFERROR(VLOOKUP(A920,预留库存!A:F,6,0),0)</f>
        <v>0</v>
      </c>
      <c r="J920">
        <f>IFERROR(VLOOKUP(A920,库龄!B:K,9,0),0)</f>
        <v>0</v>
      </c>
      <c r="K920">
        <f>IFERROR(VLOOKUP(A920,库龄!B:L,10,0),0)</f>
        <v>0</v>
      </c>
      <c r="L920">
        <f>IFERROR(VLOOKUP(A920,库龄!B:M,11,0),0)</f>
        <v>0</v>
      </c>
      <c r="M920">
        <f>IFERROR(VLOOKUP(A920,库龄!B:N,12,0),0)</f>
        <v>0</v>
      </c>
      <c r="N920">
        <f t="shared" si="30"/>
        <v>0</v>
      </c>
    </row>
    <row r="921" spans="1:14">
      <c r="A921" s="3" t="s">
        <v>3369</v>
      </c>
      <c r="B921">
        <f>IFERROR(VLOOKUP(A921,管理亚马逊库存!A:K,11,0),"")</f>
        <v>0</v>
      </c>
      <c r="C921">
        <f>IFERROR(VLOOKUP(A921,管理亚马逊库存!A:L,12,0),"")</f>
        <v>0</v>
      </c>
      <c r="D921">
        <f>IFERROR(VLOOKUP(A921,管理亚马逊库存!A:Q,17,0),"")</f>
        <v>0</v>
      </c>
      <c r="E921">
        <f>IFERROR(VLOOKUP(A921,管理亚马逊库存!A:R,18,0),"")</f>
        <v>0</v>
      </c>
      <c r="F921">
        <f t="shared" si="29"/>
        <v>0</v>
      </c>
      <c r="G921">
        <f>IFERROR(VLOOKUP(A921,预留库存!A:G,7,0),0)</f>
        <v>0</v>
      </c>
      <c r="H921">
        <f>IFERROR(VLOOKUP(A921,预留库存!A:H,8,0),0)</f>
        <v>0</v>
      </c>
      <c r="I921">
        <f>IFERROR(VLOOKUP(A921,预留库存!A:F,6,0),0)</f>
        <v>0</v>
      </c>
      <c r="J921">
        <f>IFERROR(VLOOKUP(A921,库龄!B:K,9,0),0)</f>
        <v>0</v>
      </c>
      <c r="K921">
        <f>IFERROR(VLOOKUP(A921,库龄!B:L,10,0),0)</f>
        <v>0</v>
      </c>
      <c r="L921">
        <f>IFERROR(VLOOKUP(A921,库龄!B:M,11,0),0)</f>
        <v>0</v>
      </c>
      <c r="M921">
        <f>IFERROR(VLOOKUP(A921,库龄!B:N,12,0),0)</f>
        <v>0</v>
      </c>
      <c r="N921">
        <f t="shared" si="30"/>
        <v>0</v>
      </c>
    </row>
    <row r="922" spans="1:14">
      <c r="A922" s="3" t="s">
        <v>3372</v>
      </c>
      <c r="B922">
        <f>IFERROR(VLOOKUP(A922,管理亚马逊库存!A:K,11,0),"")</f>
        <v>0</v>
      </c>
      <c r="C922">
        <f>IFERROR(VLOOKUP(A922,管理亚马逊库存!A:L,12,0),"")</f>
        <v>0</v>
      </c>
      <c r="D922">
        <f>IFERROR(VLOOKUP(A922,管理亚马逊库存!A:Q,17,0),"")</f>
        <v>0</v>
      </c>
      <c r="E922">
        <f>IFERROR(VLOOKUP(A922,管理亚马逊库存!A:R,18,0),"")</f>
        <v>0</v>
      </c>
      <c r="F922">
        <f t="shared" si="29"/>
        <v>0</v>
      </c>
      <c r="G922">
        <f>IFERROR(VLOOKUP(A922,预留库存!A:G,7,0),0)</f>
        <v>0</v>
      </c>
      <c r="H922">
        <f>IFERROR(VLOOKUP(A922,预留库存!A:H,8,0),0)</f>
        <v>0</v>
      </c>
      <c r="I922">
        <f>IFERROR(VLOOKUP(A922,预留库存!A:F,6,0),0)</f>
        <v>0</v>
      </c>
      <c r="J922">
        <f>IFERROR(VLOOKUP(A922,库龄!B:K,9,0),0)</f>
        <v>0</v>
      </c>
      <c r="K922">
        <f>IFERROR(VLOOKUP(A922,库龄!B:L,10,0),0)</f>
        <v>0</v>
      </c>
      <c r="L922">
        <f>IFERROR(VLOOKUP(A922,库龄!B:M,11,0),0)</f>
        <v>0</v>
      </c>
      <c r="M922">
        <f>IFERROR(VLOOKUP(A922,库龄!B:N,12,0),0)</f>
        <v>0</v>
      </c>
      <c r="N922">
        <f t="shared" si="30"/>
        <v>0</v>
      </c>
    </row>
    <row r="923" spans="1:14">
      <c r="A923" s="3" t="s">
        <v>3375</v>
      </c>
      <c r="B923">
        <f>IFERROR(VLOOKUP(A923,管理亚马逊库存!A:K,11,0),"")</f>
        <v>0</v>
      </c>
      <c r="C923">
        <f>IFERROR(VLOOKUP(A923,管理亚马逊库存!A:L,12,0),"")</f>
        <v>0</v>
      </c>
      <c r="D923">
        <f>IFERROR(VLOOKUP(A923,管理亚马逊库存!A:Q,17,0),"")</f>
        <v>0</v>
      </c>
      <c r="E923">
        <f>IFERROR(VLOOKUP(A923,管理亚马逊库存!A:R,18,0),"")</f>
        <v>0</v>
      </c>
      <c r="F923">
        <f t="shared" si="29"/>
        <v>0</v>
      </c>
      <c r="G923">
        <f>IFERROR(VLOOKUP(A923,预留库存!A:G,7,0),0)</f>
        <v>0</v>
      </c>
      <c r="H923">
        <f>IFERROR(VLOOKUP(A923,预留库存!A:H,8,0),0)</f>
        <v>0</v>
      </c>
      <c r="I923">
        <f>IFERROR(VLOOKUP(A923,预留库存!A:F,6,0),0)</f>
        <v>0</v>
      </c>
      <c r="J923">
        <f>IFERROR(VLOOKUP(A923,库龄!B:K,9,0),0)</f>
        <v>0</v>
      </c>
      <c r="K923">
        <f>IFERROR(VLOOKUP(A923,库龄!B:L,10,0),0)</f>
        <v>0</v>
      </c>
      <c r="L923">
        <f>IFERROR(VLOOKUP(A923,库龄!B:M,11,0),0)</f>
        <v>0</v>
      </c>
      <c r="M923">
        <f>IFERROR(VLOOKUP(A923,库龄!B:N,12,0),0)</f>
        <v>0</v>
      </c>
      <c r="N923">
        <f t="shared" si="30"/>
        <v>0</v>
      </c>
    </row>
    <row r="924" spans="1:14">
      <c r="A924" s="3" t="s">
        <v>3378</v>
      </c>
      <c r="B924">
        <f>IFERROR(VLOOKUP(A924,管理亚马逊库存!A:K,11,0),"")</f>
        <v>0</v>
      </c>
      <c r="C924">
        <f>IFERROR(VLOOKUP(A924,管理亚马逊库存!A:L,12,0),"")</f>
        <v>0</v>
      </c>
      <c r="D924">
        <f>IFERROR(VLOOKUP(A924,管理亚马逊库存!A:Q,17,0),"")</f>
        <v>0</v>
      </c>
      <c r="E924">
        <f>IFERROR(VLOOKUP(A924,管理亚马逊库存!A:R,18,0),"")</f>
        <v>0</v>
      </c>
      <c r="F924">
        <f t="shared" si="29"/>
        <v>0</v>
      </c>
      <c r="G924">
        <f>IFERROR(VLOOKUP(A924,预留库存!A:G,7,0),0)</f>
        <v>0</v>
      </c>
      <c r="H924">
        <f>IFERROR(VLOOKUP(A924,预留库存!A:H,8,0),0)</f>
        <v>0</v>
      </c>
      <c r="I924">
        <f>IFERROR(VLOOKUP(A924,预留库存!A:F,6,0),0)</f>
        <v>0</v>
      </c>
      <c r="J924">
        <f>IFERROR(VLOOKUP(A924,库龄!B:K,9,0),0)</f>
        <v>0</v>
      </c>
      <c r="K924">
        <f>IFERROR(VLOOKUP(A924,库龄!B:L,10,0),0)</f>
        <v>0</v>
      </c>
      <c r="L924">
        <f>IFERROR(VLOOKUP(A924,库龄!B:M,11,0),0)</f>
        <v>0</v>
      </c>
      <c r="M924">
        <f>IFERROR(VLOOKUP(A924,库龄!B:N,12,0),0)</f>
        <v>0</v>
      </c>
      <c r="N924">
        <f t="shared" si="30"/>
        <v>0</v>
      </c>
    </row>
    <row r="925" spans="1:14">
      <c r="A925" s="3" t="s">
        <v>3381</v>
      </c>
      <c r="B925">
        <f>IFERROR(VLOOKUP(A925,管理亚马逊库存!A:K,11,0),"")</f>
        <v>0</v>
      </c>
      <c r="C925">
        <f>IFERROR(VLOOKUP(A925,管理亚马逊库存!A:L,12,0),"")</f>
        <v>0</v>
      </c>
      <c r="D925">
        <f>IFERROR(VLOOKUP(A925,管理亚马逊库存!A:Q,17,0),"")</f>
        <v>0</v>
      </c>
      <c r="E925">
        <f>IFERROR(VLOOKUP(A925,管理亚马逊库存!A:R,18,0),"")</f>
        <v>0</v>
      </c>
      <c r="F925">
        <f t="shared" si="29"/>
        <v>0</v>
      </c>
      <c r="G925">
        <f>IFERROR(VLOOKUP(A925,预留库存!A:G,7,0),0)</f>
        <v>0</v>
      </c>
      <c r="H925">
        <f>IFERROR(VLOOKUP(A925,预留库存!A:H,8,0),0)</f>
        <v>0</v>
      </c>
      <c r="I925">
        <f>IFERROR(VLOOKUP(A925,预留库存!A:F,6,0),0)</f>
        <v>0</v>
      </c>
      <c r="J925">
        <f>IFERROR(VLOOKUP(A925,库龄!B:K,9,0),0)</f>
        <v>0</v>
      </c>
      <c r="K925">
        <f>IFERROR(VLOOKUP(A925,库龄!B:L,10,0),0)</f>
        <v>0</v>
      </c>
      <c r="L925">
        <f>IFERROR(VLOOKUP(A925,库龄!B:M,11,0),0)</f>
        <v>0</v>
      </c>
      <c r="M925">
        <f>IFERROR(VLOOKUP(A925,库龄!B:N,12,0),0)</f>
        <v>0</v>
      </c>
      <c r="N925">
        <f t="shared" si="30"/>
        <v>0</v>
      </c>
    </row>
    <row r="926" spans="1:14">
      <c r="A926" s="3" t="s">
        <v>3384</v>
      </c>
      <c r="B926">
        <f>IFERROR(VLOOKUP(A926,管理亚马逊库存!A:K,11,0),"")</f>
        <v>0</v>
      </c>
      <c r="C926">
        <f>IFERROR(VLOOKUP(A926,管理亚马逊库存!A:L,12,0),"")</f>
        <v>0</v>
      </c>
      <c r="D926">
        <f>IFERROR(VLOOKUP(A926,管理亚马逊库存!A:Q,17,0),"")</f>
        <v>0</v>
      </c>
      <c r="E926">
        <f>IFERROR(VLOOKUP(A926,管理亚马逊库存!A:R,18,0),"")</f>
        <v>0</v>
      </c>
      <c r="F926">
        <f t="shared" si="29"/>
        <v>0</v>
      </c>
      <c r="G926">
        <f>IFERROR(VLOOKUP(A926,预留库存!A:G,7,0),0)</f>
        <v>0</v>
      </c>
      <c r="H926">
        <f>IFERROR(VLOOKUP(A926,预留库存!A:H,8,0),0)</f>
        <v>0</v>
      </c>
      <c r="I926">
        <f>IFERROR(VLOOKUP(A926,预留库存!A:F,6,0),0)</f>
        <v>0</v>
      </c>
      <c r="J926">
        <f>IFERROR(VLOOKUP(A926,库龄!B:K,9,0),0)</f>
        <v>0</v>
      </c>
      <c r="K926">
        <f>IFERROR(VLOOKUP(A926,库龄!B:L,10,0),0)</f>
        <v>0</v>
      </c>
      <c r="L926">
        <f>IFERROR(VLOOKUP(A926,库龄!B:M,11,0),0)</f>
        <v>0</v>
      </c>
      <c r="M926">
        <f>IFERROR(VLOOKUP(A926,库龄!B:N,12,0),0)</f>
        <v>0</v>
      </c>
      <c r="N926">
        <f t="shared" si="30"/>
        <v>0</v>
      </c>
    </row>
    <row r="927" spans="1:14">
      <c r="A927" s="3" t="s">
        <v>3387</v>
      </c>
      <c r="B927">
        <f>IFERROR(VLOOKUP(A927,管理亚马逊库存!A:K,11,0),"")</f>
        <v>0</v>
      </c>
      <c r="C927">
        <f>IFERROR(VLOOKUP(A927,管理亚马逊库存!A:L,12,0),"")</f>
        <v>0</v>
      </c>
      <c r="D927">
        <f>IFERROR(VLOOKUP(A927,管理亚马逊库存!A:Q,17,0),"")</f>
        <v>0</v>
      </c>
      <c r="E927">
        <f>IFERROR(VLOOKUP(A927,管理亚马逊库存!A:R,18,0),"")</f>
        <v>0</v>
      </c>
      <c r="F927">
        <f t="shared" si="29"/>
        <v>0</v>
      </c>
      <c r="G927">
        <f>IFERROR(VLOOKUP(A927,预留库存!A:G,7,0),0)</f>
        <v>0</v>
      </c>
      <c r="H927">
        <f>IFERROR(VLOOKUP(A927,预留库存!A:H,8,0),0)</f>
        <v>0</v>
      </c>
      <c r="I927">
        <f>IFERROR(VLOOKUP(A927,预留库存!A:F,6,0),0)</f>
        <v>0</v>
      </c>
      <c r="J927">
        <f>IFERROR(VLOOKUP(A927,库龄!B:K,9,0),0)</f>
        <v>0</v>
      </c>
      <c r="K927">
        <f>IFERROR(VLOOKUP(A927,库龄!B:L,10,0),0)</f>
        <v>0</v>
      </c>
      <c r="L927">
        <f>IFERROR(VLOOKUP(A927,库龄!B:M,11,0),0)</f>
        <v>0</v>
      </c>
      <c r="M927">
        <f>IFERROR(VLOOKUP(A927,库龄!B:N,12,0),0)</f>
        <v>0</v>
      </c>
      <c r="N927">
        <f t="shared" si="30"/>
        <v>0</v>
      </c>
    </row>
    <row r="928" spans="1:14">
      <c r="A928" s="3" t="s">
        <v>3390</v>
      </c>
      <c r="B928">
        <f>IFERROR(VLOOKUP(A928,管理亚马逊库存!A:K,11,0),"")</f>
        <v>0</v>
      </c>
      <c r="C928">
        <f>IFERROR(VLOOKUP(A928,管理亚马逊库存!A:L,12,0),"")</f>
        <v>0</v>
      </c>
      <c r="D928">
        <f>IFERROR(VLOOKUP(A928,管理亚马逊库存!A:Q,17,0),"")</f>
        <v>0</v>
      </c>
      <c r="E928">
        <f>IFERROR(VLOOKUP(A928,管理亚马逊库存!A:R,18,0),"")</f>
        <v>0</v>
      </c>
      <c r="F928">
        <f t="shared" si="29"/>
        <v>0</v>
      </c>
      <c r="G928">
        <f>IFERROR(VLOOKUP(A928,预留库存!A:G,7,0),0)</f>
        <v>0</v>
      </c>
      <c r="H928">
        <f>IFERROR(VLOOKUP(A928,预留库存!A:H,8,0),0)</f>
        <v>0</v>
      </c>
      <c r="I928">
        <f>IFERROR(VLOOKUP(A928,预留库存!A:F,6,0),0)</f>
        <v>0</v>
      </c>
      <c r="J928">
        <f>IFERROR(VLOOKUP(A928,库龄!B:K,9,0),0)</f>
        <v>0</v>
      </c>
      <c r="K928">
        <f>IFERROR(VLOOKUP(A928,库龄!B:L,10,0),0)</f>
        <v>0</v>
      </c>
      <c r="L928">
        <f>IFERROR(VLOOKUP(A928,库龄!B:M,11,0),0)</f>
        <v>0</v>
      </c>
      <c r="M928">
        <f>IFERROR(VLOOKUP(A928,库龄!B:N,12,0),0)</f>
        <v>0</v>
      </c>
      <c r="N928">
        <f t="shared" si="30"/>
        <v>0</v>
      </c>
    </row>
    <row r="929" spans="1:14">
      <c r="A929" s="3" t="s">
        <v>3393</v>
      </c>
      <c r="B929">
        <f>IFERROR(VLOOKUP(A929,管理亚马逊库存!A:K,11,0),"")</f>
        <v>0</v>
      </c>
      <c r="C929">
        <f>IFERROR(VLOOKUP(A929,管理亚马逊库存!A:L,12,0),"")</f>
        <v>0</v>
      </c>
      <c r="D929">
        <f>IFERROR(VLOOKUP(A929,管理亚马逊库存!A:Q,17,0),"")</f>
        <v>0</v>
      </c>
      <c r="E929">
        <f>IFERROR(VLOOKUP(A929,管理亚马逊库存!A:R,18,0),"")</f>
        <v>0</v>
      </c>
      <c r="F929">
        <f t="shared" si="29"/>
        <v>0</v>
      </c>
      <c r="G929">
        <f>IFERROR(VLOOKUP(A929,预留库存!A:G,7,0),0)</f>
        <v>0</v>
      </c>
      <c r="H929">
        <f>IFERROR(VLOOKUP(A929,预留库存!A:H,8,0),0)</f>
        <v>0</v>
      </c>
      <c r="I929">
        <f>IFERROR(VLOOKUP(A929,预留库存!A:F,6,0),0)</f>
        <v>0</v>
      </c>
      <c r="J929">
        <f>IFERROR(VLOOKUP(A929,库龄!B:K,9,0),0)</f>
        <v>0</v>
      </c>
      <c r="K929">
        <f>IFERROR(VLOOKUP(A929,库龄!B:L,10,0),0)</f>
        <v>0</v>
      </c>
      <c r="L929">
        <f>IFERROR(VLOOKUP(A929,库龄!B:M,11,0),0)</f>
        <v>0</v>
      </c>
      <c r="M929">
        <f>IFERROR(VLOOKUP(A929,库龄!B:N,12,0),0)</f>
        <v>0</v>
      </c>
      <c r="N929">
        <f t="shared" si="30"/>
        <v>0</v>
      </c>
    </row>
    <row r="930" spans="1:14">
      <c r="A930" s="3" t="s">
        <v>3396</v>
      </c>
      <c r="B930">
        <f>IFERROR(VLOOKUP(A930,管理亚马逊库存!A:K,11,0),"")</f>
        <v>0</v>
      </c>
      <c r="C930">
        <f>IFERROR(VLOOKUP(A930,管理亚马逊库存!A:L,12,0),"")</f>
        <v>0</v>
      </c>
      <c r="D930">
        <f>IFERROR(VLOOKUP(A930,管理亚马逊库存!A:Q,17,0),"")</f>
        <v>0</v>
      </c>
      <c r="E930">
        <f>IFERROR(VLOOKUP(A930,管理亚马逊库存!A:R,18,0),"")</f>
        <v>0</v>
      </c>
      <c r="F930">
        <f t="shared" si="29"/>
        <v>0</v>
      </c>
      <c r="G930">
        <f>IFERROR(VLOOKUP(A930,预留库存!A:G,7,0),0)</f>
        <v>0</v>
      </c>
      <c r="H930">
        <f>IFERROR(VLOOKUP(A930,预留库存!A:H,8,0),0)</f>
        <v>0</v>
      </c>
      <c r="I930">
        <f>IFERROR(VLOOKUP(A930,预留库存!A:F,6,0),0)</f>
        <v>0</v>
      </c>
      <c r="J930">
        <f>IFERROR(VLOOKUP(A930,库龄!B:K,9,0),0)</f>
        <v>0</v>
      </c>
      <c r="K930">
        <f>IFERROR(VLOOKUP(A930,库龄!B:L,10,0),0)</f>
        <v>0</v>
      </c>
      <c r="L930">
        <f>IFERROR(VLOOKUP(A930,库龄!B:M,11,0),0)</f>
        <v>0</v>
      </c>
      <c r="M930">
        <f>IFERROR(VLOOKUP(A930,库龄!B:N,12,0),0)</f>
        <v>0</v>
      </c>
      <c r="N930">
        <f t="shared" si="30"/>
        <v>0</v>
      </c>
    </row>
    <row r="931" spans="1:14">
      <c r="A931" s="3" t="s">
        <v>3399</v>
      </c>
      <c r="B931">
        <f>IFERROR(VLOOKUP(A931,管理亚马逊库存!A:K,11,0),"")</f>
        <v>0</v>
      </c>
      <c r="C931">
        <f>IFERROR(VLOOKUP(A931,管理亚马逊库存!A:L,12,0),"")</f>
        <v>0</v>
      </c>
      <c r="D931">
        <f>IFERROR(VLOOKUP(A931,管理亚马逊库存!A:Q,17,0),"")</f>
        <v>0</v>
      </c>
      <c r="E931">
        <f>IFERROR(VLOOKUP(A931,管理亚马逊库存!A:R,18,0),"")</f>
        <v>0</v>
      </c>
      <c r="F931">
        <f t="shared" si="29"/>
        <v>0</v>
      </c>
      <c r="G931">
        <f>IFERROR(VLOOKUP(A931,预留库存!A:G,7,0),0)</f>
        <v>0</v>
      </c>
      <c r="H931">
        <f>IFERROR(VLOOKUP(A931,预留库存!A:H,8,0),0)</f>
        <v>0</v>
      </c>
      <c r="I931">
        <f>IFERROR(VLOOKUP(A931,预留库存!A:F,6,0),0)</f>
        <v>0</v>
      </c>
      <c r="J931">
        <f>IFERROR(VLOOKUP(A931,库龄!B:K,9,0),0)</f>
        <v>0</v>
      </c>
      <c r="K931">
        <f>IFERROR(VLOOKUP(A931,库龄!B:L,10,0),0)</f>
        <v>0</v>
      </c>
      <c r="L931">
        <f>IFERROR(VLOOKUP(A931,库龄!B:M,11,0),0)</f>
        <v>0</v>
      </c>
      <c r="M931">
        <f>IFERROR(VLOOKUP(A931,库龄!B:N,12,0),0)</f>
        <v>0</v>
      </c>
      <c r="N931">
        <f t="shared" si="30"/>
        <v>0</v>
      </c>
    </row>
    <row r="932" spans="1:14">
      <c r="A932" s="3" t="s">
        <v>3402</v>
      </c>
      <c r="B932">
        <f>IFERROR(VLOOKUP(A932,管理亚马逊库存!A:K,11,0),"")</f>
        <v>0</v>
      </c>
      <c r="C932">
        <f>IFERROR(VLOOKUP(A932,管理亚马逊库存!A:L,12,0),"")</f>
        <v>0</v>
      </c>
      <c r="D932">
        <f>IFERROR(VLOOKUP(A932,管理亚马逊库存!A:Q,17,0),"")</f>
        <v>0</v>
      </c>
      <c r="E932">
        <f>IFERROR(VLOOKUP(A932,管理亚马逊库存!A:R,18,0),"")</f>
        <v>0</v>
      </c>
      <c r="F932">
        <f t="shared" si="29"/>
        <v>0</v>
      </c>
      <c r="G932">
        <f>IFERROR(VLOOKUP(A932,预留库存!A:G,7,0),0)</f>
        <v>0</v>
      </c>
      <c r="H932">
        <f>IFERROR(VLOOKUP(A932,预留库存!A:H,8,0),0)</f>
        <v>0</v>
      </c>
      <c r="I932">
        <f>IFERROR(VLOOKUP(A932,预留库存!A:F,6,0),0)</f>
        <v>0</v>
      </c>
      <c r="J932">
        <f>IFERROR(VLOOKUP(A932,库龄!B:K,9,0),0)</f>
        <v>0</v>
      </c>
      <c r="K932">
        <f>IFERROR(VLOOKUP(A932,库龄!B:L,10,0),0)</f>
        <v>0</v>
      </c>
      <c r="L932">
        <f>IFERROR(VLOOKUP(A932,库龄!B:M,11,0),0)</f>
        <v>0</v>
      </c>
      <c r="M932">
        <f>IFERROR(VLOOKUP(A932,库龄!B:N,12,0),0)</f>
        <v>0</v>
      </c>
      <c r="N932">
        <f t="shared" si="30"/>
        <v>0</v>
      </c>
    </row>
    <row r="933" spans="1:14">
      <c r="A933" s="3" t="s">
        <v>3405</v>
      </c>
      <c r="B933">
        <f>IFERROR(VLOOKUP(A933,管理亚马逊库存!A:K,11,0),"")</f>
        <v>0</v>
      </c>
      <c r="C933">
        <f>IFERROR(VLOOKUP(A933,管理亚马逊库存!A:L,12,0),"")</f>
        <v>0</v>
      </c>
      <c r="D933">
        <f>IFERROR(VLOOKUP(A933,管理亚马逊库存!A:Q,17,0),"")</f>
        <v>0</v>
      </c>
      <c r="E933">
        <f>IFERROR(VLOOKUP(A933,管理亚马逊库存!A:R,18,0),"")</f>
        <v>0</v>
      </c>
      <c r="F933">
        <f t="shared" si="29"/>
        <v>0</v>
      </c>
      <c r="G933">
        <f>IFERROR(VLOOKUP(A933,预留库存!A:G,7,0),0)</f>
        <v>0</v>
      </c>
      <c r="H933">
        <f>IFERROR(VLOOKUP(A933,预留库存!A:H,8,0),0)</f>
        <v>0</v>
      </c>
      <c r="I933">
        <f>IFERROR(VLOOKUP(A933,预留库存!A:F,6,0),0)</f>
        <v>0</v>
      </c>
      <c r="J933">
        <f>IFERROR(VLOOKUP(A933,库龄!B:K,9,0),0)</f>
        <v>0</v>
      </c>
      <c r="K933">
        <f>IFERROR(VLOOKUP(A933,库龄!B:L,10,0),0)</f>
        <v>0</v>
      </c>
      <c r="L933">
        <f>IFERROR(VLOOKUP(A933,库龄!B:M,11,0),0)</f>
        <v>0</v>
      </c>
      <c r="M933">
        <f>IFERROR(VLOOKUP(A933,库龄!B:N,12,0),0)</f>
        <v>0</v>
      </c>
      <c r="N933">
        <f t="shared" si="30"/>
        <v>0</v>
      </c>
    </row>
    <row r="934" spans="1:14">
      <c r="A934" s="3" t="s">
        <v>3408</v>
      </c>
      <c r="B934">
        <f>IFERROR(VLOOKUP(A934,管理亚马逊库存!A:K,11,0),"")</f>
        <v>0</v>
      </c>
      <c r="C934">
        <f>IFERROR(VLOOKUP(A934,管理亚马逊库存!A:L,12,0),"")</f>
        <v>0</v>
      </c>
      <c r="D934">
        <f>IFERROR(VLOOKUP(A934,管理亚马逊库存!A:Q,17,0),"")</f>
        <v>0</v>
      </c>
      <c r="E934">
        <f>IFERROR(VLOOKUP(A934,管理亚马逊库存!A:R,18,0),"")</f>
        <v>0</v>
      </c>
      <c r="F934">
        <f t="shared" si="29"/>
        <v>0</v>
      </c>
      <c r="G934">
        <f>IFERROR(VLOOKUP(A934,预留库存!A:G,7,0),0)</f>
        <v>0</v>
      </c>
      <c r="H934">
        <f>IFERROR(VLOOKUP(A934,预留库存!A:H,8,0),0)</f>
        <v>0</v>
      </c>
      <c r="I934">
        <f>IFERROR(VLOOKUP(A934,预留库存!A:F,6,0),0)</f>
        <v>0</v>
      </c>
      <c r="J934">
        <f>IFERROR(VLOOKUP(A934,库龄!B:K,9,0),0)</f>
        <v>0</v>
      </c>
      <c r="K934">
        <f>IFERROR(VLOOKUP(A934,库龄!B:L,10,0),0)</f>
        <v>0</v>
      </c>
      <c r="L934">
        <f>IFERROR(VLOOKUP(A934,库龄!B:M,11,0),0)</f>
        <v>0</v>
      </c>
      <c r="M934">
        <f>IFERROR(VLOOKUP(A934,库龄!B:N,12,0),0)</f>
        <v>0</v>
      </c>
      <c r="N934">
        <f t="shared" si="30"/>
        <v>0</v>
      </c>
    </row>
    <row r="935" spans="1:14">
      <c r="A935" s="3" t="s">
        <v>3411</v>
      </c>
      <c r="B935">
        <f>IFERROR(VLOOKUP(A935,管理亚马逊库存!A:K,11,0),"")</f>
        <v>0</v>
      </c>
      <c r="C935">
        <f>IFERROR(VLOOKUP(A935,管理亚马逊库存!A:L,12,0),"")</f>
        <v>0</v>
      </c>
      <c r="D935">
        <f>IFERROR(VLOOKUP(A935,管理亚马逊库存!A:Q,17,0),"")</f>
        <v>0</v>
      </c>
      <c r="E935">
        <f>IFERROR(VLOOKUP(A935,管理亚马逊库存!A:R,18,0),"")</f>
        <v>0</v>
      </c>
      <c r="F935">
        <f t="shared" si="29"/>
        <v>0</v>
      </c>
      <c r="G935">
        <f>IFERROR(VLOOKUP(A935,预留库存!A:G,7,0),0)</f>
        <v>0</v>
      </c>
      <c r="H935">
        <f>IFERROR(VLOOKUP(A935,预留库存!A:H,8,0),0)</f>
        <v>0</v>
      </c>
      <c r="I935">
        <f>IFERROR(VLOOKUP(A935,预留库存!A:F,6,0),0)</f>
        <v>0</v>
      </c>
      <c r="J935">
        <f>IFERROR(VLOOKUP(A935,库龄!B:K,9,0),0)</f>
        <v>0</v>
      </c>
      <c r="K935">
        <f>IFERROR(VLOOKUP(A935,库龄!B:L,10,0),0)</f>
        <v>0</v>
      </c>
      <c r="L935">
        <f>IFERROR(VLOOKUP(A935,库龄!B:M,11,0),0)</f>
        <v>0</v>
      </c>
      <c r="M935">
        <f>IFERROR(VLOOKUP(A935,库龄!B:N,12,0),0)</f>
        <v>0</v>
      </c>
      <c r="N935">
        <f t="shared" si="30"/>
        <v>0</v>
      </c>
    </row>
    <row r="936" spans="1:14">
      <c r="A936" s="3" t="s">
        <v>3415</v>
      </c>
      <c r="B936">
        <f>IFERROR(VLOOKUP(A936,管理亚马逊库存!A:K,11,0),"")</f>
        <v>0</v>
      </c>
      <c r="C936">
        <f>IFERROR(VLOOKUP(A936,管理亚马逊库存!A:L,12,0),"")</f>
        <v>0</v>
      </c>
      <c r="D936">
        <f>IFERROR(VLOOKUP(A936,管理亚马逊库存!A:Q,17,0),"")</f>
        <v>0</v>
      </c>
      <c r="E936">
        <f>IFERROR(VLOOKUP(A936,管理亚马逊库存!A:R,18,0),"")</f>
        <v>0</v>
      </c>
      <c r="F936">
        <f t="shared" si="29"/>
        <v>0</v>
      </c>
      <c r="G936">
        <f>IFERROR(VLOOKUP(A936,预留库存!A:G,7,0),0)</f>
        <v>0</v>
      </c>
      <c r="H936">
        <f>IFERROR(VLOOKUP(A936,预留库存!A:H,8,0),0)</f>
        <v>0</v>
      </c>
      <c r="I936">
        <f>IFERROR(VLOOKUP(A936,预留库存!A:F,6,0),0)</f>
        <v>0</v>
      </c>
      <c r="J936">
        <f>IFERROR(VLOOKUP(A936,库龄!B:K,9,0),0)</f>
        <v>0</v>
      </c>
      <c r="K936">
        <f>IFERROR(VLOOKUP(A936,库龄!B:L,10,0),0)</f>
        <v>0</v>
      </c>
      <c r="L936">
        <f>IFERROR(VLOOKUP(A936,库龄!B:M,11,0),0)</f>
        <v>0</v>
      </c>
      <c r="M936">
        <f>IFERROR(VLOOKUP(A936,库龄!B:N,12,0),0)</f>
        <v>0</v>
      </c>
      <c r="N936">
        <f t="shared" si="30"/>
        <v>0</v>
      </c>
    </row>
    <row r="937" spans="1:14">
      <c r="A937" s="3" t="s">
        <v>3419</v>
      </c>
      <c r="B937">
        <f>IFERROR(VLOOKUP(A937,管理亚马逊库存!A:K,11,0),"")</f>
        <v>0</v>
      </c>
      <c r="C937">
        <f>IFERROR(VLOOKUP(A937,管理亚马逊库存!A:L,12,0),"")</f>
        <v>0</v>
      </c>
      <c r="D937">
        <f>IFERROR(VLOOKUP(A937,管理亚马逊库存!A:Q,17,0),"")</f>
        <v>0</v>
      </c>
      <c r="E937">
        <f>IFERROR(VLOOKUP(A937,管理亚马逊库存!A:R,18,0),"")</f>
        <v>0</v>
      </c>
      <c r="F937">
        <f t="shared" si="29"/>
        <v>0</v>
      </c>
      <c r="G937">
        <f>IFERROR(VLOOKUP(A937,预留库存!A:G,7,0),0)</f>
        <v>0</v>
      </c>
      <c r="H937">
        <f>IFERROR(VLOOKUP(A937,预留库存!A:H,8,0),0)</f>
        <v>0</v>
      </c>
      <c r="I937">
        <f>IFERROR(VLOOKUP(A937,预留库存!A:F,6,0),0)</f>
        <v>0</v>
      </c>
      <c r="J937">
        <f>IFERROR(VLOOKUP(A937,库龄!B:K,9,0),0)</f>
        <v>0</v>
      </c>
      <c r="K937">
        <f>IFERROR(VLOOKUP(A937,库龄!B:L,10,0),0)</f>
        <v>0</v>
      </c>
      <c r="L937">
        <f>IFERROR(VLOOKUP(A937,库龄!B:M,11,0),0)</f>
        <v>0</v>
      </c>
      <c r="M937">
        <f>IFERROR(VLOOKUP(A937,库龄!B:N,12,0),0)</f>
        <v>0</v>
      </c>
      <c r="N937">
        <f t="shared" si="30"/>
        <v>0</v>
      </c>
    </row>
    <row r="938" spans="1:14">
      <c r="A938" s="3" t="s">
        <v>3423</v>
      </c>
      <c r="B938">
        <f>IFERROR(VLOOKUP(A938,管理亚马逊库存!A:K,11,0),"")</f>
        <v>0</v>
      </c>
      <c r="C938">
        <f>IFERROR(VLOOKUP(A938,管理亚马逊库存!A:L,12,0),"")</f>
        <v>0</v>
      </c>
      <c r="D938">
        <f>IFERROR(VLOOKUP(A938,管理亚马逊库存!A:Q,17,0),"")</f>
        <v>0</v>
      </c>
      <c r="E938">
        <f>IFERROR(VLOOKUP(A938,管理亚马逊库存!A:R,18,0),"")</f>
        <v>0</v>
      </c>
      <c r="F938">
        <f t="shared" si="29"/>
        <v>0</v>
      </c>
      <c r="G938">
        <f>IFERROR(VLOOKUP(A938,预留库存!A:G,7,0),0)</f>
        <v>0</v>
      </c>
      <c r="H938">
        <f>IFERROR(VLOOKUP(A938,预留库存!A:H,8,0),0)</f>
        <v>0</v>
      </c>
      <c r="I938">
        <f>IFERROR(VLOOKUP(A938,预留库存!A:F,6,0),0)</f>
        <v>0</v>
      </c>
      <c r="J938">
        <f>IFERROR(VLOOKUP(A938,库龄!B:K,9,0),0)</f>
        <v>0</v>
      </c>
      <c r="K938">
        <f>IFERROR(VLOOKUP(A938,库龄!B:L,10,0),0)</f>
        <v>0</v>
      </c>
      <c r="L938">
        <f>IFERROR(VLOOKUP(A938,库龄!B:M,11,0),0)</f>
        <v>0</v>
      </c>
      <c r="M938">
        <f>IFERROR(VLOOKUP(A938,库龄!B:N,12,0),0)</f>
        <v>0</v>
      </c>
      <c r="N938">
        <f t="shared" si="30"/>
        <v>0</v>
      </c>
    </row>
    <row r="939" spans="1:14">
      <c r="A939" s="3" t="s">
        <v>3427</v>
      </c>
      <c r="B939">
        <f>IFERROR(VLOOKUP(A939,管理亚马逊库存!A:K,11,0),"")</f>
        <v>0</v>
      </c>
      <c r="C939">
        <f>IFERROR(VLOOKUP(A939,管理亚马逊库存!A:L,12,0),"")</f>
        <v>0</v>
      </c>
      <c r="D939">
        <f>IFERROR(VLOOKUP(A939,管理亚马逊库存!A:Q,17,0),"")</f>
        <v>0</v>
      </c>
      <c r="E939">
        <f>IFERROR(VLOOKUP(A939,管理亚马逊库存!A:R,18,0),"")</f>
        <v>0</v>
      </c>
      <c r="F939">
        <f t="shared" si="29"/>
        <v>0</v>
      </c>
      <c r="G939">
        <f>IFERROR(VLOOKUP(A939,预留库存!A:G,7,0),0)</f>
        <v>0</v>
      </c>
      <c r="H939">
        <f>IFERROR(VLOOKUP(A939,预留库存!A:H,8,0),0)</f>
        <v>0</v>
      </c>
      <c r="I939">
        <f>IFERROR(VLOOKUP(A939,预留库存!A:F,6,0),0)</f>
        <v>0</v>
      </c>
      <c r="J939">
        <f>IFERROR(VLOOKUP(A939,库龄!B:K,9,0),0)</f>
        <v>0</v>
      </c>
      <c r="K939">
        <f>IFERROR(VLOOKUP(A939,库龄!B:L,10,0),0)</f>
        <v>0</v>
      </c>
      <c r="L939">
        <f>IFERROR(VLOOKUP(A939,库龄!B:M,11,0),0)</f>
        <v>0</v>
      </c>
      <c r="M939">
        <f>IFERROR(VLOOKUP(A939,库龄!B:N,12,0),0)</f>
        <v>0</v>
      </c>
      <c r="N939">
        <f t="shared" si="30"/>
        <v>0</v>
      </c>
    </row>
    <row r="940" spans="1:14">
      <c r="A940" s="3" t="s">
        <v>3431</v>
      </c>
      <c r="B940">
        <f>IFERROR(VLOOKUP(A940,管理亚马逊库存!A:K,11,0),"")</f>
        <v>0</v>
      </c>
      <c r="C940">
        <f>IFERROR(VLOOKUP(A940,管理亚马逊库存!A:L,12,0),"")</f>
        <v>0</v>
      </c>
      <c r="D940">
        <f>IFERROR(VLOOKUP(A940,管理亚马逊库存!A:Q,17,0),"")</f>
        <v>0</v>
      </c>
      <c r="E940">
        <f>IFERROR(VLOOKUP(A940,管理亚马逊库存!A:R,18,0),"")</f>
        <v>0</v>
      </c>
      <c r="F940">
        <f t="shared" si="29"/>
        <v>0</v>
      </c>
      <c r="G940">
        <f>IFERROR(VLOOKUP(A940,预留库存!A:G,7,0),0)</f>
        <v>0</v>
      </c>
      <c r="H940">
        <f>IFERROR(VLOOKUP(A940,预留库存!A:H,8,0),0)</f>
        <v>0</v>
      </c>
      <c r="I940">
        <f>IFERROR(VLOOKUP(A940,预留库存!A:F,6,0),0)</f>
        <v>0</v>
      </c>
      <c r="J940">
        <f>IFERROR(VLOOKUP(A940,库龄!B:K,9,0),0)</f>
        <v>0</v>
      </c>
      <c r="K940">
        <f>IFERROR(VLOOKUP(A940,库龄!B:L,10,0),0)</f>
        <v>0</v>
      </c>
      <c r="L940">
        <f>IFERROR(VLOOKUP(A940,库龄!B:M,11,0),0)</f>
        <v>0</v>
      </c>
      <c r="M940">
        <f>IFERROR(VLOOKUP(A940,库龄!B:N,12,0),0)</f>
        <v>0</v>
      </c>
      <c r="N940">
        <f t="shared" si="30"/>
        <v>0</v>
      </c>
    </row>
    <row r="941" spans="1:14">
      <c r="A941" s="3" t="s">
        <v>3435</v>
      </c>
      <c r="B941">
        <f>IFERROR(VLOOKUP(A941,管理亚马逊库存!A:K,11,0),"")</f>
        <v>0</v>
      </c>
      <c r="C941">
        <f>IFERROR(VLOOKUP(A941,管理亚马逊库存!A:L,12,0),"")</f>
        <v>0</v>
      </c>
      <c r="D941">
        <f>IFERROR(VLOOKUP(A941,管理亚马逊库存!A:Q,17,0),"")</f>
        <v>0</v>
      </c>
      <c r="E941">
        <f>IFERROR(VLOOKUP(A941,管理亚马逊库存!A:R,18,0),"")</f>
        <v>0</v>
      </c>
      <c r="F941">
        <f t="shared" si="29"/>
        <v>0</v>
      </c>
      <c r="G941">
        <f>IFERROR(VLOOKUP(A941,预留库存!A:G,7,0),0)</f>
        <v>0</v>
      </c>
      <c r="H941">
        <f>IFERROR(VLOOKUP(A941,预留库存!A:H,8,0),0)</f>
        <v>0</v>
      </c>
      <c r="I941">
        <f>IFERROR(VLOOKUP(A941,预留库存!A:F,6,0),0)</f>
        <v>0</v>
      </c>
      <c r="J941">
        <f>IFERROR(VLOOKUP(A941,库龄!B:K,9,0),0)</f>
        <v>0</v>
      </c>
      <c r="K941">
        <f>IFERROR(VLOOKUP(A941,库龄!B:L,10,0),0)</f>
        <v>0</v>
      </c>
      <c r="L941">
        <f>IFERROR(VLOOKUP(A941,库龄!B:M,11,0),0)</f>
        <v>0</v>
      </c>
      <c r="M941">
        <f>IFERROR(VLOOKUP(A941,库龄!B:N,12,0),0)</f>
        <v>0</v>
      </c>
      <c r="N941">
        <f t="shared" si="30"/>
        <v>0</v>
      </c>
    </row>
    <row r="942" spans="1:14">
      <c r="A942" s="3" t="s">
        <v>3439</v>
      </c>
      <c r="B942">
        <f>IFERROR(VLOOKUP(A942,管理亚马逊库存!A:K,11,0),"")</f>
        <v>0</v>
      </c>
      <c r="C942">
        <f>IFERROR(VLOOKUP(A942,管理亚马逊库存!A:L,12,0),"")</f>
        <v>0</v>
      </c>
      <c r="D942">
        <f>IFERROR(VLOOKUP(A942,管理亚马逊库存!A:Q,17,0),"")</f>
        <v>0</v>
      </c>
      <c r="E942">
        <f>IFERROR(VLOOKUP(A942,管理亚马逊库存!A:R,18,0),"")</f>
        <v>0</v>
      </c>
      <c r="F942">
        <f t="shared" si="29"/>
        <v>0</v>
      </c>
      <c r="G942">
        <f>IFERROR(VLOOKUP(A942,预留库存!A:G,7,0),0)</f>
        <v>0</v>
      </c>
      <c r="H942">
        <f>IFERROR(VLOOKUP(A942,预留库存!A:H,8,0),0)</f>
        <v>0</v>
      </c>
      <c r="I942">
        <f>IFERROR(VLOOKUP(A942,预留库存!A:F,6,0),0)</f>
        <v>0</v>
      </c>
      <c r="J942">
        <f>IFERROR(VLOOKUP(A942,库龄!B:K,9,0),0)</f>
        <v>0</v>
      </c>
      <c r="K942">
        <f>IFERROR(VLOOKUP(A942,库龄!B:L,10,0),0)</f>
        <v>0</v>
      </c>
      <c r="L942">
        <f>IFERROR(VLOOKUP(A942,库龄!B:M,11,0),0)</f>
        <v>0</v>
      </c>
      <c r="M942">
        <f>IFERROR(VLOOKUP(A942,库龄!B:N,12,0),0)</f>
        <v>0</v>
      </c>
      <c r="N942">
        <f t="shared" si="30"/>
        <v>0</v>
      </c>
    </row>
    <row r="943" spans="1:14">
      <c r="A943" s="3" t="s">
        <v>3442</v>
      </c>
      <c r="B943">
        <f>IFERROR(VLOOKUP(A943,管理亚马逊库存!A:K,11,0),"")</f>
        <v>0</v>
      </c>
      <c r="C943">
        <f>IFERROR(VLOOKUP(A943,管理亚马逊库存!A:L,12,0),"")</f>
        <v>0</v>
      </c>
      <c r="D943">
        <f>IFERROR(VLOOKUP(A943,管理亚马逊库存!A:Q,17,0),"")</f>
        <v>0</v>
      </c>
      <c r="E943">
        <f>IFERROR(VLOOKUP(A943,管理亚马逊库存!A:R,18,0),"")</f>
        <v>0</v>
      </c>
      <c r="F943">
        <f t="shared" si="29"/>
        <v>0</v>
      </c>
      <c r="G943">
        <f>IFERROR(VLOOKUP(A943,预留库存!A:G,7,0),0)</f>
        <v>0</v>
      </c>
      <c r="H943">
        <f>IFERROR(VLOOKUP(A943,预留库存!A:H,8,0),0)</f>
        <v>0</v>
      </c>
      <c r="I943">
        <f>IFERROR(VLOOKUP(A943,预留库存!A:F,6,0),0)</f>
        <v>0</v>
      </c>
      <c r="J943">
        <f>IFERROR(VLOOKUP(A943,库龄!B:K,9,0),0)</f>
        <v>0</v>
      </c>
      <c r="K943">
        <f>IFERROR(VLOOKUP(A943,库龄!B:L,10,0),0)</f>
        <v>0</v>
      </c>
      <c r="L943">
        <f>IFERROR(VLOOKUP(A943,库龄!B:M,11,0),0)</f>
        <v>0</v>
      </c>
      <c r="M943">
        <f>IFERROR(VLOOKUP(A943,库龄!B:N,12,0),0)</f>
        <v>0</v>
      </c>
      <c r="N943">
        <f t="shared" si="30"/>
        <v>0</v>
      </c>
    </row>
    <row r="944" spans="1:14">
      <c r="A944" s="3" t="s">
        <v>3445</v>
      </c>
      <c r="B944">
        <f>IFERROR(VLOOKUP(A944,管理亚马逊库存!A:K,11,0),"")</f>
        <v>0</v>
      </c>
      <c r="C944">
        <f>IFERROR(VLOOKUP(A944,管理亚马逊库存!A:L,12,0),"")</f>
        <v>0</v>
      </c>
      <c r="D944">
        <f>IFERROR(VLOOKUP(A944,管理亚马逊库存!A:Q,17,0),"")</f>
        <v>0</v>
      </c>
      <c r="E944">
        <f>IFERROR(VLOOKUP(A944,管理亚马逊库存!A:R,18,0),"")</f>
        <v>0</v>
      </c>
      <c r="F944">
        <f t="shared" si="29"/>
        <v>0</v>
      </c>
      <c r="G944">
        <f>IFERROR(VLOOKUP(A944,预留库存!A:G,7,0),0)</f>
        <v>0</v>
      </c>
      <c r="H944">
        <f>IFERROR(VLOOKUP(A944,预留库存!A:H,8,0),0)</f>
        <v>0</v>
      </c>
      <c r="I944">
        <f>IFERROR(VLOOKUP(A944,预留库存!A:F,6,0),0)</f>
        <v>0</v>
      </c>
      <c r="J944">
        <f>IFERROR(VLOOKUP(A944,库龄!B:K,9,0),0)</f>
        <v>0</v>
      </c>
      <c r="K944">
        <f>IFERROR(VLOOKUP(A944,库龄!B:L,10,0),0)</f>
        <v>0</v>
      </c>
      <c r="L944">
        <f>IFERROR(VLOOKUP(A944,库龄!B:M,11,0),0)</f>
        <v>0</v>
      </c>
      <c r="M944">
        <f>IFERROR(VLOOKUP(A944,库龄!B:N,12,0),0)</f>
        <v>0</v>
      </c>
      <c r="N944">
        <f t="shared" si="30"/>
        <v>0</v>
      </c>
    </row>
    <row r="945" spans="1:14">
      <c r="A945" s="3" t="s">
        <v>3449</v>
      </c>
      <c r="B945">
        <f>IFERROR(VLOOKUP(A945,管理亚马逊库存!A:K,11,0),"")</f>
        <v>0</v>
      </c>
      <c r="C945">
        <f>IFERROR(VLOOKUP(A945,管理亚马逊库存!A:L,12,0),"")</f>
        <v>0</v>
      </c>
      <c r="D945">
        <f>IFERROR(VLOOKUP(A945,管理亚马逊库存!A:Q,17,0),"")</f>
        <v>0</v>
      </c>
      <c r="E945">
        <f>IFERROR(VLOOKUP(A945,管理亚马逊库存!A:R,18,0),"")</f>
        <v>0</v>
      </c>
      <c r="F945">
        <f t="shared" si="29"/>
        <v>0</v>
      </c>
      <c r="G945">
        <f>IFERROR(VLOOKUP(A945,预留库存!A:G,7,0),0)</f>
        <v>0</v>
      </c>
      <c r="H945">
        <f>IFERROR(VLOOKUP(A945,预留库存!A:H,8,0),0)</f>
        <v>0</v>
      </c>
      <c r="I945">
        <f>IFERROR(VLOOKUP(A945,预留库存!A:F,6,0),0)</f>
        <v>0</v>
      </c>
      <c r="J945">
        <f>IFERROR(VLOOKUP(A945,库龄!B:K,9,0),0)</f>
        <v>0</v>
      </c>
      <c r="K945">
        <f>IFERROR(VLOOKUP(A945,库龄!B:L,10,0),0)</f>
        <v>0</v>
      </c>
      <c r="L945">
        <f>IFERROR(VLOOKUP(A945,库龄!B:M,11,0),0)</f>
        <v>0</v>
      </c>
      <c r="M945">
        <f>IFERROR(VLOOKUP(A945,库龄!B:N,12,0),0)</f>
        <v>0</v>
      </c>
      <c r="N945">
        <f t="shared" si="30"/>
        <v>0</v>
      </c>
    </row>
    <row r="946" spans="1:14">
      <c r="A946" s="3" t="s">
        <v>3453</v>
      </c>
      <c r="B946">
        <f>IFERROR(VLOOKUP(A946,管理亚马逊库存!A:K,11,0),"")</f>
        <v>0</v>
      </c>
      <c r="C946">
        <f>IFERROR(VLOOKUP(A946,管理亚马逊库存!A:L,12,0),"")</f>
        <v>0</v>
      </c>
      <c r="D946">
        <f>IFERROR(VLOOKUP(A946,管理亚马逊库存!A:Q,17,0),"")</f>
        <v>0</v>
      </c>
      <c r="E946">
        <f>IFERROR(VLOOKUP(A946,管理亚马逊库存!A:R,18,0),"")</f>
        <v>0</v>
      </c>
      <c r="F946">
        <f t="shared" si="29"/>
        <v>0</v>
      </c>
      <c r="G946">
        <f>IFERROR(VLOOKUP(A946,预留库存!A:G,7,0),0)</f>
        <v>0</v>
      </c>
      <c r="H946">
        <f>IFERROR(VLOOKUP(A946,预留库存!A:H,8,0),0)</f>
        <v>0</v>
      </c>
      <c r="I946">
        <f>IFERROR(VLOOKUP(A946,预留库存!A:F,6,0),0)</f>
        <v>0</v>
      </c>
      <c r="J946">
        <f>IFERROR(VLOOKUP(A946,库龄!B:K,9,0),0)</f>
        <v>0</v>
      </c>
      <c r="K946">
        <f>IFERROR(VLOOKUP(A946,库龄!B:L,10,0),0)</f>
        <v>0</v>
      </c>
      <c r="L946">
        <f>IFERROR(VLOOKUP(A946,库龄!B:M,11,0),0)</f>
        <v>0</v>
      </c>
      <c r="M946">
        <f>IFERROR(VLOOKUP(A946,库龄!B:N,12,0),0)</f>
        <v>0</v>
      </c>
      <c r="N946">
        <f t="shared" si="30"/>
        <v>0</v>
      </c>
    </row>
    <row r="947" spans="1:14">
      <c r="A947" s="3" t="s">
        <v>3457</v>
      </c>
      <c r="B947">
        <f>IFERROR(VLOOKUP(A947,管理亚马逊库存!A:K,11,0),"")</f>
        <v>0</v>
      </c>
      <c r="C947">
        <f>IFERROR(VLOOKUP(A947,管理亚马逊库存!A:L,12,0),"")</f>
        <v>0</v>
      </c>
      <c r="D947">
        <f>IFERROR(VLOOKUP(A947,管理亚马逊库存!A:Q,17,0),"")</f>
        <v>0</v>
      </c>
      <c r="E947">
        <f>IFERROR(VLOOKUP(A947,管理亚马逊库存!A:R,18,0),"")</f>
        <v>0</v>
      </c>
      <c r="F947">
        <f t="shared" si="29"/>
        <v>0</v>
      </c>
      <c r="G947">
        <f>IFERROR(VLOOKUP(A947,预留库存!A:G,7,0),0)</f>
        <v>0</v>
      </c>
      <c r="H947">
        <f>IFERROR(VLOOKUP(A947,预留库存!A:H,8,0),0)</f>
        <v>0</v>
      </c>
      <c r="I947">
        <f>IFERROR(VLOOKUP(A947,预留库存!A:F,6,0),0)</f>
        <v>0</v>
      </c>
      <c r="J947">
        <f>IFERROR(VLOOKUP(A947,库龄!B:K,9,0),0)</f>
        <v>0</v>
      </c>
      <c r="K947">
        <f>IFERROR(VLOOKUP(A947,库龄!B:L,10,0),0)</f>
        <v>0</v>
      </c>
      <c r="L947">
        <f>IFERROR(VLOOKUP(A947,库龄!B:M,11,0),0)</f>
        <v>0</v>
      </c>
      <c r="M947">
        <f>IFERROR(VLOOKUP(A947,库龄!B:N,12,0),0)</f>
        <v>0</v>
      </c>
      <c r="N947">
        <f t="shared" si="30"/>
        <v>0</v>
      </c>
    </row>
    <row r="948" spans="1:14">
      <c r="A948" s="3" t="s">
        <v>3461</v>
      </c>
      <c r="B948">
        <f>IFERROR(VLOOKUP(A948,管理亚马逊库存!A:K,11,0),"")</f>
        <v>0</v>
      </c>
      <c r="C948">
        <f>IFERROR(VLOOKUP(A948,管理亚马逊库存!A:L,12,0),"")</f>
        <v>0</v>
      </c>
      <c r="D948">
        <f>IFERROR(VLOOKUP(A948,管理亚马逊库存!A:Q,17,0),"")</f>
        <v>0</v>
      </c>
      <c r="E948">
        <f>IFERROR(VLOOKUP(A948,管理亚马逊库存!A:R,18,0),"")</f>
        <v>0</v>
      </c>
      <c r="F948">
        <f t="shared" si="29"/>
        <v>0</v>
      </c>
      <c r="G948">
        <f>IFERROR(VLOOKUP(A948,预留库存!A:G,7,0),0)</f>
        <v>0</v>
      </c>
      <c r="H948">
        <f>IFERROR(VLOOKUP(A948,预留库存!A:H,8,0),0)</f>
        <v>0</v>
      </c>
      <c r="I948">
        <f>IFERROR(VLOOKUP(A948,预留库存!A:F,6,0),0)</f>
        <v>0</v>
      </c>
      <c r="J948">
        <f>IFERROR(VLOOKUP(A948,库龄!B:K,9,0),0)</f>
        <v>0</v>
      </c>
      <c r="K948">
        <f>IFERROR(VLOOKUP(A948,库龄!B:L,10,0),0)</f>
        <v>0</v>
      </c>
      <c r="L948">
        <f>IFERROR(VLOOKUP(A948,库龄!B:M,11,0),0)</f>
        <v>0</v>
      </c>
      <c r="M948">
        <f>IFERROR(VLOOKUP(A948,库龄!B:N,12,0),0)</f>
        <v>0</v>
      </c>
      <c r="N948">
        <f t="shared" si="30"/>
        <v>0</v>
      </c>
    </row>
    <row r="949" spans="1:14">
      <c r="A949" s="3" t="s">
        <v>3465</v>
      </c>
      <c r="B949">
        <f>IFERROR(VLOOKUP(A949,管理亚马逊库存!A:K,11,0),"")</f>
        <v>0</v>
      </c>
      <c r="C949">
        <f>IFERROR(VLOOKUP(A949,管理亚马逊库存!A:L,12,0),"")</f>
        <v>0</v>
      </c>
      <c r="D949">
        <f>IFERROR(VLOOKUP(A949,管理亚马逊库存!A:Q,17,0),"")</f>
        <v>0</v>
      </c>
      <c r="E949">
        <f>IFERROR(VLOOKUP(A949,管理亚马逊库存!A:R,18,0),"")</f>
        <v>0</v>
      </c>
      <c r="F949">
        <f t="shared" si="29"/>
        <v>0</v>
      </c>
      <c r="G949">
        <f>IFERROR(VLOOKUP(A949,预留库存!A:G,7,0),0)</f>
        <v>0</v>
      </c>
      <c r="H949">
        <f>IFERROR(VLOOKUP(A949,预留库存!A:H,8,0),0)</f>
        <v>0</v>
      </c>
      <c r="I949">
        <f>IFERROR(VLOOKUP(A949,预留库存!A:F,6,0),0)</f>
        <v>0</v>
      </c>
      <c r="J949">
        <f>IFERROR(VLOOKUP(A949,库龄!B:K,9,0),0)</f>
        <v>0</v>
      </c>
      <c r="K949">
        <f>IFERROR(VLOOKUP(A949,库龄!B:L,10,0),0)</f>
        <v>0</v>
      </c>
      <c r="L949">
        <f>IFERROR(VLOOKUP(A949,库龄!B:M,11,0),0)</f>
        <v>0</v>
      </c>
      <c r="M949">
        <f>IFERROR(VLOOKUP(A949,库龄!B:N,12,0),0)</f>
        <v>0</v>
      </c>
      <c r="N949">
        <f t="shared" si="30"/>
        <v>0</v>
      </c>
    </row>
    <row r="950" spans="1:14">
      <c r="A950" s="3" t="s">
        <v>3469</v>
      </c>
      <c r="B950">
        <f>IFERROR(VLOOKUP(A950,管理亚马逊库存!A:K,11,0),"")</f>
        <v>0</v>
      </c>
      <c r="C950">
        <f>IFERROR(VLOOKUP(A950,管理亚马逊库存!A:L,12,0),"")</f>
        <v>0</v>
      </c>
      <c r="D950">
        <f>IFERROR(VLOOKUP(A950,管理亚马逊库存!A:Q,17,0),"")</f>
        <v>0</v>
      </c>
      <c r="E950">
        <f>IFERROR(VLOOKUP(A950,管理亚马逊库存!A:R,18,0),"")</f>
        <v>0</v>
      </c>
      <c r="F950">
        <f t="shared" si="29"/>
        <v>0</v>
      </c>
      <c r="G950">
        <f>IFERROR(VLOOKUP(A950,预留库存!A:G,7,0),0)</f>
        <v>0</v>
      </c>
      <c r="H950">
        <f>IFERROR(VLOOKUP(A950,预留库存!A:H,8,0),0)</f>
        <v>0</v>
      </c>
      <c r="I950">
        <f>IFERROR(VLOOKUP(A950,预留库存!A:F,6,0),0)</f>
        <v>0</v>
      </c>
      <c r="J950">
        <f>IFERROR(VLOOKUP(A950,库龄!B:K,9,0),0)</f>
        <v>0</v>
      </c>
      <c r="K950">
        <f>IFERROR(VLOOKUP(A950,库龄!B:L,10,0),0)</f>
        <v>0</v>
      </c>
      <c r="L950">
        <f>IFERROR(VLOOKUP(A950,库龄!B:M,11,0),0)</f>
        <v>0</v>
      </c>
      <c r="M950">
        <f>IFERROR(VLOOKUP(A950,库龄!B:N,12,0),0)</f>
        <v>0</v>
      </c>
      <c r="N950">
        <f t="shared" si="30"/>
        <v>0</v>
      </c>
    </row>
    <row r="951" spans="1:14">
      <c r="A951" s="3" t="s">
        <v>3473</v>
      </c>
      <c r="B951">
        <f>IFERROR(VLOOKUP(A951,管理亚马逊库存!A:K,11,0),"")</f>
        <v>0</v>
      </c>
      <c r="C951">
        <f>IFERROR(VLOOKUP(A951,管理亚马逊库存!A:L,12,0),"")</f>
        <v>0</v>
      </c>
      <c r="D951">
        <f>IFERROR(VLOOKUP(A951,管理亚马逊库存!A:Q,17,0),"")</f>
        <v>0</v>
      </c>
      <c r="E951">
        <f>IFERROR(VLOOKUP(A951,管理亚马逊库存!A:R,18,0),"")</f>
        <v>0</v>
      </c>
      <c r="F951">
        <f t="shared" si="29"/>
        <v>0</v>
      </c>
      <c r="G951">
        <f>IFERROR(VLOOKUP(A951,预留库存!A:G,7,0),0)</f>
        <v>0</v>
      </c>
      <c r="H951">
        <f>IFERROR(VLOOKUP(A951,预留库存!A:H,8,0),0)</f>
        <v>0</v>
      </c>
      <c r="I951">
        <f>IFERROR(VLOOKUP(A951,预留库存!A:F,6,0),0)</f>
        <v>0</v>
      </c>
      <c r="J951">
        <f>IFERROR(VLOOKUP(A951,库龄!B:K,9,0),0)</f>
        <v>0</v>
      </c>
      <c r="K951">
        <f>IFERROR(VLOOKUP(A951,库龄!B:L,10,0),0)</f>
        <v>0</v>
      </c>
      <c r="L951">
        <f>IFERROR(VLOOKUP(A951,库龄!B:M,11,0),0)</f>
        <v>0</v>
      </c>
      <c r="M951">
        <f>IFERROR(VLOOKUP(A951,库龄!B:N,12,0),0)</f>
        <v>0</v>
      </c>
      <c r="N951">
        <f t="shared" si="30"/>
        <v>0</v>
      </c>
    </row>
    <row r="952" spans="1:14">
      <c r="A952" s="3" t="s">
        <v>3477</v>
      </c>
      <c r="B952">
        <f>IFERROR(VLOOKUP(A952,管理亚马逊库存!A:K,11,0),"")</f>
        <v>0</v>
      </c>
      <c r="C952">
        <f>IFERROR(VLOOKUP(A952,管理亚马逊库存!A:L,12,0),"")</f>
        <v>0</v>
      </c>
      <c r="D952">
        <f>IFERROR(VLOOKUP(A952,管理亚马逊库存!A:Q,17,0),"")</f>
        <v>0</v>
      </c>
      <c r="E952">
        <f>IFERROR(VLOOKUP(A952,管理亚马逊库存!A:R,18,0),"")</f>
        <v>0</v>
      </c>
      <c r="F952">
        <f t="shared" si="29"/>
        <v>0</v>
      </c>
      <c r="G952">
        <f>IFERROR(VLOOKUP(A952,预留库存!A:G,7,0),0)</f>
        <v>0</v>
      </c>
      <c r="H952">
        <f>IFERROR(VLOOKUP(A952,预留库存!A:H,8,0),0)</f>
        <v>0</v>
      </c>
      <c r="I952">
        <f>IFERROR(VLOOKUP(A952,预留库存!A:F,6,0),0)</f>
        <v>0</v>
      </c>
      <c r="J952">
        <f>IFERROR(VLOOKUP(A952,库龄!B:K,9,0),0)</f>
        <v>0</v>
      </c>
      <c r="K952">
        <f>IFERROR(VLOOKUP(A952,库龄!B:L,10,0),0)</f>
        <v>0</v>
      </c>
      <c r="L952">
        <f>IFERROR(VLOOKUP(A952,库龄!B:M,11,0),0)</f>
        <v>0</v>
      </c>
      <c r="M952">
        <f>IFERROR(VLOOKUP(A952,库龄!B:N,12,0),0)</f>
        <v>0</v>
      </c>
      <c r="N952">
        <f t="shared" si="30"/>
        <v>0</v>
      </c>
    </row>
    <row r="953" spans="1:14">
      <c r="A953" s="3" t="s">
        <v>3481</v>
      </c>
      <c r="B953">
        <f>IFERROR(VLOOKUP(A953,管理亚马逊库存!A:K,11,0),"")</f>
        <v>0</v>
      </c>
      <c r="C953">
        <f>IFERROR(VLOOKUP(A953,管理亚马逊库存!A:L,12,0),"")</f>
        <v>0</v>
      </c>
      <c r="D953">
        <f>IFERROR(VLOOKUP(A953,管理亚马逊库存!A:Q,17,0),"")</f>
        <v>0</v>
      </c>
      <c r="E953">
        <f>IFERROR(VLOOKUP(A953,管理亚马逊库存!A:R,18,0),"")</f>
        <v>0</v>
      </c>
      <c r="F953">
        <f t="shared" si="29"/>
        <v>0</v>
      </c>
      <c r="G953">
        <f>IFERROR(VLOOKUP(A953,预留库存!A:G,7,0),0)</f>
        <v>0</v>
      </c>
      <c r="H953">
        <f>IFERROR(VLOOKUP(A953,预留库存!A:H,8,0),0)</f>
        <v>0</v>
      </c>
      <c r="I953">
        <f>IFERROR(VLOOKUP(A953,预留库存!A:F,6,0),0)</f>
        <v>0</v>
      </c>
      <c r="J953">
        <f>IFERROR(VLOOKUP(A953,库龄!B:K,9,0),0)</f>
        <v>0</v>
      </c>
      <c r="K953">
        <f>IFERROR(VLOOKUP(A953,库龄!B:L,10,0),0)</f>
        <v>0</v>
      </c>
      <c r="L953">
        <f>IFERROR(VLOOKUP(A953,库龄!B:M,11,0),0)</f>
        <v>0</v>
      </c>
      <c r="M953">
        <f>IFERROR(VLOOKUP(A953,库龄!B:N,12,0),0)</f>
        <v>0</v>
      </c>
      <c r="N953">
        <f t="shared" si="30"/>
        <v>0</v>
      </c>
    </row>
    <row r="954" spans="1:14">
      <c r="A954" s="3" t="s">
        <v>3485</v>
      </c>
      <c r="B954">
        <f>IFERROR(VLOOKUP(A954,管理亚马逊库存!A:K,11,0),"")</f>
        <v>0</v>
      </c>
      <c r="C954">
        <f>IFERROR(VLOOKUP(A954,管理亚马逊库存!A:L,12,0),"")</f>
        <v>0</v>
      </c>
      <c r="D954">
        <f>IFERROR(VLOOKUP(A954,管理亚马逊库存!A:Q,17,0),"")</f>
        <v>0</v>
      </c>
      <c r="E954">
        <f>IFERROR(VLOOKUP(A954,管理亚马逊库存!A:R,18,0),"")</f>
        <v>0</v>
      </c>
      <c r="F954">
        <f t="shared" si="29"/>
        <v>0</v>
      </c>
      <c r="G954">
        <f>IFERROR(VLOOKUP(A954,预留库存!A:G,7,0),0)</f>
        <v>0</v>
      </c>
      <c r="H954">
        <f>IFERROR(VLOOKUP(A954,预留库存!A:H,8,0),0)</f>
        <v>0</v>
      </c>
      <c r="I954">
        <f>IFERROR(VLOOKUP(A954,预留库存!A:F,6,0),0)</f>
        <v>0</v>
      </c>
      <c r="J954">
        <f>IFERROR(VLOOKUP(A954,库龄!B:K,9,0),0)</f>
        <v>0</v>
      </c>
      <c r="K954">
        <f>IFERROR(VLOOKUP(A954,库龄!B:L,10,0),0)</f>
        <v>0</v>
      </c>
      <c r="L954">
        <f>IFERROR(VLOOKUP(A954,库龄!B:M,11,0),0)</f>
        <v>0</v>
      </c>
      <c r="M954">
        <f>IFERROR(VLOOKUP(A954,库龄!B:N,12,0),0)</f>
        <v>0</v>
      </c>
      <c r="N954">
        <f t="shared" si="30"/>
        <v>0</v>
      </c>
    </row>
    <row r="955" spans="1:14">
      <c r="A955" s="3" t="s">
        <v>3489</v>
      </c>
      <c r="B955">
        <f>IFERROR(VLOOKUP(A955,管理亚马逊库存!A:K,11,0),"")</f>
        <v>0</v>
      </c>
      <c r="C955">
        <f>IFERROR(VLOOKUP(A955,管理亚马逊库存!A:L,12,0),"")</f>
        <v>0</v>
      </c>
      <c r="D955">
        <f>IFERROR(VLOOKUP(A955,管理亚马逊库存!A:Q,17,0),"")</f>
        <v>0</v>
      </c>
      <c r="E955">
        <f>IFERROR(VLOOKUP(A955,管理亚马逊库存!A:R,18,0),"")</f>
        <v>0</v>
      </c>
      <c r="F955">
        <f t="shared" si="29"/>
        <v>0</v>
      </c>
      <c r="G955">
        <f>IFERROR(VLOOKUP(A955,预留库存!A:G,7,0),0)</f>
        <v>0</v>
      </c>
      <c r="H955">
        <f>IFERROR(VLOOKUP(A955,预留库存!A:H,8,0),0)</f>
        <v>0</v>
      </c>
      <c r="I955">
        <f>IFERROR(VLOOKUP(A955,预留库存!A:F,6,0),0)</f>
        <v>0</v>
      </c>
      <c r="J955">
        <f>IFERROR(VLOOKUP(A955,库龄!B:K,9,0),0)</f>
        <v>0</v>
      </c>
      <c r="K955">
        <f>IFERROR(VLOOKUP(A955,库龄!B:L,10,0),0)</f>
        <v>0</v>
      </c>
      <c r="L955">
        <f>IFERROR(VLOOKUP(A955,库龄!B:M,11,0),0)</f>
        <v>0</v>
      </c>
      <c r="M955">
        <f>IFERROR(VLOOKUP(A955,库龄!B:N,12,0),0)</f>
        <v>0</v>
      </c>
      <c r="N955">
        <f t="shared" si="30"/>
        <v>0</v>
      </c>
    </row>
    <row r="956" spans="1:14">
      <c r="A956" s="3" t="s">
        <v>3493</v>
      </c>
      <c r="B956">
        <f>IFERROR(VLOOKUP(A956,管理亚马逊库存!A:K,11,0),"")</f>
        <v>0</v>
      </c>
      <c r="C956">
        <f>IFERROR(VLOOKUP(A956,管理亚马逊库存!A:L,12,0),"")</f>
        <v>0</v>
      </c>
      <c r="D956">
        <f>IFERROR(VLOOKUP(A956,管理亚马逊库存!A:Q,17,0),"")</f>
        <v>0</v>
      </c>
      <c r="E956">
        <f>IFERROR(VLOOKUP(A956,管理亚马逊库存!A:R,18,0),"")</f>
        <v>0</v>
      </c>
      <c r="F956">
        <f t="shared" si="29"/>
        <v>0</v>
      </c>
      <c r="G956">
        <f>IFERROR(VLOOKUP(A956,预留库存!A:G,7,0),0)</f>
        <v>0</v>
      </c>
      <c r="H956">
        <f>IFERROR(VLOOKUP(A956,预留库存!A:H,8,0),0)</f>
        <v>0</v>
      </c>
      <c r="I956">
        <f>IFERROR(VLOOKUP(A956,预留库存!A:F,6,0),0)</f>
        <v>0</v>
      </c>
      <c r="J956">
        <f>IFERROR(VLOOKUP(A956,库龄!B:K,9,0),0)</f>
        <v>0</v>
      </c>
      <c r="K956">
        <f>IFERROR(VLOOKUP(A956,库龄!B:L,10,0),0)</f>
        <v>0</v>
      </c>
      <c r="L956">
        <f>IFERROR(VLOOKUP(A956,库龄!B:M,11,0),0)</f>
        <v>0</v>
      </c>
      <c r="M956">
        <f>IFERROR(VLOOKUP(A956,库龄!B:N,12,0),0)</f>
        <v>0</v>
      </c>
      <c r="N956">
        <f t="shared" si="30"/>
        <v>0</v>
      </c>
    </row>
    <row r="957" spans="1:14">
      <c r="A957" s="3" t="s">
        <v>3497</v>
      </c>
      <c r="B957">
        <f>IFERROR(VLOOKUP(A957,管理亚马逊库存!A:K,11,0),"")</f>
        <v>0</v>
      </c>
      <c r="C957">
        <f>IFERROR(VLOOKUP(A957,管理亚马逊库存!A:L,12,0),"")</f>
        <v>0</v>
      </c>
      <c r="D957">
        <f>IFERROR(VLOOKUP(A957,管理亚马逊库存!A:Q,17,0),"")</f>
        <v>0</v>
      </c>
      <c r="E957">
        <f>IFERROR(VLOOKUP(A957,管理亚马逊库存!A:R,18,0),"")</f>
        <v>0</v>
      </c>
      <c r="F957">
        <f t="shared" si="29"/>
        <v>0</v>
      </c>
      <c r="G957">
        <f>IFERROR(VLOOKUP(A957,预留库存!A:G,7,0),0)</f>
        <v>0</v>
      </c>
      <c r="H957">
        <f>IFERROR(VLOOKUP(A957,预留库存!A:H,8,0),0)</f>
        <v>0</v>
      </c>
      <c r="I957">
        <f>IFERROR(VLOOKUP(A957,预留库存!A:F,6,0),0)</f>
        <v>0</v>
      </c>
      <c r="J957">
        <f>IFERROR(VLOOKUP(A957,库龄!B:K,9,0),0)</f>
        <v>0</v>
      </c>
      <c r="K957">
        <f>IFERROR(VLOOKUP(A957,库龄!B:L,10,0),0)</f>
        <v>0</v>
      </c>
      <c r="L957">
        <f>IFERROR(VLOOKUP(A957,库龄!B:M,11,0),0)</f>
        <v>0</v>
      </c>
      <c r="M957">
        <f>IFERROR(VLOOKUP(A957,库龄!B:N,12,0),0)</f>
        <v>0</v>
      </c>
      <c r="N957">
        <f t="shared" si="30"/>
        <v>0</v>
      </c>
    </row>
    <row r="958" spans="1:14">
      <c r="A958" s="3" t="s">
        <v>3501</v>
      </c>
      <c r="B958">
        <f>IFERROR(VLOOKUP(A958,管理亚马逊库存!A:K,11,0),"")</f>
        <v>0</v>
      </c>
      <c r="C958">
        <f>IFERROR(VLOOKUP(A958,管理亚马逊库存!A:L,12,0),"")</f>
        <v>0</v>
      </c>
      <c r="D958">
        <f>IFERROR(VLOOKUP(A958,管理亚马逊库存!A:Q,17,0),"")</f>
        <v>0</v>
      </c>
      <c r="E958">
        <f>IFERROR(VLOOKUP(A958,管理亚马逊库存!A:R,18,0),"")</f>
        <v>0</v>
      </c>
      <c r="F958">
        <f t="shared" si="29"/>
        <v>0</v>
      </c>
      <c r="G958">
        <f>IFERROR(VLOOKUP(A958,预留库存!A:G,7,0),0)</f>
        <v>0</v>
      </c>
      <c r="H958">
        <f>IFERROR(VLOOKUP(A958,预留库存!A:H,8,0),0)</f>
        <v>0</v>
      </c>
      <c r="I958">
        <f>IFERROR(VLOOKUP(A958,预留库存!A:F,6,0),0)</f>
        <v>0</v>
      </c>
      <c r="J958">
        <f>IFERROR(VLOOKUP(A958,库龄!B:K,9,0),0)</f>
        <v>0</v>
      </c>
      <c r="K958">
        <f>IFERROR(VLOOKUP(A958,库龄!B:L,10,0),0)</f>
        <v>0</v>
      </c>
      <c r="L958">
        <f>IFERROR(VLOOKUP(A958,库龄!B:M,11,0),0)</f>
        <v>0</v>
      </c>
      <c r="M958">
        <f>IFERROR(VLOOKUP(A958,库龄!B:N,12,0),0)</f>
        <v>0</v>
      </c>
      <c r="N958">
        <f t="shared" si="30"/>
        <v>0</v>
      </c>
    </row>
    <row r="959" spans="1:14">
      <c r="A959" s="3" t="s">
        <v>3505</v>
      </c>
      <c r="B959">
        <f>IFERROR(VLOOKUP(A959,管理亚马逊库存!A:K,11,0),"")</f>
        <v>0</v>
      </c>
      <c r="C959">
        <f>IFERROR(VLOOKUP(A959,管理亚马逊库存!A:L,12,0),"")</f>
        <v>0</v>
      </c>
      <c r="D959">
        <f>IFERROR(VLOOKUP(A959,管理亚马逊库存!A:Q,17,0),"")</f>
        <v>0</v>
      </c>
      <c r="E959">
        <f>IFERROR(VLOOKUP(A959,管理亚马逊库存!A:R,18,0),"")</f>
        <v>0</v>
      </c>
      <c r="F959">
        <f t="shared" si="29"/>
        <v>0</v>
      </c>
      <c r="G959">
        <f>IFERROR(VLOOKUP(A959,预留库存!A:G,7,0),0)</f>
        <v>0</v>
      </c>
      <c r="H959">
        <f>IFERROR(VLOOKUP(A959,预留库存!A:H,8,0),0)</f>
        <v>0</v>
      </c>
      <c r="I959">
        <f>IFERROR(VLOOKUP(A959,预留库存!A:F,6,0),0)</f>
        <v>0</v>
      </c>
      <c r="J959">
        <f>IFERROR(VLOOKUP(A959,库龄!B:K,9,0),0)</f>
        <v>0</v>
      </c>
      <c r="K959">
        <f>IFERROR(VLOOKUP(A959,库龄!B:L,10,0),0)</f>
        <v>0</v>
      </c>
      <c r="L959">
        <f>IFERROR(VLOOKUP(A959,库龄!B:M,11,0),0)</f>
        <v>0</v>
      </c>
      <c r="M959">
        <f>IFERROR(VLOOKUP(A959,库龄!B:N,12,0),0)</f>
        <v>0</v>
      </c>
      <c r="N959">
        <f t="shared" si="30"/>
        <v>0</v>
      </c>
    </row>
    <row r="960" spans="1:14">
      <c r="A960" s="3" t="s">
        <v>3509</v>
      </c>
      <c r="B960">
        <f>IFERROR(VLOOKUP(A960,管理亚马逊库存!A:K,11,0),"")</f>
        <v>0</v>
      </c>
      <c r="C960">
        <f>IFERROR(VLOOKUP(A960,管理亚马逊库存!A:L,12,0),"")</f>
        <v>0</v>
      </c>
      <c r="D960">
        <f>IFERROR(VLOOKUP(A960,管理亚马逊库存!A:Q,17,0),"")</f>
        <v>0</v>
      </c>
      <c r="E960">
        <f>IFERROR(VLOOKUP(A960,管理亚马逊库存!A:R,18,0),"")</f>
        <v>0</v>
      </c>
      <c r="F960">
        <f t="shared" si="29"/>
        <v>0</v>
      </c>
      <c r="G960">
        <f>IFERROR(VLOOKUP(A960,预留库存!A:G,7,0),0)</f>
        <v>0</v>
      </c>
      <c r="H960">
        <f>IFERROR(VLOOKUP(A960,预留库存!A:H,8,0),0)</f>
        <v>0</v>
      </c>
      <c r="I960">
        <f>IFERROR(VLOOKUP(A960,预留库存!A:F,6,0),0)</f>
        <v>0</v>
      </c>
      <c r="J960">
        <f>IFERROR(VLOOKUP(A960,库龄!B:K,9,0),0)</f>
        <v>0</v>
      </c>
      <c r="K960">
        <f>IFERROR(VLOOKUP(A960,库龄!B:L,10,0),0)</f>
        <v>0</v>
      </c>
      <c r="L960">
        <f>IFERROR(VLOOKUP(A960,库龄!B:M,11,0),0)</f>
        <v>0</v>
      </c>
      <c r="M960">
        <f>IFERROR(VLOOKUP(A960,库龄!B:N,12,0),0)</f>
        <v>0</v>
      </c>
      <c r="N960">
        <f t="shared" si="30"/>
        <v>0</v>
      </c>
    </row>
    <row r="961" spans="1:14">
      <c r="A961" s="3" t="s">
        <v>3513</v>
      </c>
      <c r="B961">
        <f>IFERROR(VLOOKUP(A961,管理亚马逊库存!A:K,11,0),"")</f>
        <v>0</v>
      </c>
      <c r="C961">
        <f>IFERROR(VLOOKUP(A961,管理亚马逊库存!A:L,12,0),"")</f>
        <v>0</v>
      </c>
      <c r="D961">
        <f>IFERROR(VLOOKUP(A961,管理亚马逊库存!A:Q,17,0),"")</f>
        <v>0</v>
      </c>
      <c r="E961">
        <f>IFERROR(VLOOKUP(A961,管理亚马逊库存!A:R,18,0),"")</f>
        <v>0</v>
      </c>
      <c r="F961">
        <f t="shared" si="29"/>
        <v>0</v>
      </c>
      <c r="G961">
        <f>IFERROR(VLOOKUP(A961,预留库存!A:G,7,0),0)</f>
        <v>0</v>
      </c>
      <c r="H961">
        <f>IFERROR(VLOOKUP(A961,预留库存!A:H,8,0),0)</f>
        <v>0</v>
      </c>
      <c r="I961">
        <f>IFERROR(VLOOKUP(A961,预留库存!A:F,6,0),0)</f>
        <v>0</v>
      </c>
      <c r="J961">
        <f>IFERROR(VLOOKUP(A961,库龄!B:K,9,0),0)</f>
        <v>0</v>
      </c>
      <c r="K961">
        <f>IFERROR(VLOOKUP(A961,库龄!B:L,10,0),0)</f>
        <v>0</v>
      </c>
      <c r="L961">
        <f>IFERROR(VLOOKUP(A961,库龄!B:M,11,0),0)</f>
        <v>0</v>
      </c>
      <c r="M961">
        <f>IFERROR(VLOOKUP(A961,库龄!B:N,12,0),0)</f>
        <v>0</v>
      </c>
      <c r="N961">
        <f t="shared" si="30"/>
        <v>0</v>
      </c>
    </row>
    <row r="962" spans="1:14">
      <c r="A962" s="3" t="s">
        <v>3517</v>
      </c>
      <c r="B962">
        <f>IFERROR(VLOOKUP(A962,管理亚马逊库存!A:K,11,0),"")</f>
        <v>0</v>
      </c>
      <c r="C962">
        <f>IFERROR(VLOOKUP(A962,管理亚马逊库存!A:L,12,0),"")</f>
        <v>0</v>
      </c>
      <c r="D962">
        <f>IFERROR(VLOOKUP(A962,管理亚马逊库存!A:Q,17,0),"")</f>
        <v>0</v>
      </c>
      <c r="E962">
        <f>IFERROR(VLOOKUP(A962,管理亚马逊库存!A:R,18,0),"")</f>
        <v>0</v>
      </c>
      <c r="F962">
        <f t="shared" si="29"/>
        <v>0</v>
      </c>
      <c r="G962">
        <f>IFERROR(VLOOKUP(A962,预留库存!A:G,7,0),0)</f>
        <v>0</v>
      </c>
      <c r="H962">
        <f>IFERROR(VLOOKUP(A962,预留库存!A:H,8,0),0)</f>
        <v>0</v>
      </c>
      <c r="I962">
        <f>IFERROR(VLOOKUP(A962,预留库存!A:F,6,0),0)</f>
        <v>0</v>
      </c>
      <c r="J962">
        <f>IFERROR(VLOOKUP(A962,库龄!B:K,9,0),0)</f>
        <v>0</v>
      </c>
      <c r="K962">
        <f>IFERROR(VLOOKUP(A962,库龄!B:L,10,0),0)</f>
        <v>0</v>
      </c>
      <c r="L962">
        <f>IFERROR(VLOOKUP(A962,库龄!B:M,11,0),0)</f>
        <v>0</v>
      </c>
      <c r="M962">
        <f>IFERROR(VLOOKUP(A962,库龄!B:N,12,0),0)</f>
        <v>0</v>
      </c>
      <c r="N962">
        <f t="shared" si="30"/>
        <v>0</v>
      </c>
    </row>
    <row r="963" spans="1:14">
      <c r="A963" s="3" t="s">
        <v>3521</v>
      </c>
      <c r="B963">
        <f>IFERROR(VLOOKUP(A963,管理亚马逊库存!A:K,11,0),"")</f>
        <v>0</v>
      </c>
      <c r="C963">
        <f>IFERROR(VLOOKUP(A963,管理亚马逊库存!A:L,12,0),"")</f>
        <v>0</v>
      </c>
      <c r="D963">
        <f>IFERROR(VLOOKUP(A963,管理亚马逊库存!A:Q,17,0),"")</f>
        <v>0</v>
      </c>
      <c r="E963">
        <f>IFERROR(VLOOKUP(A963,管理亚马逊库存!A:R,18,0),"")</f>
        <v>0</v>
      </c>
      <c r="F963">
        <f t="shared" ref="F963:F1026" si="31">SUM(D963:E963)</f>
        <v>0</v>
      </c>
      <c r="G963">
        <f>IFERROR(VLOOKUP(A963,预留库存!A:G,7,0),0)</f>
        <v>0</v>
      </c>
      <c r="H963">
        <f>IFERROR(VLOOKUP(A963,预留库存!A:H,8,0),0)</f>
        <v>0</v>
      </c>
      <c r="I963">
        <f>IFERROR(VLOOKUP(A963,预留库存!A:F,6,0),0)</f>
        <v>0</v>
      </c>
      <c r="J963">
        <f>IFERROR(VLOOKUP(A963,库龄!B:K,9,0),0)</f>
        <v>0</v>
      </c>
      <c r="K963">
        <f>IFERROR(VLOOKUP(A963,库龄!B:L,10,0),0)</f>
        <v>0</v>
      </c>
      <c r="L963">
        <f>IFERROR(VLOOKUP(A963,库龄!B:M,11,0),0)</f>
        <v>0</v>
      </c>
      <c r="M963">
        <f>IFERROR(VLOOKUP(A963,库龄!B:N,12,0),0)</f>
        <v>0</v>
      </c>
      <c r="N963">
        <f t="shared" ref="N963:N1026" si="32">SUM(J963:M963)</f>
        <v>0</v>
      </c>
    </row>
    <row r="964" spans="1:14">
      <c r="A964" s="3" t="s">
        <v>3525</v>
      </c>
      <c r="B964">
        <f>IFERROR(VLOOKUP(A964,管理亚马逊库存!A:K,11,0),"")</f>
        <v>0</v>
      </c>
      <c r="C964">
        <f>IFERROR(VLOOKUP(A964,管理亚马逊库存!A:L,12,0),"")</f>
        <v>0</v>
      </c>
      <c r="D964">
        <f>IFERROR(VLOOKUP(A964,管理亚马逊库存!A:Q,17,0),"")</f>
        <v>0</v>
      </c>
      <c r="E964">
        <f>IFERROR(VLOOKUP(A964,管理亚马逊库存!A:R,18,0),"")</f>
        <v>0</v>
      </c>
      <c r="F964">
        <f t="shared" si="31"/>
        <v>0</v>
      </c>
      <c r="G964">
        <f>IFERROR(VLOOKUP(A964,预留库存!A:G,7,0),0)</f>
        <v>0</v>
      </c>
      <c r="H964">
        <f>IFERROR(VLOOKUP(A964,预留库存!A:H,8,0),0)</f>
        <v>0</v>
      </c>
      <c r="I964">
        <f>IFERROR(VLOOKUP(A964,预留库存!A:F,6,0),0)</f>
        <v>0</v>
      </c>
      <c r="J964">
        <f>IFERROR(VLOOKUP(A964,库龄!B:K,9,0),0)</f>
        <v>0</v>
      </c>
      <c r="K964">
        <f>IFERROR(VLOOKUP(A964,库龄!B:L,10,0),0)</f>
        <v>0</v>
      </c>
      <c r="L964">
        <f>IFERROR(VLOOKUP(A964,库龄!B:M,11,0),0)</f>
        <v>0</v>
      </c>
      <c r="M964">
        <f>IFERROR(VLOOKUP(A964,库龄!B:N,12,0),0)</f>
        <v>0</v>
      </c>
      <c r="N964">
        <f t="shared" si="32"/>
        <v>0</v>
      </c>
    </row>
    <row r="965" spans="1:14">
      <c r="A965" s="3" t="s">
        <v>3529</v>
      </c>
      <c r="B965">
        <f>IFERROR(VLOOKUP(A965,管理亚马逊库存!A:K,11,0),"")</f>
        <v>0</v>
      </c>
      <c r="C965">
        <f>IFERROR(VLOOKUP(A965,管理亚马逊库存!A:L,12,0),"")</f>
        <v>0</v>
      </c>
      <c r="D965">
        <f>IFERROR(VLOOKUP(A965,管理亚马逊库存!A:Q,17,0),"")</f>
        <v>0</v>
      </c>
      <c r="E965">
        <f>IFERROR(VLOOKUP(A965,管理亚马逊库存!A:R,18,0),"")</f>
        <v>0</v>
      </c>
      <c r="F965">
        <f t="shared" si="31"/>
        <v>0</v>
      </c>
      <c r="G965">
        <f>IFERROR(VLOOKUP(A965,预留库存!A:G,7,0),0)</f>
        <v>0</v>
      </c>
      <c r="H965">
        <f>IFERROR(VLOOKUP(A965,预留库存!A:H,8,0),0)</f>
        <v>0</v>
      </c>
      <c r="I965">
        <f>IFERROR(VLOOKUP(A965,预留库存!A:F,6,0),0)</f>
        <v>0</v>
      </c>
      <c r="J965">
        <f>IFERROR(VLOOKUP(A965,库龄!B:K,9,0),0)</f>
        <v>0</v>
      </c>
      <c r="K965">
        <f>IFERROR(VLOOKUP(A965,库龄!B:L,10,0),0)</f>
        <v>0</v>
      </c>
      <c r="L965">
        <f>IFERROR(VLOOKUP(A965,库龄!B:M,11,0),0)</f>
        <v>0</v>
      </c>
      <c r="M965">
        <f>IFERROR(VLOOKUP(A965,库龄!B:N,12,0),0)</f>
        <v>0</v>
      </c>
      <c r="N965">
        <f t="shared" si="32"/>
        <v>0</v>
      </c>
    </row>
    <row r="966" spans="1:14">
      <c r="A966" s="3" t="s">
        <v>3533</v>
      </c>
      <c r="B966">
        <f>IFERROR(VLOOKUP(A966,管理亚马逊库存!A:K,11,0),"")</f>
        <v>0</v>
      </c>
      <c r="C966">
        <f>IFERROR(VLOOKUP(A966,管理亚马逊库存!A:L,12,0),"")</f>
        <v>0</v>
      </c>
      <c r="D966">
        <f>IFERROR(VLOOKUP(A966,管理亚马逊库存!A:Q,17,0),"")</f>
        <v>0</v>
      </c>
      <c r="E966">
        <f>IFERROR(VLOOKUP(A966,管理亚马逊库存!A:R,18,0),"")</f>
        <v>0</v>
      </c>
      <c r="F966">
        <f t="shared" si="31"/>
        <v>0</v>
      </c>
      <c r="G966">
        <f>IFERROR(VLOOKUP(A966,预留库存!A:G,7,0),0)</f>
        <v>0</v>
      </c>
      <c r="H966">
        <f>IFERROR(VLOOKUP(A966,预留库存!A:H,8,0),0)</f>
        <v>0</v>
      </c>
      <c r="I966">
        <f>IFERROR(VLOOKUP(A966,预留库存!A:F,6,0),0)</f>
        <v>0</v>
      </c>
      <c r="J966">
        <f>IFERROR(VLOOKUP(A966,库龄!B:K,9,0),0)</f>
        <v>0</v>
      </c>
      <c r="K966">
        <f>IFERROR(VLOOKUP(A966,库龄!B:L,10,0),0)</f>
        <v>0</v>
      </c>
      <c r="L966">
        <f>IFERROR(VLOOKUP(A966,库龄!B:M,11,0),0)</f>
        <v>0</v>
      </c>
      <c r="M966">
        <f>IFERROR(VLOOKUP(A966,库龄!B:N,12,0),0)</f>
        <v>0</v>
      </c>
      <c r="N966">
        <f t="shared" si="32"/>
        <v>0</v>
      </c>
    </row>
    <row r="967" spans="1:14">
      <c r="A967" s="3" t="s">
        <v>3537</v>
      </c>
      <c r="B967">
        <f>IFERROR(VLOOKUP(A967,管理亚马逊库存!A:K,11,0),"")</f>
        <v>0</v>
      </c>
      <c r="C967">
        <f>IFERROR(VLOOKUP(A967,管理亚马逊库存!A:L,12,0),"")</f>
        <v>0</v>
      </c>
      <c r="D967">
        <f>IFERROR(VLOOKUP(A967,管理亚马逊库存!A:Q,17,0),"")</f>
        <v>0</v>
      </c>
      <c r="E967">
        <f>IFERROR(VLOOKUP(A967,管理亚马逊库存!A:R,18,0),"")</f>
        <v>0</v>
      </c>
      <c r="F967">
        <f t="shared" si="31"/>
        <v>0</v>
      </c>
      <c r="G967">
        <f>IFERROR(VLOOKUP(A967,预留库存!A:G,7,0),0)</f>
        <v>0</v>
      </c>
      <c r="H967">
        <f>IFERROR(VLOOKUP(A967,预留库存!A:H,8,0),0)</f>
        <v>0</v>
      </c>
      <c r="I967">
        <f>IFERROR(VLOOKUP(A967,预留库存!A:F,6,0),0)</f>
        <v>0</v>
      </c>
      <c r="J967">
        <f>IFERROR(VLOOKUP(A967,库龄!B:K,9,0),0)</f>
        <v>0</v>
      </c>
      <c r="K967">
        <f>IFERROR(VLOOKUP(A967,库龄!B:L,10,0),0)</f>
        <v>0</v>
      </c>
      <c r="L967">
        <f>IFERROR(VLOOKUP(A967,库龄!B:M,11,0),0)</f>
        <v>0</v>
      </c>
      <c r="M967">
        <f>IFERROR(VLOOKUP(A967,库龄!B:N,12,0),0)</f>
        <v>0</v>
      </c>
      <c r="N967">
        <f t="shared" si="32"/>
        <v>0</v>
      </c>
    </row>
    <row r="968" spans="1:14">
      <c r="A968" s="3" t="s">
        <v>3541</v>
      </c>
      <c r="B968">
        <f>IFERROR(VLOOKUP(A968,管理亚马逊库存!A:K,11,0),"")</f>
        <v>0</v>
      </c>
      <c r="C968">
        <f>IFERROR(VLOOKUP(A968,管理亚马逊库存!A:L,12,0),"")</f>
        <v>0</v>
      </c>
      <c r="D968">
        <f>IFERROR(VLOOKUP(A968,管理亚马逊库存!A:Q,17,0),"")</f>
        <v>0</v>
      </c>
      <c r="E968">
        <f>IFERROR(VLOOKUP(A968,管理亚马逊库存!A:R,18,0),"")</f>
        <v>0</v>
      </c>
      <c r="F968">
        <f t="shared" si="31"/>
        <v>0</v>
      </c>
      <c r="G968">
        <f>IFERROR(VLOOKUP(A968,预留库存!A:G,7,0),0)</f>
        <v>0</v>
      </c>
      <c r="H968">
        <f>IFERROR(VLOOKUP(A968,预留库存!A:H,8,0),0)</f>
        <v>0</v>
      </c>
      <c r="I968">
        <f>IFERROR(VLOOKUP(A968,预留库存!A:F,6,0),0)</f>
        <v>0</v>
      </c>
      <c r="J968">
        <f>IFERROR(VLOOKUP(A968,库龄!B:K,9,0),0)</f>
        <v>0</v>
      </c>
      <c r="K968">
        <f>IFERROR(VLOOKUP(A968,库龄!B:L,10,0),0)</f>
        <v>0</v>
      </c>
      <c r="L968">
        <f>IFERROR(VLOOKUP(A968,库龄!B:M,11,0),0)</f>
        <v>0</v>
      </c>
      <c r="M968">
        <f>IFERROR(VLOOKUP(A968,库龄!B:N,12,0),0)</f>
        <v>0</v>
      </c>
      <c r="N968">
        <f t="shared" si="32"/>
        <v>0</v>
      </c>
    </row>
    <row r="969" spans="1:14">
      <c r="A969" s="3" t="s">
        <v>3545</v>
      </c>
      <c r="B969">
        <f>IFERROR(VLOOKUP(A969,管理亚马逊库存!A:K,11,0),"")</f>
        <v>0</v>
      </c>
      <c r="C969">
        <f>IFERROR(VLOOKUP(A969,管理亚马逊库存!A:L,12,0),"")</f>
        <v>0</v>
      </c>
      <c r="D969">
        <f>IFERROR(VLOOKUP(A969,管理亚马逊库存!A:Q,17,0),"")</f>
        <v>0</v>
      </c>
      <c r="E969">
        <f>IFERROR(VLOOKUP(A969,管理亚马逊库存!A:R,18,0),"")</f>
        <v>0</v>
      </c>
      <c r="F969">
        <f t="shared" si="31"/>
        <v>0</v>
      </c>
      <c r="G969">
        <f>IFERROR(VLOOKUP(A969,预留库存!A:G,7,0),0)</f>
        <v>0</v>
      </c>
      <c r="H969">
        <f>IFERROR(VLOOKUP(A969,预留库存!A:H,8,0),0)</f>
        <v>0</v>
      </c>
      <c r="I969">
        <f>IFERROR(VLOOKUP(A969,预留库存!A:F,6,0),0)</f>
        <v>0</v>
      </c>
      <c r="J969">
        <f>IFERROR(VLOOKUP(A969,库龄!B:K,9,0),0)</f>
        <v>0</v>
      </c>
      <c r="K969">
        <f>IFERROR(VLOOKUP(A969,库龄!B:L,10,0),0)</f>
        <v>0</v>
      </c>
      <c r="L969">
        <f>IFERROR(VLOOKUP(A969,库龄!B:M,11,0),0)</f>
        <v>0</v>
      </c>
      <c r="M969">
        <f>IFERROR(VLOOKUP(A969,库龄!B:N,12,0),0)</f>
        <v>0</v>
      </c>
      <c r="N969">
        <f t="shared" si="32"/>
        <v>0</v>
      </c>
    </row>
    <row r="970" spans="1:14">
      <c r="A970" s="3" t="s">
        <v>3549</v>
      </c>
      <c r="B970">
        <f>IFERROR(VLOOKUP(A970,管理亚马逊库存!A:K,11,0),"")</f>
        <v>0</v>
      </c>
      <c r="C970">
        <f>IFERROR(VLOOKUP(A970,管理亚马逊库存!A:L,12,0),"")</f>
        <v>0</v>
      </c>
      <c r="D970">
        <f>IFERROR(VLOOKUP(A970,管理亚马逊库存!A:Q,17,0),"")</f>
        <v>0</v>
      </c>
      <c r="E970">
        <f>IFERROR(VLOOKUP(A970,管理亚马逊库存!A:R,18,0),"")</f>
        <v>0</v>
      </c>
      <c r="F970">
        <f t="shared" si="31"/>
        <v>0</v>
      </c>
      <c r="G970">
        <f>IFERROR(VLOOKUP(A970,预留库存!A:G,7,0),0)</f>
        <v>0</v>
      </c>
      <c r="H970">
        <f>IFERROR(VLOOKUP(A970,预留库存!A:H,8,0),0)</f>
        <v>0</v>
      </c>
      <c r="I970">
        <f>IFERROR(VLOOKUP(A970,预留库存!A:F,6,0),0)</f>
        <v>0</v>
      </c>
      <c r="J970">
        <f>IFERROR(VLOOKUP(A970,库龄!B:K,9,0),0)</f>
        <v>0</v>
      </c>
      <c r="K970">
        <f>IFERROR(VLOOKUP(A970,库龄!B:L,10,0),0)</f>
        <v>0</v>
      </c>
      <c r="L970">
        <f>IFERROR(VLOOKUP(A970,库龄!B:M,11,0),0)</f>
        <v>0</v>
      </c>
      <c r="M970">
        <f>IFERROR(VLOOKUP(A970,库龄!B:N,12,0),0)</f>
        <v>0</v>
      </c>
      <c r="N970">
        <f t="shared" si="32"/>
        <v>0</v>
      </c>
    </row>
    <row r="971" spans="1:14">
      <c r="A971" s="3" t="s">
        <v>3553</v>
      </c>
      <c r="B971">
        <f>IFERROR(VLOOKUP(A971,管理亚马逊库存!A:K,11,0),"")</f>
        <v>0</v>
      </c>
      <c r="C971">
        <f>IFERROR(VLOOKUP(A971,管理亚马逊库存!A:L,12,0),"")</f>
        <v>0</v>
      </c>
      <c r="D971">
        <f>IFERROR(VLOOKUP(A971,管理亚马逊库存!A:Q,17,0),"")</f>
        <v>0</v>
      </c>
      <c r="E971">
        <f>IFERROR(VLOOKUP(A971,管理亚马逊库存!A:R,18,0),"")</f>
        <v>0</v>
      </c>
      <c r="F971">
        <f t="shared" si="31"/>
        <v>0</v>
      </c>
      <c r="G971">
        <f>IFERROR(VLOOKUP(A971,预留库存!A:G,7,0),0)</f>
        <v>0</v>
      </c>
      <c r="H971">
        <f>IFERROR(VLOOKUP(A971,预留库存!A:H,8,0),0)</f>
        <v>0</v>
      </c>
      <c r="I971">
        <f>IFERROR(VLOOKUP(A971,预留库存!A:F,6,0),0)</f>
        <v>0</v>
      </c>
      <c r="J971">
        <f>IFERROR(VLOOKUP(A971,库龄!B:K,9,0),0)</f>
        <v>0</v>
      </c>
      <c r="K971">
        <f>IFERROR(VLOOKUP(A971,库龄!B:L,10,0),0)</f>
        <v>0</v>
      </c>
      <c r="L971">
        <f>IFERROR(VLOOKUP(A971,库龄!B:M,11,0),0)</f>
        <v>0</v>
      </c>
      <c r="M971">
        <f>IFERROR(VLOOKUP(A971,库龄!B:N,12,0),0)</f>
        <v>0</v>
      </c>
      <c r="N971">
        <f t="shared" si="32"/>
        <v>0</v>
      </c>
    </row>
    <row r="972" spans="1:14">
      <c r="A972" s="3" t="s">
        <v>3557</v>
      </c>
      <c r="B972">
        <f>IFERROR(VLOOKUP(A972,管理亚马逊库存!A:K,11,0),"")</f>
        <v>0</v>
      </c>
      <c r="C972">
        <f>IFERROR(VLOOKUP(A972,管理亚马逊库存!A:L,12,0),"")</f>
        <v>0</v>
      </c>
      <c r="D972">
        <f>IFERROR(VLOOKUP(A972,管理亚马逊库存!A:Q,17,0),"")</f>
        <v>0</v>
      </c>
      <c r="E972">
        <f>IFERROR(VLOOKUP(A972,管理亚马逊库存!A:R,18,0),"")</f>
        <v>0</v>
      </c>
      <c r="F972">
        <f t="shared" si="31"/>
        <v>0</v>
      </c>
      <c r="G972">
        <f>IFERROR(VLOOKUP(A972,预留库存!A:G,7,0),0)</f>
        <v>0</v>
      </c>
      <c r="H972">
        <f>IFERROR(VLOOKUP(A972,预留库存!A:H,8,0),0)</f>
        <v>0</v>
      </c>
      <c r="I972">
        <f>IFERROR(VLOOKUP(A972,预留库存!A:F,6,0),0)</f>
        <v>0</v>
      </c>
      <c r="J972">
        <f>IFERROR(VLOOKUP(A972,库龄!B:K,9,0),0)</f>
        <v>0</v>
      </c>
      <c r="K972">
        <f>IFERROR(VLOOKUP(A972,库龄!B:L,10,0),0)</f>
        <v>0</v>
      </c>
      <c r="L972">
        <f>IFERROR(VLOOKUP(A972,库龄!B:M,11,0),0)</f>
        <v>0</v>
      </c>
      <c r="M972">
        <f>IFERROR(VLOOKUP(A972,库龄!B:N,12,0),0)</f>
        <v>0</v>
      </c>
      <c r="N972">
        <f t="shared" si="32"/>
        <v>0</v>
      </c>
    </row>
    <row r="973" spans="1:14">
      <c r="A973" s="3" t="s">
        <v>3561</v>
      </c>
      <c r="B973">
        <f>IFERROR(VLOOKUP(A973,管理亚马逊库存!A:K,11,0),"")</f>
        <v>0</v>
      </c>
      <c r="C973">
        <f>IFERROR(VLOOKUP(A973,管理亚马逊库存!A:L,12,0),"")</f>
        <v>0</v>
      </c>
      <c r="D973">
        <f>IFERROR(VLOOKUP(A973,管理亚马逊库存!A:Q,17,0),"")</f>
        <v>0</v>
      </c>
      <c r="E973">
        <f>IFERROR(VLOOKUP(A973,管理亚马逊库存!A:R,18,0),"")</f>
        <v>0</v>
      </c>
      <c r="F973">
        <f t="shared" si="31"/>
        <v>0</v>
      </c>
      <c r="G973">
        <f>IFERROR(VLOOKUP(A973,预留库存!A:G,7,0),0)</f>
        <v>0</v>
      </c>
      <c r="H973">
        <f>IFERROR(VLOOKUP(A973,预留库存!A:H,8,0),0)</f>
        <v>0</v>
      </c>
      <c r="I973">
        <f>IFERROR(VLOOKUP(A973,预留库存!A:F,6,0),0)</f>
        <v>0</v>
      </c>
      <c r="J973">
        <f>IFERROR(VLOOKUP(A973,库龄!B:K,9,0),0)</f>
        <v>0</v>
      </c>
      <c r="K973">
        <f>IFERROR(VLOOKUP(A973,库龄!B:L,10,0),0)</f>
        <v>0</v>
      </c>
      <c r="L973">
        <f>IFERROR(VLOOKUP(A973,库龄!B:M,11,0),0)</f>
        <v>0</v>
      </c>
      <c r="M973">
        <f>IFERROR(VLOOKUP(A973,库龄!B:N,12,0),0)</f>
        <v>0</v>
      </c>
      <c r="N973">
        <f t="shared" si="32"/>
        <v>0</v>
      </c>
    </row>
    <row r="974" spans="1:14">
      <c r="A974" s="3" t="s">
        <v>3565</v>
      </c>
      <c r="B974">
        <f>IFERROR(VLOOKUP(A974,管理亚马逊库存!A:K,11,0),"")</f>
        <v>0</v>
      </c>
      <c r="C974">
        <f>IFERROR(VLOOKUP(A974,管理亚马逊库存!A:L,12,0),"")</f>
        <v>0</v>
      </c>
      <c r="D974">
        <f>IFERROR(VLOOKUP(A974,管理亚马逊库存!A:Q,17,0),"")</f>
        <v>0</v>
      </c>
      <c r="E974">
        <f>IFERROR(VLOOKUP(A974,管理亚马逊库存!A:R,18,0),"")</f>
        <v>0</v>
      </c>
      <c r="F974">
        <f t="shared" si="31"/>
        <v>0</v>
      </c>
      <c r="G974">
        <f>IFERROR(VLOOKUP(A974,预留库存!A:G,7,0),0)</f>
        <v>0</v>
      </c>
      <c r="H974">
        <f>IFERROR(VLOOKUP(A974,预留库存!A:H,8,0),0)</f>
        <v>0</v>
      </c>
      <c r="I974">
        <f>IFERROR(VLOOKUP(A974,预留库存!A:F,6,0),0)</f>
        <v>0</v>
      </c>
      <c r="J974">
        <f>IFERROR(VLOOKUP(A974,库龄!B:K,9,0),0)</f>
        <v>0</v>
      </c>
      <c r="K974">
        <f>IFERROR(VLOOKUP(A974,库龄!B:L,10,0),0)</f>
        <v>0</v>
      </c>
      <c r="L974">
        <f>IFERROR(VLOOKUP(A974,库龄!B:M,11,0),0)</f>
        <v>0</v>
      </c>
      <c r="M974">
        <f>IFERROR(VLOOKUP(A974,库龄!B:N,12,0),0)</f>
        <v>0</v>
      </c>
      <c r="N974">
        <f t="shared" si="32"/>
        <v>0</v>
      </c>
    </row>
    <row r="975" spans="1:14">
      <c r="A975" s="3" t="s">
        <v>3569</v>
      </c>
      <c r="B975">
        <f>IFERROR(VLOOKUP(A975,管理亚马逊库存!A:K,11,0),"")</f>
        <v>0</v>
      </c>
      <c r="C975">
        <f>IFERROR(VLOOKUP(A975,管理亚马逊库存!A:L,12,0),"")</f>
        <v>0</v>
      </c>
      <c r="D975">
        <f>IFERROR(VLOOKUP(A975,管理亚马逊库存!A:Q,17,0),"")</f>
        <v>0</v>
      </c>
      <c r="E975">
        <f>IFERROR(VLOOKUP(A975,管理亚马逊库存!A:R,18,0),"")</f>
        <v>0</v>
      </c>
      <c r="F975">
        <f t="shared" si="31"/>
        <v>0</v>
      </c>
      <c r="G975">
        <f>IFERROR(VLOOKUP(A975,预留库存!A:G,7,0),0)</f>
        <v>0</v>
      </c>
      <c r="H975">
        <f>IFERROR(VLOOKUP(A975,预留库存!A:H,8,0),0)</f>
        <v>0</v>
      </c>
      <c r="I975">
        <f>IFERROR(VLOOKUP(A975,预留库存!A:F,6,0),0)</f>
        <v>0</v>
      </c>
      <c r="J975">
        <f>IFERROR(VLOOKUP(A975,库龄!B:K,9,0),0)</f>
        <v>0</v>
      </c>
      <c r="K975">
        <f>IFERROR(VLOOKUP(A975,库龄!B:L,10,0),0)</f>
        <v>0</v>
      </c>
      <c r="L975">
        <f>IFERROR(VLOOKUP(A975,库龄!B:M,11,0),0)</f>
        <v>0</v>
      </c>
      <c r="M975">
        <f>IFERROR(VLOOKUP(A975,库龄!B:N,12,0),0)</f>
        <v>0</v>
      </c>
      <c r="N975">
        <f t="shared" si="32"/>
        <v>0</v>
      </c>
    </row>
    <row r="976" spans="1:14">
      <c r="A976" s="3" t="s">
        <v>3573</v>
      </c>
      <c r="B976">
        <f>IFERROR(VLOOKUP(A976,管理亚马逊库存!A:K,11,0),"")</f>
        <v>0</v>
      </c>
      <c r="C976">
        <f>IFERROR(VLOOKUP(A976,管理亚马逊库存!A:L,12,0),"")</f>
        <v>0</v>
      </c>
      <c r="D976">
        <f>IFERROR(VLOOKUP(A976,管理亚马逊库存!A:Q,17,0),"")</f>
        <v>0</v>
      </c>
      <c r="E976">
        <f>IFERROR(VLOOKUP(A976,管理亚马逊库存!A:R,18,0),"")</f>
        <v>0</v>
      </c>
      <c r="F976">
        <f t="shared" si="31"/>
        <v>0</v>
      </c>
      <c r="G976">
        <f>IFERROR(VLOOKUP(A976,预留库存!A:G,7,0),0)</f>
        <v>0</v>
      </c>
      <c r="H976">
        <f>IFERROR(VLOOKUP(A976,预留库存!A:H,8,0),0)</f>
        <v>0</v>
      </c>
      <c r="I976">
        <f>IFERROR(VLOOKUP(A976,预留库存!A:F,6,0),0)</f>
        <v>0</v>
      </c>
      <c r="J976">
        <f>IFERROR(VLOOKUP(A976,库龄!B:K,9,0),0)</f>
        <v>0</v>
      </c>
      <c r="K976">
        <f>IFERROR(VLOOKUP(A976,库龄!B:L,10,0),0)</f>
        <v>0</v>
      </c>
      <c r="L976">
        <f>IFERROR(VLOOKUP(A976,库龄!B:M,11,0),0)</f>
        <v>0</v>
      </c>
      <c r="M976">
        <f>IFERROR(VLOOKUP(A976,库龄!B:N,12,0),0)</f>
        <v>0</v>
      </c>
      <c r="N976">
        <f t="shared" si="32"/>
        <v>0</v>
      </c>
    </row>
    <row r="977" spans="1:14">
      <c r="A977" s="3" t="s">
        <v>3577</v>
      </c>
      <c r="B977">
        <f>IFERROR(VLOOKUP(A977,管理亚马逊库存!A:K,11,0),"")</f>
        <v>0</v>
      </c>
      <c r="C977">
        <f>IFERROR(VLOOKUP(A977,管理亚马逊库存!A:L,12,0),"")</f>
        <v>0</v>
      </c>
      <c r="D977">
        <f>IFERROR(VLOOKUP(A977,管理亚马逊库存!A:Q,17,0),"")</f>
        <v>0</v>
      </c>
      <c r="E977">
        <f>IFERROR(VLOOKUP(A977,管理亚马逊库存!A:R,18,0),"")</f>
        <v>0</v>
      </c>
      <c r="F977">
        <f t="shared" si="31"/>
        <v>0</v>
      </c>
      <c r="G977">
        <f>IFERROR(VLOOKUP(A977,预留库存!A:G,7,0),0)</f>
        <v>0</v>
      </c>
      <c r="H977">
        <f>IFERROR(VLOOKUP(A977,预留库存!A:H,8,0),0)</f>
        <v>0</v>
      </c>
      <c r="I977">
        <f>IFERROR(VLOOKUP(A977,预留库存!A:F,6,0),0)</f>
        <v>0</v>
      </c>
      <c r="J977">
        <f>IFERROR(VLOOKUP(A977,库龄!B:K,9,0),0)</f>
        <v>0</v>
      </c>
      <c r="K977">
        <f>IFERROR(VLOOKUP(A977,库龄!B:L,10,0),0)</f>
        <v>0</v>
      </c>
      <c r="L977">
        <f>IFERROR(VLOOKUP(A977,库龄!B:M,11,0),0)</f>
        <v>0</v>
      </c>
      <c r="M977">
        <f>IFERROR(VLOOKUP(A977,库龄!B:N,12,0),0)</f>
        <v>0</v>
      </c>
      <c r="N977">
        <f t="shared" si="32"/>
        <v>0</v>
      </c>
    </row>
    <row r="978" spans="1:14">
      <c r="A978" s="3" t="s">
        <v>3581</v>
      </c>
      <c r="B978">
        <f>IFERROR(VLOOKUP(A978,管理亚马逊库存!A:K,11,0),"")</f>
        <v>0</v>
      </c>
      <c r="C978">
        <f>IFERROR(VLOOKUP(A978,管理亚马逊库存!A:L,12,0),"")</f>
        <v>0</v>
      </c>
      <c r="D978">
        <f>IFERROR(VLOOKUP(A978,管理亚马逊库存!A:Q,17,0),"")</f>
        <v>0</v>
      </c>
      <c r="E978">
        <f>IFERROR(VLOOKUP(A978,管理亚马逊库存!A:R,18,0),"")</f>
        <v>0</v>
      </c>
      <c r="F978">
        <f t="shared" si="31"/>
        <v>0</v>
      </c>
      <c r="G978">
        <f>IFERROR(VLOOKUP(A978,预留库存!A:G,7,0),0)</f>
        <v>0</v>
      </c>
      <c r="H978">
        <f>IFERROR(VLOOKUP(A978,预留库存!A:H,8,0),0)</f>
        <v>0</v>
      </c>
      <c r="I978">
        <f>IFERROR(VLOOKUP(A978,预留库存!A:F,6,0),0)</f>
        <v>0</v>
      </c>
      <c r="J978">
        <f>IFERROR(VLOOKUP(A978,库龄!B:K,9,0),0)</f>
        <v>0</v>
      </c>
      <c r="K978">
        <f>IFERROR(VLOOKUP(A978,库龄!B:L,10,0),0)</f>
        <v>0</v>
      </c>
      <c r="L978">
        <f>IFERROR(VLOOKUP(A978,库龄!B:M,11,0),0)</f>
        <v>0</v>
      </c>
      <c r="M978">
        <f>IFERROR(VLOOKUP(A978,库龄!B:N,12,0),0)</f>
        <v>0</v>
      </c>
      <c r="N978">
        <f t="shared" si="32"/>
        <v>0</v>
      </c>
    </row>
    <row r="979" spans="1:14">
      <c r="A979" s="3" t="s">
        <v>3585</v>
      </c>
      <c r="B979">
        <f>IFERROR(VLOOKUP(A979,管理亚马逊库存!A:K,11,0),"")</f>
        <v>0</v>
      </c>
      <c r="C979">
        <f>IFERROR(VLOOKUP(A979,管理亚马逊库存!A:L,12,0),"")</f>
        <v>0</v>
      </c>
      <c r="D979">
        <f>IFERROR(VLOOKUP(A979,管理亚马逊库存!A:Q,17,0),"")</f>
        <v>0</v>
      </c>
      <c r="E979">
        <f>IFERROR(VLOOKUP(A979,管理亚马逊库存!A:R,18,0),"")</f>
        <v>0</v>
      </c>
      <c r="F979">
        <f t="shared" si="31"/>
        <v>0</v>
      </c>
      <c r="G979">
        <f>IFERROR(VLOOKUP(A979,预留库存!A:G,7,0),0)</f>
        <v>0</v>
      </c>
      <c r="H979">
        <f>IFERROR(VLOOKUP(A979,预留库存!A:H,8,0),0)</f>
        <v>0</v>
      </c>
      <c r="I979">
        <f>IFERROR(VLOOKUP(A979,预留库存!A:F,6,0),0)</f>
        <v>0</v>
      </c>
      <c r="J979">
        <f>IFERROR(VLOOKUP(A979,库龄!B:K,9,0),0)</f>
        <v>0</v>
      </c>
      <c r="K979">
        <f>IFERROR(VLOOKUP(A979,库龄!B:L,10,0),0)</f>
        <v>0</v>
      </c>
      <c r="L979">
        <f>IFERROR(VLOOKUP(A979,库龄!B:M,11,0),0)</f>
        <v>0</v>
      </c>
      <c r="M979">
        <f>IFERROR(VLOOKUP(A979,库龄!B:N,12,0),0)</f>
        <v>0</v>
      </c>
      <c r="N979">
        <f t="shared" si="32"/>
        <v>0</v>
      </c>
    </row>
    <row r="980" spans="1:14">
      <c r="A980" s="3" t="s">
        <v>3589</v>
      </c>
      <c r="B980">
        <f>IFERROR(VLOOKUP(A980,管理亚马逊库存!A:K,11,0),"")</f>
        <v>0</v>
      </c>
      <c r="C980">
        <f>IFERROR(VLOOKUP(A980,管理亚马逊库存!A:L,12,0),"")</f>
        <v>0</v>
      </c>
      <c r="D980">
        <f>IFERROR(VLOOKUP(A980,管理亚马逊库存!A:Q,17,0),"")</f>
        <v>0</v>
      </c>
      <c r="E980">
        <f>IFERROR(VLOOKUP(A980,管理亚马逊库存!A:R,18,0),"")</f>
        <v>0</v>
      </c>
      <c r="F980">
        <f t="shared" si="31"/>
        <v>0</v>
      </c>
      <c r="G980">
        <f>IFERROR(VLOOKUP(A980,预留库存!A:G,7,0),0)</f>
        <v>0</v>
      </c>
      <c r="H980">
        <f>IFERROR(VLOOKUP(A980,预留库存!A:H,8,0),0)</f>
        <v>0</v>
      </c>
      <c r="I980">
        <f>IFERROR(VLOOKUP(A980,预留库存!A:F,6,0),0)</f>
        <v>0</v>
      </c>
      <c r="J980">
        <f>IFERROR(VLOOKUP(A980,库龄!B:K,9,0),0)</f>
        <v>0</v>
      </c>
      <c r="K980">
        <f>IFERROR(VLOOKUP(A980,库龄!B:L,10,0),0)</f>
        <v>0</v>
      </c>
      <c r="L980">
        <f>IFERROR(VLOOKUP(A980,库龄!B:M,11,0),0)</f>
        <v>0</v>
      </c>
      <c r="M980">
        <f>IFERROR(VLOOKUP(A980,库龄!B:N,12,0),0)</f>
        <v>0</v>
      </c>
      <c r="N980">
        <f t="shared" si="32"/>
        <v>0</v>
      </c>
    </row>
    <row r="981" spans="1:14">
      <c r="A981" s="3" t="s">
        <v>3593</v>
      </c>
      <c r="B981">
        <f>IFERROR(VLOOKUP(A981,管理亚马逊库存!A:K,11,0),"")</f>
        <v>0</v>
      </c>
      <c r="C981">
        <f>IFERROR(VLOOKUP(A981,管理亚马逊库存!A:L,12,0),"")</f>
        <v>0</v>
      </c>
      <c r="D981">
        <f>IFERROR(VLOOKUP(A981,管理亚马逊库存!A:Q,17,0),"")</f>
        <v>0</v>
      </c>
      <c r="E981">
        <f>IFERROR(VLOOKUP(A981,管理亚马逊库存!A:R,18,0),"")</f>
        <v>0</v>
      </c>
      <c r="F981">
        <f t="shared" si="31"/>
        <v>0</v>
      </c>
      <c r="G981">
        <f>IFERROR(VLOOKUP(A981,预留库存!A:G,7,0),0)</f>
        <v>0</v>
      </c>
      <c r="H981">
        <f>IFERROR(VLOOKUP(A981,预留库存!A:H,8,0),0)</f>
        <v>0</v>
      </c>
      <c r="I981">
        <f>IFERROR(VLOOKUP(A981,预留库存!A:F,6,0),0)</f>
        <v>0</v>
      </c>
      <c r="J981">
        <f>IFERROR(VLOOKUP(A981,库龄!B:K,9,0),0)</f>
        <v>0</v>
      </c>
      <c r="K981">
        <f>IFERROR(VLOOKUP(A981,库龄!B:L,10,0),0)</f>
        <v>0</v>
      </c>
      <c r="L981">
        <f>IFERROR(VLOOKUP(A981,库龄!B:M,11,0),0)</f>
        <v>0</v>
      </c>
      <c r="M981">
        <f>IFERROR(VLOOKUP(A981,库龄!B:N,12,0),0)</f>
        <v>0</v>
      </c>
      <c r="N981">
        <f t="shared" si="32"/>
        <v>0</v>
      </c>
    </row>
    <row r="982" spans="1:14">
      <c r="A982" s="3" t="s">
        <v>3597</v>
      </c>
      <c r="B982">
        <f>IFERROR(VLOOKUP(A982,管理亚马逊库存!A:K,11,0),"")</f>
        <v>0</v>
      </c>
      <c r="C982">
        <f>IFERROR(VLOOKUP(A982,管理亚马逊库存!A:L,12,0),"")</f>
        <v>0</v>
      </c>
      <c r="D982">
        <f>IFERROR(VLOOKUP(A982,管理亚马逊库存!A:Q,17,0),"")</f>
        <v>0</v>
      </c>
      <c r="E982">
        <f>IFERROR(VLOOKUP(A982,管理亚马逊库存!A:R,18,0),"")</f>
        <v>0</v>
      </c>
      <c r="F982">
        <f t="shared" si="31"/>
        <v>0</v>
      </c>
      <c r="G982">
        <f>IFERROR(VLOOKUP(A982,预留库存!A:G,7,0),0)</f>
        <v>0</v>
      </c>
      <c r="H982">
        <f>IFERROR(VLOOKUP(A982,预留库存!A:H,8,0),0)</f>
        <v>0</v>
      </c>
      <c r="I982">
        <f>IFERROR(VLOOKUP(A982,预留库存!A:F,6,0),0)</f>
        <v>0</v>
      </c>
      <c r="J982">
        <f>IFERROR(VLOOKUP(A982,库龄!B:K,9,0),0)</f>
        <v>0</v>
      </c>
      <c r="K982">
        <f>IFERROR(VLOOKUP(A982,库龄!B:L,10,0),0)</f>
        <v>0</v>
      </c>
      <c r="L982">
        <f>IFERROR(VLOOKUP(A982,库龄!B:M,11,0),0)</f>
        <v>0</v>
      </c>
      <c r="M982">
        <f>IFERROR(VLOOKUP(A982,库龄!B:N,12,0),0)</f>
        <v>0</v>
      </c>
      <c r="N982">
        <f t="shared" si="32"/>
        <v>0</v>
      </c>
    </row>
    <row r="983" spans="1:14">
      <c r="A983" s="3" t="s">
        <v>3600</v>
      </c>
      <c r="B983">
        <f>IFERROR(VLOOKUP(A983,管理亚马逊库存!A:K,11,0),"")</f>
        <v>0</v>
      </c>
      <c r="C983">
        <f>IFERROR(VLOOKUP(A983,管理亚马逊库存!A:L,12,0),"")</f>
        <v>0</v>
      </c>
      <c r="D983">
        <f>IFERROR(VLOOKUP(A983,管理亚马逊库存!A:Q,17,0),"")</f>
        <v>0</v>
      </c>
      <c r="E983">
        <f>IFERROR(VLOOKUP(A983,管理亚马逊库存!A:R,18,0),"")</f>
        <v>0</v>
      </c>
      <c r="F983">
        <f t="shared" si="31"/>
        <v>0</v>
      </c>
      <c r="G983">
        <f>IFERROR(VLOOKUP(A983,预留库存!A:G,7,0),0)</f>
        <v>0</v>
      </c>
      <c r="H983">
        <f>IFERROR(VLOOKUP(A983,预留库存!A:H,8,0),0)</f>
        <v>0</v>
      </c>
      <c r="I983">
        <f>IFERROR(VLOOKUP(A983,预留库存!A:F,6,0),0)</f>
        <v>0</v>
      </c>
      <c r="J983">
        <f>IFERROR(VLOOKUP(A983,库龄!B:K,9,0),0)</f>
        <v>0</v>
      </c>
      <c r="K983">
        <f>IFERROR(VLOOKUP(A983,库龄!B:L,10,0),0)</f>
        <v>0</v>
      </c>
      <c r="L983">
        <f>IFERROR(VLOOKUP(A983,库龄!B:M,11,0),0)</f>
        <v>0</v>
      </c>
      <c r="M983">
        <f>IFERROR(VLOOKUP(A983,库龄!B:N,12,0),0)</f>
        <v>0</v>
      </c>
      <c r="N983">
        <f t="shared" si="32"/>
        <v>0</v>
      </c>
    </row>
    <row r="984" spans="1:14">
      <c r="A984" s="3" t="s">
        <v>3603</v>
      </c>
      <c r="B984">
        <f>IFERROR(VLOOKUP(A984,管理亚马逊库存!A:K,11,0),"")</f>
        <v>0</v>
      </c>
      <c r="C984">
        <f>IFERROR(VLOOKUP(A984,管理亚马逊库存!A:L,12,0),"")</f>
        <v>0</v>
      </c>
      <c r="D984">
        <f>IFERROR(VLOOKUP(A984,管理亚马逊库存!A:Q,17,0),"")</f>
        <v>0</v>
      </c>
      <c r="E984">
        <f>IFERROR(VLOOKUP(A984,管理亚马逊库存!A:R,18,0),"")</f>
        <v>0</v>
      </c>
      <c r="F984">
        <f t="shared" si="31"/>
        <v>0</v>
      </c>
      <c r="G984">
        <f>IFERROR(VLOOKUP(A984,预留库存!A:G,7,0),0)</f>
        <v>0</v>
      </c>
      <c r="H984">
        <f>IFERROR(VLOOKUP(A984,预留库存!A:H,8,0),0)</f>
        <v>0</v>
      </c>
      <c r="I984">
        <f>IFERROR(VLOOKUP(A984,预留库存!A:F,6,0),0)</f>
        <v>0</v>
      </c>
      <c r="J984">
        <f>IFERROR(VLOOKUP(A984,库龄!B:K,9,0),0)</f>
        <v>0</v>
      </c>
      <c r="K984">
        <f>IFERROR(VLOOKUP(A984,库龄!B:L,10,0),0)</f>
        <v>0</v>
      </c>
      <c r="L984">
        <f>IFERROR(VLOOKUP(A984,库龄!B:M,11,0),0)</f>
        <v>0</v>
      </c>
      <c r="M984">
        <f>IFERROR(VLOOKUP(A984,库龄!B:N,12,0),0)</f>
        <v>0</v>
      </c>
      <c r="N984">
        <f t="shared" si="32"/>
        <v>0</v>
      </c>
    </row>
    <row r="985" spans="1:14">
      <c r="A985" s="3" t="s">
        <v>3607</v>
      </c>
      <c r="B985">
        <f>IFERROR(VLOOKUP(A985,管理亚马逊库存!A:K,11,0),"")</f>
        <v>0</v>
      </c>
      <c r="C985">
        <f>IFERROR(VLOOKUP(A985,管理亚马逊库存!A:L,12,0),"")</f>
        <v>0</v>
      </c>
      <c r="D985">
        <f>IFERROR(VLOOKUP(A985,管理亚马逊库存!A:Q,17,0),"")</f>
        <v>0</v>
      </c>
      <c r="E985">
        <f>IFERROR(VLOOKUP(A985,管理亚马逊库存!A:R,18,0),"")</f>
        <v>0</v>
      </c>
      <c r="F985">
        <f t="shared" si="31"/>
        <v>0</v>
      </c>
      <c r="G985">
        <f>IFERROR(VLOOKUP(A985,预留库存!A:G,7,0),0)</f>
        <v>0</v>
      </c>
      <c r="H985">
        <f>IFERROR(VLOOKUP(A985,预留库存!A:H,8,0),0)</f>
        <v>0</v>
      </c>
      <c r="I985">
        <f>IFERROR(VLOOKUP(A985,预留库存!A:F,6,0),0)</f>
        <v>0</v>
      </c>
      <c r="J985">
        <f>IFERROR(VLOOKUP(A985,库龄!B:K,9,0),0)</f>
        <v>0</v>
      </c>
      <c r="K985">
        <f>IFERROR(VLOOKUP(A985,库龄!B:L,10,0),0)</f>
        <v>0</v>
      </c>
      <c r="L985">
        <f>IFERROR(VLOOKUP(A985,库龄!B:M,11,0),0)</f>
        <v>0</v>
      </c>
      <c r="M985">
        <f>IFERROR(VLOOKUP(A985,库龄!B:N,12,0),0)</f>
        <v>0</v>
      </c>
      <c r="N985">
        <f t="shared" si="32"/>
        <v>0</v>
      </c>
    </row>
    <row r="986" spans="1:14">
      <c r="A986" s="3" t="s">
        <v>3611</v>
      </c>
      <c r="B986">
        <f>IFERROR(VLOOKUP(A986,管理亚马逊库存!A:K,11,0),"")</f>
        <v>0</v>
      </c>
      <c r="C986">
        <f>IFERROR(VLOOKUP(A986,管理亚马逊库存!A:L,12,0),"")</f>
        <v>0</v>
      </c>
      <c r="D986">
        <f>IFERROR(VLOOKUP(A986,管理亚马逊库存!A:Q,17,0),"")</f>
        <v>0</v>
      </c>
      <c r="E986">
        <f>IFERROR(VLOOKUP(A986,管理亚马逊库存!A:R,18,0),"")</f>
        <v>0</v>
      </c>
      <c r="F986">
        <f t="shared" si="31"/>
        <v>0</v>
      </c>
      <c r="G986">
        <f>IFERROR(VLOOKUP(A986,预留库存!A:G,7,0),0)</f>
        <v>0</v>
      </c>
      <c r="H986">
        <f>IFERROR(VLOOKUP(A986,预留库存!A:H,8,0),0)</f>
        <v>0</v>
      </c>
      <c r="I986">
        <f>IFERROR(VLOOKUP(A986,预留库存!A:F,6,0),0)</f>
        <v>0</v>
      </c>
      <c r="J986">
        <f>IFERROR(VLOOKUP(A986,库龄!B:K,9,0),0)</f>
        <v>0</v>
      </c>
      <c r="K986">
        <f>IFERROR(VLOOKUP(A986,库龄!B:L,10,0),0)</f>
        <v>0</v>
      </c>
      <c r="L986">
        <f>IFERROR(VLOOKUP(A986,库龄!B:M,11,0),0)</f>
        <v>0</v>
      </c>
      <c r="M986">
        <f>IFERROR(VLOOKUP(A986,库龄!B:N,12,0),0)</f>
        <v>0</v>
      </c>
      <c r="N986">
        <f t="shared" si="32"/>
        <v>0</v>
      </c>
    </row>
    <row r="987" spans="1:14">
      <c r="A987" s="3" t="s">
        <v>3615</v>
      </c>
      <c r="B987">
        <f>IFERROR(VLOOKUP(A987,管理亚马逊库存!A:K,11,0),"")</f>
        <v>0</v>
      </c>
      <c r="C987">
        <f>IFERROR(VLOOKUP(A987,管理亚马逊库存!A:L,12,0),"")</f>
        <v>0</v>
      </c>
      <c r="D987">
        <f>IFERROR(VLOOKUP(A987,管理亚马逊库存!A:Q,17,0),"")</f>
        <v>0</v>
      </c>
      <c r="E987">
        <f>IFERROR(VLOOKUP(A987,管理亚马逊库存!A:R,18,0),"")</f>
        <v>0</v>
      </c>
      <c r="F987">
        <f t="shared" si="31"/>
        <v>0</v>
      </c>
      <c r="G987">
        <f>IFERROR(VLOOKUP(A987,预留库存!A:G,7,0),0)</f>
        <v>0</v>
      </c>
      <c r="H987">
        <f>IFERROR(VLOOKUP(A987,预留库存!A:H,8,0),0)</f>
        <v>0</v>
      </c>
      <c r="I987">
        <f>IFERROR(VLOOKUP(A987,预留库存!A:F,6,0),0)</f>
        <v>0</v>
      </c>
      <c r="J987">
        <f>IFERROR(VLOOKUP(A987,库龄!B:K,9,0),0)</f>
        <v>0</v>
      </c>
      <c r="K987">
        <f>IFERROR(VLOOKUP(A987,库龄!B:L,10,0),0)</f>
        <v>0</v>
      </c>
      <c r="L987">
        <f>IFERROR(VLOOKUP(A987,库龄!B:M,11,0),0)</f>
        <v>0</v>
      </c>
      <c r="M987">
        <f>IFERROR(VLOOKUP(A987,库龄!B:N,12,0),0)</f>
        <v>0</v>
      </c>
      <c r="N987">
        <f t="shared" si="32"/>
        <v>0</v>
      </c>
    </row>
    <row r="988" spans="1:14">
      <c r="A988" s="3" t="s">
        <v>3618</v>
      </c>
      <c r="B988">
        <f>IFERROR(VLOOKUP(A988,管理亚马逊库存!A:K,11,0),"")</f>
        <v>0</v>
      </c>
      <c r="C988">
        <f>IFERROR(VLOOKUP(A988,管理亚马逊库存!A:L,12,0),"")</f>
        <v>0</v>
      </c>
      <c r="D988">
        <f>IFERROR(VLOOKUP(A988,管理亚马逊库存!A:Q,17,0),"")</f>
        <v>0</v>
      </c>
      <c r="E988">
        <f>IFERROR(VLOOKUP(A988,管理亚马逊库存!A:R,18,0),"")</f>
        <v>0</v>
      </c>
      <c r="F988">
        <f t="shared" si="31"/>
        <v>0</v>
      </c>
      <c r="G988">
        <f>IFERROR(VLOOKUP(A988,预留库存!A:G,7,0),0)</f>
        <v>0</v>
      </c>
      <c r="H988">
        <f>IFERROR(VLOOKUP(A988,预留库存!A:H,8,0),0)</f>
        <v>0</v>
      </c>
      <c r="I988">
        <f>IFERROR(VLOOKUP(A988,预留库存!A:F,6,0),0)</f>
        <v>0</v>
      </c>
      <c r="J988">
        <f>IFERROR(VLOOKUP(A988,库龄!B:K,9,0),0)</f>
        <v>0</v>
      </c>
      <c r="K988">
        <f>IFERROR(VLOOKUP(A988,库龄!B:L,10,0),0)</f>
        <v>0</v>
      </c>
      <c r="L988">
        <f>IFERROR(VLOOKUP(A988,库龄!B:M,11,0),0)</f>
        <v>0</v>
      </c>
      <c r="M988">
        <f>IFERROR(VLOOKUP(A988,库龄!B:N,12,0),0)</f>
        <v>0</v>
      </c>
      <c r="N988">
        <f t="shared" si="32"/>
        <v>0</v>
      </c>
    </row>
    <row r="989" spans="1:14">
      <c r="A989" s="3" t="s">
        <v>3622</v>
      </c>
      <c r="B989">
        <f>IFERROR(VLOOKUP(A989,管理亚马逊库存!A:K,11,0),"")</f>
        <v>0</v>
      </c>
      <c r="C989">
        <f>IFERROR(VLOOKUP(A989,管理亚马逊库存!A:L,12,0),"")</f>
        <v>0</v>
      </c>
      <c r="D989">
        <f>IFERROR(VLOOKUP(A989,管理亚马逊库存!A:Q,17,0),"")</f>
        <v>0</v>
      </c>
      <c r="E989">
        <f>IFERROR(VLOOKUP(A989,管理亚马逊库存!A:R,18,0),"")</f>
        <v>0</v>
      </c>
      <c r="F989">
        <f t="shared" si="31"/>
        <v>0</v>
      </c>
      <c r="G989">
        <f>IFERROR(VLOOKUP(A989,预留库存!A:G,7,0),0)</f>
        <v>0</v>
      </c>
      <c r="H989">
        <f>IFERROR(VLOOKUP(A989,预留库存!A:H,8,0),0)</f>
        <v>0</v>
      </c>
      <c r="I989">
        <f>IFERROR(VLOOKUP(A989,预留库存!A:F,6,0),0)</f>
        <v>0</v>
      </c>
      <c r="J989">
        <f>IFERROR(VLOOKUP(A989,库龄!B:K,9,0),0)</f>
        <v>0</v>
      </c>
      <c r="K989">
        <f>IFERROR(VLOOKUP(A989,库龄!B:L,10,0),0)</f>
        <v>0</v>
      </c>
      <c r="L989">
        <f>IFERROR(VLOOKUP(A989,库龄!B:M,11,0),0)</f>
        <v>0</v>
      </c>
      <c r="M989">
        <f>IFERROR(VLOOKUP(A989,库龄!B:N,12,0),0)</f>
        <v>0</v>
      </c>
      <c r="N989">
        <f t="shared" si="32"/>
        <v>0</v>
      </c>
    </row>
    <row r="990" spans="1:14">
      <c r="A990" s="3" t="s">
        <v>3626</v>
      </c>
      <c r="B990">
        <f>IFERROR(VLOOKUP(A990,管理亚马逊库存!A:K,11,0),"")</f>
        <v>0</v>
      </c>
      <c r="C990">
        <f>IFERROR(VLOOKUP(A990,管理亚马逊库存!A:L,12,0),"")</f>
        <v>0</v>
      </c>
      <c r="D990">
        <f>IFERROR(VLOOKUP(A990,管理亚马逊库存!A:Q,17,0),"")</f>
        <v>0</v>
      </c>
      <c r="E990">
        <f>IFERROR(VLOOKUP(A990,管理亚马逊库存!A:R,18,0),"")</f>
        <v>0</v>
      </c>
      <c r="F990">
        <f t="shared" si="31"/>
        <v>0</v>
      </c>
      <c r="G990">
        <f>IFERROR(VLOOKUP(A990,预留库存!A:G,7,0),0)</f>
        <v>0</v>
      </c>
      <c r="H990">
        <f>IFERROR(VLOOKUP(A990,预留库存!A:H,8,0),0)</f>
        <v>0</v>
      </c>
      <c r="I990">
        <f>IFERROR(VLOOKUP(A990,预留库存!A:F,6,0),0)</f>
        <v>0</v>
      </c>
      <c r="J990">
        <f>IFERROR(VLOOKUP(A990,库龄!B:K,9,0),0)</f>
        <v>0</v>
      </c>
      <c r="K990">
        <f>IFERROR(VLOOKUP(A990,库龄!B:L,10,0),0)</f>
        <v>0</v>
      </c>
      <c r="L990">
        <f>IFERROR(VLOOKUP(A990,库龄!B:M,11,0),0)</f>
        <v>0</v>
      </c>
      <c r="M990">
        <f>IFERROR(VLOOKUP(A990,库龄!B:N,12,0),0)</f>
        <v>0</v>
      </c>
      <c r="N990">
        <f t="shared" si="32"/>
        <v>0</v>
      </c>
    </row>
    <row r="991" spans="1:14">
      <c r="A991" s="3" t="s">
        <v>3630</v>
      </c>
      <c r="B991">
        <f>IFERROR(VLOOKUP(A991,管理亚马逊库存!A:K,11,0),"")</f>
        <v>0</v>
      </c>
      <c r="C991">
        <f>IFERROR(VLOOKUP(A991,管理亚马逊库存!A:L,12,0),"")</f>
        <v>0</v>
      </c>
      <c r="D991">
        <f>IFERROR(VLOOKUP(A991,管理亚马逊库存!A:Q,17,0),"")</f>
        <v>0</v>
      </c>
      <c r="E991">
        <f>IFERROR(VLOOKUP(A991,管理亚马逊库存!A:R,18,0),"")</f>
        <v>0</v>
      </c>
      <c r="F991">
        <f t="shared" si="31"/>
        <v>0</v>
      </c>
      <c r="G991">
        <f>IFERROR(VLOOKUP(A991,预留库存!A:G,7,0),0)</f>
        <v>0</v>
      </c>
      <c r="H991">
        <f>IFERROR(VLOOKUP(A991,预留库存!A:H,8,0),0)</f>
        <v>0</v>
      </c>
      <c r="I991">
        <f>IFERROR(VLOOKUP(A991,预留库存!A:F,6,0),0)</f>
        <v>0</v>
      </c>
      <c r="J991">
        <f>IFERROR(VLOOKUP(A991,库龄!B:K,9,0),0)</f>
        <v>0</v>
      </c>
      <c r="K991">
        <f>IFERROR(VLOOKUP(A991,库龄!B:L,10,0),0)</f>
        <v>0</v>
      </c>
      <c r="L991">
        <f>IFERROR(VLOOKUP(A991,库龄!B:M,11,0),0)</f>
        <v>0</v>
      </c>
      <c r="M991">
        <f>IFERROR(VLOOKUP(A991,库龄!B:N,12,0),0)</f>
        <v>0</v>
      </c>
      <c r="N991">
        <f t="shared" si="32"/>
        <v>0</v>
      </c>
    </row>
    <row r="992" spans="1:14">
      <c r="A992" s="3" t="s">
        <v>3634</v>
      </c>
      <c r="B992">
        <f>IFERROR(VLOOKUP(A992,管理亚马逊库存!A:K,11,0),"")</f>
        <v>0</v>
      </c>
      <c r="C992">
        <f>IFERROR(VLOOKUP(A992,管理亚马逊库存!A:L,12,0),"")</f>
        <v>0</v>
      </c>
      <c r="D992">
        <f>IFERROR(VLOOKUP(A992,管理亚马逊库存!A:Q,17,0),"")</f>
        <v>0</v>
      </c>
      <c r="E992">
        <f>IFERROR(VLOOKUP(A992,管理亚马逊库存!A:R,18,0),"")</f>
        <v>0</v>
      </c>
      <c r="F992">
        <f t="shared" si="31"/>
        <v>0</v>
      </c>
      <c r="G992">
        <f>IFERROR(VLOOKUP(A992,预留库存!A:G,7,0),0)</f>
        <v>0</v>
      </c>
      <c r="H992">
        <f>IFERROR(VLOOKUP(A992,预留库存!A:H,8,0),0)</f>
        <v>0</v>
      </c>
      <c r="I992">
        <f>IFERROR(VLOOKUP(A992,预留库存!A:F,6,0),0)</f>
        <v>0</v>
      </c>
      <c r="J992">
        <f>IFERROR(VLOOKUP(A992,库龄!B:K,9,0),0)</f>
        <v>0</v>
      </c>
      <c r="K992">
        <f>IFERROR(VLOOKUP(A992,库龄!B:L,10,0),0)</f>
        <v>0</v>
      </c>
      <c r="L992">
        <f>IFERROR(VLOOKUP(A992,库龄!B:M,11,0),0)</f>
        <v>0</v>
      </c>
      <c r="M992">
        <f>IFERROR(VLOOKUP(A992,库龄!B:N,12,0),0)</f>
        <v>0</v>
      </c>
      <c r="N992">
        <f t="shared" si="32"/>
        <v>0</v>
      </c>
    </row>
    <row r="993" spans="1:14">
      <c r="A993" s="3" t="s">
        <v>3638</v>
      </c>
      <c r="B993">
        <f>IFERROR(VLOOKUP(A993,管理亚马逊库存!A:K,11,0),"")</f>
        <v>0</v>
      </c>
      <c r="C993">
        <f>IFERROR(VLOOKUP(A993,管理亚马逊库存!A:L,12,0),"")</f>
        <v>0</v>
      </c>
      <c r="D993">
        <f>IFERROR(VLOOKUP(A993,管理亚马逊库存!A:Q,17,0),"")</f>
        <v>0</v>
      </c>
      <c r="E993">
        <f>IFERROR(VLOOKUP(A993,管理亚马逊库存!A:R,18,0),"")</f>
        <v>0</v>
      </c>
      <c r="F993">
        <f t="shared" si="31"/>
        <v>0</v>
      </c>
      <c r="G993">
        <f>IFERROR(VLOOKUP(A993,预留库存!A:G,7,0),0)</f>
        <v>0</v>
      </c>
      <c r="H993">
        <f>IFERROR(VLOOKUP(A993,预留库存!A:H,8,0),0)</f>
        <v>0</v>
      </c>
      <c r="I993">
        <f>IFERROR(VLOOKUP(A993,预留库存!A:F,6,0),0)</f>
        <v>0</v>
      </c>
      <c r="J993">
        <f>IFERROR(VLOOKUP(A993,库龄!B:K,9,0),0)</f>
        <v>0</v>
      </c>
      <c r="K993">
        <f>IFERROR(VLOOKUP(A993,库龄!B:L,10,0),0)</f>
        <v>0</v>
      </c>
      <c r="L993">
        <f>IFERROR(VLOOKUP(A993,库龄!B:M,11,0),0)</f>
        <v>0</v>
      </c>
      <c r="M993">
        <f>IFERROR(VLOOKUP(A993,库龄!B:N,12,0),0)</f>
        <v>0</v>
      </c>
      <c r="N993">
        <f t="shared" si="32"/>
        <v>0</v>
      </c>
    </row>
    <row r="994" spans="1:14">
      <c r="A994" s="3" t="s">
        <v>3642</v>
      </c>
      <c r="B994">
        <f>IFERROR(VLOOKUP(A994,管理亚马逊库存!A:K,11,0),"")</f>
        <v>0</v>
      </c>
      <c r="C994">
        <f>IFERROR(VLOOKUP(A994,管理亚马逊库存!A:L,12,0),"")</f>
        <v>1</v>
      </c>
      <c r="D994">
        <f>IFERROR(VLOOKUP(A994,管理亚马逊库存!A:Q,17,0),"")</f>
        <v>0</v>
      </c>
      <c r="E994">
        <f>IFERROR(VLOOKUP(A994,管理亚马逊库存!A:R,18,0),"")</f>
        <v>0</v>
      </c>
      <c r="F994">
        <f t="shared" si="31"/>
        <v>0</v>
      </c>
      <c r="G994">
        <f>IFERROR(VLOOKUP(A994,预留库存!A:G,7,0),0)</f>
        <v>0</v>
      </c>
      <c r="H994">
        <f>IFERROR(VLOOKUP(A994,预留库存!A:H,8,0),0)</f>
        <v>0</v>
      </c>
      <c r="I994">
        <f>IFERROR(VLOOKUP(A994,预留库存!A:F,6,0),0)</f>
        <v>0</v>
      </c>
      <c r="J994">
        <f>IFERROR(VLOOKUP(A994,库龄!B:K,9,0),0)</f>
        <v>0</v>
      </c>
      <c r="K994">
        <f>IFERROR(VLOOKUP(A994,库龄!B:L,10,0),0)</f>
        <v>0</v>
      </c>
      <c r="L994">
        <f>IFERROR(VLOOKUP(A994,库龄!B:M,11,0),0)</f>
        <v>0</v>
      </c>
      <c r="M994">
        <f>IFERROR(VLOOKUP(A994,库龄!B:N,12,0),0)</f>
        <v>0</v>
      </c>
      <c r="N994">
        <f t="shared" si="32"/>
        <v>0</v>
      </c>
    </row>
    <row r="995" spans="1:14">
      <c r="A995" s="3" t="s">
        <v>3646</v>
      </c>
      <c r="B995">
        <f>IFERROR(VLOOKUP(A995,管理亚马逊库存!A:K,11,0),"")</f>
        <v>0</v>
      </c>
      <c r="C995">
        <f>IFERROR(VLOOKUP(A995,管理亚马逊库存!A:L,12,0),"")</f>
        <v>0</v>
      </c>
      <c r="D995">
        <f>IFERROR(VLOOKUP(A995,管理亚马逊库存!A:Q,17,0),"")</f>
        <v>0</v>
      </c>
      <c r="E995">
        <f>IFERROR(VLOOKUP(A995,管理亚马逊库存!A:R,18,0),"")</f>
        <v>0</v>
      </c>
      <c r="F995">
        <f t="shared" si="31"/>
        <v>0</v>
      </c>
      <c r="G995">
        <f>IFERROR(VLOOKUP(A995,预留库存!A:G,7,0),0)</f>
        <v>0</v>
      </c>
      <c r="H995">
        <f>IFERROR(VLOOKUP(A995,预留库存!A:H,8,0),0)</f>
        <v>0</v>
      </c>
      <c r="I995">
        <f>IFERROR(VLOOKUP(A995,预留库存!A:F,6,0),0)</f>
        <v>0</v>
      </c>
      <c r="J995">
        <f>IFERROR(VLOOKUP(A995,库龄!B:K,9,0),0)</f>
        <v>0</v>
      </c>
      <c r="K995">
        <f>IFERROR(VLOOKUP(A995,库龄!B:L,10,0),0)</f>
        <v>0</v>
      </c>
      <c r="L995">
        <f>IFERROR(VLOOKUP(A995,库龄!B:M,11,0),0)</f>
        <v>0</v>
      </c>
      <c r="M995">
        <f>IFERROR(VLOOKUP(A995,库龄!B:N,12,0),0)</f>
        <v>0</v>
      </c>
      <c r="N995">
        <f t="shared" si="32"/>
        <v>0</v>
      </c>
    </row>
    <row r="996" spans="1:14">
      <c r="A996" s="3" t="s">
        <v>3650</v>
      </c>
      <c r="B996">
        <f>IFERROR(VLOOKUP(A996,管理亚马逊库存!A:K,11,0),"")</f>
        <v>0</v>
      </c>
      <c r="C996">
        <f>IFERROR(VLOOKUP(A996,管理亚马逊库存!A:L,12,0),"")</f>
        <v>0</v>
      </c>
      <c r="D996">
        <f>IFERROR(VLOOKUP(A996,管理亚马逊库存!A:Q,17,0),"")</f>
        <v>0</v>
      </c>
      <c r="E996">
        <f>IFERROR(VLOOKUP(A996,管理亚马逊库存!A:R,18,0),"")</f>
        <v>0</v>
      </c>
      <c r="F996">
        <f t="shared" si="31"/>
        <v>0</v>
      </c>
      <c r="G996">
        <f>IFERROR(VLOOKUP(A996,预留库存!A:G,7,0),0)</f>
        <v>0</v>
      </c>
      <c r="H996">
        <f>IFERROR(VLOOKUP(A996,预留库存!A:H,8,0),0)</f>
        <v>0</v>
      </c>
      <c r="I996">
        <f>IFERROR(VLOOKUP(A996,预留库存!A:F,6,0),0)</f>
        <v>0</v>
      </c>
      <c r="J996">
        <f>IFERROR(VLOOKUP(A996,库龄!B:K,9,0),0)</f>
        <v>0</v>
      </c>
      <c r="K996">
        <f>IFERROR(VLOOKUP(A996,库龄!B:L,10,0),0)</f>
        <v>0</v>
      </c>
      <c r="L996">
        <f>IFERROR(VLOOKUP(A996,库龄!B:M,11,0),0)</f>
        <v>0</v>
      </c>
      <c r="M996">
        <f>IFERROR(VLOOKUP(A996,库龄!B:N,12,0),0)</f>
        <v>0</v>
      </c>
      <c r="N996">
        <f t="shared" si="32"/>
        <v>0</v>
      </c>
    </row>
    <row r="997" spans="1:14">
      <c r="A997" s="3" t="s">
        <v>3654</v>
      </c>
      <c r="B997">
        <f>IFERROR(VLOOKUP(A997,管理亚马逊库存!A:K,11,0),"")</f>
        <v>0</v>
      </c>
      <c r="C997">
        <f>IFERROR(VLOOKUP(A997,管理亚马逊库存!A:L,12,0),"")</f>
        <v>0</v>
      </c>
      <c r="D997">
        <f>IFERROR(VLOOKUP(A997,管理亚马逊库存!A:Q,17,0),"")</f>
        <v>0</v>
      </c>
      <c r="E997">
        <f>IFERROR(VLOOKUP(A997,管理亚马逊库存!A:R,18,0),"")</f>
        <v>0</v>
      </c>
      <c r="F997">
        <f t="shared" si="31"/>
        <v>0</v>
      </c>
      <c r="G997">
        <f>IFERROR(VLOOKUP(A997,预留库存!A:G,7,0),0)</f>
        <v>0</v>
      </c>
      <c r="H997">
        <f>IFERROR(VLOOKUP(A997,预留库存!A:H,8,0),0)</f>
        <v>0</v>
      </c>
      <c r="I997">
        <f>IFERROR(VLOOKUP(A997,预留库存!A:F,6,0),0)</f>
        <v>0</v>
      </c>
      <c r="J997">
        <f>IFERROR(VLOOKUP(A997,库龄!B:K,9,0),0)</f>
        <v>0</v>
      </c>
      <c r="K997">
        <f>IFERROR(VLOOKUP(A997,库龄!B:L,10,0),0)</f>
        <v>0</v>
      </c>
      <c r="L997">
        <f>IFERROR(VLOOKUP(A997,库龄!B:M,11,0),0)</f>
        <v>0</v>
      </c>
      <c r="M997">
        <f>IFERROR(VLOOKUP(A997,库龄!B:N,12,0),0)</f>
        <v>0</v>
      </c>
      <c r="N997">
        <f t="shared" si="32"/>
        <v>0</v>
      </c>
    </row>
    <row r="998" spans="1:14">
      <c r="A998" s="3" t="s">
        <v>3658</v>
      </c>
      <c r="B998">
        <f>IFERROR(VLOOKUP(A998,管理亚马逊库存!A:K,11,0),"")</f>
        <v>0</v>
      </c>
      <c r="C998">
        <f>IFERROR(VLOOKUP(A998,管理亚马逊库存!A:L,12,0),"")</f>
        <v>0</v>
      </c>
      <c r="D998">
        <f>IFERROR(VLOOKUP(A998,管理亚马逊库存!A:Q,17,0),"")</f>
        <v>0</v>
      </c>
      <c r="E998">
        <f>IFERROR(VLOOKUP(A998,管理亚马逊库存!A:R,18,0),"")</f>
        <v>0</v>
      </c>
      <c r="F998">
        <f t="shared" si="31"/>
        <v>0</v>
      </c>
      <c r="G998">
        <f>IFERROR(VLOOKUP(A998,预留库存!A:G,7,0),0)</f>
        <v>0</v>
      </c>
      <c r="H998">
        <f>IFERROR(VLOOKUP(A998,预留库存!A:H,8,0),0)</f>
        <v>0</v>
      </c>
      <c r="I998">
        <f>IFERROR(VLOOKUP(A998,预留库存!A:F,6,0),0)</f>
        <v>0</v>
      </c>
      <c r="J998">
        <f>IFERROR(VLOOKUP(A998,库龄!B:K,9,0),0)</f>
        <v>0</v>
      </c>
      <c r="K998">
        <f>IFERROR(VLOOKUP(A998,库龄!B:L,10,0),0)</f>
        <v>0</v>
      </c>
      <c r="L998">
        <f>IFERROR(VLOOKUP(A998,库龄!B:M,11,0),0)</f>
        <v>0</v>
      </c>
      <c r="M998">
        <f>IFERROR(VLOOKUP(A998,库龄!B:N,12,0),0)</f>
        <v>0</v>
      </c>
      <c r="N998">
        <f t="shared" si="32"/>
        <v>0</v>
      </c>
    </row>
    <row r="999" spans="1:14">
      <c r="A999" s="3" t="s">
        <v>3662</v>
      </c>
      <c r="B999">
        <f>IFERROR(VLOOKUP(A999,管理亚马逊库存!A:K,11,0),"")</f>
        <v>0</v>
      </c>
      <c r="C999">
        <f>IFERROR(VLOOKUP(A999,管理亚马逊库存!A:L,12,0),"")</f>
        <v>0</v>
      </c>
      <c r="D999">
        <f>IFERROR(VLOOKUP(A999,管理亚马逊库存!A:Q,17,0),"")</f>
        <v>0</v>
      </c>
      <c r="E999">
        <f>IFERROR(VLOOKUP(A999,管理亚马逊库存!A:R,18,0),"")</f>
        <v>0</v>
      </c>
      <c r="F999">
        <f t="shared" si="31"/>
        <v>0</v>
      </c>
      <c r="G999">
        <f>IFERROR(VLOOKUP(A999,预留库存!A:G,7,0),0)</f>
        <v>0</v>
      </c>
      <c r="H999">
        <f>IFERROR(VLOOKUP(A999,预留库存!A:H,8,0),0)</f>
        <v>0</v>
      </c>
      <c r="I999">
        <f>IFERROR(VLOOKUP(A999,预留库存!A:F,6,0),0)</f>
        <v>0</v>
      </c>
      <c r="J999">
        <f>IFERROR(VLOOKUP(A999,库龄!B:K,9,0),0)</f>
        <v>0</v>
      </c>
      <c r="K999">
        <f>IFERROR(VLOOKUP(A999,库龄!B:L,10,0),0)</f>
        <v>0</v>
      </c>
      <c r="L999">
        <f>IFERROR(VLOOKUP(A999,库龄!B:M,11,0),0)</f>
        <v>0</v>
      </c>
      <c r="M999">
        <f>IFERROR(VLOOKUP(A999,库龄!B:N,12,0),0)</f>
        <v>0</v>
      </c>
      <c r="N999">
        <f t="shared" si="32"/>
        <v>0</v>
      </c>
    </row>
    <row r="1000" spans="1:14">
      <c r="A1000" s="3" t="s">
        <v>3666</v>
      </c>
      <c r="B1000">
        <f>IFERROR(VLOOKUP(A1000,管理亚马逊库存!A:K,11,0),"")</f>
        <v>0</v>
      </c>
      <c r="C1000">
        <f>IFERROR(VLOOKUP(A1000,管理亚马逊库存!A:L,12,0),"")</f>
        <v>0</v>
      </c>
      <c r="D1000">
        <f>IFERROR(VLOOKUP(A1000,管理亚马逊库存!A:Q,17,0),"")</f>
        <v>0</v>
      </c>
      <c r="E1000">
        <f>IFERROR(VLOOKUP(A1000,管理亚马逊库存!A:R,18,0),"")</f>
        <v>0</v>
      </c>
      <c r="F1000">
        <f t="shared" si="31"/>
        <v>0</v>
      </c>
      <c r="G1000">
        <f>IFERROR(VLOOKUP(A1000,预留库存!A:G,7,0),0)</f>
        <v>0</v>
      </c>
      <c r="H1000">
        <f>IFERROR(VLOOKUP(A1000,预留库存!A:H,8,0),0)</f>
        <v>0</v>
      </c>
      <c r="I1000">
        <f>IFERROR(VLOOKUP(A1000,预留库存!A:F,6,0),0)</f>
        <v>0</v>
      </c>
      <c r="J1000">
        <f>IFERROR(VLOOKUP(A1000,库龄!B:K,9,0),0)</f>
        <v>0</v>
      </c>
      <c r="K1000">
        <f>IFERROR(VLOOKUP(A1000,库龄!B:L,10,0),0)</f>
        <v>0</v>
      </c>
      <c r="L1000">
        <f>IFERROR(VLOOKUP(A1000,库龄!B:M,11,0),0)</f>
        <v>0</v>
      </c>
      <c r="M1000">
        <f>IFERROR(VLOOKUP(A1000,库龄!B:N,12,0),0)</f>
        <v>0</v>
      </c>
      <c r="N1000">
        <f t="shared" si="32"/>
        <v>0</v>
      </c>
    </row>
    <row r="1001" spans="1:14">
      <c r="A1001" s="3" t="s">
        <v>3670</v>
      </c>
      <c r="B1001">
        <f>IFERROR(VLOOKUP(A1001,管理亚马逊库存!A:K,11,0),"")</f>
        <v>0</v>
      </c>
      <c r="C1001">
        <f>IFERROR(VLOOKUP(A1001,管理亚马逊库存!A:L,12,0),"")</f>
        <v>0</v>
      </c>
      <c r="D1001">
        <f>IFERROR(VLOOKUP(A1001,管理亚马逊库存!A:Q,17,0),"")</f>
        <v>0</v>
      </c>
      <c r="E1001">
        <f>IFERROR(VLOOKUP(A1001,管理亚马逊库存!A:R,18,0),"")</f>
        <v>0</v>
      </c>
      <c r="F1001">
        <f t="shared" si="31"/>
        <v>0</v>
      </c>
      <c r="G1001">
        <f>IFERROR(VLOOKUP(A1001,预留库存!A:G,7,0),0)</f>
        <v>0</v>
      </c>
      <c r="H1001">
        <f>IFERROR(VLOOKUP(A1001,预留库存!A:H,8,0),0)</f>
        <v>0</v>
      </c>
      <c r="I1001">
        <f>IFERROR(VLOOKUP(A1001,预留库存!A:F,6,0),0)</f>
        <v>0</v>
      </c>
      <c r="J1001">
        <f>IFERROR(VLOOKUP(A1001,库龄!B:K,9,0),0)</f>
        <v>0</v>
      </c>
      <c r="K1001">
        <f>IFERROR(VLOOKUP(A1001,库龄!B:L,10,0),0)</f>
        <v>0</v>
      </c>
      <c r="L1001">
        <f>IFERROR(VLOOKUP(A1001,库龄!B:M,11,0),0)</f>
        <v>0</v>
      </c>
      <c r="M1001">
        <f>IFERROR(VLOOKUP(A1001,库龄!B:N,12,0),0)</f>
        <v>0</v>
      </c>
      <c r="N1001">
        <f t="shared" si="32"/>
        <v>0</v>
      </c>
    </row>
    <row r="1002" spans="1:14">
      <c r="A1002" s="3" t="s">
        <v>3674</v>
      </c>
      <c r="B1002">
        <f>IFERROR(VLOOKUP(A1002,管理亚马逊库存!A:K,11,0),"")</f>
        <v>0</v>
      </c>
      <c r="C1002">
        <f>IFERROR(VLOOKUP(A1002,管理亚马逊库存!A:L,12,0),"")</f>
        <v>0</v>
      </c>
      <c r="D1002">
        <f>IFERROR(VLOOKUP(A1002,管理亚马逊库存!A:Q,17,0),"")</f>
        <v>0</v>
      </c>
      <c r="E1002">
        <f>IFERROR(VLOOKUP(A1002,管理亚马逊库存!A:R,18,0),"")</f>
        <v>0</v>
      </c>
      <c r="F1002">
        <f t="shared" si="31"/>
        <v>0</v>
      </c>
      <c r="G1002">
        <f>IFERROR(VLOOKUP(A1002,预留库存!A:G,7,0),0)</f>
        <v>0</v>
      </c>
      <c r="H1002">
        <f>IFERROR(VLOOKUP(A1002,预留库存!A:H,8,0),0)</f>
        <v>0</v>
      </c>
      <c r="I1002">
        <f>IFERROR(VLOOKUP(A1002,预留库存!A:F,6,0),0)</f>
        <v>0</v>
      </c>
      <c r="J1002">
        <f>IFERROR(VLOOKUP(A1002,库龄!B:K,9,0),0)</f>
        <v>0</v>
      </c>
      <c r="K1002">
        <f>IFERROR(VLOOKUP(A1002,库龄!B:L,10,0),0)</f>
        <v>0</v>
      </c>
      <c r="L1002">
        <f>IFERROR(VLOOKUP(A1002,库龄!B:M,11,0),0)</f>
        <v>0</v>
      </c>
      <c r="M1002">
        <f>IFERROR(VLOOKUP(A1002,库龄!B:N,12,0),0)</f>
        <v>0</v>
      </c>
      <c r="N1002">
        <f t="shared" si="32"/>
        <v>0</v>
      </c>
    </row>
    <row r="1003" spans="1:14">
      <c r="A1003" s="3" t="s">
        <v>3677</v>
      </c>
      <c r="B1003">
        <f>IFERROR(VLOOKUP(A1003,管理亚马逊库存!A:K,11,0),"")</f>
        <v>0</v>
      </c>
      <c r="C1003">
        <f>IFERROR(VLOOKUP(A1003,管理亚马逊库存!A:L,12,0),"")</f>
        <v>0</v>
      </c>
      <c r="D1003">
        <f>IFERROR(VLOOKUP(A1003,管理亚马逊库存!A:Q,17,0),"")</f>
        <v>10</v>
      </c>
      <c r="E1003">
        <f>IFERROR(VLOOKUP(A1003,管理亚马逊库存!A:R,18,0),"")</f>
        <v>0</v>
      </c>
      <c r="F1003">
        <f t="shared" si="31"/>
        <v>10</v>
      </c>
      <c r="G1003">
        <f>IFERROR(VLOOKUP(A1003,预留库存!A:G,7,0),0)</f>
        <v>0</v>
      </c>
      <c r="H1003">
        <f>IFERROR(VLOOKUP(A1003,预留库存!A:H,8,0),0)</f>
        <v>0</v>
      </c>
      <c r="I1003">
        <f>IFERROR(VLOOKUP(A1003,预留库存!A:F,6,0),0)</f>
        <v>0</v>
      </c>
      <c r="J1003">
        <f>IFERROR(VLOOKUP(A1003,库龄!B:K,9,0),0)</f>
        <v>0</v>
      </c>
      <c r="K1003">
        <f>IFERROR(VLOOKUP(A1003,库龄!B:L,10,0),0)</f>
        <v>0</v>
      </c>
      <c r="L1003">
        <f>IFERROR(VLOOKUP(A1003,库龄!B:M,11,0),0)</f>
        <v>0</v>
      </c>
      <c r="M1003">
        <f>IFERROR(VLOOKUP(A1003,库龄!B:N,12,0),0)</f>
        <v>0</v>
      </c>
      <c r="N1003">
        <f t="shared" si="32"/>
        <v>0</v>
      </c>
    </row>
    <row r="1004" spans="1:14">
      <c r="A1004" s="3" t="s">
        <v>3681</v>
      </c>
      <c r="B1004">
        <f>IFERROR(VLOOKUP(A1004,管理亚马逊库存!A:K,11,0),"")</f>
        <v>0</v>
      </c>
      <c r="C1004">
        <f>IFERROR(VLOOKUP(A1004,管理亚马逊库存!A:L,12,0),"")</f>
        <v>0</v>
      </c>
      <c r="D1004">
        <f>IFERROR(VLOOKUP(A1004,管理亚马逊库存!A:Q,17,0),"")</f>
        <v>0</v>
      </c>
      <c r="E1004">
        <f>IFERROR(VLOOKUP(A1004,管理亚马逊库存!A:R,18,0),"")</f>
        <v>0</v>
      </c>
      <c r="F1004">
        <f t="shared" si="31"/>
        <v>0</v>
      </c>
      <c r="G1004">
        <f>IFERROR(VLOOKUP(A1004,预留库存!A:G,7,0),0)</f>
        <v>0</v>
      </c>
      <c r="H1004">
        <f>IFERROR(VLOOKUP(A1004,预留库存!A:H,8,0),0)</f>
        <v>0</v>
      </c>
      <c r="I1004">
        <f>IFERROR(VLOOKUP(A1004,预留库存!A:F,6,0),0)</f>
        <v>0</v>
      </c>
      <c r="J1004">
        <f>IFERROR(VLOOKUP(A1004,库龄!B:K,9,0),0)</f>
        <v>0</v>
      </c>
      <c r="K1004">
        <f>IFERROR(VLOOKUP(A1004,库龄!B:L,10,0),0)</f>
        <v>0</v>
      </c>
      <c r="L1004">
        <f>IFERROR(VLOOKUP(A1004,库龄!B:M,11,0),0)</f>
        <v>0</v>
      </c>
      <c r="M1004">
        <f>IFERROR(VLOOKUP(A1004,库龄!B:N,12,0),0)</f>
        <v>0</v>
      </c>
      <c r="N1004">
        <f t="shared" si="32"/>
        <v>0</v>
      </c>
    </row>
    <row r="1005" spans="1:14">
      <c r="A1005" s="3" t="s">
        <v>3683</v>
      </c>
      <c r="B1005">
        <f>IFERROR(VLOOKUP(A1005,管理亚马逊库存!A:K,11,0),"")</f>
        <v>0</v>
      </c>
      <c r="C1005">
        <f>IFERROR(VLOOKUP(A1005,管理亚马逊库存!A:L,12,0),"")</f>
        <v>0</v>
      </c>
      <c r="D1005">
        <f>IFERROR(VLOOKUP(A1005,管理亚马逊库存!A:Q,17,0),"")</f>
        <v>0</v>
      </c>
      <c r="E1005">
        <f>IFERROR(VLOOKUP(A1005,管理亚马逊库存!A:R,18,0),"")</f>
        <v>0</v>
      </c>
      <c r="F1005">
        <f t="shared" si="31"/>
        <v>0</v>
      </c>
      <c r="G1005">
        <f>IFERROR(VLOOKUP(A1005,预留库存!A:G,7,0),0)</f>
        <v>0</v>
      </c>
      <c r="H1005">
        <f>IFERROR(VLOOKUP(A1005,预留库存!A:H,8,0),0)</f>
        <v>0</v>
      </c>
      <c r="I1005">
        <f>IFERROR(VLOOKUP(A1005,预留库存!A:F,6,0),0)</f>
        <v>0</v>
      </c>
      <c r="J1005">
        <f>IFERROR(VLOOKUP(A1005,库龄!B:K,9,0),0)</f>
        <v>0</v>
      </c>
      <c r="K1005">
        <f>IFERROR(VLOOKUP(A1005,库龄!B:L,10,0),0)</f>
        <v>0</v>
      </c>
      <c r="L1005">
        <f>IFERROR(VLOOKUP(A1005,库龄!B:M,11,0),0)</f>
        <v>0</v>
      </c>
      <c r="M1005">
        <f>IFERROR(VLOOKUP(A1005,库龄!B:N,12,0),0)</f>
        <v>0</v>
      </c>
      <c r="N1005">
        <f t="shared" si="32"/>
        <v>0</v>
      </c>
    </row>
    <row r="1006" spans="1:14">
      <c r="A1006" s="3" t="s">
        <v>3685</v>
      </c>
      <c r="B1006">
        <f>IFERROR(VLOOKUP(A1006,管理亚马逊库存!A:K,11,0),"")</f>
        <v>0</v>
      </c>
      <c r="C1006">
        <f>IFERROR(VLOOKUP(A1006,管理亚马逊库存!A:L,12,0),"")</f>
        <v>0</v>
      </c>
      <c r="D1006">
        <f>IFERROR(VLOOKUP(A1006,管理亚马逊库存!A:Q,17,0),"")</f>
        <v>0</v>
      </c>
      <c r="E1006">
        <f>IFERROR(VLOOKUP(A1006,管理亚马逊库存!A:R,18,0),"")</f>
        <v>0</v>
      </c>
      <c r="F1006">
        <f t="shared" si="31"/>
        <v>0</v>
      </c>
      <c r="G1006">
        <f>IFERROR(VLOOKUP(A1006,预留库存!A:G,7,0),0)</f>
        <v>0</v>
      </c>
      <c r="H1006">
        <f>IFERROR(VLOOKUP(A1006,预留库存!A:H,8,0),0)</f>
        <v>0</v>
      </c>
      <c r="I1006">
        <f>IFERROR(VLOOKUP(A1006,预留库存!A:F,6,0),0)</f>
        <v>0</v>
      </c>
      <c r="J1006">
        <f>IFERROR(VLOOKUP(A1006,库龄!B:K,9,0),0)</f>
        <v>0</v>
      </c>
      <c r="K1006">
        <f>IFERROR(VLOOKUP(A1006,库龄!B:L,10,0),0)</f>
        <v>0</v>
      </c>
      <c r="L1006">
        <f>IFERROR(VLOOKUP(A1006,库龄!B:M,11,0),0)</f>
        <v>0</v>
      </c>
      <c r="M1006">
        <f>IFERROR(VLOOKUP(A1006,库龄!B:N,12,0),0)</f>
        <v>0</v>
      </c>
      <c r="N1006">
        <f t="shared" si="32"/>
        <v>0</v>
      </c>
    </row>
    <row r="1007" spans="1:14">
      <c r="A1007" s="3" t="s">
        <v>3687</v>
      </c>
      <c r="B1007">
        <f>IFERROR(VLOOKUP(A1007,管理亚马逊库存!A:K,11,0),"")</f>
        <v>0</v>
      </c>
      <c r="C1007">
        <f>IFERROR(VLOOKUP(A1007,管理亚马逊库存!A:L,12,0),"")</f>
        <v>0</v>
      </c>
      <c r="D1007">
        <f>IFERROR(VLOOKUP(A1007,管理亚马逊库存!A:Q,17,0),"")</f>
        <v>0</v>
      </c>
      <c r="E1007">
        <f>IFERROR(VLOOKUP(A1007,管理亚马逊库存!A:R,18,0),"")</f>
        <v>0</v>
      </c>
      <c r="F1007">
        <f t="shared" si="31"/>
        <v>0</v>
      </c>
      <c r="G1007">
        <f>IFERROR(VLOOKUP(A1007,预留库存!A:G,7,0),0)</f>
        <v>0</v>
      </c>
      <c r="H1007">
        <f>IFERROR(VLOOKUP(A1007,预留库存!A:H,8,0),0)</f>
        <v>0</v>
      </c>
      <c r="I1007">
        <f>IFERROR(VLOOKUP(A1007,预留库存!A:F,6,0),0)</f>
        <v>0</v>
      </c>
      <c r="J1007">
        <f>IFERROR(VLOOKUP(A1007,库龄!B:K,9,0),0)</f>
        <v>0</v>
      </c>
      <c r="K1007">
        <f>IFERROR(VLOOKUP(A1007,库龄!B:L,10,0),0)</f>
        <v>0</v>
      </c>
      <c r="L1007">
        <f>IFERROR(VLOOKUP(A1007,库龄!B:M,11,0),0)</f>
        <v>0</v>
      </c>
      <c r="M1007">
        <f>IFERROR(VLOOKUP(A1007,库龄!B:N,12,0),0)</f>
        <v>0</v>
      </c>
      <c r="N1007">
        <f t="shared" si="32"/>
        <v>0</v>
      </c>
    </row>
    <row r="1008" spans="1:14">
      <c r="A1008" s="3" t="s">
        <v>3689</v>
      </c>
      <c r="B1008">
        <f>IFERROR(VLOOKUP(A1008,管理亚马逊库存!A:K,11,0),"")</f>
        <v>0</v>
      </c>
      <c r="C1008">
        <f>IFERROR(VLOOKUP(A1008,管理亚马逊库存!A:L,12,0),"")</f>
        <v>0</v>
      </c>
      <c r="D1008">
        <f>IFERROR(VLOOKUP(A1008,管理亚马逊库存!A:Q,17,0),"")</f>
        <v>0</v>
      </c>
      <c r="E1008">
        <f>IFERROR(VLOOKUP(A1008,管理亚马逊库存!A:R,18,0),"")</f>
        <v>0</v>
      </c>
      <c r="F1008">
        <f t="shared" si="31"/>
        <v>0</v>
      </c>
      <c r="G1008">
        <f>IFERROR(VLOOKUP(A1008,预留库存!A:G,7,0),0)</f>
        <v>0</v>
      </c>
      <c r="H1008">
        <f>IFERROR(VLOOKUP(A1008,预留库存!A:H,8,0),0)</f>
        <v>0</v>
      </c>
      <c r="I1008">
        <f>IFERROR(VLOOKUP(A1008,预留库存!A:F,6,0),0)</f>
        <v>0</v>
      </c>
      <c r="J1008">
        <f>IFERROR(VLOOKUP(A1008,库龄!B:K,9,0),0)</f>
        <v>0</v>
      </c>
      <c r="K1008">
        <f>IFERROR(VLOOKUP(A1008,库龄!B:L,10,0),0)</f>
        <v>0</v>
      </c>
      <c r="L1008">
        <f>IFERROR(VLOOKUP(A1008,库龄!B:M,11,0),0)</f>
        <v>0</v>
      </c>
      <c r="M1008">
        <f>IFERROR(VLOOKUP(A1008,库龄!B:N,12,0),0)</f>
        <v>0</v>
      </c>
      <c r="N1008">
        <f t="shared" si="32"/>
        <v>0</v>
      </c>
    </row>
    <row r="1009" spans="1:14">
      <c r="A1009" s="3" t="s">
        <v>3691</v>
      </c>
      <c r="B1009">
        <f>IFERROR(VLOOKUP(A1009,管理亚马逊库存!A:K,11,0),"")</f>
        <v>0</v>
      </c>
      <c r="C1009">
        <f>IFERROR(VLOOKUP(A1009,管理亚马逊库存!A:L,12,0),"")</f>
        <v>0</v>
      </c>
      <c r="D1009">
        <f>IFERROR(VLOOKUP(A1009,管理亚马逊库存!A:Q,17,0),"")</f>
        <v>0</v>
      </c>
      <c r="E1009">
        <f>IFERROR(VLOOKUP(A1009,管理亚马逊库存!A:R,18,0),"")</f>
        <v>0</v>
      </c>
      <c r="F1009">
        <f t="shared" si="31"/>
        <v>0</v>
      </c>
      <c r="G1009">
        <f>IFERROR(VLOOKUP(A1009,预留库存!A:G,7,0),0)</f>
        <v>0</v>
      </c>
      <c r="H1009">
        <f>IFERROR(VLOOKUP(A1009,预留库存!A:H,8,0),0)</f>
        <v>0</v>
      </c>
      <c r="I1009">
        <f>IFERROR(VLOOKUP(A1009,预留库存!A:F,6,0),0)</f>
        <v>0</v>
      </c>
      <c r="J1009">
        <f>IFERROR(VLOOKUP(A1009,库龄!B:K,9,0),0)</f>
        <v>0</v>
      </c>
      <c r="K1009">
        <f>IFERROR(VLOOKUP(A1009,库龄!B:L,10,0),0)</f>
        <v>0</v>
      </c>
      <c r="L1009">
        <f>IFERROR(VLOOKUP(A1009,库龄!B:M,11,0),0)</f>
        <v>0</v>
      </c>
      <c r="M1009">
        <f>IFERROR(VLOOKUP(A1009,库龄!B:N,12,0),0)</f>
        <v>0</v>
      </c>
      <c r="N1009">
        <f t="shared" si="32"/>
        <v>0</v>
      </c>
    </row>
    <row r="1010" spans="1:14">
      <c r="A1010" s="3" t="s">
        <v>3693</v>
      </c>
      <c r="B1010">
        <f>IFERROR(VLOOKUP(A1010,管理亚马逊库存!A:K,11,0),"")</f>
        <v>0</v>
      </c>
      <c r="C1010">
        <f>IFERROR(VLOOKUP(A1010,管理亚马逊库存!A:L,12,0),"")</f>
        <v>0</v>
      </c>
      <c r="D1010">
        <f>IFERROR(VLOOKUP(A1010,管理亚马逊库存!A:Q,17,0),"")</f>
        <v>0</v>
      </c>
      <c r="E1010">
        <f>IFERROR(VLOOKUP(A1010,管理亚马逊库存!A:R,18,0),"")</f>
        <v>0</v>
      </c>
      <c r="F1010">
        <f t="shared" si="31"/>
        <v>0</v>
      </c>
      <c r="G1010">
        <f>IFERROR(VLOOKUP(A1010,预留库存!A:G,7,0),0)</f>
        <v>0</v>
      </c>
      <c r="H1010">
        <f>IFERROR(VLOOKUP(A1010,预留库存!A:H,8,0),0)</f>
        <v>0</v>
      </c>
      <c r="I1010">
        <f>IFERROR(VLOOKUP(A1010,预留库存!A:F,6,0),0)</f>
        <v>0</v>
      </c>
      <c r="J1010">
        <f>IFERROR(VLOOKUP(A1010,库龄!B:K,9,0),0)</f>
        <v>0</v>
      </c>
      <c r="K1010">
        <f>IFERROR(VLOOKUP(A1010,库龄!B:L,10,0),0)</f>
        <v>0</v>
      </c>
      <c r="L1010">
        <f>IFERROR(VLOOKUP(A1010,库龄!B:M,11,0),0)</f>
        <v>0</v>
      </c>
      <c r="M1010">
        <f>IFERROR(VLOOKUP(A1010,库龄!B:N,12,0),0)</f>
        <v>0</v>
      </c>
      <c r="N1010">
        <f t="shared" si="32"/>
        <v>0</v>
      </c>
    </row>
    <row r="1011" spans="1:14">
      <c r="A1011" s="3" t="s">
        <v>3695</v>
      </c>
      <c r="B1011">
        <f>IFERROR(VLOOKUP(A1011,管理亚马逊库存!A:K,11,0),"")</f>
        <v>0</v>
      </c>
      <c r="C1011">
        <f>IFERROR(VLOOKUP(A1011,管理亚马逊库存!A:L,12,0),"")</f>
        <v>0</v>
      </c>
      <c r="D1011">
        <f>IFERROR(VLOOKUP(A1011,管理亚马逊库存!A:Q,17,0),"")</f>
        <v>0</v>
      </c>
      <c r="E1011">
        <f>IFERROR(VLOOKUP(A1011,管理亚马逊库存!A:R,18,0),"")</f>
        <v>0</v>
      </c>
      <c r="F1011">
        <f t="shared" si="31"/>
        <v>0</v>
      </c>
      <c r="G1011">
        <f>IFERROR(VLOOKUP(A1011,预留库存!A:G,7,0),0)</f>
        <v>0</v>
      </c>
      <c r="H1011">
        <f>IFERROR(VLOOKUP(A1011,预留库存!A:H,8,0),0)</f>
        <v>0</v>
      </c>
      <c r="I1011">
        <f>IFERROR(VLOOKUP(A1011,预留库存!A:F,6,0),0)</f>
        <v>0</v>
      </c>
      <c r="J1011">
        <f>IFERROR(VLOOKUP(A1011,库龄!B:K,9,0),0)</f>
        <v>0</v>
      </c>
      <c r="K1011">
        <f>IFERROR(VLOOKUP(A1011,库龄!B:L,10,0),0)</f>
        <v>0</v>
      </c>
      <c r="L1011">
        <f>IFERROR(VLOOKUP(A1011,库龄!B:M,11,0),0)</f>
        <v>0</v>
      </c>
      <c r="M1011">
        <f>IFERROR(VLOOKUP(A1011,库龄!B:N,12,0),0)</f>
        <v>0</v>
      </c>
      <c r="N1011">
        <f t="shared" si="32"/>
        <v>0</v>
      </c>
    </row>
    <row r="1012" spans="1:14">
      <c r="A1012" s="3" t="s">
        <v>3697</v>
      </c>
      <c r="B1012">
        <f>IFERROR(VLOOKUP(A1012,管理亚马逊库存!A:K,11,0),"")</f>
        <v>0</v>
      </c>
      <c r="C1012">
        <f>IFERROR(VLOOKUP(A1012,管理亚马逊库存!A:L,12,0),"")</f>
        <v>0</v>
      </c>
      <c r="D1012">
        <f>IFERROR(VLOOKUP(A1012,管理亚马逊库存!A:Q,17,0),"")</f>
        <v>0</v>
      </c>
      <c r="E1012">
        <f>IFERROR(VLOOKUP(A1012,管理亚马逊库存!A:R,18,0),"")</f>
        <v>0</v>
      </c>
      <c r="F1012">
        <f t="shared" si="31"/>
        <v>0</v>
      </c>
      <c r="G1012">
        <f>IFERROR(VLOOKUP(A1012,预留库存!A:G,7,0),0)</f>
        <v>0</v>
      </c>
      <c r="H1012">
        <f>IFERROR(VLOOKUP(A1012,预留库存!A:H,8,0),0)</f>
        <v>0</v>
      </c>
      <c r="I1012">
        <f>IFERROR(VLOOKUP(A1012,预留库存!A:F,6,0),0)</f>
        <v>0</v>
      </c>
      <c r="J1012">
        <f>IFERROR(VLOOKUP(A1012,库龄!B:K,9,0),0)</f>
        <v>0</v>
      </c>
      <c r="K1012">
        <f>IFERROR(VLOOKUP(A1012,库龄!B:L,10,0),0)</f>
        <v>0</v>
      </c>
      <c r="L1012">
        <f>IFERROR(VLOOKUP(A1012,库龄!B:M,11,0),0)</f>
        <v>0</v>
      </c>
      <c r="M1012">
        <f>IFERROR(VLOOKUP(A1012,库龄!B:N,12,0),0)</f>
        <v>0</v>
      </c>
      <c r="N1012">
        <f t="shared" si="32"/>
        <v>0</v>
      </c>
    </row>
    <row r="1013" spans="1:14">
      <c r="A1013" s="3" t="s">
        <v>3699</v>
      </c>
      <c r="B1013">
        <f>IFERROR(VLOOKUP(A1013,管理亚马逊库存!A:K,11,0),"")</f>
        <v>0</v>
      </c>
      <c r="C1013">
        <f>IFERROR(VLOOKUP(A1013,管理亚马逊库存!A:L,12,0),"")</f>
        <v>0</v>
      </c>
      <c r="D1013">
        <f>IFERROR(VLOOKUP(A1013,管理亚马逊库存!A:Q,17,0),"")</f>
        <v>0</v>
      </c>
      <c r="E1013">
        <f>IFERROR(VLOOKUP(A1013,管理亚马逊库存!A:R,18,0),"")</f>
        <v>0</v>
      </c>
      <c r="F1013">
        <f t="shared" si="31"/>
        <v>0</v>
      </c>
      <c r="G1013">
        <f>IFERROR(VLOOKUP(A1013,预留库存!A:G,7,0),0)</f>
        <v>0</v>
      </c>
      <c r="H1013">
        <f>IFERROR(VLOOKUP(A1013,预留库存!A:H,8,0),0)</f>
        <v>0</v>
      </c>
      <c r="I1013">
        <f>IFERROR(VLOOKUP(A1013,预留库存!A:F,6,0),0)</f>
        <v>0</v>
      </c>
      <c r="J1013">
        <f>IFERROR(VLOOKUP(A1013,库龄!B:K,9,0),0)</f>
        <v>0</v>
      </c>
      <c r="K1013">
        <f>IFERROR(VLOOKUP(A1013,库龄!B:L,10,0),0)</f>
        <v>0</v>
      </c>
      <c r="L1013">
        <f>IFERROR(VLOOKUP(A1013,库龄!B:M,11,0),0)</f>
        <v>0</v>
      </c>
      <c r="M1013">
        <f>IFERROR(VLOOKUP(A1013,库龄!B:N,12,0),0)</f>
        <v>0</v>
      </c>
      <c r="N1013">
        <f t="shared" si="32"/>
        <v>0</v>
      </c>
    </row>
    <row r="1014" spans="1:14">
      <c r="A1014" s="3" t="s">
        <v>3701</v>
      </c>
      <c r="B1014">
        <f>IFERROR(VLOOKUP(A1014,管理亚马逊库存!A:K,11,0),"")</f>
        <v>0</v>
      </c>
      <c r="C1014">
        <f>IFERROR(VLOOKUP(A1014,管理亚马逊库存!A:L,12,0),"")</f>
        <v>0</v>
      </c>
      <c r="D1014">
        <f>IFERROR(VLOOKUP(A1014,管理亚马逊库存!A:Q,17,0),"")</f>
        <v>0</v>
      </c>
      <c r="E1014">
        <f>IFERROR(VLOOKUP(A1014,管理亚马逊库存!A:R,18,0),"")</f>
        <v>0</v>
      </c>
      <c r="F1014">
        <f t="shared" si="31"/>
        <v>0</v>
      </c>
      <c r="G1014">
        <f>IFERROR(VLOOKUP(A1014,预留库存!A:G,7,0),0)</f>
        <v>0</v>
      </c>
      <c r="H1014">
        <f>IFERROR(VLOOKUP(A1014,预留库存!A:H,8,0),0)</f>
        <v>0</v>
      </c>
      <c r="I1014">
        <f>IFERROR(VLOOKUP(A1014,预留库存!A:F,6,0),0)</f>
        <v>0</v>
      </c>
      <c r="J1014">
        <f>IFERROR(VLOOKUP(A1014,库龄!B:K,9,0),0)</f>
        <v>0</v>
      </c>
      <c r="K1014">
        <f>IFERROR(VLOOKUP(A1014,库龄!B:L,10,0),0)</f>
        <v>0</v>
      </c>
      <c r="L1014">
        <f>IFERROR(VLOOKUP(A1014,库龄!B:M,11,0),0)</f>
        <v>0</v>
      </c>
      <c r="M1014">
        <f>IFERROR(VLOOKUP(A1014,库龄!B:N,12,0),0)</f>
        <v>0</v>
      </c>
      <c r="N1014">
        <f t="shared" si="32"/>
        <v>0</v>
      </c>
    </row>
    <row r="1015" spans="1:14">
      <c r="A1015" s="3" t="s">
        <v>3703</v>
      </c>
      <c r="B1015">
        <f>IFERROR(VLOOKUP(A1015,管理亚马逊库存!A:K,11,0),"")</f>
        <v>0</v>
      </c>
      <c r="C1015">
        <f>IFERROR(VLOOKUP(A1015,管理亚马逊库存!A:L,12,0),"")</f>
        <v>0</v>
      </c>
      <c r="D1015">
        <f>IFERROR(VLOOKUP(A1015,管理亚马逊库存!A:Q,17,0),"")</f>
        <v>0</v>
      </c>
      <c r="E1015">
        <f>IFERROR(VLOOKUP(A1015,管理亚马逊库存!A:R,18,0),"")</f>
        <v>0</v>
      </c>
      <c r="F1015">
        <f t="shared" si="31"/>
        <v>0</v>
      </c>
      <c r="G1015">
        <f>IFERROR(VLOOKUP(A1015,预留库存!A:G,7,0),0)</f>
        <v>0</v>
      </c>
      <c r="H1015">
        <f>IFERROR(VLOOKUP(A1015,预留库存!A:H,8,0),0)</f>
        <v>0</v>
      </c>
      <c r="I1015">
        <f>IFERROR(VLOOKUP(A1015,预留库存!A:F,6,0),0)</f>
        <v>0</v>
      </c>
      <c r="J1015">
        <f>IFERROR(VLOOKUP(A1015,库龄!B:K,9,0),0)</f>
        <v>0</v>
      </c>
      <c r="K1015">
        <f>IFERROR(VLOOKUP(A1015,库龄!B:L,10,0),0)</f>
        <v>0</v>
      </c>
      <c r="L1015">
        <f>IFERROR(VLOOKUP(A1015,库龄!B:M,11,0),0)</f>
        <v>0</v>
      </c>
      <c r="M1015">
        <f>IFERROR(VLOOKUP(A1015,库龄!B:N,12,0),0)</f>
        <v>0</v>
      </c>
      <c r="N1015">
        <f t="shared" si="32"/>
        <v>0</v>
      </c>
    </row>
    <row r="1016" spans="1:14">
      <c r="A1016" s="3" t="s">
        <v>3705</v>
      </c>
      <c r="B1016">
        <f>IFERROR(VLOOKUP(A1016,管理亚马逊库存!A:K,11,0),"")</f>
        <v>0</v>
      </c>
      <c r="C1016">
        <f>IFERROR(VLOOKUP(A1016,管理亚马逊库存!A:L,12,0),"")</f>
        <v>0</v>
      </c>
      <c r="D1016">
        <f>IFERROR(VLOOKUP(A1016,管理亚马逊库存!A:Q,17,0),"")</f>
        <v>0</v>
      </c>
      <c r="E1016">
        <f>IFERROR(VLOOKUP(A1016,管理亚马逊库存!A:R,18,0),"")</f>
        <v>0</v>
      </c>
      <c r="F1016">
        <f t="shared" si="31"/>
        <v>0</v>
      </c>
      <c r="G1016">
        <f>IFERROR(VLOOKUP(A1016,预留库存!A:G,7,0),0)</f>
        <v>0</v>
      </c>
      <c r="H1016">
        <f>IFERROR(VLOOKUP(A1016,预留库存!A:H,8,0),0)</f>
        <v>0</v>
      </c>
      <c r="I1016">
        <f>IFERROR(VLOOKUP(A1016,预留库存!A:F,6,0),0)</f>
        <v>0</v>
      </c>
      <c r="J1016">
        <f>IFERROR(VLOOKUP(A1016,库龄!B:K,9,0),0)</f>
        <v>0</v>
      </c>
      <c r="K1016">
        <f>IFERROR(VLOOKUP(A1016,库龄!B:L,10,0),0)</f>
        <v>0</v>
      </c>
      <c r="L1016">
        <f>IFERROR(VLOOKUP(A1016,库龄!B:M,11,0),0)</f>
        <v>0</v>
      </c>
      <c r="M1016">
        <f>IFERROR(VLOOKUP(A1016,库龄!B:N,12,0),0)</f>
        <v>0</v>
      </c>
      <c r="N1016">
        <f t="shared" si="32"/>
        <v>0</v>
      </c>
    </row>
    <row r="1017" spans="1:14">
      <c r="A1017" s="3" t="s">
        <v>3707</v>
      </c>
      <c r="B1017">
        <f>IFERROR(VLOOKUP(A1017,管理亚马逊库存!A:K,11,0),"")</f>
        <v>0</v>
      </c>
      <c r="C1017">
        <f>IFERROR(VLOOKUP(A1017,管理亚马逊库存!A:L,12,0),"")</f>
        <v>0</v>
      </c>
      <c r="D1017">
        <f>IFERROR(VLOOKUP(A1017,管理亚马逊库存!A:Q,17,0),"")</f>
        <v>0</v>
      </c>
      <c r="E1017">
        <f>IFERROR(VLOOKUP(A1017,管理亚马逊库存!A:R,18,0),"")</f>
        <v>0</v>
      </c>
      <c r="F1017">
        <f t="shared" si="31"/>
        <v>0</v>
      </c>
      <c r="G1017">
        <f>IFERROR(VLOOKUP(A1017,预留库存!A:G,7,0),0)</f>
        <v>0</v>
      </c>
      <c r="H1017">
        <f>IFERROR(VLOOKUP(A1017,预留库存!A:H,8,0),0)</f>
        <v>0</v>
      </c>
      <c r="I1017">
        <f>IFERROR(VLOOKUP(A1017,预留库存!A:F,6,0),0)</f>
        <v>0</v>
      </c>
      <c r="J1017">
        <f>IFERROR(VLOOKUP(A1017,库龄!B:K,9,0),0)</f>
        <v>0</v>
      </c>
      <c r="K1017">
        <f>IFERROR(VLOOKUP(A1017,库龄!B:L,10,0),0)</f>
        <v>0</v>
      </c>
      <c r="L1017">
        <f>IFERROR(VLOOKUP(A1017,库龄!B:M,11,0),0)</f>
        <v>0</v>
      </c>
      <c r="M1017">
        <f>IFERROR(VLOOKUP(A1017,库龄!B:N,12,0),0)</f>
        <v>0</v>
      </c>
      <c r="N1017">
        <f t="shared" si="32"/>
        <v>0</v>
      </c>
    </row>
    <row r="1018" spans="1:14">
      <c r="A1018" s="3" t="s">
        <v>3709</v>
      </c>
      <c r="B1018">
        <f>IFERROR(VLOOKUP(A1018,管理亚马逊库存!A:K,11,0),"")</f>
        <v>0</v>
      </c>
      <c r="C1018">
        <f>IFERROR(VLOOKUP(A1018,管理亚马逊库存!A:L,12,0),"")</f>
        <v>0</v>
      </c>
      <c r="D1018">
        <f>IFERROR(VLOOKUP(A1018,管理亚马逊库存!A:Q,17,0),"")</f>
        <v>0</v>
      </c>
      <c r="E1018">
        <f>IFERROR(VLOOKUP(A1018,管理亚马逊库存!A:R,18,0),"")</f>
        <v>0</v>
      </c>
      <c r="F1018">
        <f t="shared" si="31"/>
        <v>0</v>
      </c>
      <c r="G1018">
        <f>IFERROR(VLOOKUP(A1018,预留库存!A:G,7,0),0)</f>
        <v>0</v>
      </c>
      <c r="H1018">
        <f>IFERROR(VLOOKUP(A1018,预留库存!A:H,8,0),0)</f>
        <v>0</v>
      </c>
      <c r="I1018">
        <f>IFERROR(VLOOKUP(A1018,预留库存!A:F,6,0),0)</f>
        <v>0</v>
      </c>
      <c r="J1018">
        <f>IFERROR(VLOOKUP(A1018,库龄!B:K,9,0),0)</f>
        <v>0</v>
      </c>
      <c r="K1018">
        <f>IFERROR(VLOOKUP(A1018,库龄!B:L,10,0),0)</f>
        <v>0</v>
      </c>
      <c r="L1018">
        <f>IFERROR(VLOOKUP(A1018,库龄!B:M,11,0),0)</f>
        <v>0</v>
      </c>
      <c r="M1018">
        <f>IFERROR(VLOOKUP(A1018,库龄!B:N,12,0),0)</f>
        <v>0</v>
      </c>
      <c r="N1018">
        <f t="shared" si="32"/>
        <v>0</v>
      </c>
    </row>
    <row r="1019" spans="1:14">
      <c r="A1019" s="3" t="s">
        <v>3711</v>
      </c>
      <c r="B1019">
        <f>IFERROR(VLOOKUP(A1019,管理亚马逊库存!A:K,11,0),"")</f>
        <v>0</v>
      </c>
      <c r="C1019">
        <f>IFERROR(VLOOKUP(A1019,管理亚马逊库存!A:L,12,0),"")</f>
        <v>0</v>
      </c>
      <c r="D1019">
        <f>IFERROR(VLOOKUP(A1019,管理亚马逊库存!A:Q,17,0),"")</f>
        <v>0</v>
      </c>
      <c r="E1019">
        <f>IFERROR(VLOOKUP(A1019,管理亚马逊库存!A:R,18,0),"")</f>
        <v>0</v>
      </c>
      <c r="F1019">
        <f t="shared" si="31"/>
        <v>0</v>
      </c>
      <c r="G1019">
        <f>IFERROR(VLOOKUP(A1019,预留库存!A:G,7,0),0)</f>
        <v>0</v>
      </c>
      <c r="H1019">
        <f>IFERROR(VLOOKUP(A1019,预留库存!A:H,8,0),0)</f>
        <v>0</v>
      </c>
      <c r="I1019">
        <f>IFERROR(VLOOKUP(A1019,预留库存!A:F,6,0),0)</f>
        <v>0</v>
      </c>
      <c r="J1019">
        <f>IFERROR(VLOOKUP(A1019,库龄!B:K,9,0),0)</f>
        <v>0</v>
      </c>
      <c r="K1019">
        <f>IFERROR(VLOOKUP(A1019,库龄!B:L,10,0),0)</f>
        <v>0</v>
      </c>
      <c r="L1019">
        <f>IFERROR(VLOOKUP(A1019,库龄!B:M,11,0),0)</f>
        <v>0</v>
      </c>
      <c r="M1019">
        <f>IFERROR(VLOOKUP(A1019,库龄!B:N,12,0),0)</f>
        <v>0</v>
      </c>
      <c r="N1019">
        <f t="shared" si="32"/>
        <v>0</v>
      </c>
    </row>
    <row r="1020" spans="1:14">
      <c r="A1020" s="3" t="s">
        <v>3713</v>
      </c>
      <c r="B1020">
        <f>IFERROR(VLOOKUP(A1020,管理亚马逊库存!A:K,11,0),"")</f>
        <v>0</v>
      </c>
      <c r="C1020">
        <f>IFERROR(VLOOKUP(A1020,管理亚马逊库存!A:L,12,0),"")</f>
        <v>0</v>
      </c>
      <c r="D1020">
        <f>IFERROR(VLOOKUP(A1020,管理亚马逊库存!A:Q,17,0),"")</f>
        <v>0</v>
      </c>
      <c r="E1020">
        <f>IFERROR(VLOOKUP(A1020,管理亚马逊库存!A:R,18,0),"")</f>
        <v>0</v>
      </c>
      <c r="F1020">
        <f t="shared" si="31"/>
        <v>0</v>
      </c>
      <c r="G1020">
        <f>IFERROR(VLOOKUP(A1020,预留库存!A:G,7,0),0)</f>
        <v>0</v>
      </c>
      <c r="H1020">
        <f>IFERROR(VLOOKUP(A1020,预留库存!A:H,8,0),0)</f>
        <v>0</v>
      </c>
      <c r="I1020">
        <f>IFERROR(VLOOKUP(A1020,预留库存!A:F,6,0),0)</f>
        <v>0</v>
      </c>
      <c r="J1020">
        <f>IFERROR(VLOOKUP(A1020,库龄!B:K,9,0),0)</f>
        <v>0</v>
      </c>
      <c r="K1020">
        <f>IFERROR(VLOOKUP(A1020,库龄!B:L,10,0),0)</f>
        <v>0</v>
      </c>
      <c r="L1020">
        <f>IFERROR(VLOOKUP(A1020,库龄!B:M,11,0),0)</f>
        <v>0</v>
      </c>
      <c r="M1020">
        <f>IFERROR(VLOOKUP(A1020,库龄!B:N,12,0),0)</f>
        <v>0</v>
      </c>
      <c r="N1020">
        <f t="shared" si="32"/>
        <v>0</v>
      </c>
    </row>
    <row r="1021" spans="1:14">
      <c r="A1021" s="3" t="s">
        <v>3715</v>
      </c>
      <c r="B1021">
        <f>IFERROR(VLOOKUP(A1021,管理亚马逊库存!A:K,11,0),"")</f>
        <v>0</v>
      </c>
      <c r="C1021">
        <f>IFERROR(VLOOKUP(A1021,管理亚马逊库存!A:L,12,0),"")</f>
        <v>0</v>
      </c>
      <c r="D1021">
        <f>IFERROR(VLOOKUP(A1021,管理亚马逊库存!A:Q,17,0),"")</f>
        <v>0</v>
      </c>
      <c r="E1021">
        <f>IFERROR(VLOOKUP(A1021,管理亚马逊库存!A:R,18,0),"")</f>
        <v>0</v>
      </c>
      <c r="F1021">
        <f t="shared" si="31"/>
        <v>0</v>
      </c>
      <c r="G1021">
        <f>IFERROR(VLOOKUP(A1021,预留库存!A:G,7,0),0)</f>
        <v>0</v>
      </c>
      <c r="H1021">
        <f>IFERROR(VLOOKUP(A1021,预留库存!A:H,8,0),0)</f>
        <v>0</v>
      </c>
      <c r="I1021">
        <f>IFERROR(VLOOKUP(A1021,预留库存!A:F,6,0),0)</f>
        <v>0</v>
      </c>
      <c r="J1021">
        <f>IFERROR(VLOOKUP(A1021,库龄!B:K,9,0),0)</f>
        <v>0</v>
      </c>
      <c r="K1021">
        <f>IFERROR(VLOOKUP(A1021,库龄!B:L,10,0),0)</f>
        <v>0</v>
      </c>
      <c r="L1021">
        <f>IFERROR(VLOOKUP(A1021,库龄!B:M,11,0),0)</f>
        <v>0</v>
      </c>
      <c r="M1021">
        <f>IFERROR(VLOOKUP(A1021,库龄!B:N,12,0),0)</f>
        <v>0</v>
      </c>
      <c r="N1021">
        <f t="shared" si="32"/>
        <v>0</v>
      </c>
    </row>
    <row r="1022" spans="1:14">
      <c r="A1022" s="3" t="s">
        <v>3717</v>
      </c>
      <c r="B1022">
        <f>IFERROR(VLOOKUP(A1022,管理亚马逊库存!A:K,11,0),"")</f>
        <v>0</v>
      </c>
      <c r="C1022">
        <f>IFERROR(VLOOKUP(A1022,管理亚马逊库存!A:L,12,0),"")</f>
        <v>0</v>
      </c>
      <c r="D1022">
        <f>IFERROR(VLOOKUP(A1022,管理亚马逊库存!A:Q,17,0),"")</f>
        <v>0</v>
      </c>
      <c r="E1022">
        <f>IFERROR(VLOOKUP(A1022,管理亚马逊库存!A:R,18,0),"")</f>
        <v>0</v>
      </c>
      <c r="F1022">
        <f t="shared" si="31"/>
        <v>0</v>
      </c>
      <c r="G1022">
        <f>IFERROR(VLOOKUP(A1022,预留库存!A:G,7,0),0)</f>
        <v>0</v>
      </c>
      <c r="H1022">
        <f>IFERROR(VLOOKUP(A1022,预留库存!A:H,8,0),0)</f>
        <v>0</v>
      </c>
      <c r="I1022">
        <f>IFERROR(VLOOKUP(A1022,预留库存!A:F,6,0),0)</f>
        <v>0</v>
      </c>
      <c r="J1022">
        <f>IFERROR(VLOOKUP(A1022,库龄!B:K,9,0),0)</f>
        <v>0</v>
      </c>
      <c r="K1022">
        <f>IFERROR(VLOOKUP(A1022,库龄!B:L,10,0),0)</f>
        <v>0</v>
      </c>
      <c r="L1022">
        <f>IFERROR(VLOOKUP(A1022,库龄!B:M,11,0),0)</f>
        <v>0</v>
      </c>
      <c r="M1022">
        <f>IFERROR(VLOOKUP(A1022,库龄!B:N,12,0),0)</f>
        <v>0</v>
      </c>
      <c r="N1022">
        <f t="shared" si="32"/>
        <v>0</v>
      </c>
    </row>
    <row r="1023" spans="1:14">
      <c r="A1023" s="3" t="s">
        <v>3719</v>
      </c>
      <c r="B1023">
        <f>IFERROR(VLOOKUP(A1023,管理亚马逊库存!A:K,11,0),"")</f>
        <v>0</v>
      </c>
      <c r="C1023">
        <f>IFERROR(VLOOKUP(A1023,管理亚马逊库存!A:L,12,0),"")</f>
        <v>0</v>
      </c>
      <c r="D1023">
        <f>IFERROR(VLOOKUP(A1023,管理亚马逊库存!A:Q,17,0),"")</f>
        <v>0</v>
      </c>
      <c r="E1023">
        <f>IFERROR(VLOOKUP(A1023,管理亚马逊库存!A:R,18,0),"")</f>
        <v>0</v>
      </c>
      <c r="F1023">
        <f t="shared" si="31"/>
        <v>0</v>
      </c>
      <c r="G1023">
        <f>IFERROR(VLOOKUP(A1023,预留库存!A:G,7,0),0)</f>
        <v>0</v>
      </c>
      <c r="H1023">
        <f>IFERROR(VLOOKUP(A1023,预留库存!A:H,8,0),0)</f>
        <v>0</v>
      </c>
      <c r="I1023">
        <f>IFERROR(VLOOKUP(A1023,预留库存!A:F,6,0),0)</f>
        <v>0</v>
      </c>
      <c r="J1023">
        <f>IFERROR(VLOOKUP(A1023,库龄!B:K,9,0),0)</f>
        <v>0</v>
      </c>
      <c r="K1023">
        <f>IFERROR(VLOOKUP(A1023,库龄!B:L,10,0),0)</f>
        <v>0</v>
      </c>
      <c r="L1023">
        <f>IFERROR(VLOOKUP(A1023,库龄!B:M,11,0),0)</f>
        <v>0</v>
      </c>
      <c r="M1023">
        <f>IFERROR(VLOOKUP(A1023,库龄!B:N,12,0),0)</f>
        <v>0</v>
      </c>
      <c r="N1023">
        <f t="shared" si="32"/>
        <v>0</v>
      </c>
    </row>
    <row r="1024" spans="1:14">
      <c r="A1024" s="3" t="s">
        <v>3721</v>
      </c>
      <c r="B1024">
        <f>IFERROR(VLOOKUP(A1024,管理亚马逊库存!A:K,11,0),"")</f>
        <v>0</v>
      </c>
      <c r="C1024">
        <f>IFERROR(VLOOKUP(A1024,管理亚马逊库存!A:L,12,0),"")</f>
        <v>0</v>
      </c>
      <c r="D1024">
        <f>IFERROR(VLOOKUP(A1024,管理亚马逊库存!A:Q,17,0),"")</f>
        <v>0</v>
      </c>
      <c r="E1024">
        <f>IFERROR(VLOOKUP(A1024,管理亚马逊库存!A:R,18,0),"")</f>
        <v>0</v>
      </c>
      <c r="F1024">
        <f t="shared" si="31"/>
        <v>0</v>
      </c>
      <c r="G1024">
        <f>IFERROR(VLOOKUP(A1024,预留库存!A:G,7,0),0)</f>
        <v>0</v>
      </c>
      <c r="H1024">
        <f>IFERROR(VLOOKUP(A1024,预留库存!A:H,8,0),0)</f>
        <v>0</v>
      </c>
      <c r="I1024">
        <f>IFERROR(VLOOKUP(A1024,预留库存!A:F,6,0),0)</f>
        <v>0</v>
      </c>
      <c r="J1024">
        <f>IFERROR(VLOOKUP(A1024,库龄!B:K,9,0),0)</f>
        <v>0</v>
      </c>
      <c r="K1024">
        <f>IFERROR(VLOOKUP(A1024,库龄!B:L,10,0),0)</f>
        <v>0</v>
      </c>
      <c r="L1024">
        <f>IFERROR(VLOOKUP(A1024,库龄!B:M,11,0),0)</f>
        <v>0</v>
      </c>
      <c r="M1024">
        <f>IFERROR(VLOOKUP(A1024,库龄!B:N,12,0),0)</f>
        <v>0</v>
      </c>
      <c r="N1024">
        <f t="shared" si="32"/>
        <v>0</v>
      </c>
    </row>
    <row r="1025" spans="1:14">
      <c r="A1025" s="3" t="s">
        <v>3723</v>
      </c>
      <c r="B1025">
        <f>IFERROR(VLOOKUP(A1025,管理亚马逊库存!A:K,11,0),"")</f>
        <v>0</v>
      </c>
      <c r="C1025">
        <f>IFERROR(VLOOKUP(A1025,管理亚马逊库存!A:L,12,0),"")</f>
        <v>0</v>
      </c>
      <c r="D1025">
        <f>IFERROR(VLOOKUP(A1025,管理亚马逊库存!A:Q,17,0),"")</f>
        <v>0</v>
      </c>
      <c r="E1025">
        <f>IFERROR(VLOOKUP(A1025,管理亚马逊库存!A:R,18,0),"")</f>
        <v>0</v>
      </c>
      <c r="F1025">
        <f t="shared" si="31"/>
        <v>0</v>
      </c>
      <c r="G1025">
        <f>IFERROR(VLOOKUP(A1025,预留库存!A:G,7,0),0)</f>
        <v>0</v>
      </c>
      <c r="H1025">
        <f>IFERROR(VLOOKUP(A1025,预留库存!A:H,8,0),0)</f>
        <v>0</v>
      </c>
      <c r="I1025">
        <f>IFERROR(VLOOKUP(A1025,预留库存!A:F,6,0),0)</f>
        <v>0</v>
      </c>
      <c r="J1025">
        <f>IFERROR(VLOOKUP(A1025,库龄!B:K,9,0),0)</f>
        <v>0</v>
      </c>
      <c r="K1025">
        <f>IFERROR(VLOOKUP(A1025,库龄!B:L,10,0),0)</f>
        <v>0</v>
      </c>
      <c r="L1025">
        <f>IFERROR(VLOOKUP(A1025,库龄!B:M,11,0),0)</f>
        <v>0</v>
      </c>
      <c r="M1025">
        <f>IFERROR(VLOOKUP(A1025,库龄!B:N,12,0),0)</f>
        <v>0</v>
      </c>
      <c r="N1025">
        <f t="shared" si="32"/>
        <v>0</v>
      </c>
    </row>
    <row r="1026" spans="1:14">
      <c r="A1026" s="3" t="s">
        <v>3725</v>
      </c>
      <c r="B1026">
        <f>IFERROR(VLOOKUP(A1026,管理亚马逊库存!A:K,11,0),"")</f>
        <v>0</v>
      </c>
      <c r="C1026">
        <f>IFERROR(VLOOKUP(A1026,管理亚马逊库存!A:L,12,0),"")</f>
        <v>0</v>
      </c>
      <c r="D1026">
        <f>IFERROR(VLOOKUP(A1026,管理亚马逊库存!A:Q,17,0),"")</f>
        <v>0</v>
      </c>
      <c r="E1026">
        <f>IFERROR(VLOOKUP(A1026,管理亚马逊库存!A:R,18,0),"")</f>
        <v>0</v>
      </c>
      <c r="F1026">
        <f t="shared" si="31"/>
        <v>0</v>
      </c>
      <c r="G1026">
        <f>IFERROR(VLOOKUP(A1026,预留库存!A:G,7,0),0)</f>
        <v>0</v>
      </c>
      <c r="H1026">
        <f>IFERROR(VLOOKUP(A1026,预留库存!A:H,8,0),0)</f>
        <v>0</v>
      </c>
      <c r="I1026">
        <f>IFERROR(VLOOKUP(A1026,预留库存!A:F,6,0),0)</f>
        <v>0</v>
      </c>
      <c r="J1026">
        <f>IFERROR(VLOOKUP(A1026,库龄!B:K,9,0),0)</f>
        <v>0</v>
      </c>
      <c r="K1026">
        <f>IFERROR(VLOOKUP(A1026,库龄!B:L,10,0),0)</f>
        <v>0</v>
      </c>
      <c r="L1026">
        <f>IFERROR(VLOOKUP(A1026,库龄!B:M,11,0),0)</f>
        <v>0</v>
      </c>
      <c r="M1026">
        <f>IFERROR(VLOOKUP(A1026,库龄!B:N,12,0),0)</f>
        <v>0</v>
      </c>
      <c r="N1026">
        <f t="shared" si="32"/>
        <v>0</v>
      </c>
    </row>
    <row r="1027" spans="1:14">
      <c r="A1027" s="3" t="s">
        <v>3727</v>
      </c>
      <c r="B1027">
        <f>IFERROR(VLOOKUP(A1027,管理亚马逊库存!A:K,11,0),"")</f>
        <v>0</v>
      </c>
      <c r="C1027">
        <f>IFERROR(VLOOKUP(A1027,管理亚马逊库存!A:L,12,0),"")</f>
        <v>0</v>
      </c>
      <c r="D1027">
        <f>IFERROR(VLOOKUP(A1027,管理亚马逊库存!A:Q,17,0),"")</f>
        <v>0</v>
      </c>
      <c r="E1027">
        <f>IFERROR(VLOOKUP(A1027,管理亚马逊库存!A:R,18,0),"")</f>
        <v>0</v>
      </c>
      <c r="F1027">
        <f t="shared" ref="F1027:F1089" si="33">SUM(D1027:E1027)</f>
        <v>0</v>
      </c>
      <c r="G1027">
        <f>IFERROR(VLOOKUP(A1027,预留库存!A:G,7,0),0)</f>
        <v>0</v>
      </c>
      <c r="H1027">
        <f>IFERROR(VLOOKUP(A1027,预留库存!A:H,8,0),0)</f>
        <v>0</v>
      </c>
      <c r="I1027">
        <f>IFERROR(VLOOKUP(A1027,预留库存!A:F,6,0),0)</f>
        <v>0</v>
      </c>
      <c r="J1027">
        <f>IFERROR(VLOOKUP(A1027,库龄!B:K,9,0),0)</f>
        <v>0</v>
      </c>
      <c r="K1027">
        <f>IFERROR(VLOOKUP(A1027,库龄!B:L,10,0),0)</f>
        <v>0</v>
      </c>
      <c r="L1027">
        <f>IFERROR(VLOOKUP(A1027,库龄!B:M,11,0),0)</f>
        <v>0</v>
      </c>
      <c r="M1027">
        <f>IFERROR(VLOOKUP(A1027,库龄!B:N,12,0),0)</f>
        <v>0</v>
      </c>
      <c r="N1027">
        <f t="shared" ref="N1027:N1089" si="34">SUM(J1027:M1027)</f>
        <v>0</v>
      </c>
    </row>
    <row r="1028" spans="1:14">
      <c r="A1028" s="3" t="s">
        <v>3731</v>
      </c>
      <c r="B1028">
        <f>IFERROR(VLOOKUP(A1028,管理亚马逊库存!A:K,11,0),"")</f>
        <v>0</v>
      </c>
      <c r="C1028">
        <f>IFERROR(VLOOKUP(A1028,管理亚马逊库存!A:L,12,0),"")</f>
        <v>0</v>
      </c>
      <c r="D1028">
        <f>IFERROR(VLOOKUP(A1028,管理亚马逊库存!A:Q,17,0),"")</f>
        <v>0</v>
      </c>
      <c r="E1028">
        <f>IFERROR(VLOOKUP(A1028,管理亚马逊库存!A:R,18,0),"")</f>
        <v>0</v>
      </c>
      <c r="F1028">
        <f t="shared" si="33"/>
        <v>0</v>
      </c>
      <c r="G1028">
        <f>IFERROR(VLOOKUP(A1028,预留库存!A:G,7,0),0)</f>
        <v>0</v>
      </c>
      <c r="H1028">
        <f>IFERROR(VLOOKUP(A1028,预留库存!A:H,8,0),0)</f>
        <v>0</v>
      </c>
      <c r="I1028">
        <f>IFERROR(VLOOKUP(A1028,预留库存!A:F,6,0),0)</f>
        <v>0</v>
      </c>
      <c r="J1028">
        <f>IFERROR(VLOOKUP(A1028,库龄!B:K,9,0),0)</f>
        <v>0</v>
      </c>
      <c r="K1028">
        <f>IFERROR(VLOOKUP(A1028,库龄!B:L,10,0),0)</f>
        <v>0</v>
      </c>
      <c r="L1028">
        <f>IFERROR(VLOOKUP(A1028,库龄!B:M,11,0),0)</f>
        <v>0</v>
      </c>
      <c r="M1028">
        <f>IFERROR(VLOOKUP(A1028,库龄!B:N,12,0),0)</f>
        <v>0</v>
      </c>
      <c r="N1028">
        <f t="shared" si="34"/>
        <v>0</v>
      </c>
    </row>
    <row r="1029" spans="1:14">
      <c r="A1029" s="3" t="s">
        <v>3735</v>
      </c>
      <c r="B1029">
        <f>IFERROR(VLOOKUP(A1029,管理亚马逊库存!A:K,11,0),"")</f>
        <v>0</v>
      </c>
      <c r="C1029">
        <f>IFERROR(VLOOKUP(A1029,管理亚马逊库存!A:L,12,0),"")</f>
        <v>0</v>
      </c>
      <c r="D1029">
        <f>IFERROR(VLOOKUP(A1029,管理亚马逊库存!A:Q,17,0),"")</f>
        <v>0</v>
      </c>
      <c r="E1029">
        <f>IFERROR(VLOOKUP(A1029,管理亚马逊库存!A:R,18,0),"")</f>
        <v>0</v>
      </c>
      <c r="F1029">
        <f t="shared" si="33"/>
        <v>0</v>
      </c>
      <c r="G1029">
        <f>IFERROR(VLOOKUP(A1029,预留库存!A:G,7,0),0)</f>
        <v>0</v>
      </c>
      <c r="H1029">
        <f>IFERROR(VLOOKUP(A1029,预留库存!A:H,8,0),0)</f>
        <v>0</v>
      </c>
      <c r="I1029">
        <f>IFERROR(VLOOKUP(A1029,预留库存!A:F,6,0),0)</f>
        <v>0</v>
      </c>
      <c r="J1029">
        <f>IFERROR(VLOOKUP(A1029,库龄!B:K,9,0),0)</f>
        <v>0</v>
      </c>
      <c r="K1029">
        <f>IFERROR(VLOOKUP(A1029,库龄!B:L,10,0),0)</f>
        <v>0</v>
      </c>
      <c r="L1029">
        <f>IFERROR(VLOOKUP(A1029,库龄!B:M,11,0),0)</f>
        <v>0</v>
      </c>
      <c r="M1029">
        <f>IFERROR(VLOOKUP(A1029,库龄!B:N,12,0),0)</f>
        <v>0</v>
      </c>
      <c r="N1029">
        <f t="shared" si="34"/>
        <v>0</v>
      </c>
    </row>
    <row r="1030" spans="1:14">
      <c r="A1030" s="3" t="s">
        <v>3740</v>
      </c>
      <c r="B1030">
        <f>IFERROR(VLOOKUP(A1030,管理亚马逊库存!A:K,11,0),"")</f>
        <v>0</v>
      </c>
      <c r="C1030">
        <f>IFERROR(VLOOKUP(A1030,管理亚马逊库存!A:L,12,0),"")</f>
        <v>0</v>
      </c>
      <c r="D1030">
        <f>IFERROR(VLOOKUP(A1030,管理亚马逊库存!A:Q,17,0),"")</f>
        <v>0</v>
      </c>
      <c r="E1030">
        <f>IFERROR(VLOOKUP(A1030,管理亚马逊库存!A:R,18,0),"")</f>
        <v>25</v>
      </c>
      <c r="F1030">
        <f t="shared" si="33"/>
        <v>25</v>
      </c>
      <c r="G1030">
        <f>IFERROR(VLOOKUP(A1030,预留库存!A:G,7,0),0)</f>
        <v>0</v>
      </c>
      <c r="H1030">
        <f>IFERROR(VLOOKUP(A1030,预留库存!A:H,8,0),0)</f>
        <v>0</v>
      </c>
      <c r="I1030">
        <f>IFERROR(VLOOKUP(A1030,预留库存!A:F,6,0),0)</f>
        <v>0</v>
      </c>
      <c r="J1030">
        <f>IFERROR(VLOOKUP(A1030,库龄!B:K,9,0),0)</f>
        <v>0</v>
      </c>
      <c r="K1030">
        <f>IFERROR(VLOOKUP(A1030,库龄!B:L,10,0),0)</f>
        <v>0</v>
      </c>
      <c r="L1030">
        <f>IFERROR(VLOOKUP(A1030,库龄!B:M,11,0),0)</f>
        <v>0</v>
      </c>
      <c r="M1030">
        <f>IFERROR(VLOOKUP(A1030,库龄!B:N,12,0),0)</f>
        <v>0</v>
      </c>
      <c r="N1030">
        <f t="shared" si="34"/>
        <v>0</v>
      </c>
    </row>
    <row r="1031" spans="1:14">
      <c r="A1031" s="3" t="s">
        <v>3744</v>
      </c>
      <c r="B1031">
        <f>IFERROR(VLOOKUP(A1031,管理亚马逊库存!A:K,11,0),"")</f>
        <v>0</v>
      </c>
      <c r="C1031">
        <f>IFERROR(VLOOKUP(A1031,管理亚马逊库存!A:L,12,0),"")</f>
        <v>0</v>
      </c>
      <c r="D1031">
        <f>IFERROR(VLOOKUP(A1031,管理亚马逊库存!A:Q,17,0),"")</f>
        <v>0</v>
      </c>
      <c r="E1031">
        <f>IFERROR(VLOOKUP(A1031,管理亚马逊库存!A:R,18,0),"")</f>
        <v>0</v>
      </c>
      <c r="F1031">
        <f t="shared" si="33"/>
        <v>0</v>
      </c>
      <c r="G1031">
        <f>IFERROR(VLOOKUP(A1031,预留库存!A:G,7,0),0)</f>
        <v>0</v>
      </c>
      <c r="H1031">
        <f>IFERROR(VLOOKUP(A1031,预留库存!A:H,8,0),0)</f>
        <v>0</v>
      </c>
      <c r="I1031">
        <f>IFERROR(VLOOKUP(A1031,预留库存!A:F,6,0),0)</f>
        <v>0</v>
      </c>
      <c r="J1031">
        <f>IFERROR(VLOOKUP(A1031,库龄!B:K,9,0),0)</f>
        <v>0</v>
      </c>
      <c r="K1031">
        <f>IFERROR(VLOOKUP(A1031,库龄!B:L,10,0),0)</f>
        <v>0</v>
      </c>
      <c r="L1031">
        <f>IFERROR(VLOOKUP(A1031,库龄!B:M,11,0),0)</f>
        <v>0</v>
      </c>
      <c r="M1031">
        <f>IFERROR(VLOOKUP(A1031,库龄!B:N,12,0),0)</f>
        <v>0</v>
      </c>
      <c r="N1031">
        <f t="shared" si="34"/>
        <v>0</v>
      </c>
    </row>
    <row r="1032" spans="1:14">
      <c r="A1032" s="3" t="s">
        <v>3748</v>
      </c>
      <c r="B1032">
        <f>IFERROR(VLOOKUP(A1032,管理亚马逊库存!A:K,11,0),"")</f>
        <v>0</v>
      </c>
      <c r="C1032">
        <f>IFERROR(VLOOKUP(A1032,管理亚马逊库存!A:L,12,0),"")</f>
        <v>0</v>
      </c>
      <c r="D1032">
        <f>IFERROR(VLOOKUP(A1032,管理亚马逊库存!A:Q,17,0),"")</f>
        <v>0</v>
      </c>
      <c r="E1032">
        <f>IFERROR(VLOOKUP(A1032,管理亚马逊库存!A:R,18,0),"")</f>
        <v>0</v>
      </c>
      <c r="F1032">
        <f t="shared" si="33"/>
        <v>0</v>
      </c>
      <c r="G1032">
        <f>IFERROR(VLOOKUP(A1032,预留库存!A:G,7,0),0)</f>
        <v>0</v>
      </c>
      <c r="H1032">
        <f>IFERROR(VLOOKUP(A1032,预留库存!A:H,8,0),0)</f>
        <v>0</v>
      </c>
      <c r="I1032">
        <f>IFERROR(VLOOKUP(A1032,预留库存!A:F,6,0),0)</f>
        <v>0</v>
      </c>
      <c r="J1032">
        <f>IFERROR(VLOOKUP(A1032,库龄!B:K,9,0),0)</f>
        <v>0</v>
      </c>
      <c r="K1032">
        <f>IFERROR(VLOOKUP(A1032,库龄!B:L,10,0),0)</f>
        <v>0</v>
      </c>
      <c r="L1032">
        <f>IFERROR(VLOOKUP(A1032,库龄!B:M,11,0),0)</f>
        <v>0</v>
      </c>
      <c r="M1032">
        <f>IFERROR(VLOOKUP(A1032,库龄!B:N,12,0),0)</f>
        <v>0</v>
      </c>
      <c r="N1032">
        <f t="shared" si="34"/>
        <v>0</v>
      </c>
    </row>
    <row r="1033" spans="1:14">
      <c r="A1033" s="3" t="s">
        <v>3752</v>
      </c>
      <c r="B1033">
        <f>IFERROR(VLOOKUP(A1033,管理亚马逊库存!A:K,11,0),"")</f>
        <v>0</v>
      </c>
      <c r="C1033">
        <f>IFERROR(VLOOKUP(A1033,管理亚马逊库存!A:L,12,0),"")</f>
        <v>0</v>
      </c>
      <c r="D1033">
        <f>IFERROR(VLOOKUP(A1033,管理亚马逊库存!A:Q,17,0),"")</f>
        <v>0</v>
      </c>
      <c r="E1033">
        <f>IFERROR(VLOOKUP(A1033,管理亚马逊库存!A:R,18,0),"")</f>
        <v>0</v>
      </c>
      <c r="F1033">
        <f t="shared" si="33"/>
        <v>0</v>
      </c>
      <c r="G1033">
        <f>IFERROR(VLOOKUP(A1033,预留库存!A:G,7,0),0)</f>
        <v>0</v>
      </c>
      <c r="H1033">
        <f>IFERROR(VLOOKUP(A1033,预留库存!A:H,8,0),0)</f>
        <v>0</v>
      </c>
      <c r="I1033">
        <f>IFERROR(VLOOKUP(A1033,预留库存!A:F,6,0),0)</f>
        <v>0</v>
      </c>
      <c r="J1033">
        <f>IFERROR(VLOOKUP(A1033,库龄!B:K,9,0),0)</f>
        <v>0</v>
      </c>
      <c r="K1033">
        <f>IFERROR(VLOOKUP(A1033,库龄!B:L,10,0),0)</f>
        <v>0</v>
      </c>
      <c r="L1033">
        <f>IFERROR(VLOOKUP(A1033,库龄!B:M,11,0),0)</f>
        <v>0</v>
      </c>
      <c r="M1033">
        <f>IFERROR(VLOOKUP(A1033,库龄!B:N,12,0),0)</f>
        <v>0</v>
      </c>
      <c r="N1033">
        <f t="shared" si="34"/>
        <v>0</v>
      </c>
    </row>
    <row r="1034" spans="1:14">
      <c r="A1034" s="3" t="s">
        <v>3756</v>
      </c>
      <c r="B1034">
        <f>IFERROR(VLOOKUP(A1034,管理亚马逊库存!A:K,11,0),"")</f>
        <v>0</v>
      </c>
      <c r="C1034">
        <f>IFERROR(VLOOKUP(A1034,管理亚马逊库存!A:L,12,0),"")</f>
        <v>0</v>
      </c>
      <c r="D1034">
        <f>IFERROR(VLOOKUP(A1034,管理亚马逊库存!A:Q,17,0),"")</f>
        <v>0</v>
      </c>
      <c r="E1034">
        <f>IFERROR(VLOOKUP(A1034,管理亚马逊库存!A:R,18,0),"")</f>
        <v>0</v>
      </c>
      <c r="F1034">
        <f t="shared" si="33"/>
        <v>0</v>
      </c>
      <c r="G1034">
        <f>IFERROR(VLOOKUP(A1034,预留库存!A:G,7,0),0)</f>
        <v>0</v>
      </c>
      <c r="H1034">
        <f>IFERROR(VLOOKUP(A1034,预留库存!A:H,8,0),0)</f>
        <v>0</v>
      </c>
      <c r="I1034">
        <f>IFERROR(VLOOKUP(A1034,预留库存!A:F,6,0),0)</f>
        <v>0</v>
      </c>
      <c r="J1034">
        <f>IFERROR(VLOOKUP(A1034,库龄!B:K,9,0),0)</f>
        <v>0</v>
      </c>
      <c r="K1034">
        <f>IFERROR(VLOOKUP(A1034,库龄!B:L,10,0),0)</f>
        <v>0</v>
      </c>
      <c r="L1034">
        <f>IFERROR(VLOOKUP(A1034,库龄!B:M,11,0),0)</f>
        <v>0</v>
      </c>
      <c r="M1034">
        <f>IFERROR(VLOOKUP(A1034,库龄!B:N,12,0),0)</f>
        <v>0</v>
      </c>
      <c r="N1034">
        <f t="shared" si="34"/>
        <v>0</v>
      </c>
    </row>
    <row r="1035" spans="1:14">
      <c r="A1035" s="3" t="s">
        <v>3760</v>
      </c>
      <c r="B1035">
        <f>IFERROR(VLOOKUP(A1035,管理亚马逊库存!A:K,11,0),"")</f>
        <v>0</v>
      </c>
      <c r="C1035">
        <f>IFERROR(VLOOKUP(A1035,管理亚马逊库存!A:L,12,0),"")</f>
        <v>0</v>
      </c>
      <c r="D1035">
        <f>IFERROR(VLOOKUP(A1035,管理亚马逊库存!A:Q,17,0),"")</f>
        <v>0</v>
      </c>
      <c r="E1035">
        <f>IFERROR(VLOOKUP(A1035,管理亚马逊库存!A:R,18,0),"")</f>
        <v>0</v>
      </c>
      <c r="F1035">
        <f t="shared" si="33"/>
        <v>0</v>
      </c>
      <c r="G1035">
        <f>IFERROR(VLOOKUP(A1035,预留库存!A:G,7,0),0)</f>
        <v>0</v>
      </c>
      <c r="H1035">
        <f>IFERROR(VLOOKUP(A1035,预留库存!A:H,8,0),0)</f>
        <v>0</v>
      </c>
      <c r="I1035">
        <f>IFERROR(VLOOKUP(A1035,预留库存!A:F,6,0),0)</f>
        <v>0</v>
      </c>
      <c r="J1035">
        <f>IFERROR(VLOOKUP(A1035,库龄!B:K,9,0),0)</f>
        <v>0</v>
      </c>
      <c r="K1035">
        <f>IFERROR(VLOOKUP(A1035,库龄!B:L,10,0),0)</f>
        <v>0</v>
      </c>
      <c r="L1035">
        <f>IFERROR(VLOOKUP(A1035,库龄!B:M,11,0),0)</f>
        <v>0</v>
      </c>
      <c r="M1035">
        <f>IFERROR(VLOOKUP(A1035,库龄!B:N,12,0),0)</f>
        <v>0</v>
      </c>
      <c r="N1035">
        <f t="shared" si="34"/>
        <v>0</v>
      </c>
    </row>
    <row r="1036" spans="1:14">
      <c r="A1036" s="3" t="s">
        <v>3764</v>
      </c>
      <c r="B1036">
        <f>IFERROR(VLOOKUP(A1036,管理亚马逊库存!A:K,11,0),"")</f>
        <v>0</v>
      </c>
      <c r="C1036">
        <f>IFERROR(VLOOKUP(A1036,管理亚马逊库存!A:L,12,0),"")</f>
        <v>0</v>
      </c>
      <c r="D1036">
        <f>IFERROR(VLOOKUP(A1036,管理亚马逊库存!A:Q,17,0),"")</f>
        <v>0</v>
      </c>
      <c r="E1036">
        <f>IFERROR(VLOOKUP(A1036,管理亚马逊库存!A:R,18,0),"")</f>
        <v>0</v>
      </c>
      <c r="F1036">
        <f t="shared" si="33"/>
        <v>0</v>
      </c>
      <c r="G1036">
        <f>IFERROR(VLOOKUP(A1036,预留库存!A:G,7,0),0)</f>
        <v>0</v>
      </c>
      <c r="H1036">
        <f>IFERROR(VLOOKUP(A1036,预留库存!A:H,8,0),0)</f>
        <v>0</v>
      </c>
      <c r="I1036">
        <f>IFERROR(VLOOKUP(A1036,预留库存!A:F,6,0),0)</f>
        <v>0</v>
      </c>
      <c r="J1036">
        <f>IFERROR(VLOOKUP(A1036,库龄!B:K,9,0),0)</f>
        <v>0</v>
      </c>
      <c r="K1036">
        <f>IFERROR(VLOOKUP(A1036,库龄!B:L,10,0),0)</f>
        <v>0</v>
      </c>
      <c r="L1036">
        <f>IFERROR(VLOOKUP(A1036,库龄!B:M,11,0),0)</f>
        <v>0</v>
      </c>
      <c r="M1036">
        <f>IFERROR(VLOOKUP(A1036,库龄!B:N,12,0),0)</f>
        <v>0</v>
      </c>
      <c r="N1036">
        <f t="shared" si="34"/>
        <v>0</v>
      </c>
    </row>
    <row r="1037" spans="1:14">
      <c r="A1037" s="3" t="s">
        <v>3768</v>
      </c>
      <c r="B1037">
        <f>IFERROR(VLOOKUP(A1037,管理亚马逊库存!A:K,11,0),"")</f>
        <v>0</v>
      </c>
      <c r="C1037">
        <f>IFERROR(VLOOKUP(A1037,管理亚马逊库存!A:L,12,0),"")</f>
        <v>0</v>
      </c>
      <c r="D1037">
        <f>IFERROR(VLOOKUP(A1037,管理亚马逊库存!A:Q,17,0),"")</f>
        <v>0</v>
      </c>
      <c r="E1037">
        <f>IFERROR(VLOOKUP(A1037,管理亚马逊库存!A:R,18,0),"")</f>
        <v>0</v>
      </c>
      <c r="F1037">
        <f t="shared" si="33"/>
        <v>0</v>
      </c>
      <c r="G1037">
        <f>IFERROR(VLOOKUP(A1037,预留库存!A:G,7,0),0)</f>
        <v>0</v>
      </c>
      <c r="H1037">
        <f>IFERROR(VLOOKUP(A1037,预留库存!A:H,8,0),0)</f>
        <v>0</v>
      </c>
      <c r="I1037">
        <f>IFERROR(VLOOKUP(A1037,预留库存!A:F,6,0),0)</f>
        <v>0</v>
      </c>
      <c r="J1037">
        <f>IFERROR(VLOOKUP(A1037,库龄!B:K,9,0),0)</f>
        <v>0</v>
      </c>
      <c r="K1037">
        <f>IFERROR(VLOOKUP(A1037,库龄!B:L,10,0),0)</f>
        <v>0</v>
      </c>
      <c r="L1037">
        <f>IFERROR(VLOOKUP(A1037,库龄!B:M,11,0),0)</f>
        <v>0</v>
      </c>
      <c r="M1037">
        <f>IFERROR(VLOOKUP(A1037,库龄!B:N,12,0),0)</f>
        <v>0</v>
      </c>
      <c r="N1037">
        <f t="shared" si="34"/>
        <v>0</v>
      </c>
    </row>
    <row r="1038" spans="1:14">
      <c r="A1038" s="3" t="s">
        <v>3772</v>
      </c>
      <c r="B1038">
        <f>IFERROR(VLOOKUP(A1038,管理亚马逊库存!A:K,11,0),"")</f>
        <v>0</v>
      </c>
      <c r="C1038">
        <f>IFERROR(VLOOKUP(A1038,管理亚马逊库存!A:L,12,0),"")</f>
        <v>0</v>
      </c>
      <c r="D1038">
        <f>IFERROR(VLOOKUP(A1038,管理亚马逊库存!A:Q,17,0),"")</f>
        <v>35</v>
      </c>
      <c r="E1038">
        <f>IFERROR(VLOOKUP(A1038,管理亚马逊库存!A:R,18,0),"")</f>
        <v>0</v>
      </c>
      <c r="F1038">
        <f t="shared" si="33"/>
        <v>35</v>
      </c>
      <c r="G1038">
        <f>IFERROR(VLOOKUP(A1038,预留库存!A:G,7,0),0)</f>
        <v>0</v>
      </c>
      <c r="H1038">
        <f>IFERROR(VLOOKUP(A1038,预留库存!A:H,8,0),0)</f>
        <v>0</v>
      </c>
      <c r="I1038">
        <f>IFERROR(VLOOKUP(A1038,预留库存!A:F,6,0),0)</f>
        <v>0</v>
      </c>
      <c r="J1038">
        <f>IFERROR(VLOOKUP(A1038,库龄!B:K,9,0),0)</f>
        <v>0</v>
      </c>
      <c r="K1038">
        <f>IFERROR(VLOOKUP(A1038,库龄!B:L,10,0),0)</f>
        <v>0</v>
      </c>
      <c r="L1038">
        <f>IFERROR(VLOOKUP(A1038,库龄!B:M,11,0),0)</f>
        <v>0</v>
      </c>
      <c r="M1038">
        <f>IFERROR(VLOOKUP(A1038,库龄!B:N,12,0),0)</f>
        <v>0</v>
      </c>
      <c r="N1038">
        <f t="shared" si="34"/>
        <v>0</v>
      </c>
    </row>
    <row r="1039" spans="1:14">
      <c r="A1039" s="3" t="s">
        <v>3776</v>
      </c>
      <c r="B1039">
        <f>IFERROR(VLOOKUP(A1039,管理亚马逊库存!A:K,11,0),"")</f>
        <v>0</v>
      </c>
      <c r="C1039">
        <f>IFERROR(VLOOKUP(A1039,管理亚马逊库存!A:L,12,0),"")</f>
        <v>0</v>
      </c>
      <c r="D1039">
        <f>IFERROR(VLOOKUP(A1039,管理亚马逊库存!A:Q,17,0),"")</f>
        <v>35</v>
      </c>
      <c r="E1039">
        <f>IFERROR(VLOOKUP(A1039,管理亚马逊库存!A:R,18,0),"")</f>
        <v>0</v>
      </c>
      <c r="F1039">
        <f t="shared" si="33"/>
        <v>35</v>
      </c>
      <c r="G1039">
        <f>IFERROR(VLOOKUP(A1039,预留库存!A:G,7,0),0)</f>
        <v>0</v>
      </c>
      <c r="H1039">
        <f>IFERROR(VLOOKUP(A1039,预留库存!A:H,8,0),0)</f>
        <v>0</v>
      </c>
      <c r="I1039">
        <f>IFERROR(VLOOKUP(A1039,预留库存!A:F,6,0),0)</f>
        <v>0</v>
      </c>
      <c r="J1039">
        <f>IFERROR(VLOOKUP(A1039,库龄!B:K,9,0),0)</f>
        <v>0</v>
      </c>
      <c r="K1039">
        <f>IFERROR(VLOOKUP(A1039,库龄!B:L,10,0),0)</f>
        <v>0</v>
      </c>
      <c r="L1039">
        <f>IFERROR(VLOOKUP(A1039,库龄!B:M,11,0),0)</f>
        <v>0</v>
      </c>
      <c r="M1039">
        <f>IFERROR(VLOOKUP(A1039,库龄!B:N,12,0),0)</f>
        <v>0</v>
      </c>
      <c r="N1039">
        <f t="shared" si="34"/>
        <v>0</v>
      </c>
    </row>
    <row r="1040" spans="1:14">
      <c r="A1040" s="3" t="s">
        <v>3779</v>
      </c>
      <c r="B1040">
        <f>IFERROR(VLOOKUP(A1040,管理亚马逊库存!A:K,11,0),"")</f>
        <v>0</v>
      </c>
      <c r="C1040">
        <f>IFERROR(VLOOKUP(A1040,管理亚马逊库存!A:L,12,0),"")</f>
        <v>0</v>
      </c>
      <c r="D1040">
        <f>IFERROR(VLOOKUP(A1040,管理亚马逊库存!A:Q,17,0),"")</f>
        <v>35</v>
      </c>
      <c r="E1040">
        <f>IFERROR(VLOOKUP(A1040,管理亚马逊库存!A:R,18,0),"")</f>
        <v>0</v>
      </c>
      <c r="F1040">
        <f t="shared" si="33"/>
        <v>35</v>
      </c>
      <c r="G1040">
        <f>IFERROR(VLOOKUP(A1040,预留库存!A:G,7,0),0)</f>
        <v>0</v>
      </c>
      <c r="H1040">
        <f>IFERROR(VLOOKUP(A1040,预留库存!A:H,8,0),0)</f>
        <v>0</v>
      </c>
      <c r="I1040">
        <f>IFERROR(VLOOKUP(A1040,预留库存!A:F,6,0),0)</f>
        <v>0</v>
      </c>
      <c r="J1040">
        <f>IFERROR(VLOOKUP(A1040,库龄!B:K,9,0),0)</f>
        <v>0</v>
      </c>
      <c r="K1040">
        <f>IFERROR(VLOOKUP(A1040,库龄!B:L,10,0),0)</f>
        <v>0</v>
      </c>
      <c r="L1040">
        <f>IFERROR(VLOOKUP(A1040,库龄!B:M,11,0),0)</f>
        <v>0</v>
      </c>
      <c r="M1040">
        <f>IFERROR(VLOOKUP(A1040,库龄!B:N,12,0),0)</f>
        <v>0</v>
      </c>
      <c r="N1040">
        <f t="shared" si="34"/>
        <v>0</v>
      </c>
    </row>
    <row r="1041" spans="1:14">
      <c r="A1041" s="3" t="s">
        <v>3782</v>
      </c>
      <c r="B1041">
        <f>IFERROR(VLOOKUP(A1041,管理亚马逊库存!A:K,11,0),"")</f>
        <v>0</v>
      </c>
      <c r="C1041">
        <f>IFERROR(VLOOKUP(A1041,管理亚马逊库存!A:L,12,0),"")</f>
        <v>0</v>
      </c>
      <c r="D1041">
        <f>IFERROR(VLOOKUP(A1041,管理亚马逊库存!A:Q,17,0),"")</f>
        <v>35</v>
      </c>
      <c r="E1041">
        <f>IFERROR(VLOOKUP(A1041,管理亚马逊库存!A:R,18,0),"")</f>
        <v>0</v>
      </c>
      <c r="F1041">
        <f t="shared" si="33"/>
        <v>35</v>
      </c>
      <c r="G1041">
        <f>IFERROR(VLOOKUP(A1041,预留库存!A:G,7,0),0)</f>
        <v>0</v>
      </c>
      <c r="H1041">
        <f>IFERROR(VLOOKUP(A1041,预留库存!A:H,8,0),0)</f>
        <v>0</v>
      </c>
      <c r="I1041">
        <f>IFERROR(VLOOKUP(A1041,预留库存!A:F,6,0),0)</f>
        <v>0</v>
      </c>
      <c r="J1041">
        <f>IFERROR(VLOOKUP(A1041,库龄!B:K,9,0),0)</f>
        <v>0</v>
      </c>
      <c r="K1041">
        <f>IFERROR(VLOOKUP(A1041,库龄!B:L,10,0),0)</f>
        <v>0</v>
      </c>
      <c r="L1041">
        <f>IFERROR(VLOOKUP(A1041,库龄!B:M,11,0),0)</f>
        <v>0</v>
      </c>
      <c r="M1041">
        <f>IFERROR(VLOOKUP(A1041,库龄!B:N,12,0),0)</f>
        <v>0</v>
      </c>
      <c r="N1041">
        <f t="shared" si="34"/>
        <v>0</v>
      </c>
    </row>
    <row r="1042" spans="1:14">
      <c r="A1042" s="3" t="s">
        <v>3785</v>
      </c>
      <c r="B1042">
        <f>IFERROR(VLOOKUP(A1042,管理亚马逊库存!A:K,11,0),"")</f>
        <v>0</v>
      </c>
      <c r="C1042">
        <f>IFERROR(VLOOKUP(A1042,管理亚马逊库存!A:L,12,0),"")</f>
        <v>0</v>
      </c>
      <c r="D1042">
        <f>IFERROR(VLOOKUP(A1042,管理亚马逊库存!A:Q,17,0),"")</f>
        <v>35</v>
      </c>
      <c r="E1042">
        <f>IFERROR(VLOOKUP(A1042,管理亚马逊库存!A:R,18,0),"")</f>
        <v>0</v>
      </c>
      <c r="F1042">
        <f t="shared" si="33"/>
        <v>35</v>
      </c>
      <c r="G1042">
        <f>IFERROR(VLOOKUP(A1042,预留库存!A:G,7,0),0)</f>
        <v>0</v>
      </c>
      <c r="H1042">
        <f>IFERROR(VLOOKUP(A1042,预留库存!A:H,8,0),0)</f>
        <v>0</v>
      </c>
      <c r="I1042">
        <f>IFERROR(VLOOKUP(A1042,预留库存!A:F,6,0),0)</f>
        <v>0</v>
      </c>
      <c r="J1042">
        <f>IFERROR(VLOOKUP(A1042,库龄!B:K,9,0),0)</f>
        <v>0</v>
      </c>
      <c r="K1042">
        <f>IFERROR(VLOOKUP(A1042,库龄!B:L,10,0),0)</f>
        <v>0</v>
      </c>
      <c r="L1042">
        <f>IFERROR(VLOOKUP(A1042,库龄!B:M,11,0),0)</f>
        <v>0</v>
      </c>
      <c r="M1042">
        <f>IFERROR(VLOOKUP(A1042,库龄!B:N,12,0),0)</f>
        <v>0</v>
      </c>
      <c r="N1042">
        <f t="shared" si="34"/>
        <v>0</v>
      </c>
    </row>
    <row r="1043" spans="1:14">
      <c r="A1043" s="3" t="s">
        <v>3788</v>
      </c>
      <c r="B1043">
        <f>IFERROR(VLOOKUP(A1043,管理亚马逊库存!A:K,11,0),"")</f>
        <v>0</v>
      </c>
      <c r="C1043">
        <f>IFERROR(VLOOKUP(A1043,管理亚马逊库存!A:L,12,0),"")</f>
        <v>0</v>
      </c>
      <c r="D1043">
        <f>IFERROR(VLOOKUP(A1043,管理亚马逊库存!A:Q,17,0),"")</f>
        <v>35</v>
      </c>
      <c r="E1043">
        <f>IFERROR(VLOOKUP(A1043,管理亚马逊库存!A:R,18,0),"")</f>
        <v>0</v>
      </c>
      <c r="F1043">
        <f t="shared" si="33"/>
        <v>35</v>
      </c>
      <c r="G1043">
        <f>IFERROR(VLOOKUP(A1043,预留库存!A:G,7,0),0)</f>
        <v>0</v>
      </c>
      <c r="H1043">
        <f>IFERROR(VLOOKUP(A1043,预留库存!A:H,8,0),0)</f>
        <v>0</v>
      </c>
      <c r="I1043">
        <f>IFERROR(VLOOKUP(A1043,预留库存!A:F,6,0),0)</f>
        <v>0</v>
      </c>
      <c r="J1043">
        <f>IFERROR(VLOOKUP(A1043,库龄!B:K,9,0),0)</f>
        <v>0</v>
      </c>
      <c r="K1043">
        <f>IFERROR(VLOOKUP(A1043,库龄!B:L,10,0),0)</f>
        <v>0</v>
      </c>
      <c r="L1043">
        <f>IFERROR(VLOOKUP(A1043,库龄!B:M,11,0),0)</f>
        <v>0</v>
      </c>
      <c r="M1043">
        <f>IFERROR(VLOOKUP(A1043,库龄!B:N,12,0),0)</f>
        <v>0</v>
      </c>
      <c r="N1043">
        <f t="shared" si="34"/>
        <v>0</v>
      </c>
    </row>
    <row r="1044" spans="1:14">
      <c r="A1044" s="3" t="s">
        <v>3791</v>
      </c>
      <c r="B1044">
        <f>IFERROR(VLOOKUP(A1044,管理亚马逊库存!A:K,11,0),"")</f>
        <v>0</v>
      </c>
      <c r="C1044">
        <f>IFERROR(VLOOKUP(A1044,管理亚马逊库存!A:L,12,0),"")</f>
        <v>0</v>
      </c>
      <c r="D1044">
        <f>IFERROR(VLOOKUP(A1044,管理亚马逊库存!A:Q,17,0),"")</f>
        <v>0</v>
      </c>
      <c r="E1044">
        <f>IFERROR(VLOOKUP(A1044,管理亚马逊库存!A:R,18,0),"")</f>
        <v>0</v>
      </c>
      <c r="F1044">
        <f t="shared" si="33"/>
        <v>0</v>
      </c>
      <c r="G1044">
        <f>IFERROR(VLOOKUP(A1044,预留库存!A:G,7,0),0)</f>
        <v>0</v>
      </c>
      <c r="H1044">
        <f>IFERROR(VLOOKUP(A1044,预留库存!A:H,8,0),0)</f>
        <v>0</v>
      </c>
      <c r="I1044">
        <f>IFERROR(VLOOKUP(A1044,预留库存!A:F,6,0),0)</f>
        <v>0</v>
      </c>
      <c r="J1044">
        <f>IFERROR(VLOOKUP(A1044,库龄!B:K,9,0),0)</f>
        <v>0</v>
      </c>
      <c r="K1044">
        <f>IFERROR(VLOOKUP(A1044,库龄!B:L,10,0),0)</f>
        <v>0</v>
      </c>
      <c r="L1044">
        <f>IFERROR(VLOOKUP(A1044,库龄!B:M,11,0),0)</f>
        <v>0</v>
      </c>
      <c r="M1044">
        <f>IFERROR(VLOOKUP(A1044,库龄!B:N,12,0),0)</f>
        <v>0</v>
      </c>
      <c r="N1044">
        <f t="shared" si="34"/>
        <v>0</v>
      </c>
    </row>
    <row r="1045" spans="1:14">
      <c r="A1045" s="3" t="s">
        <v>3795</v>
      </c>
      <c r="B1045">
        <f>IFERROR(VLOOKUP(A1045,管理亚马逊库存!A:K,11,0),"")</f>
        <v>0</v>
      </c>
      <c r="C1045">
        <f>IFERROR(VLOOKUP(A1045,管理亚马逊库存!A:L,12,0),"")</f>
        <v>0</v>
      </c>
      <c r="D1045">
        <f>IFERROR(VLOOKUP(A1045,管理亚马逊库存!A:Q,17,0),"")</f>
        <v>0</v>
      </c>
      <c r="E1045">
        <f>IFERROR(VLOOKUP(A1045,管理亚马逊库存!A:R,18,0),"")</f>
        <v>0</v>
      </c>
      <c r="F1045">
        <f t="shared" si="33"/>
        <v>0</v>
      </c>
      <c r="G1045">
        <f>IFERROR(VLOOKUP(A1045,预留库存!A:G,7,0),0)</f>
        <v>0</v>
      </c>
      <c r="H1045">
        <f>IFERROR(VLOOKUP(A1045,预留库存!A:H,8,0),0)</f>
        <v>0</v>
      </c>
      <c r="I1045">
        <f>IFERROR(VLOOKUP(A1045,预留库存!A:F,6,0),0)</f>
        <v>0</v>
      </c>
      <c r="J1045">
        <f>IFERROR(VLOOKUP(A1045,库龄!B:K,9,0),0)</f>
        <v>0</v>
      </c>
      <c r="K1045">
        <f>IFERROR(VLOOKUP(A1045,库龄!B:L,10,0),0)</f>
        <v>0</v>
      </c>
      <c r="L1045">
        <f>IFERROR(VLOOKUP(A1045,库龄!B:M,11,0),0)</f>
        <v>0</v>
      </c>
      <c r="M1045">
        <f>IFERROR(VLOOKUP(A1045,库龄!B:N,12,0),0)</f>
        <v>0</v>
      </c>
      <c r="N1045">
        <f t="shared" si="34"/>
        <v>0</v>
      </c>
    </row>
    <row r="1046" spans="1:14">
      <c r="A1046" s="3" t="s">
        <v>3798</v>
      </c>
      <c r="B1046">
        <f>IFERROR(VLOOKUP(A1046,管理亚马逊库存!A:K,11,0),"")</f>
        <v>0</v>
      </c>
      <c r="C1046">
        <f>IFERROR(VLOOKUP(A1046,管理亚马逊库存!A:L,12,0),"")</f>
        <v>0</v>
      </c>
      <c r="D1046">
        <f>IFERROR(VLOOKUP(A1046,管理亚马逊库存!A:Q,17,0),"")</f>
        <v>0</v>
      </c>
      <c r="E1046">
        <f>IFERROR(VLOOKUP(A1046,管理亚马逊库存!A:R,18,0),"")</f>
        <v>0</v>
      </c>
      <c r="F1046">
        <f t="shared" si="33"/>
        <v>0</v>
      </c>
      <c r="G1046">
        <f>IFERROR(VLOOKUP(A1046,预留库存!A:G,7,0),0)</f>
        <v>0</v>
      </c>
      <c r="H1046">
        <f>IFERROR(VLOOKUP(A1046,预留库存!A:H,8,0),0)</f>
        <v>0</v>
      </c>
      <c r="I1046">
        <f>IFERROR(VLOOKUP(A1046,预留库存!A:F,6,0),0)</f>
        <v>0</v>
      </c>
      <c r="J1046">
        <f>IFERROR(VLOOKUP(A1046,库龄!B:K,9,0),0)</f>
        <v>0</v>
      </c>
      <c r="K1046">
        <f>IFERROR(VLOOKUP(A1046,库龄!B:L,10,0),0)</f>
        <v>0</v>
      </c>
      <c r="L1046">
        <f>IFERROR(VLOOKUP(A1046,库龄!B:M,11,0),0)</f>
        <v>0</v>
      </c>
      <c r="M1046">
        <f>IFERROR(VLOOKUP(A1046,库龄!B:N,12,0),0)</f>
        <v>0</v>
      </c>
      <c r="N1046">
        <f t="shared" si="34"/>
        <v>0</v>
      </c>
    </row>
    <row r="1047" spans="1:14">
      <c r="A1047" s="3" t="s">
        <v>3802</v>
      </c>
      <c r="B1047">
        <f>IFERROR(VLOOKUP(A1047,管理亚马逊库存!A:K,11,0),"")</f>
        <v>0</v>
      </c>
      <c r="C1047">
        <f>IFERROR(VLOOKUP(A1047,管理亚马逊库存!A:L,12,0),"")</f>
        <v>0</v>
      </c>
      <c r="D1047">
        <f>IFERROR(VLOOKUP(A1047,管理亚马逊库存!A:Q,17,0),"")</f>
        <v>0</v>
      </c>
      <c r="E1047">
        <f>IFERROR(VLOOKUP(A1047,管理亚马逊库存!A:R,18,0),"")</f>
        <v>0</v>
      </c>
      <c r="F1047">
        <f t="shared" si="33"/>
        <v>0</v>
      </c>
      <c r="G1047">
        <f>IFERROR(VLOOKUP(A1047,预留库存!A:G,7,0),0)</f>
        <v>0</v>
      </c>
      <c r="H1047">
        <f>IFERROR(VLOOKUP(A1047,预留库存!A:H,8,0),0)</f>
        <v>0</v>
      </c>
      <c r="I1047">
        <f>IFERROR(VLOOKUP(A1047,预留库存!A:F,6,0),0)</f>
        <v>0</v>
      </c>
      <c r="J1047">
        <f>IFERROR(VLOOKUP(A1047,库龄!B:K,9,0),0)</f>
        <v>0</v>
      </c>
      <c r="K1047">
        <f>IFERROR(VLOOKUP(A1047,库龄!B:L,10,0),0)</f>
        <v>0</v>
      </c>
      <c r="L1047">
        <f>IFERROR(VLOOKUP(A1047,库龄!B:M,11,0),0)</f>
        <v>0</v>
      </c>
      <c r="M1047">
        <f>IFERROR(VLOOKUP(A1047,库龄!B:N,12,0),0)</f>
        <v>0</v>
      </c>
      <c r="N1047">
        <f t="shared" si="34"/>
        <v>0</v>
      </c>
    </row>
    <row r="1048" spans="1:14">
      <c r="A1048" s="3" t="s">
        <v>3805</v>
      </c>
      <c r="B1048">
        <f>IFERROR(VLOOKUP(A1048,管理亚马逊库存!A:K,11,0),"")</f>
        <v>0</v>
      </c>
      <c r="C1048">
        <f>IFERROR(VLOOKUP(A1048,管理亚马逊库存!A:L,12,0),"")</f>
        <v>0</v>
      </c>
      <c r="D1048">
        <f>IFERROR(VLOOKUP(A1048,管理亚马逊库存!A:Q,17,0),"")</f>
        <v>0</v>
      </c>
      <c r="E1048">
        <f>IFERROR(VLOOKUP(A1048,管理亚马逊库存!A:R,18,0),"")</f>
        <v>0</v>
      </c>
      <c r="F1048">
        <f t="shared" si="33"/>
        <v>0</v>
      </c>
      <c r="G1048">
        <f>IFERROR(VLOOKUP(A1048,预留库存!A:G,7,0),0)</f>
        <v>0</v>
      </c>
      <c r="H1048">
        <f>IFERROR(VLOOKUP(A1048,预留库存!A:H,8,0),0)</f>
        <v>0</v>
      </c>
      <c r="I1048">
        <f>IFERROR(VLOOKUP(A1048,预留库存!A:F,6,0),0)</f>
        <v>0</v>
      </c>
      <c r="J1048">
        <f>IFERROR(VLOOKUP(A1048,库龄!B:K,9,0),0)</f>
        <v>0</v>
      </c>
      <c r="K1048">
        <f>IFERROR(VLOOKUP(A1048,库龄!B:L,10,0),0)</f>
        <v>0</v>
      </c>
      <c r="L1048">
        <f>IFERROR(VLOOKUP(A1048,库龄!B:M,11,0),0)</f>
        <v>0</v>
      </c>
      <c r="M1048">
        <f>IFERROR(VLOOKUP(A1048,库龄!B:N,12,0),0)</f>
        <v>0</v>
      </c>
      <c r="N1048">
        <f t="shared" si="34"/>
        <v>0</v>
      </c>
    </row>
    <row r="1049" spans="1:14">
      <c r="A1049" s="3" t="s">
        <v>3808</v>
      </c>
      <c r="B1049">
        <f>IFERROR(VLOOKUP(A1049,管理亚马逊库存!A:K,11,0),"")</f>
        <v>0</v>
      </c>
      <c r="C1049">
        <f>IFERROR(VLOOKUP(A1049,管理亚马逊库存!A:L,12,0),"")</f>
        <v>0</v>
      </c>
      <c r="D1049">
        <f>IFERROR(VLOOKUP(A1049,管理亚马逊库存!A:Q,17,0),"")</f>
        <v>0</v>
      </c>
      <c r="E1049">
        <f>IFERROR(VLOOKUP(A1049,管理亚马逊库存!A:R,18,0),"")</f>
        <v>0</v>
      </c>
      <c r="F1049">
        <f t="shared" si="33"/>
        <v>0</v>
      </c>
      <c r="G1049">
        <f>IFERROR(VLOOKUP(A1049,预留库存!A:G,7,0),0)</f>
        <v>0</v>
      </c>
      <c r="H1049">
        <f>IFERROR(VLOOKUP(A1049,预留库存!A:H,8,0),0)</f>
        <v>0</v>
      </c>
      <c r="I1049">
        <f>IFERROR(VLOOKUP(A1049,预留库存!A:F,6,0),0)</f>
        <v>0</v>
      </c>
      <c r="J1049">
        <f>IFERROR(VLOOKUP(A1049,库龄!B:K,9,0),0)</f>
        <v>0</v>
      </c>
      <c r="K1049">
        <f>IFERROR(VLOOKUP(A1049,库龄!B:L,10,0),0)</f>
        <v>0</v>
      </c>
      <c r="L1049">
        <f>IFERROR(VLOOKUP(A1049,库龄!B:M,11,0),0)</f>
        <v>0</v>
      </c>
      <c r="M1049">
        <f>IFERROR(VLOOKUP(A1049,库龄!B:N,12,0),0)</f>
        <v>0</v>
      </c>
      <c r="N1049">
        <f t="shared" si="34"/>
        <v>0</v>
      </c>
    </row>
    <row r="1050" spans="1:14">
      <c r="A1050" s="3" t="s">
        <v>3812</v>
      </c>
      <c r="B1050">
        <f>IFERROR(VLOOKUP(A1050,管理亚马逊库存!A:K,11,0),"")</f>
        <v>0</v>
      </c>
      <c r="C1050">
        <f>IFERROR(VLOOKUP(A1050,管理亚马逊库存!A:L,12,0),"")</f>
        <v>0</v>
      </c>
      <c r="D1050">
        <f>IFERROR(VLOOKUP(A1050,管理亚马逊库存!A:Q,17,0),"")</f>
        <v>0</v>
      </c>
      <c r="E1050">
        <f>IFERROR(VLOOKUP(A1050,管理亚马逊库存!A:R,18,0),"")</f>
        <v>0</v>
      </c>
      <c r="F1050">
        <f t="shared" si="33"/>
        <v>0</v>
      </c>
      <c r="G1050">
        <f>IFERROR(VLOOKUP(A1050,预留库存!A:G,7,0),0)</f>
        <v>0</v>
      </c>
      <c r="H1050">
        <f>IFERROR(VLOOKUP(A1050,预留库存!A:H,8,0),0)</f>
        <v>0</v>
      </c>
      <c r="I1050">
        <f>IFERROR(VLOOKUP(A1050,预留库存!A:F,6,0),0)</f>
        <v>0</v>
      </c>
      <c r="J1050">
        <f>IFERROR(VLOOKUP(A1050,库龄!B:K,9,0),0)</f>
        <v>0</v>
      </c>
      <c r="K1050">
        <f>IFERROR(VLOOKUP(A1050,库龄!B:L,10,0),0)</f>
        <v>0</v>
      </c>
      <c r="L1050">
        <f>IFERROR(VLOOKUP(A1050,库龄!B:M,11,0),0)</f>
        <v>0</v>
      </c>
      <c r="M1050">
        <f>IFERROR(VLOOKUP(A1050,库龄!B:N,12,0),0)</f>
        <v>0</v>
      </c>
      <c r="N1050">
        <f t="shared" si="34"/>
        <v>0</v>
      </c>
    </row>
    <row r="1051" spans="1:14">
      <c r="A1051" s="3" t="s">
        <v>3816</v>
      </c>
      <c r="B1051">
        <f>IFERROR(VLOOKUP(A1051,管理亚马逊库存!A:K,11,0),"")</f>
        <v>0</v>
      </c>
      <c r="C1051">
        <f>IFERROR(VLOOKUP(A1051,管理亚马逊库存!A:L,12,0),"")</f>
        <v>0</v>
      </c>
      <c r="D1051">
        <f>IFERROR(VLOOKUP(A1051,管理亚马逊库存!A:Q,17,0),"")</f>
        <v>0</v>
      </c>
      <c r="E1051">
        <f>IFERROR(VLOOKUP(A1051,管理亚马逊库存!A:R,18,0),"")</f>
        <v>0</v>
      </c>
      <c r="F1051">
        <f t="shared" si="33"/>
        <v>0</v>
      </c>
      <c r="G1051">
        <f>IFERROR(VLOOKUP(A1051,预留库存!A:G,7,0),0)</f>
        <v>0</v>
      </c>
      <c r="H1051">
        <f>IFERROR(VLOOKUP(A1051,预留库存!A:H,8,0),0)</f>
        <v>0</v>
      </c>
      <c r="I1051">
        <f>IFERROR(VLOOKUP(A1051,预留库存!A:F,6,0),0)</f>
        <v>0</v>
      </c>
      <c r="J1051">
        <f>IFERROR(VLOOKUP(A1051,库龄!B:K,9,0),0)</f>
        <v>0</v>
      </c>
      <c r="K1051">
        <f>IFERROR(VLOOKUP(A1051,库龄!B:L,10,0),0)</f>
        <v>0</v>
      </c>
      <c r="L1051">
        <f>IFERROR(VLOOKUP(A1051,库龄!B:M,11,0),0)</f>
        <v>0</v>
      </c>
      <c r="M1051">
        <f>IFERROR(VLOOKUP(A1051,库龄!B:N,12,0),0)</f>
        <v>0</v>
      </c>
      <c r="N1051">
        <f t="shared" si="34"/>
        <v>0</v>
      </c>
    </row>
    <row r="1052" spans="1:14">
      <c r="A1052" s="3" t="s">
        <v>3820</v>
      </c>
      <c r="B1052">
        <f>IFERROR(VLOOKUP(A1052,管理亚马逊库存!A:K,11,0),"")</f>
        <v>0</v>
      </c>
      <c r="C1052">
        <f>IFERROR(VLOOKUP(A1052,管理亚马逊库存!A:L,12,0),"")</f>
        <v>0</v>
      </c>
      <c r="D1052">
        <f>IFERROR(VLOOKUP(A1052,管理亚马逊库存!A:Q,17,0),"")</f>
        <v>0</v>
      </c>
      <c r="E1052">
        <f>IFERROR(VLOOKUP(A1052,管理亚马逊库存!A:R,18,0),"")</f>
        <v>0</v>
      </c>
      <c r="F1052">
        <f t="shared" si="33"/>
        <v>0</v>
      </c>
      <c r="G1052">
        <f>IFERROR(VLOOKUP(A1052,预留库存!A:G,7,0),0)</f>
        <v>0</v>
      </c>
      <c r="H1052">
        <f>IFERROR(VLOOKUP(A1052,预留库存!A:H,8,0),0)</f>
        <v>0</v>
      </c>
      <c r="I1052">
        <f>IFERROR(VLOOKUP(A1052,预留库存!A:F,6,0),0)</f>
        <v>0</v>
      </c>
      <c r="J1052">
        <f>IFERROR(VLOOKUP(A1052,库龄!B:K,9,0),0)</f>
        <v>0</v>
      </c>
      <c r="K1052">
        <f>IFERROR(VLOOKUP(A1052,库龄!B:L,10,0),0)</f>
        <v>0</v>
      </c>
      <c r="L1052">
        <f>IFERROR(VLOOKUP(A1052,库龄!B:M,11,0),0)</f>
        <v>0</v>
      </c>
      <c r="M1052">
        <f>IFERROR(VLOOKUP(A1052,库龄!B:N,12,0),0)</f>
        <v>0</v>
      </c>
      <c r="N1052">
        <f t="shared" si="34"/>
        <v>0</v>
      </c>
    </row>
    <row r="1053" spans="1:14">
      <c r="A1053" s="3" t="s">
        <v>3824</v>
      </c>
      <c r="B1053">
        <f>IFERROR(VLOOKUP(A1053,管理亚马逊库存!A:K,11,0),"")</f>
        <v>0</v>
      </c>
      <c r="C1053">
        <f>IFERROR(VLOOKUP(A1053,管理亚马逊库存!A:L,12,0),"")</f>
        <v>3</v>
      </c>
      <c r="D1053">
        <f>IFERROR(VLOOKUP(A1053,管理亚马逊库存!A:Q,17,0),"")</f>
        <v>0</v>
      </c>
      <c r="E1053">
        <f>IFERROR(VLOOKUP(A1053,管理亚马逊库存!A:R,18,0),"")</f>
        <v>0</v>
      </c>
      <c r="F1053">
        <f t="shared" si="33"/>
        <v>0</v>
      </c>
      <c r="G1053">
        <f>IFERROR(VLOOKUP(A1053,预留库存!A:G,7,0),0)</f>
        <v>0</v>
      </c>
      <c r="H1053">
        <f>IFERROR(VLOOKUP(A1053,预留库存!A:H,8,0),0)</f>
        <v>0</v>
      </c>
      <c r="I1053">
        <f>IFERROR(VLOOKUP(A1053,预留库存!A:F,6,0),0)</f>
        <v>0</v>
      </c>
      <c r="J1053">
        <f>IFERROR(VLOOKUP(A1053,库龄!B:K,9,0),0)</f>
        <v>0</v>
      </c>
      <c r="K1053">
        <f>IFERROR(VLOOKUP(A1053,库龄!B:L,10,0),0)</f>
        <v>0</v>
      </c>
      <c r="L1053">
        <f>IFERROR(VLOOKUP(A1053,库龄!B:M,11,0),0)</f>
        <v>0</v>
      </c>
      <c r="M1053">
        <f>IFERROR(VLOOKUP(A1053,库龄!B:N,12,0),0)</f>
        <v>0</v>
      </c>
      <c r="N1053">
        <f t="shared" si="34"/>
        <v>0</v>
      </c>
    </row>
    <row r="1054" spans="1:14">
      <c r="A1054" s="3" t="s">
        <v>3828</v>
      </c>
      <c r="B1054">
        <f>IFERROR(VLOOKUP(A1054,管理亚马逊库存!A:K,11,0),"")</f>
        <v>0</v>
      </c>
      <c r="C1054">
        <f>IFERROR(VLOOKUP(A1054,管理亚马逊库存!A:L,12,0),"")</f>
        <v>0</v>
      </c>
      <c r="D1054">
        <f>IFERROR(VLOOKUP(A1054,管理亚马逊库存!A:Q,17,0),"")</f>
        <v>0</v>
      </c>
      <c r="E1054">
        <f>IFERROR(VLOOKUP(A1054,管理亚马逊库存!A:R,18,0),"")</f>
        <v>0</v>
      </c>
      <c r="F1054">
        <f t="shared" si="33"/>
        <v>0</v>
      </c>
      <c r="G1054">
        <f>IFERROR(VLOOKUP(A1054,预留库存!A:G,7,0),0)</f>
        <v>0</v>
      </c>
      <c r="H1054">
        <f>IFERROR(VLOOKUP(A1054,预留库存!A:H,8,0),0)</f>
        <v>0</v>
      </c>
      <c r="I1054">
        <f>IFERROR(VLOOKUP(A1054,预留库存!A:F,6,0),0)</f>
        <v>0</v>
      </c>
      <c r="J1054">
        <f>IFERROR(VLOOKUP(A1054,库龄!B:K,9,0),0)</f>
        <v>0</v>
      </c>
      <c r="K1054">
        <f>IFERROR(VLOOKUP(A1054,库龄!B:L,10,0),0)</f>
        <v>0</v>
      </c>
      <c r="L1054">
        <f>IFERROR(VLOOKUP(A1054,库龄!B:M,11,0),0)</f>
        <v>0</v>
      </c>
      <c r="M1054">
        <f>IFERROR(VLOOKUP(A1054,库龄!B:N,12,0),0)</f>
        <v>0</v>
      </c>
      <c r="N1054">
        <f t="shared" si="34"/>
        <v>0</v>
      </c>
    </row>
    <row r="1055" spans="1:14">
      <c r="A1055" s="3" t="s">
        <v>3831</v>
      </c>
      <c r="B1055">
        <f>IFERROR(VLOOKUP(A1055,管理亚马逊库存!A:K,11,0),"")</f>
        <v>0</v>
      </c>
      <c r="C1055">
        <f>IFERROR(VLOOKUP(A1055,管理亚马逊库存!A:L,12,0),"")</f>
        <v>0</v>
      </c>
      <c r="D1055">
        <f>IFERROR(VLOOKUP(A1055,管理亚马逊库存!A:Q,17,0),"")</f>
        <v>3</v>
      </c>
      <c r="E1055">
        <f>IFERROR(VLOOKUP(A1055,管理亚马逊库存!A:R,18,0),"")</f>
        <v>9</v>
      </c>
      <c r="F1055">
        <f t="shared" si="33"/>
        <v>12</v>
      </c>
      <c r="G1055">
        <f>IFERROR(VLOOKUP(A1055,预留库存!A:G,7,0),0)</f>
        <v>0</v>
      </c>
      <c r="H1055">
        <f>IFERROR(VLOOKUP(A1055,预留库存!A:H,8,0),0)</f>
        <v>0</v>
      </c>
      <c r="I1055">
        <f>IFERROR(VLOOKUP(A1055,预留库存!A:F,6,0),0)</f>
        <v>0</v>
      </c>
      <c r="J1055">
        <f>IFERROR(VLOOKUP(A1055,库龄!B:K,9,0),0)</f>
        <v>0</v>
      </c>
      <c r="K1055">
        <f>IFERROR(VLOOKUP(A1055,库龄!B:L,10,0),0)</f>
        <v>0</v>
      </c>
      <c r="L1055">
        <f>IFERROR(VLOOKUP(A1055,库龄!B:M,11,0),0)</f>
        <v>0</v>
      </c>
      <c r="M1055">
        <f>IFERROR(VLOOKUP(A1055,库龄!B:N,12,0),0)</f>
        <v>0</v>
      </c>
      <c r="N1055">
        <f t="shared" si="34"/>
        <v>0</v>
      </c>
    </row>
    <row r="1056" spans="1:14">
      <c r="A1056" s="3" t="s">
        <v>3835</v>
      </c>
      <c r="B1056">
        <f>IFERROR(VLOOKUP(A1056,管理亚马逊库存!A:K,11,0),"")</f>
        <v>0</v>
      </c>
      <c r="C1056">
        <f>IFERROR(VLOOKUP(A1056,管理亚马逊库存!A:L,12,0),"")</f>
        <v>0</v>
      </c>
      <c r="D1056">
        <f>IFERROR(VLOOKUP(A1056,管理亚马逊库存!A:Q,17,0),"")</f>
        <v>0</v>
      </c>
      <c r="E1056">
        <f>IFERROR(VLOOKUP(A1056,管理亚马逊库存!A:R,18,0),"")</f>
        <v>0</v>
      </c>
      <c r="F1056">
        <f t="shared" si="33"/>
        <v>0</v>
      </c>
      <c r="G1056">
        <f>IFERROR(VLOOKUP(A1056,预留库存!A:G,7,0),0)</f>
        <v>0</v>
      </c>
      <c r="H1056">
        <f>IFERROR(VLOOKUP(A1056,预留库存!A:H,8,0),0)</f>
        <v>0</v>
      </c>
      <c r="I1056">
        <f>IFERROR(VLOOKUP(A1056,预留库存!A:F,6,0),0)</f>
        <v>0</v>
      </c>
      <c r="J1056">
        <f>IFERROR(VLOOKUP(A1056,库龄!B:K,9,0),0)</f>
        <v>0</v>
      </c>
      <c r="K1056">
        <f>IFERROR(VLOOKUP(A1056,库龄!B:L,10,0),0)</f>
        <v>0</v>
      </c>
      <c r="L1056">
        <f>IFERROR(VLOOKUP(A1056,库龄!B:M,11,0),0)</f>
        <v>0</v>
      </c>
      <c r="M1056">
        <f>IFERROR(VLOOKUP(A1056,库龄!B:N,12,0),0)</f>
        <v>0</v>
      </c>
      <c r="N1056">
        <f t="shared" si="34"/>
        <v>0</v>
      </c>
    </row>
    <row r="1057" spans="1:14">
      <c r="A1057" s="3" t="s">
        <v>3838</v>
      </c>
      <c r="B1057">
        <f>IFERROR(VLOOKUP(A1057,管理亚马逊库存!A:K,11,0),"")</f>
        <v>0</v>
      </c>
      <c r="C1057">
        <f>IFERROR(VLOOKUP(A1057,管理亚马逊库存!A:L,12,0),"")</f>
        <v>0</v>
      </c>
      <c r="D1057">
        <f>IFERROR(VLOOKUP(A1057,管理亚马逊库存!A:Q,17,0),"")</f>
        <v>0</v>
      </c>
      <c r="E1057">
        <f>IFERROR(VLOOKUP(A1057,管理亚马逊库存!A:R,18,0),"")</f>
        <v>0</v>
      </c>
      <c r="F1057">
        <f t="shared" si="33"/>
        <v>0</v>
      </c>
      <c r="G1057">
        <f>IFERROR(VLOOKUP(A1057,预留库存!A:G,7,0),0)</f>
        <v>0</v>
      </c>
      <c r="H1057">
        <f>IFERROR(VLOOKUP(A1057,预留库存!A:H,8,0),0)</f>
        <v>0</v>
      </c>
      <c r="I1057">
        <f>IFERROR(VLOOKUP(A1057,预留库存!A:F,6,0),0)</f>
        <v>0</v>
      </c>
      <c r="J1057">
        <f>IFERROR(VLOOKUP(A1057,库龄!B:K,9,0),0)</f>
        <v>0</v>
      </c>
      <c r="K1057">
        <f>IFERROR(VLOOKUP(A1057,库龄!B:L,10,0),0)</f>
        <v>0</v>
      </c>
      <c r="L1057">
        <f>IFERROR(VLOOKUP(A1057,库龄!B:M,11,0),0)</f>
        <v>0</v>
      </c>
      <c r="M1057">
        <f>IFERROR(VLOOKUP(A1057,库龄!B:N,12,0),0)</f>
        <v>0</v>
      </c>
      <c r="N1057">
        <f t="shared" si="34"/>
        <v>0</v>
      </c>
    </row>
    <row r="1058" spans="1:14">
      <c r="A1058" s="3" t="s">
        <v>3842</v>
      </c>
      <c r="B1058">
        <f>IFERROR(VLOOKUP(A1058,管理亚马逊库存!A:K,11,0),"")</f>
        <v>0</v>
      </c>
      <c r="C1058">
        <f>IFERROR(VLOOKUP(A1058,管理亚马逊库存!A:L,12,0),"")</f>
        <v>0</v>
      </c>
      <c r="D1058">
        <f>IFERROR(VLOOKUP(A1058,管理亚马逊库存!A:Q,17,0),"")</f>
        <v>0</v>
      </c>
      <c r="E1058">
        <f>IFERROR(VLOOKUP(A1058,管理亚马逊库存!A:R,18,0),"")</f>
        <v>0</v>
      </c>
      <c r="F1058">
        <f t="shared" si="33"/>
        <v>0</v>
      </c>
      <c r="G1058">
        <f>IFERROR(VLOOKUP(A1058,预留库存!A:G,7,0),0)</f>
        <v>0</v>
      </c>
      <c r="H1058">
        <f>IFERROR(VLOOKUP(A1058,预留库存!A:H,8,0),0)</f>
        <v>0</v>
      </c>
      <c r="I1058">
        <f>IFERROR(VLOOKUP(A1058,预留库存!A:F,6,0),0)</f>
        <v>0</v>
      </c>
      <c r="J1058">
        <f>IFERROR(VLOOKUP(A1058,库龄!B:K,9,0),0)</f>
        <v>0</v>
      </c>
      <c r="K1058">
        <f>IFERROR(VLOOKUP(A1058,库龄!B:L,10,0),0)</f>
        <v>0</v>
      </c>
      <c r="L1058">
        <f>IFERROR(VLOOKUP(A1058,库龄!B:M,11,0),0)</f>
        <v>0</v>
      </c>
      <c r="M1058">
        <f>IFERROR(VLOOKUP(A1058,库龄!B:N,12,0),0)</f>
        <v>0</v>
      </c>
      <c r="N1058">
        <f t="shared" si="34"/>
        <v>0</v>
      </c>
    </row>
    <row r="1059" spans="1:14">
      <c r="A1059" s="3" t="s">
        <v>3846</v>
      </c>
      <c r="B1059">
        <f>IFERROR(VLOOKUP(A1059,管理亚马逊库存!A:K,11,0),"")</f>
        <v>0</v>
      </c>
      <c r="C1059">
        <f>IFERROR(VLOOKUP(A1059,管理亚马逊库存!A:L,12,0),"")</f>
        <v>0</v>
      </c>
      <c r="D1059">
        <f>IFERROR(VLOOKUP(A1059,管理亚马逊库存!A:Q,17,0),"")</f>
        <v>0</v>
      </c>
      <c r="E1059">
        <f>IFERROR(VLOOKUP(A1059,管理亚马逊库存!A:R,18,0),"")</f>
        <v>0</v>
      </c>
      <c r="F1059">
        <f t="shared" si="33"/>
        <v>0</v>
      </c>
      <c r="G1059">
        <f>IFERROR(VLOOKUP(A1059,预留库存!A:G,7,0),0)</f>
        <v>0</v>
      </c>
      <c r="H1059">
        <f>IFERROR(VLOOKUP(A1059,预留库存!A:H,8,0),0)</f>
        <v>0</v>
      </c>
      <c r="I1059">
        <f>IFERROR(VLOOKUP(A1059,预留库存!A:F,6,0),0)</f>
        <v>0</v>
      </c>
      <c r="J1059">
        <f>IFERROR(VLOOKUP(A1059,库龄!B:K,9,0),0)</f>
        <v>0</v>
      </c>
      <c r="K1059">
        <f>IFERROR(VLOOKUP(A1059,库龄!B:L,10,0),0)</f>
        <v>0</v>
      </c>
      <c r="L1059">
        <f>IFERROR(VLOOKUP(A1059,库龄!B:M,11,0),0)</f>
        <v>0</v>
      </c>
      <c r="M1059">
        <f>IFERROR(VLOOKUP(A1059,库龄!B:N,12,0),0)</f>
        <v>0</v>
      </c>
      <c r="N1059">
        <f t="shared" si="34"/>
        <v>0</v>
      </c>
    </row>
    <row r="1060" spans="1:14">
      <c r="A1060" s="3" t="s">
        <v>3850</v>
      </c>
      <c r="B1060">
        <f>IFERROR(VLOOKUP(A1060,管理亚马逊库存!A:K,11,0),"")</f>
        <v>0</v>
      </c>
      <c r="C1060">
        <f>IFERROR(VLOOKUP(A1060,管理亚马逊库存!A:L,12,0),"")</f>
        <v>0</v>
      </c>
      <c r="D1060">
        <f>IFERROR(VLOOKUP(A1060,管理亚马逊库存!A:Q,17,0),"")</f>
        <v>0</v>
      </c>
      <c r="E1060">
        <f>IFERROR(VLOOKUP(A1060,管理亚马逊库存!A:R,18,0),"")</f>
        <v>0</v>
      </c>
      <c r="F1060">
        <f t="shared" si="33"/>
        <v>0</v>
      </c>
      <c r="G1060">
        <f>IFERROR(VLOOKUP(A1060,预留库存!A:G,7,0),0)</f>
        <v>0</v>
      </c>
      <c r="H1060">
        <f>IFERROR(VLOOKUP(A1060,预留库存!A:H,8,0),0)</f>
        <v>0</v>
      </c>
      <c r="I1060">
        <f>IFERROR(VLOOKUP(A1060,预留库存!A:F,6,0),0)</f>
        <v>0</v>
      </c>
      <c r="J1060">
        <f>IFERROR(VLOOKUP(A1060,库龄!B:K,9,0),0)</f>
        <v>0</v>
      </c>
      <c r="K1060">
        <f>IFERROR(VLOOKUP(A1060,库龄!B:L,10,0),0)</f>
        <v>0</v>
      </c>
      <c r="L1060">
        <f>IFERROR(VLOOKUP(A1060,库龄!B:M,11,0),0)</f>
        <v>0</v>
      </c>
      <c r="M1060">
        <f>IFERROR(VLOOKUP(A1060,库龄!B:N,12,0),0)</f>
        <v>0</v>
      </c>
      <c r="N1060">
        <f t="shared" si="34"/>
        <v>0</v>
      </c>
    </row>
    <row r="1061" spans="1:14">
      <c r="A1061" s="3" t="s">
        <v>3853</v>
      </c>
      <c r="B1061">
        <f>IFERROR(VLOOKUP(A1061,管理亚马逊库存!A:K,11,0),"")</f>
        <v>0</v>
      </c>
      <c r="C1061">
        <f>IFERROR(VLOOKUP(A1061,管理亚马逊库存!A:L,12,0),"")</f>
        <v>0</v>
      </c>
      <c r="D1061">
        <f>IFERROR(VLOOKUP(A1061,管理亚马逊库存!A:Q,17,0),"")</f>
        <v>0</v>
      </c>
      <c r="E1061">
        <f>IFERROR(VLOOKUP(A1061,管理亚马逊库存!A:R,18,0),"")</f>
        <v>0</v>
      </c>
      <c r="F1061">
        <f t="shared" si="33"/>
        <v>0</v>
      </c>
      <c r="G1061">
        <f>IFERROR(VLOOKUP(A1061,预留库存!A:G,7,0),0)</f>
        <v>0</v>
      </c>
      <c r="H1061">
        <f>IFERROR(VLOOKUP(A1061,预留库存!A:H,8,0),0)</f>
        <v>0</v>
      </c>
      <c r="I1061">
        <f>IFERROR(VLOOKUP(A1061,预留库存!A:F,6,0),0)</f>
        <v>0</v>
      </c>
      <c r="J1061">
        <f>IFERROR(VLOOKUP(A1061,库龄!B:K,9,0),0)</f>
        <v>0</v>
      </c>
      <c r="K1061">
        <f>IFERROR(VLOOKUP(A1061,库龄!B:L,10,0),0)</f>
        <v>0</v>
      </c>
      <c r="L1061">
        <f>IFERROR(VLOOKUP(A1061,库龄!B:M,11,0),0)</f>
        <v>0</v>
      </c>
      <c r="M1061">
        <f>IFERROR(VLOOKUP(A1061,库龄!B:N,12,0),0)</f>
        <v>0</v>
      </c>
      <c r="N1061">
        <f t="shared" si="34"/>
        <v>0</v>
      </c>
    </row>
    <row r="1062" spans="1:14">
      <c r="A1062" s="3" t="s">
        <v>3856</v>
      </c>
      <c r="B1062">
        <f>IFERROR(VLOOKUP(A1062,管理亚马逊库存!A:K,11,0),"")</f>
        <v>0</v>
      </c>
      <c r="C1062">
        <f>IFERROR(VLOOKUP(A1062,管理亚马逊库存!A:L,12,0),"")</f>
        <v>0</v>
      </c>
      <c r="D1062">
        <f>IFERROR(VLOOKUP(A1062,管理亚马逊库存!A:Q,17,0),"")</f>
        <v>0</v>
      </c>
      <c r="E1062">
        <f>IFERROR(VLOOKUP(A1062,管理亚马逊库存!A:R,18,0),"")</f>
        <v>0</v>
      </c>
      <c r="F1062">
        <f t="shared" si="33"/>
        <v>0</v>
      </c>
      <c r="G1062">
        <f>IFERROR(VLOOKUP(A1062,预留库存!A:G,7,0),0)</f>
        <v>0</v>
      </c>
      <c r="H1062">
        <f>IFERROR(VLOOKUP(A1062,预留库存!A:H,8,0),0)</f>
        <v>0</v>
      </c>
      <c r="I1062">
        <f>IFERROR(VLOOKUP(A1062,预留库存!A:F,6,0),0)</f>
        <v>0</v>
      </c>
      <c r="J1062">
        <f>IFERROR(VLOOKUP(A1062,库龄!B:K,9,0),0)</f>
        <v>0</v>
      </c>
      <c r="K1062">
        <f>IFERROR(VLOOKUP(A1062,库龄!B:L,10,0),0)</f>
        <v>0</v>
      </c>
      <c r="L1062">
        <f>IFERROR(VLOOKUP(A1062,库龄!B:M,11,0),0)</f>
        <v>0</v>
      </c>
      <c r="M1062">
        <f>IFERROR(VLOOKUP(A1062,库龄!B:N,12,0),0)</f>
        <v>0</v>
      </c>
      <c r="N1062">
        <f t="shared" si="34"/>
        <v>0</v>
      </c>
    </row>
    <row r="1063" spans="1:14">
      <c r="A1063" s="3" t="s">
        <v>3859</v>
      </c>
      <c r="B1063">
        <f>IFERROR(VLOOKUP(A1063,管理亚马逊库存!A:K,11,0),"")</f>
        <v>0</v>
      </c>
      <c r="C1063">
        <f>IFERROR(VLOOKUP(A1063,管理亚马逊库存!A:L,12,0),"")</f>
        <v>0</v>
      </c>
      <c r="D1063">
        <f>IFERROR(VLOOKUP(A1063,管理亚马逊库存!A:Q,17,0),"")</f>
        <v>0</v>
      </c>
      <c r="E1063">
        <f>IFERROR(VLOOKUP(A1063,管理亚马逊库存!A:R,18,0),"")</f>
        <v>0</v>
      </c>
      <c r="F1063">
        <f t="shared" si="33"/>
        <v>0</v>
      </c>
      <c r="G1063">
        <f>IFERROR(VLOOKUP(A1063,预留库存!A:G,7,0),0)</f>
        <v>0</v>
      </c>
      <c r="H1063">
        <f>IFERROR(VLOOKUP(A1063,预留库存!A:H,8,0),0)</f>
        <v>0</v>
      </c>
      <c r="I1063">
        <f>IFERROR(VLOOKUP(A1063,预留库存!A:F,6,0),0)</f>
        <v>0</v>
      </c>
      <c r="J1063">
        <f>IFERROR(VLOOKUP(A1063,库龄!B:K,9,0),0)</f>
        <v>0</v>
      </c>
      <c r="K1063">
        <f>IFERROR(VLOOKUP(A1063,库龄!B:L,10,0),0)</f>
        <v>0</v>
      </c>
      <c r="L1063">
        <f>IFERROR(VLOOKUP(A1063,库龄!B:M,11,0),0)</f>
        <v>0</v>
      </c>
      <c r="M1063">
        <f>IFERROR(VLOOKUP(A1063,库龄!B:N,12,0),0)</f>
        <v>0</v>
      </c>
      <c r="N1063">
        <f t="shared" si="34"/>
        <v>0</v>
      </c>
    </row>
    <row r="1064" spans="1:14">
      <c r="A1064" s="3" t="s">
        <v>3862</v>
      </c>
      <c r="B1064">
        <f>IFERROR(VLOOKUP(A1064,管理亚马逊库存!A:K,11,0),"")</f>
        <v>0</v>
      </c>
      <c r="C1064">
        <f>IFERROR(VLOOKUP(A1064,管理亚马逊库存!A:L,12,0),"")</f>
        <v>0</v>
      </c>
      <c r="D1064">
        <f>IFERROR(VLOOKUP(A1064,管理亚马逊库存!A:Q,17,0),"")</f>
        <v>0</v>
      </c>
      <c r="E1064">
        <f>IFERROR(VLOOKUP(A1064,管理亚马逊库存!A:R,18,0),"")</f>
        <v>0</v>
      </c>
      <c r="F1064">
        <f t="shared" si="33"/>
        <v>0</v>
      </c>
      <c r="G1064">
        <f>IFERROR(VLOOKUP(A1064,预留库存!A:G,7,0),0)</f>
        <v>0</v>
      </c>
      <c r="H1064">
        <f>IFERROR(VLOOKUP(A1064,预留库存!A:H,8,0),0)</f>
        <v>0</v>
      </c>
      <c r="I1064">
        <f>IFERROR(VLOOKUP(A1064,预留库存!A:F,6,0),0)</f>
        <v>0</v>
      </c>
      <c r="J1064">
        <f>IFERROR(VLOOKUP(A1064,库龄!B:K,9,0),0)</f>
        <v>0</v>
      </c>
      <c r="K1064">
        <f>IFERROR(VLOOKUP(A1064,库龄!B:L,10,0),0)</f>
        <v>0</v>
      </c>
      <c r="L1064">
        <f>IFERROR(VLOOKUP(A1064,库龄!B:M,11,0),0)</f>
        <v>0</v>
      </c>
      <c r="M1064">
        <f>IFERROR(VLOOKUP(A1064,库龄!B:N,12,0),0)</f>
        <v>0</v>
      </c>
      <c r="N1064">
        <f t="shared" si="34"/>
        <v>0</v>
      </c>
    </row>
    <row r="1065" spans="1:14">
      <c r="A1065" s="3" t="s">
        <v>3865</v>
      </c>
      <c r="B1065">
        <f>IFERROR(VLOOKUP(A1065,管理亚马逊库存!A:K,11,0),"")</f>
        <v>0</v>
      </c>
      <c r="C1065">
        <f>IFERROR(VLOOKUP(A1065,管理亚马逊库存!A:L,12,0),"")</f>
        <v>0</v>
      </c>
      <c r="D1065">
        <f>IFERROR(VLOOKUP(A1065,管理亚马逊库存!A:Q,17,0),"")</f>
        <v>0</v>
      </c>
      <c r="E1065">
        <f>IFERROR(VLOOKUP(A1065,管理亚马逊库存!A:R,18,0),"")</f>
        <v>0</v>
      </c>
      <c r="F1065">
        <f t="shared" si="33"/>
        <v>0</v>
      </c>
      <c r="G1065">
        <f>IFERROR(VLOOKUP(A1065,预留库存!A:G,7,0),0)</f>
        <v>0</v>
      </c>
      <c r="H1065">
        <f>IFERROR(VLOOKUP(A1065,预留库存!A:H,8,0),0)</f>
        <v>0</v>
      </c>
      <c r="I1065">
        <f>IFERROR(VLOOKUP(A1065,预留库存!A:F,6,0),0)</f>
        <v>0</v>
      </c>
      <c r="J1065">
        <f>IFERROR(VLOOKUP(A1065,库龄!B:K,9,0),0)</f>
        <v>0</v>
      </c>
      <c r="K1065">
        <f>IFERROR(VLOOKUP(A1065,库龄!B:L,10,0),0)</f>
        <v>0</v>
      </c>
      <c r="L1065">
        <f>IFERROR(VLOOKUP(A1065,库龄!B:M,11,0),0)</f>
        <v>0</v>
      </c>
      <c r="M1065">
        <f>IFERROR(VLOOKUP(A1065,库龄!B:N,12,0),0)</f>
        <v>0</v>
      </c>
      <c r="N1065">
        <f t="shared" si="34"/>
        <v>0</v>
      </c>
    </row>
    <row r="1066" spans="1:14">
      <c r="A1066" s="3" t="s">
        <v>3869</v>
      </c>
      <c r="B1066">
        <f>IFERROR(VLOOKUP(A1066,管理亚马逊库存!A:K,11,0),"")</f>
        <v>0</v>
      </c>
      <c r="C1066">
        <f>IFERROR(VLOOKUP(A1066,管理亚马逊库存!A:L,12,0),"")</f>
        <v>0</v>
      </c>
      <c r="D1066">
        <f>IFERROR(VLOOKUP(A1066,管理亚马逊库存!A:Q,17,0),"")</f>
        <v>0</v>
      </c>
      <c r="E1066">
        <f>IFERROR(VLOOKUP(A1066,管理亚马逊库存!A:R,18,0),"")</f>
        <v>0</v>
      </c>
      <c r="F1066">
        <f t="shared" si="33"/>
        <v>0</v>
      </c>
      <c r="G1066">
        <f>IFERROR(VLOOKUP(A1066,预留库存!A:G,7,0),0)</f>
        <v>0</v>
      </c>
      <c r="H1066">
        <f>IFERROR(VLOOKUP(A1066,预留库存!A:H,8,0),0)</f>
        <v>0</v>
      </c>
      <c r="I1066">
        <f>IFERROR(VLOOKUP(A1066,预留库存!A:F,6,0),0)</f>
        <v>0</v>
      </c>
      <c r="J1066">
        <f>IFERROR(VLOOKUP(A1066,库龄!B:K,9,0),0)</f>
        <v>0</v>
      </c>
      <c r="K1066">
        <f>IFERROR(VLOOKUP(A1066,库龄!B:L,10,0),0)</f>
        <v>0</v>
      </c>
      <c r="L1066">
        <f>IFERROR(VLOOKUP(A1066,库龄!B:M,11,0),0)</f>
        <v>0</v>
      </c>
      <c r="M1066">
        <f>IFERROR(VLOOKUP(A1066,库龄!B:N,12,0),0)</f>
        <v>0</v>
      </c>
      <c r="N1066">
        <f t="shared" si="34"/>
        <v>0</v>
      </c>
    </row>
    <row r="1067" spans="1:14">
      <c r="A1067" s="3" t="s">
        <v>3873</v>
      </c>
      <c r="B1067">
        <f>IFERROR(VLOOKUP(A1067,管理亚马逊库存!A:K,11,0),"")</f>
        <v>0</v>
      </c>
      <c r="C1067">
        <f>IFERROR(VLOOKUP(A1067,管理亚马逊库存!A:L,12,0),"")</f>
        <v>0</v>
      </c>
      <c r="D1067">
        <f>IFERROR(VLOOKUP(A1067,管理亚马逊库存!A:Q,17,0),"")</f>
        <v>0</v>
      </c>
      <c r="E1067">
        <f>IFERROR(VLOOKUP(A1067,管理亚马逊库存!A:R,18,0),"")</f>
        <v>0</v>
      </c>
      <c r="F1067">
        <f t="shared" si="33"/>
        <v>0</v>
      </c>
      <c r="G1067">
        <f>IFERROR(VLOOKUP(A1067,预留库存!A:G,7,0),0)</f>
        <v>0</v>
      </c>
      <c r="H1067">
        <f>IFERROR(VLOOKUP(A1067,预留库存!A:H,8,0),0)</f>
        <v>0</v>
      </c>
      <c r="I1067">
        <f>IFERROR(VLOOKUP(A1067,预留库存!A:F,6,0),0)</f>
        <v>0</v>
      </c>
      <c r="J1067">
        <f>IFERROR(VLOOKUP(A1067,库龄!B:K,9,0),0)</f>
        <v>0</v>
      </c>
      <c r="K1067">
        <f>IFERROR(VLOOKUP(A1067,库龄!B:L,10,0),0)</f>
        <v>0</v>
      </c>
      <c r="L1067">
        <f>IFERROR(VLOOKUP(A1067,库龄!B:M,11,0),0)</f>
        <v>0</v>
      </c>
      <c r="M1067">
        <f>IFERROR(VLOOKUP(A1067,库龄!B:N,12,0),0)</f>
        <v>0</v>
      </c>
      <c r="N1067">
        <f t="shared" si="34"/>
        <v>0</v>
      </c>
    </row>
    <row r="1068" spans="1:14">
      <c r="A1068" s="3" t="s">
        <v>3877</v>
      </c>
      <c r="B1068">
        <f>IFERROR(VLOOKUP(A1068,管理亚马逊库存!A:K,11,0),"")</f>
        <v>0</v>
      </c>
      <c r="C1068">
        <f>IFERROR(VLOOKUP(A1068,管理亚马逊库存!A:L,12,0),"")</f>
        <v>0</v>
      </c>
      <c r="D1068">
        <f>IFERROR(VLOOKUP(A1068,管理亚马逊库存!A:Q,17,0),"")</f>
        <v>0</v>
      </c>
      <c r="E1068">
        <f>IFERROR(VLOOKUP(A1068,管理亚马逊库存!A:R,18,0),"")</f>
        <v>0</v>
      </c>
      <c r="F1068">
        <f t="shared" si="33"/>
        <v>0</v>
      </c>
      <c r="G1068">
        <f>IFERROR(VLOOKUP(A1068,预留库存!A:G,7,0),0)</f>
        <v>0</v>
      </c>
      <c r="H1068">
        <f>IFERROR(VLOOKUP(A1068,预留库存!A:H,8,0),0)</f>
        <v>0</v>
      </c>
      <c r="I1068">
        <f>IFERROR(VLOOKUP(A1068,预留库存!A:F,6,0),0)</f>
        <v>0</v>
      </c>
      <c r="J1068">
        <f>IFERROR(VLOOKUP(A1068,库龄!B:K,9,0),0)</f>
        <v>0</v>
      </c>
      <c r="K1068">
        <f>IFERROR(VLOOKUP(A1068,库龄!B:L,10,0),0)</f>
        <v>0</v>
      </c>
      <c r="L1068">
        <f>IFERROR(VLOOKUP(A1068,库龄!B:M,11,0),0)</f>
        <v>0</v>
      </c>
      <c r="M1068">
        <f>IFERROR(VLOOKUP(A1068,库龄!B:N,12,0),0)</f>
        <v>0</v>
      </c>
      <c r="N1068">
        <f t="shared" si="34"/>
        <v>0</v>
      </c>
    </row>
    <row r="1069" spans="1:14">
      <c r="A1069" s="3" t="s">
        <v>3881</v>
      </c>
      <c r="B1069">
        <f>IFERROR(VLOOKUP(A1069,管理亚马逊库存!A:K,11,0),"")</f>
        <v>0</v>
      </c>
      <c r="C1069">
        <f>IFERROR(VLOOKUP(A1069,管理亚马逊库存!A:L,12,0),"")</f>
        <v>1</v>
      </c>
      <c r="D1069">
        <f>IFERROR(VLOOKUP(A1069,管理亚马逊库存!A:Q,17,0),"")</f>
        <v>0</v>
      </c>
      <c r="E1069">
        <f>IFERROR(VLOOKUP(A1069,管理亚马逊库存!A:R,18,0),"")</f>
        <v>0</v>
      </c>
      <c r="F1069">
        <f t="shared" si="33"/>
        <v>0</v>
      </c>
      <c r="G1069">
        <f>IFERROR(VLOOKUP(A1069,预留库存!A:G,7,0),0)</f>
        <v>0</v>
      </c>
      <c r="H1069">
        <f>IFERROR(VLOOKUP(A1069,预留库存!A:H,8,0),0)</f>
        <v>0</v>
      </c>
      <c r="I1069">
        <f>IFERROR(VLOOKUP(A1069,预留库存!A:F,6,0),0)</f>
        <v>0</v>
      </c>
      <c r="J1069">
        <f>IFERROR(VLOOKUP(A1069,库龄!B:K,9,0),0)</f>
        <v>0</v>
      </c>
      <c r="K1069">
        <f>IFERROR(VLOOKUP(A1069,库龄!B:L,10,0),0)</f>
        <v>0</v>
      </c>
      <c r="L1069">
        <f>IFERROR(VLOOKUP(A1069,库龄!B:M,11,0),0)</f>
        <v>0</v>
      </c>
      <c r="M1069">
        <f>IFERROR(VLOOKUP(A1069,库龄!B:N,12,0),0)</f>
        <v>0</v>
      </c>
      <c r="N1069">
        <f t="shared" si="34"/>
        <v>0</v>
      </c>
    </row>
    <row r="1070" spans="1:14">
      <c r="A1070" s="3" t="s">
        <v>3885</v>
      </c>
      <c r="B1070">
        <f>IFERROR(VLOOKUP(A1070,管理亚马逊库存!A:K,11,0),"")</f>
        <v>0</v>
      </c>
      <c r="C1070">
        <f>IFERROR(VLOOKUP(A1070,管理亚马逊库存!A:L,12,0),"")</f>
        <v>0</v>
      </c>
      <c r="D1070">
        <f>IFERROR(VLOOKUP(A1070,管理亚马逊库存!A:Q,17,0),"")</f>
        <v>0</v>
      </c>
      <c r="E1070">
        <f>IFERROR(VLOOKUP(A1070,管理亚马逊库存!A:R,18,0),"")</f>
        <v>0</v>
      </c>
      <c r="F1070">
        <f t="shared" si="33"/>
        <v>0</v>
      </c>
      <c r="G1070">
        <f>IFERROR(VLOOKUP(A1070,预留库存!A:G,7,0),0)</f>
        <v>0</v>
      </c>
      <c r="H1070">
        <f>IFERROR(VLOOKUP(A1070,预留库存!A:H,8,0),0)</f>
        <v>0</v>
      </c>
      <c r="I1070">
        <f>IFERROR(VLOOKUP(A1070,预留库存!A:F,6,0),0)</f>
        <v>0</v>
      </c>
      <c r="J1070">
        <f>IFERROR(VLOOKUP(A1070,库龄!B:K,9,0),0)</f>
        <v>0</v>
      </c>
      <c r="K1070">
        <f>IFERROR(VLOOKUP(A1070,库龄!B:L,10,0),0)</f>
        <v>0</v>
      </c>
      <c r="L1070">
        <f>IFERROR(VLOOKUP(A1070,库龄!B:M,11,0),0)</f>
        <v>0</v>
      </c>
      <c r="M1070">
        <f>IFERROR(VLOOKUP(A1070,库龄!B:N,12,0),0)</f>
        <v>0</v>
      </c>
      <c r="N1070">
        <f t="shared" si="34"/>
        <v>0</v>
      </c>
    </row>
    <row r="1071" spans="1:14">
      <c r="A1071" s="3" t="s">
        <v>3889</v>
      </c>
      <c r="B1071">
        <f>IFERROR(VLOOKUP(A1071,管理亚马逊库存!A:K,11,0),"")</f>
        <v>0</v>
      </c>
      <c r="C1071">
        <f>IFERROR(VLOOKUP(A1071,管理亚马逊库存!A:L,12,0),"")</f>
        <v>0</v>
      </c>
      <c r="D1071">
        <f>IFERROR(VLOOKUP(A1071,管理亚马逊库存!A:Q,17,0),"")</f>
        <v>0</v>
      </c>
      <c r="E1071">
        <f>IFERROR(VLOOKUP(A1071,管理亚马逊库存!A:R,18,0),"")</f>
        <v>0</v>
      </c>
      <c r="F1071">
        <f t="shared" si="33"/>
        <v>0</v>
      </c>
      <c r="G1071">
        <f>IFERROR(VLOOKUP(A1071,预留库存!A:G,7,0),0)</f>
        <v>0</v>
      </c>
      <c r="H1071">
        <f>IFERROR(VLOOKUP(A1071,预留库存!A:H,8,0),0)</f>
        <v>0</v>
      </c>
      <c r="I1071">
        <f>IFERROR(VLOOKUP(A1071,预留库存!A:F,6,0),0)</f>
        <v>0</v>
      </c>
      <c r="J1071">
        <f>IFERROR(VLOOKUP(A1071,库龄!B:K,9,0),0)</f>
        <v>0</v>
      </c>
      <c r="K1071">
        <f>IFERROR(VLOOKUP(A1071,库龄!B:L,10,0),0)</f>
        <v>0</v>
      </c>
      <c r="L1071">
        <f>IFERROR(VLOOKUP(A1071,库龄!B:M,11,0),0)</f>
        <v>0</v>
      </c>
      <c r="M1071">
        <f>IFERROR(VLOOKUP(A1071,库龄!B:N,12,0),0)</f>
        <v>0</v>
      </c>
      <c r="N1071">
        <f t="shared" si="34"/>
        <v>0</v>
      </c>
    </row>
    <row r="1072" spans="1:14">
      <c r="A1072" s="3" t="s">
        <v>3893</v>
      </c>
      <c r="B1072">
        <f>IFERROR(VLOOKUP(A1072,管理亚马逊库存!A:K,11,0),"")</f>
        <v>0</v>
      </c>
      <c r="C1072">
        <f>IFERROR(VLOOKUP(A1072,管理亚马逊库存!A:L,12,0),"")</f>
        <v>4</v>
      </c>
      <c r="D1072">
        <f>IFERROR(VLOOKUP(A1072,管理亚马逊库存!A:Q,17,0),"")</f>
        <v>0</v>
      </c>
      <c r="E1072">
        <f>IFERROR(VLOOKUP(A1072,管理亚马逊库存!A:R,18,0),"")</f>
        <v>0</v>
      </c>
      <c r="F1072">
        <f t="shared" si="33"/>
        <v>0</v>
      </c>
      <c r="G1072">
        <f>IFERROR(VLOOKUP(A1072,预留库存!A:G,7,0),0)</f>
        <v>0</v>
      </c>
      <c r="H1072">
        <f>IFERROR(VLOOKUP(A1072,预留库存!A:H,8,0),0)</f>
        <v>0</v>
      </c>
      <c r="I1072">
        <f>IFERROR(VLOOKUP(A1072,预留库存!A:F,6,0),0)</f>
        <v>0</v>
      </c>
      <c r="J1072">
        <f>IFERROR(VLOOKUP(A1072,库龄!B:K,9,0),0)</f>
        <v>0</v>
      </c>
      <c r="K1072">
        <f>IFERROR(VLOOKUP(A1072,库龄!B:L,10,0),0)</f>
        <v>0</v>
      </c>
      <c r="L1072">
        <f>IFERROR(VLOOKUP(A1072,库龄!B:M,11,0),0)</f>
        <v>0</v>
      </c>
      <c r="M1072">
        <f>IFERROR(VLOOKUP(A1072,库龄!B:N,12,0),0)</f>
        <v>0</v>
      </c>
      <c r="N1072">
        <f t="shared" si="34"/>
        <v>0</v>
      </c>
    </row>
    <row r="1073" spans="1:14">
      <c r="A1073" s="3" t="s">
        <v>3896</v>
      </c>
      <c r="B1073">
        <f>IFERROR(VLOOKUP(A1073,管理亚马逊库存!A:K,11,0),"")</f>
        <v>0</v>
      </c>
      <c r="C1073">
        <f>IFERROR(VLOOKUP(A1073,管理亚马逊库存!A:L,12,0),"")</f>
        <v>2</v>
      </c>
      <c r="D1073">
        <f>IFERROR(VLOOKUP(A1073,管理亚马逊库存!A:Q,17,0),"")</f>
        <v>0</v>
      </c>
      <c r="E1073">
        <f>IFERROR(VLOOKUP(A1073,管理亚马逊库存!A:R,18,0),"")</f>
        <v>0</v>
      </c>
      <c r="F1073">
        <f t="shared" si="33"/>
        <v>0</v>
      </c>
      <c r="G1073">
        <f>IFERROR(VLOOKUP(A1073,预留库存!A:G,7,0),0)</f>
        <v>0</v>
      </c>
      <c r="H1073">
        <f>IFERROR(VLOOKUP(A1073,预留库存!A:H,8,0),0)</f>
        <v>0</v>
      </c>
      <c r="I1073">
        <f>IFERROR(VLOOKUP(A1073,预留库存!A:F,6,0),0)</f>
        <v>0</v>
      </c>
      <c r="J1073">
        <f>IFERROR(VLOOKUP(A1073,库龄!B:K,9,0),0)</f>
        <v>0</v>
      </c>
      <c r="K1073">
        <f>IFERROR(VLOOKUP(A1073,库龄!B:L,10,0),0)</f>
        <v>0</v>
      </c>
      <c r="L1073">
        <f>IFERROR(VLOOKUP(A1073,库龄!B:M,11,0),0)</f>
        <v>0</v>
      </c>
      <c r="M1073">
        <f>IFERROR(VLOOKUP(A1073,库龄!B:N,12,0),0)</f>
        <v>0</v>
      </c>
      <c r="N1073">
        <f t="shared" si="34"/>
        <v>0</v>
      </c>
    </row>
    <row r="1074" spans="1:14">
      <c r="A1074" s="3" t="s">
        <v>3899</v>
      </c>
      <c r="B1074">
        <f>IFERROR(VLOOKUP(A1074,管理亚马逊库存!A:K,11,0),"")</f>
        <v>0</v>
      </c>
      <c r="C1074">
        <f>IFERROR(VLOOKUP(A1074,管理亚马逊库存!A:L,12,0),"")</f>
        <v>2</v>
      </c>
      <c r="D1074">
        <f>IFERROR(VLOOKUP(A1074,管理亚马逊库存!A:Q,17,0),"")</f>
        <v>0</v>
      </c>
      <c r="E1074">
        <f>IFERROR(VLOOKUP(A1074,管理亚马逊库存!A:R,18,0),"")</f>
        <v>0</v>
      </c>
      <c r="F1074">
        <f t="shared" si="33"/>
        <v>0</v>
      </c>
      <c r="G1074">
        <f>IFERROR(VLOOKUP(A1074,预留库存!A:G,7,0),0)</f>
        <v>0</v>
      </c>
      <c r="H1074">
        <f>IFERROR(VLOOKUP(A1074,预留库存!A:H,8,0),0)</f>
        <v>0</v>
      </c>
      <c r="I1074">
        <f>IFERROR(VLOOKUP(A1074,预留库存!A:F,6,0),0)</f>
        <v>0</v>
      </c>
      <c r="J1074">
        <f>IFERROR(VLOOKUP(A1074,库龄!B:K,9,0),0)</f>
        <v>0</v>
      </c>
      <c r="K1074">
        <f>IFERROR(VLOOKUP(A1074,库龄!B:L,10,0),0)</f>
        <v>0</v>
      </c>
      <c r="L1074">
        <f>IFERROR(VLOOKUP(A1074,库龄!B:M,11,0),0)</f>
        <v>0</v>
      </c>
      <c r="M1074">
        <f>IFERROR(VLOOKUP(A1074,库龄!B:N,12,0),0)</f>
        <v>0</v>
      </c>
      <c r="N1074">
        <f t="shared" si="34"/>
        <v>0</v>
      </c>
    </row>
    <row r="1075" spans="1:14">
      <c r="A1075" s="3" t="s">
        <v>3902</v>
      </c>
      <c r="B1075">
        <f>IFERROR(VLOOKUP(A1075,管理亚马逊库存!A:K,11,0),"")</f>
        <v>0</v>
      </c>
      <c r="C1075">
        <f>IFERROR(VLOOKUP(A1075,管理亚马逊库存!A:L,12,0),"")</f>
        <v>4</v>
      </c>
      <c r="D1075">
        <f>IFERROR(VLOOKUP(A1075,管理亚马逊库存!A:Q,17,0),"")</f>
        <v>0</v>
      </c>
      <c r="E1075">
        <f>IFERROR(VLOOKUP(A1075,管理亚马逊库存!A:R,18,0),"")</f>
        <v>0</v>
      </c>
      <c r="F1075">
        <f t="shared" si="33"/>
        <v>0</v>
      </c>
      <c r="G1075">
        <f>IFERROR(VLOOKUP(A1075,预留库存!A:G,7,0),0)</f>
        <v>0</v>
      </c>
      <c r="H1075">
        <f>IFERROR(VLOOKUP(A1075,预留库存!A:H,8,0),0)</f>
        <v>0</v>
      </c>
      <c r="I1075">
        <f>IFERROR(VLOOKUP(A1075,预留库存!A:F,6,0),0)</f>
        <v>0</v>
      </c>
      <c r="J1075">
        <f>IFERROR(VLOOKUP(A1075,库龄!B:K,9,0),0)</f>
        <v>0</v>
      </c>
      <c r="K1075">
        <f>IFERROR(VLOOKUP(A1075,库龄!B:L,10,0),0)</f>
        <v>0</v>
      </c>
      <c r="L1075">
        <f>IFERROR(VLOOKUP(A1075,库龄!B:M,11,0),0)</f>
        <v>0</v>
      </c>
      <c r="M1075">
        <f>IFERROR(VLOOKUP(A1075,库龄!B:N,12,0),0)</f>
        <v>0</v>
      </c>
      <c r="N1075">
        <f t="shared" si="34"/>
        <v>0</v>
      </c>
    </row>
    <row r="1076" spans="1:14">
      <c r="A1076" s="3" t="s">
        <v>3905</v>
      </c>
      <c r="B1076">
        <f>IFERROR(VLOOKUP(A1076,管理亚马逊库存!A:K,11,0),"")</f>
        <v>0</v>
      </c>
      <c r="C1076">
        <f>IFERROR(VLOOKUP(A1076,管理亚马逊库存!A:L,12,0),"")</f>
        <v>3</v>
      </c>
      <c r="D1076">
        <f>IFERROR(VLOOKUP(A1076,管理亚马逊库存!A:Q,17,0),"")</f>
        <v>0</v>
      </c>
      <c r="E1076">
        <f>IFERROR(VLOOKUP(A1076,管理亚马逊库存!A:R,18,0),"")</f>
        <v>0</v>
      </c>
      <c r="F1076">
        <f t="shared" si="33"/>
        <v>0</v>
      </c>
      <c r="G1076">
        <f>IFERROR(VLOOKUP(A1076,预留库存!A:G,7,0),0)</f>
        <v>0</v>
      </c>
      <c r="H1076">
        <f>IFERROR(VLOOKUP(A1076,预留库存!A:H,8,0),0)</f>
        <v>0</v>
      </c>
      <c r="I1076">
        <f>IFERROR(VLOOKUP(A1076,预留库存!A:F,6,0),0)</f>
        <v>0</v>
      </c>
      <c r="J1076">
        <f>IFERROR(VLOOKUP(A1076,库龄!B:K,9,0),0)</f>
        <v>0</v>
      </c>
      <c r="K1076">
        <f>IFERROR(VLOOKUP(A1076,库龄!B:L,10,0),0)</f>
        <v>0</v>
      </c>
      <c r="L1076">
        <f>IFERROR(VLOOKUP(A1076,库龄!B:M,11,0),0)</f>
        <v>0</v>
      </c>
      <c r="M1076">
        <f>IFERROR(VLOOKUP(A1076,库龄!B:N,12,0),0)</f>
        <v>0</v>
      </c>
      <c r="N1076">
        <f t="shared" si="34"/>
        <v>0</v>
      </c>
    </row>
    <row r="1077" spans="1:14">
      <c r="A1077" s="3" t="s">
        <v>3908</v>
      </c>
      <c r="B1077">
        <f>IFERROR(VLOOKUP(A1077,管理亚马逊库存!A:K,11,0),"")</f>
        <v>0</v>
      </c>
      <c r="C1077">
        <f>IFERROR(VLOOKUP(A1077,管理亚马逊库存!A:L,12,0),"")</f>
        <v>3</v>
      </c>
      <c r="D1077">
        <f>IFERROR(VLOOKUP(A1077,管理亚马逊库存!A:Q,17,0),"")</f>
        <v>0</v>
      </c>
      <c r="E1077">
        <f>IFERROR(VLOOKUP(A1077,管理亚马逊库存!A:R,18,0),"")</f>
        <v>0</v>
      </c>
      <c r="F1077">
        <f t="shared" si="33"/>
        <v>0</v>
      </c>
      <c r="G1077">
        <f>IFERROR(VLOOKUP(A1077,预留库存!A:G,7,0),0)</f>
        <v>0</v>
      </c>
      <c r="H1077">
        <f>IFERROR(VLOOKUP(A1077,预留库存!A:H,8,0),0)</f>
        <v>0</v>
      </c>
      <c r="I1077">
        <f>IFERROR(VLOOKUP(A1077,预留库存!A:F,6,0),0)</f>
        <v>0</v>
      </c>
      <c r="J1077">
        <f>IFERROR(VLOOKUP(A1077,库龄!B:K,9,0),0)</f>
        <v>0</v>
      </c>
      <c r="K1077">
        <f>IFERROR(VLOOKUP(A1077,库龄!B:L,10,0),0)</f>
        <v>0</v>
      </c>
      <c r="L1077">
        <f>IFERROR(VLOOKUP(A1077,库龄!B:M,11,0),0)</f>
        <v>0</v>
      </c>
      <c r="M1077">
        <f>IFERROR(VLOOKUP(A1077,库龄!B:N,12,0),0)</f>
        <v>0</v>
      </c>
      <c r="N1077">
        <f t="shared" si="34"/>
        <v>0</v>
      </c>
    </row>
    <row r="1078" spans="1:14">
      <c r="A1078" s="3" t="s">
        <v>3911</v>
      </c>
      <c r="B1078">
        <f>IFERROR(VLOOKUP(A1078,管理亚马逊库存!A:K,11,0),"")</f>
        <v>0</v>
      </c>
      <c r="C1078">
        <f>IFERROR(VLOOKUP(A1078,管理亚马逊库存!A:L,12,0),"")</f>
        <v>1</v>
      </c>
      <c r="D1078">
        <f>IFERROR(VLOOKUP(A1078,管理亚马逊库存!A:Q,17,0),"")</f>
        <v>0</v>
      </c>
      <c r="E1078">
        <f>IFERROR(VLOOKUP(A1078,管理亚马逊库存!A:R,18,0),"")</f>
        <v>0</v>
      </c>
      <c r="F1078">
        <f t="shared" si="33"/>
        <v>0</v>
      </c>
      <c r="G1078">
        <f>IFERROR(VLOOKUP(A1078,预留库存!A:G,7,0),0)</f>
        <v>0</v>
      </c>
      <c r="H1078">
        <f>IFERROR(VLOOKUP(A1078,预留库存!A:H,8,0),0)</f>
        <v>0</v>
      </c>
      <c r="I1078">
        <f>IFERROR(VLOOKUP(A1078,预留库存!A:F,6,0),0)</f>
        <v>0</v>
      </c>
      <c r="J1078">
        <f>IFERROR(VLOOKUP(A1078,库龄!B:K,9,0),0)</f>
        <v>0</v>
      </c>
      <c r="K1078">
        <f>IFERROR(VLOOKUP(A1078,库龄!B:L,10,0),0)</f>
        <v>0</v>
      </c>
      <c r="L1078">
        <f>IFERROR(VLOOKUP(A1078,库龄!B:M,11,0),0)</f>
        <v>0</v>
      </c>
      <c r="M1078">
        <f>IFERROR(VLOOKUP(A1078,库龄!B:N,12,0),0)</f>
        <v>0</v>
      </c>
      <c r="N1078">
        <f t="shared" si="34"/>
        <v>0</v>
      </c>
    </row>
    <row r="1079" spans="1:14">
      <c r="A1079" s="3" t="s">
        <v>3914</v>
      </c>
      <c r="B1079">
        <f>IFERROR(VLOOKUP(A1079,管理亚马逊库存!A:K,11,0),"")</f>
        <v>0</v>
      </c>
      <c r="C1079">
        <f>IFERROR(VLOOKUP(A1079,管理亚马逊库存!A:L,12,0),"")</f>
        <v>4</v>
      </c>
      <c r="D1079">
        <f>IFERROR(VLOOKUP(A1079,管理亚马逊库存!A:Q,17,0),"")</f>
        <v>0</v>
      </c>
      <c r="E1079">
        <f>IFERROR(VLOOKUP(A1079,管理亚马逊库存!A:R,18,0),"")</f>
        <v>0</v>
      </c>
      <c r="F1079">
        <f t="shared" si="33"/>
        <v>0</v>
      </c>
      <c r="G1079">
        <f>IFERROR(VLOOKUP(A1079,预留库存!A:G,7,0),0)</f>
        <v>0</v>
      </c>
      <c r="H1079">
        <f>IFERROR(VLOOKUP(A1079,预留库存!A:H,8,0),0)</f>
        <v>0</v>
      </c>
      <c r="I1079">
        <f>IFERROR(VLOOKUP(A1079,预留库存!A:F,6,0),0)</f>
        <v>0</v>
      </c>
      <c r="J1079">
        <f>IFERROR(VLOOKUP(A1079,库龄!B:K,9,0),0)</f>
        <v>0</v>
      </c>
      <c r="K1079">
        <f>IFERROR(VLOOKUP(A1079,库龄!B:L,10,0),0)</f>
        <v>0</v>
      </c>
      <c r="L1079">
        <f>IFERROR(VLOOKUP(A1079,库龄!B:M,11,0),0)</f>
        <v>0</v>
      </c>
      <c r="M1079">
        <f>IFERROR(VLOOKUP(A1079,库龄!B:N,12,0),0)</f>
        <v>0</v>
      </c>
      <c r="N1079">
        <f t="shared" si="34"/>
        <v>0</v>
      </c>
    </row>
    <row r="1080" spans="1:14">
      <c r="A1080" s="3" t="s">
        <v>3917</v>
      </c>
      <c r="B1080">
        <f>IFERROR(VLOOKUP(A1080,管理亚马逊库存!A:K,11,0),"")</f>
        <v>0</v>
      </c>
      <c r="C1080">
        <f>IFERROR(VLOOKUP(A1080,管理亚马逊库存!A:L,12,0),"")</f>
        <v>2</v>
      </c>
      <c r="D1080">
        <f>IFERROR(VLOOKUP(A1080,管理亚马逊库存!A:Q,17,0),"")</f>
        <v>0</v>
      </c>
      <c r="E1080">
        <f>IFERROR(VLOOKUP(A1080,管理亚马逊库存!A:R,18,0),"")</f>
        <v>0</v>
      </c>
      <c r="F1080">
        <f t="shared" si="33"/>
        <v>0</v>
      </c>
      <c r="G1080">
        <f>IFERROR(VLOOKUP(A1080,预留库存!A:G,7,0),0)</f>
        <v>0</v>
      </c>
      <c r="H1080">
        <f>IFERROR(VLOOKUP(A1080,预留库存!A:H,8,0),0)</f>
        <v>0</v>
      </c>
      <c r="I1080">
        <f>IFERROR(VLOOKUP(A1080,预留库存!A:F,6,0),0)</f>
        <v>0</v>
      </c>
      <c r="J1080">
        <f>IFERROR(VLOOKUP(A1080,库龄!B:K,9,0),0)</f>
        <v>0</v>
      </c>
      <c r="K1080">
        <f>IFERROR(VLOOKUP(A1080,库龄!B:L,10,0),0)</f>
        <v>0</v>
      </c>
      <c r="L1080">
        <f>IFERROR(VLOOKUP(A1080,库龄!B:M,11,0),0)</f>
        <v>0</v>
      </c>
      <c r="M1080">
        <f>IFERROR(VLOOKUP(A1080,库龄!B:N,12,0),0)</f>
        <v>0</v>
      </c>
      <c r="N1080">
        <f t="shared" si="34"/>
        <v>0</v>
      </c>
    </row>
    <row r="1081" spans="1:14">
      <c r="A1081" s="3" t="s">
        <v>3920</v>
      </c>
      <c r="B1081">
        <f>IFERROR(VLOOKUP(A1081,管理亚马逊库存!A:K,11,0),"")</f>
        <v>0</v>
      </c>
      <c r="C1081">
        <f>IFERROR(VLOOKUP(A1081,管理亚马逊库存!A:L,12,0),"")</f>
        <v>2</v>
      </c>
      <c r="D1081">
        <f>IFERROR(VLOOKUP(A1081,管理亚马逊库存!A:Q,17,0),"")</f>
        <v>0</v>
      </c>
      <c r="E1081">
        <f>IFERROR(VLOOKUP(A1081,管理亚马逊库存!A:R,18,0),"")</f>
        <v>0</v>
      </c>
      <c r="F1081">
        <f t="shared" si="33"/>
        <v>0</v>
      </c>
      <c r="G1081">
        <f>IFERROR(VLOOKUP(A1081,预留库存!A:G,7,0),0)</f>
        <v>0</v>
      </c>
      <c r="H1081">
        <f>IFERROR(VLOOKUP(A1081,预留库存!A:H,8,0),0)</f>
        <v>0</v>
      </c>
      <c r="I1081">
        <f>IFERROR(VLOOKUP(A1081,预留库存!A:F,6,0),0)</f>
        <v>0</v>
      </c>
      <c r="J1081">
        <f>IFERROR(VLOOKUP(A1081,库龄!B:K,9,0),0)</f>
        <v>0</v>
      </c>
      <c r="K1081">
        <f>IFERROR(VLOOKUP(A1081,库龄!B:L,10,0),0)</f>
        <v>0</v>
      </c>
      <c r="L1081">
        <f>IFERROR(VLOOKUP(A1081,库龄!B:M,11,0),0)</f>
        <v>0</v>
      </c>
      <c r="M1081">
        <f>IFERROR(VLOOKUP(A1081,库龄!B:N,12,0),0)</f>
        <v>0</v>
      </c>
      <c r="N1081">
        <f t="shared" si="34"/>
        <v>0</v>
      </c>
    </row>
    <row r="1082" spans="1:14">
      <c r="A1082" s="3" t="s">
        <v>3923</v>
      </c>
      <c r="B1082">
        <f>IFERROR(VLOOKUP(A1082,管理亚马逊库存!A:K,11,0),"")</f>
        <v>0</v>
      </c>
      <c r="C1082">
        <f>IFERROR(VLOOKUP(A1082,管理亚马逊库存!A:L,12,0),"")</f>
        <v>1</v>
      </c>
      <c r="D1082">
        <f>IFERROR(VLOOKUP(A1082,管理亚马逊库存!A:Q,17,0),"")</f>
        <v>0</v>
      </c>
      <c r="E1082">
        <f>IFERROR(VLOOKUP(A1082,管理亚马逊库存!A:R,18,0),"")</f>
        <v>0</v>
      </c>
      <c r="F1082">
        <f t="shared" si="33"/>
        <v>0</v>
      </c>
      <c r="G1082">
        <f>IFERROR(VLOOKUP(A1082,预留库存!A:G,7,0),0)</f>
        <v>0</v>
      </c>
      <c r="H1082">
        <f>IFERROR(VLOOKUP(A1082,预留库存!A:H,8,0),0)</f>
        <v>0</v>
      </c>
      <c r="I1082">
        <f>IFERROR(VLOOKUP(A1082,预留库存!A:F,6,0),0)</f>
        <v>0</v>
      </c>
      <c r="J1082">
        <f>IFERROR(VLOOKUP(A1082,库龄!B:K,9,0),0)</f>
        <v>0</v>
      </c>
      <c r="K1082">
        <f>IFERROR(VLOOKUP(A1082,库龄!B:L,10,0),0)</f>
        <v>0</v>
      </c>
      <c r="L1082">
        <f>IFERROR(VLOOKUP(A1082,库龄!B:M,11,0),0)</f>
        <v>0</v>
      </c>
      <c r="M1082">
        <f>IFERROR(VLOOKUP(A1082,库龄!B:N,12,0),0)</f>
        <v>0</v>
      </c>
      <c r="N1082">
        <f t="shared" si="34"/>
        <v>0</v>
      </c>
    </row>
    <row r="1083" spans="1:14">
      <c r="A1083" s="3" t="s">
        <v>3926</v>
      </c>
      <c r="B1083">
        <f>IFERROR(VLOOKUP(A1083,管理亚马逊库存!A:K,11,0),"")</f>
        <v>0</v>
      </c>
      <c r="C1083">
        <f>IFERROR(VLOOKUP(A1083,管理亚马逊库存!A:L,12,0),"")</f>
        <v>2</v>
      </c>
      <c r="D1083">
        <f>IFERROR(VLOOKUP(A1083,管理亚马逊库存!A:Q,17,0),"")</f>
        <v>0</v>
      </c>
      <c r="E1083">
        <f>IFERROR(VLOOKUP(A1083,管理亚马逊库存!A:R,18,0),"")</f>
        <v>0</v>
      </c>
      <c r="F1083">
        <f t="shared" si="33"/>
        <v>0</v>
      </c>
      <c r="G1083">
        <f>IFERROR(VLOOKUP(A1083,预留库存!A:G,7,0),0)</f>
        <v>0</v>
      </c>
      <c r="H1083">
        <f>IFERROR(VLOOKUP(A1083,预留库存!A:H,8,0),0)</f>
        <v>0</v>
      </c>
      <c r="I1083">
        <f>IFERROR(VLOOKUP(A1083,预留库存!A:F,6,0),0)</f>
        <v>0</v>
      </c>
      <c r="J1083">
        <f>IFERROR(VLOOKUP(A1083,库龄!B:K,9,0),0)</f>
        <v>0</v>
      </c>
      <c r="K1083">
        <f>IFERROR(VLOOKUP(A1083,库龄!B:L,10,0),0)</f>
        <v>0</v>
      </c>
      <c r="L1083">
        <f>IFERROR(VLOOKUP(A1083,库龄!B:M,11,0),0)</f>
        <v>0</v>
      </c>
      <c r="M1083">
        <f>IFERROR(VLOOKUP(A1083,库龄!B:N,12,0),0)</f>
        <v>0</v>
      </c>
      <c r="N1083">
        <f t="shared" si="34"/>
        <v>0</v>
      </c>
    </row>
    <row r="1084" spans="1:14">
      <c r="A1084" s="3" t="s">
        <v>3929</v>
      </c>
      <c r="B1084">
        <f>IFERROR(VLOOKUP(A1084,管理亚马逊库存!A:K,11,0),"")</f>
        <v>0</v>
      </c>
      <c r="C1084">
        <f>IFERROR(VLOOKUP(A1084,管理亚马逊库存!A:L,12,0),"")</f>
        <v>1</v>
      </c>
      <c r="D1084">
        <f>IFERROR(VLOOKUP(A1084,管理亚马逊库存!A:Q,17,0),"")</f>
        <v>0</v>
      </c>
      <c r="E1084">
        <f>IFERROR(VLOOKUP(A1084,管理亚马逊库存!A:R,18,0),"")</f>
        <v>0</v>
      </c>
      <c r="F1084">
        <f t="shared" si="33"/>
        <v>0</v>
      </c>
      <c r="G1084">
        <f>IFERROR(VLOOKUP(A1084,预留库存!A:G,7,0),0)</f>
        <v>0</v>
      </c>
      <c r="H1084">
        <f>IFERROR(VLOOKUP(A1084,预留库存!A:H,8,0),0)</f>
        <v>0</v>
      </c>
      <c r="I1084">
        <f>IFERROR(VLOOKUP(A1084,预留库存!A:F,6,0),0)</f>
        <v>0</v>
      </c>
      <c r="J1084">
        <f>IFERROR(VLOOKUP(A1084,库龄!B:K,9,0),0)</f>
        <v>0</v>
      </c>
      <c r="K1084">
        <f>IFERROR(VLOOKUP(A1084,库龄!B:L,10,0),0)</f>
        <v>0</v>
      </c>
      <c r="L1084">
        <f>IFERROR(VLOOKUP(A1084,库龄!B:M,11,0),0)</f>
        <v>0</v>
      </c>
      <c r="M1084">
        <f>IFERROR(VLOOKUP(A1084,库龄!B:N,12,0),0)</f>
        <v>0</v>
      </c>
      <c r="N1084">
        <f t="shared" si="34"/>
        <v>0</v>
      </c>
    </row>
    <row r="1085" spans="1:14">
      <c r="A1085" s="3" t="s">
        <v>3932</v>
      </c>
      <c r="B1085">
        <f>IFERROR(VLOOKUP(A1085,管理亚马逊库存!A:K,11,0),"")</f>
        <v>0</v>
      </c>
      <c r="C1085">
        <f>IFERROR(VLOOKUP(A1085,管理亚马逊库存!A:L,12,0),"")</f>
        <v>1</v>
      </c>
      <c r="D1085">
        <f>IFERROR(VLOOKUP(A1085,管理亚马逊库存!A:Q,17,0),"")</f>
        <v>0</v>
      </c>
      <c r="E1085">
        <f>IFERROR(VLOOKUP(A1085,管理亚马逊库存!A:R,18,0),"")</f>
        <v>0</v>
      </c>
      <c r="F1085">
        <f t="shared" si="33"/>
        <v>0</v>
      </c>
      <c r="G1085">
        <f>IFERROR(VLOOKUP(A1085,预留库存!A:G,7,0),0)</f>
        <v>0</v>
      </c>
      <c r="H1085">
        <f>IFERROR(VLOOKUP(A1085,预留库存!A:H,8,0),0)</f>
        <v>0</v>
      </c>
      <c r="I1085">
        <f>IFERROR(VLOOKUP(A1085,预留库存!A:F,6,0),0)</f>
        <v>0</v>
      </c>
      <c r="J1085">
        <f>IFERROR(VLOOKUP(A1085,库龄!B:K,9,0),0)</f>
        <v>0</v>
      </c>
      <c r="K1085">
        <f>IFERROR(VLOOKUP(A1085,库龄!B:L,10,0),0)</f>
        <v>0</v>
      </c>
      <c r="L1085">
        <f>IFERROR(VLOOKUP(A1085,库龄!B:M,11,0),0)</f>
        <v>0</v>
      </c>
      <c r="M1085">
        <f>IFERROR(VLOOKUP(A1085,库龄!B:N,12,0),0)</f>
        <v>0</v>
      </c>
      <c r="N1085">
        <f t="shared" si="34"/>
        <v>0</v>
      </c>
    </row>
    <row r="1086" spans="1:14">
      <c r="A1086" s="3" t="s">
        <v>3935</v>
      </c>
      <c r="B1086">
        <f>IFERROR(VLOOKUP(A1086,管理亚马逊库存!A:K,11,0),"")</f>
        <v>0</v>
      </c>
      <c r="C1086">
        <f>IFERROR(VLOOKUP(A1086,管理亚马逊库存!A:L,12,0),"")</f>
        <v>4</v>
      </c>
      <c r="D1086">
        <f>IFERROR(VLOOKUP(A1086,管理亚马逊库存!A:Q,17,0),"")</f>
        <v>0</v>
      </c>
      <c r="E1086">
        <f>IFERROR(VLOOKUP(A1086,管理亚马逊库存!A:R,18,0),"")</f>
        <v>0</v>
      </c>
      <c r="F1086">
        <f t="shared" si="33"/>
        <v>0</v>
      </c>
      <c r="G1086">
        <f>IFERROR(VLOOKUP(A1086,预留库存!A:G,7,0),0)</f>
        <v>0</v>
      </c>
      <c r="H1086">
        <f>IFERROR(VLOOKUP(A1086,预留库存!A:H,8,0),0)</f>
        <v>0</v>
      </c>
      <c r="I1086">
        <f>IFERROR(VLOOKUP(A1086,预留库存!A:F,6,0),0)</f>
        <v>0</v>
      </c>
      <c r="J1086">
        <f>IFERROR(VLOOKUP(A1086,库龄!B:K,9,0),0)</f>
        <v>0</v>
      </c>
      <c r="K1086">
        <f>IFERROR(VLOOKUP(A1086,库龄!B:L,10,0),0)</f>
        <v>0</v>
      </c>
      <c r="L1086">
        <f>IFERROR(VLOOKUP(A1086,库龄!B:M,11,0),0)</f>
        <v>0</v>
      </c>
      <c r="M1086">
        <f>IFERROR(VLOOKUP(A1086,库龄!B:N,12,0),0)</f>
        <v>0</v>
      </c>
      <c r="N1086">
        <f t="shared" si="34"/>
        <v>0</v>
      </c>
    </row>
    <row r="1087" spans="1:14">
      <c r="A1087" s="3" t="s">
        <v>3938</v>
      </c>
      <c r="B1087">
        <f>IFERROR(VLOOKUP(A1087,管理亚马逊库存!A:K,11,0),"")</f>
        <v>0</v>
      </c>
      <c r="C1087">
        <f>IFERROR(VLOOKUP(A1087,管理亚马逊库存!A:L,12,0),"")</f>
        <v>3</v>
      </c>
      <c r="D1087">
        <f>IFERROR(VLOOKUP(A1087,管理亚马逊库存!A:Q,17,0),"")</f>
        <v>0</v>
      </c>
      <c r="E1087">
        <f>IFERROR(VLOOKUP(A1087,管理亚马逊库存!A:R,18,0),"")</f>
        <v>0</v>
      </c>
      <c r="F1087">
        <f t="shared" si="33"/>
        <v>0</v>
      </c>
      <c r="G1087">
        <f>IFERROR(VLOOKUP(A1087,预留库存!A:G,7,0),0)</f>
        <v>0</v>
      </c>
      <c r="H1087">
        <f>IFERROR(VLOOKUP(A1087,预留库存!A:H,8,0),0)</f>
        <v>0</v>
      </c>
      <c r="I1087">
        <f>IFERROR(VLOOKUP(A1087,预留库存!A:F,6,0),0)</f>
        <v>0</v>
      </c>
      <c r="J1087">
        <f>IFERROR(VLOOKUP(A1087,库龄!B:K,9,0),0)</f>
        <v>0</v>
      </c>
      <c r="K1087">
        <f>IFERROR(VLOOKUP(A1087,库龄!B:L,10,0),0)</f>
        <v>0</v>
      </c>
      <c r="L1087">
        <f>IFERROR(VLOOKUP(A1087,库龄!B:M,11,0),0)</f>
        <v>0</v>
      </c>
      <c r="M1087">
        <f>IFERROR(VLOOKUP(A1087,库龄!B:N,12,0),0)</f>
        <v>0</v>
      </c>
      <c r="N1087">
        <f t="shared" si="34"/>
        <v>0</v>
      </c>
    </row>
    <row r="1088" spans="1:14">
      <c r="A1088" s="3" t="s">
        <v>3941</v>
      </c>
      <c r="B1088">
        <f>IFERROR(VLOOKUP(A1088,管理亚马逊库存!A:K,11,0),"")</f>
        <v>0</v>
      </c>
      <c r="C1088">
        <f>IFERROR(VLOOKUP(A1088,管理亚马逊库存!A:L,12,0),"")</f>
        <v>5</v>
      </c>
      <c r="D1088">
        <f>IFERROR(VLOOKUP(A1088,管理亚马逊库存!A:Q,17,0),"")</f>
        <v>0</v>
      </c>
      <c r="E1088">
        <f>IFERROR(VLOOKUP(A1088,管理亚马逊库存!A:R,18,0),"")</f>
        <v>0</v>
      </c>
      <c r="F1088">
        <f t="shared" si="33"/>
        <v>0</v>
      </c>
      <c r="G1088">
        <f>IFERROR(VLOOKUP(A1088,预留库存!A:G,7,0),0)</f>
        <v>0</v>
      </c>
      <c r="H1088">
        <f>IFERROR(VLOOKUP(A1088,预留库存!A:H,8,0),0)</f>
        <v>0</v>
      </c>
      <c r="I1088">
        <f>IFERROR(VLOOKUP(A1088,预留库存!A:F,6,0),0)</f>
        <v>0</v>
      </c>
      <c r="J1088">
        <f>IFERROR(VLOOKUP(A1088,库龄!B:K,9,0),0)</f>
        <v>0</v>
      </c>
      <c r="K1088">
        <f>IFERROR(VLOOKUP(A1088,库龄!B:L,10,0),0)</f>
        <v>0</v>
      </c>
      <c r="L1088">
        <f>IFERROR(VLOOKUP(A1088,库龄!B:M,11,0),0)</f>
        <v>0</v>
      </c>
      <c r="M1088">
        <f>IFERROR(VLOOKUP(A1088,库龄!B:N,12,0),0)</f>
        <v>0</v>
      </c>
      <c r="N1088">
        <f t="shared" si="34"/>
        <v>0</v>
      </c>
    </row>
    <row r="1089" spans="1:14">
      <c r="A1089" s="3" t="s">
        <v>3944</v>
      </c>
      <c r="B1089">
        <f>IFERROR(VLOOKUP(A1089,管理亚马逊库存!A:K,11,0),"")</f>
        <v>0</v>
      </c>
      <c r="C1089">
        <f>IFERROR(VLOOKUP(A1089,管理亚马逊库存!A:L,12,0),"")</f>
        <v>4</v>
      </c>
      <c r="D1089">
        <f>IFERROR(VLOOKUP(A1089,管理亚马逊库存!A:Q,17,0),"")</f>
        <v>0</v>
      </c>
      <c r="E1089">
        <f>IFERROR(VLOOKUP(A1089,管理亚马逊库存!A:R,18,0),"")</f>
        <v>0</v>
      </c>
      <c r="F1089">
        <f t="shared" si="33"/>
        <v>0</v>
      </c>
      <c r="G1089">
        <f>IFERROR(VLOOKUP(A1089,预留库存!A:G,7,0),0)</f>
        <v>0</v>
      </c>
      <c r="H1089">
        <f>IFERROR(VLOOKUP(A1089,预留库存!A:H,8,0),0)</f>
        <v>0</v>
      </c>
      <c r="I1089">
        <f>IFERROR(VLOOKUP(A1089,预留库存!A:F,6,0),0)</f>
        <v>0</v>
      </c>
      <c r="J1089">
        <f>IFERROR(VLOOKUP(A1089,库龄!B:K,9,0),0)</f>
        <v>0</v>
      </c>
      <c r="K1089">
        <f>IFERROR(VLOOKUP(A1089,库龄!B:L,10,0),0)</f>
        <v>0</v>
      </c>
      <c r="L1089">
        <f>IFERROR(VLOOKUP(A1089,库龄!B:M,11,0),0)</f>
        <v>0</v>
      </c>
      <c r="M1089">
        <f>IFERROR(VLOOKUP(A1089,库龄!B:N,12,0),0)</f>
        <v>0</v>
      </c>
      <c r="N1089">
        <f t="shared" si="34"/>
        <v>0</v>
      </c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0</xdr:row>
                <xdr:rowOff>171450</xdr:rowOff>
              </from>
              <to>
                <xdr:col>15</xdr:col>
                <xdr:colOff>676275</xdr:colOff>
                <xdr:row>3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2018-08-28T09:20:58Z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